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H:\Github\KPIs\"/>
    </mc:Choice>
  </mc:AlternateContent>
  <xr:revisionPtr revIDLastSave="0" documentId="13_ncr:1_{9DE30ACA-F3C0-47BC-8BAB-2D38D3C2C267}" xr6:coauthVersionLast="47" xr6:coauthVersionMax="47" xr10:uidLastSave="{00000000-0000-0000-0000-000000000000}"/>
  <bookViews>
    <workbookView xWindow="-120" yWindow="-120" windowWidth="29040" windowHeight="15720" xr2:uid="{FB2F6038-76F1-4568-B43C-2017E1DA3E14}"/>
  </bookViews>
  <sheets>
    <sheet name="Open Late Summary" sheetId="5" r:id="rId1"/>
    <sheet name="Days Late" sheetId="1" r:id="rId2"/>
    <sheet name="Value Late" sheetId="4" r:id="rId3"/>
    <sheet name="Export" sheetId="2" r:id="rId4"/>
  </sheets>
  <calcPr calcId="191029"/>
  <pivotCaches>
    <pivotCache cacheId="55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6" i="2" l="1"/>
  <c r="V6" i="2" s="1"/>
  <c r="U7" i="2"/>
  <c r="V7" i="2" s="1"/>
  <c r="U8" i="2"/>
  <c r="V8" i="2" s="1"/>
  <c r="U9" i="2"/>
  <c r="V9" i="2" s="1"/>
  <c r="U10" i="2"/>
  <c r="V10" i="2" s="1"/>
  <c r="U11" i="2"/>
  <c r="V11" i="2" s="1"/>
  <c r="U12" i="2"/>
  <c r="V12" i="2" s="1"/>
  <c r="U13" i="2"/>
  <c r="V13" i="2" s="1"/>
  <c r="U14" i="2"/>
  <c r="V14" i="2" s="1"/>
  <c r="U15" i="2"/>
  <c r="V15" i="2" s="1"/>
  <c r="U16" i="2"/>
  <c r="V16" i="2" s="1"/>
  <c r="U17" i="2"/>
  <c r="V17" i="2" s="1"/>
  <c r="U18" i="2"/>
  <c r="V18" i="2" s="1"/>
  <c r="U19" i="2"/>
  <c r="V19" i="2" s="1"/>
  <c r="U20" i="2"/>
  <c r="V20" i="2" s="1"/>
  <c r="U21" i="2"/>
  <c r="V21" i="2" s="1"/>
  <c r="U22" i="2"/>
  <c r="V22" i="2" s="1"/>
  <c r="U23" i="2"/>
  <c r="V23" i="2" s="1"/>
  <c r="U24" i="2"/>
  <c r="V24" i="2" s="1"/>
  <c r="U25" i="2"/>
  <c r="V25" i="2" s="1"/>
  <c r="U26" i="2"/>
  <c r="V26" i="2" s="1"/>
  <c r="U27" i="2"/>
  <c r="V27" i="2" s="1"/>
  <c r="U28" i="2"/>
  <c r="V28" i="2" s="1"/>
  <c r="U29" i="2"/>
  <c r="V29" i="2" s="1"/>
  <c r="U30" i="2"/>
  <c r="V30" i="2" s="1"/>
  <c r="U31" i="2"/>
  <c r="V31" i="2" s="1"/>
  <c r="U32" i="2"/>
  <c r="V32" i="2" s="1"/>
  <c r="U33" i="2"/>
  <c r="V33" i="2" s="1"/>
  <c r="U34" i="2"/>
  <c r="V34" i="2" s="1"/>
  <c r="U35" i="2"/>
  <c r="V35" i="2" s="1"/>
  <c r="U36" i="2"/>
  <c r="V36" i="2" s="1"/>
  <c r="U37" i="2"/>
  <c r="V37" i="2" s="1"/>
  <c r="U38" i="2"/>
  <c r="V38" i="2" s="1"/>
  <c r="U39" i="2"/>
  <c r="V39" i="2" s="1"/>
  <c r="U40" i="2"/>
  <c r="V40" i="2" s="1"/>
  <c r="U41" i="2"/>
  <c r="V41" i="2" s="1"/>
  <c r="U42" i="2"/>
  <c r="V42" i="2" s="1"/>
  <c r="U43" i="2"/>
  <c r="V43" i="2" s="1"/>
  <c r="U44" i="2"/>
  <c r="V44" i="2" s="1"/>
  <c r="U45" i="2"/>
  <c r="V45" i="2" s="1"/>
  <c r="U46" i="2"/>
  <c r="V46" i="2" s="1"/>
  <c r="U47" i="2"/>
  <c r="V47" i="2" s="1"/>
  <c r="U48" i="2"/>
  <c r="V48" i="2" s="1"/>
  <c r="U49" i="2"/>
  <c r="V49" i="2" s="1"/>
  <c r="U50" i="2"/>
  <c r="V50" i="2" s="1"/>
  <c r="U51" i="2"/>
  <c r="V51" i="2" s="1"/>
  <c r="U52" i="2"/>
  <c r="V52" i="2" s="1"/>
  <c r="U53" i="2"/>
  <c r="V53" i="2" s="1"/>
  <c r="U54" i="2"/>
  <c r="V54" i="2" s="1"/>
  <c r="U55" i="2"/>
  <c r="V55" i="2" s="1"/>
  <c r="U56" i="2"/>
  <c r="V56" i="2" s="1"/>
  <c r="U57" i="2"/>
  <c r="V57" i="2" s="1"/>
  <c r="U58" i="2"/>
  <c r="V58" i="2" s="1"/>
  <c r="U59" i="2"/>
  <c r="V59" i="2" s="1"/>
  <c r="U60" i="2"/>
  <c r="V60" i="2" s="1"/>
  <c r="U61" i="2"/>
  <c r="V61" i="2" s="1"/>
  <c r="U62" i="2"/>
  <c r="V62" i="2" s="1"/>
  <c r="U63" i="2"/>
  <c r="V63" i="2" s="1"/>
  <c r="U64" i="2"/>
  <c r="V64" i="2" s="1"/>
  <c r="U65" i="2"/>
  <c r="V65" i="2" s="1"/>
  <c r="U66" i="2"/>
  <c r="V66" i="2" s="1"/>
  <c r="U67" i="2"/>
  <c r="V67" i="2" s="1"/>
  <c r="U68" i="2"/>
  <c r="V68" i="2" s="1"/>
  <c r="U69" i="2"/>
  <c r="V69" i="2" s="1"/>
  <c r="U70" i="2"/>
  <c r="V70" i="2" s="1"/>
  <c r="U71" i="2"/>
  <c r="V71" i="2" s="1"/>
  <c r="U72" i="2"/>
  <c r="V72" i="2" s="1"/>
  <c r="U73" i="2"/>
  <c r="V73" i="2" s="1"/>
  <c r="U74" i="2"/>
  <c r="V74" i="2" s="1"/>
  <c r="U75" i="2"/>
  <c r="V75" i="2" s="1"/>
  <c r="U76" i="2"/>
  <c r="V76" i="2" s="1"/>
  <c r="U77" i="2"/>
  <c r="V77" i="2" s="1"/>
  <c r="U78" i="2"/>
  <c r="V78" i="2" s="1"/>
  <c r="U79" i="2"/>
  <c r="V79" i="2" s="1"/>
  <c r="U80" i="2"/>
  <c r="V80" i="2" s="1"/>
  <c r="U81" i="2"/>
  <c r="V81" i="2" s="1"/>
  <c r="U82" i="2"/>
  <c r="V82" i="2" s="1"/>
  <c r="U83" i="2"/>
  <c r="V83" i="2" s="1"/>
  <c r="U84" i="2"/>
  <c r="V84" i="2" s="1"/>
  <c r="U85" i="2"/>
  <c r="V85" i="2" s="1"/>
  <c r="U86" i="2"/>
  <c r="V86" i="2" s="1"/>
  <c r="U87" i="2"/>
  <c r="V87" i="2" s="1"/>
  <c r="U88" i="2"/>
  <c r="V88" i="2" s="1"/>
  <c r="U89" i="2"/>
  <c r="V89" i="2" s="1"/>
  <c r="U90" i="2"/>
  <c r="V90" i="2" s="1"/>
  <c r="U91" i="2"/>
  <c r="V91" i="2" s="1"/>
  <c r="U92" i="2"/>
  <c r="V92" i="2" s="1"/>
  <c r="U93" i="2"/>
  <c r="V93" i="2" s="1"/>
  <c r="U94" i="2"/>
  <c r="V94" i="2" s="1"/>
  <c r="U95" i="2"/>
  <c r="V95" i="2" s="1"/>
  <c r="U96" i="2"/>
  <c r="V96" i="2" s="1"/>
  <c r="U97" i="2"/>
  <c r="V97" i="2" s="1"/>
  <c r="U98" i="2"/>
  <c r="V98" i="2" s="1"/>
  <c r="U99" i="2"/>
  <c r="V99" i="2" s="1"/>
  <c r="U100" i="2"/>
  <c r="V100" i="2" s="1"/>
  <c r="U101" i="2"/>
  <c r="V101" i="2" s="1"/>
  <c r="U102" i="2"/>
  <c r="V102" i="2" s="1"/>
  <c r="U103" i="2"/>
  <c r="V103" i="2" s="1"/>
  <c r="U104" i="2"/>
  <c r="V104" i="2" s="1"/>
  <c r="U105" i="2"/>
  <c r="V105" i="2" s="1"/>
  <c r="U106" i="2"/>
  <c r="V106" i="2" s="1"/>
  <c r="U107" i="2"/>
  <c r="V107" i="2" s="1"/>
  <c r="U108" i="2"/>
  <c r="V108" i="2" s="1"/>
  <c r="U109" i="2"/>
  <c r="V109" i="2" s="1"/>
  <c r="U110" i="2"/>
  <c r="V110" i="2" s="1"/>
  <c r="U111" i="2"/>
  <c r="V111" i="2" s="1"/>
  <c r="U112" i="2"/>
  <c r="V112" i="2" s="1"/>
  <c r="U113" i="2"/>
  <c r="V113" i="2" s="1"/>
  <c r="U114" i="2"/>
  <c r="V114" i="2" s="1"/>
  <c r="Z3" i="5"/>
  <c r="Y3" i="5" s="1"/>
  <c r="Z5" i="5" s="1"/>
  <c r="E9" i="4"/>
  <c r="D9" i="4"/>
  <c r="E8" i="4"/>
  <c r="D8" i="4"/>
  <c r="E7" i="4"/>
  <c r="D7" i="4"/>
  <c r="E6" i="4"/>
  <c r="D6" i="4"/>
  <c r="E5" i="4"/>
  <c r="D5" i="4"/>
  <c r="B3" i="2"/>
  <c r="Z4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05A1D1-568C-4624-9036-350210E9D332}" keepAlive="1" name="Query - Query2" description="Connection to the 'Query2' query in the workbook." type="5" refreshedVersion="8" background="1" saveData="1">
    <dbPr connection="Provider=Microsoft.Mashup.OleDb.1;Data Source=$Workbook$;Location=Query2;Extended Properties=&quot;&quot;" command="SELECT * FROM [Query2]"/>
  </connection>
</connections>
</file>

<file path=xl/sharedStrings.xml><?xml version="1.0" encoding="utf-8"?>
<sst xmlns="http://schemas.openxmlformats.org/spreadsheetml/2006/main" count="939" uniqueCount="222">
  <si>
    <t>Item Number</t>
  </si>
  <si>
    <t>Description</t>
  </si>
  <si>
    <t>Dept</t>
  </si>
  <si>
    <t>Hold Status</t>
  </si>
  <si>
    <t>Customer</t>
  </si>
  <si>
    <t>Customer Name</t>
  </si>
  <si>
    <t>Order</t>
  </si>
  <si>
    <t>WHS</t>
  </si>
  <si>
    <t>QOH</t>
  </si>
  <si>
    <t>QOH Cost</t>
  </si>
  <si>
    <t>Open Qty in Order of UM</t>
  </si>
  <si>
    <t>Open Net Sale Amt</t>
  </si>
  <si>
    <t>UOM</t>
  </si>
  <si>
    <t>Create Date</t>
  </si>
  <si>
    <t>Promise Date</t>
  </si>
  <si>
    <t>Request Date</t>
  </si>
  <si>
    <t>Manufacturing Date</t>
  </si>
  <si>
    <t>BackOrder Qty</t>
  </si>
  <si>
    <t>Line item Status</t>
  </si>
  <si>
    <t>None</t>
  </si>
  <si>
    <t>EA</t>
  </si>
  <si>
    <t>Open</t>
  </si>
  <si>
    <t>Held</t>
  </si>
  <si>
    <t>Active</t>
  </si>
  <si>
    <t>Partial</t>
  </si>
  <si>
    <t>Parameter</t>
  </si>
  <si>
    <t>Value</t>
  </si>
  <si>
    <t>Promised Date From</t>
  </si>
  <si>
    <t>Promised Date To</t>
  </si>
  <si>
    <t>yyyymmdd</t>
  </si>
  <si>
    <t>Selling Price</t>
  </si>
  <si>
    <t>Days Late</t>
  </si>
  <si>
    <t>IsLate</t>
  </si>
  <si>
    <t>Yes</t>
  </si>
  <si>
    <t>Row Labels</t>
  </si>
  <si>
    <t>Sum of Open Net Sale Amt</t>
  </si>
  <si>
    <t>Item</t>
  </si>
  <si>
    <t>Sum of Days Late</t>
  </si>
  <si>
    <t>Grand Total</t>
  </si>
  <si>
    <t xml:space="preserve">Goal: </t>
  </si>
  <si>
    <t>Chart titles</t>
  </si>
  <si>
    <t>PERFORMANCE TREND</t>
  </si>
  <si>
    <t>Status</t>
  </si>
  <si>
    <t>PDCA</t>
  </si>
  <si>
    <t>Incident Description</t>
  </si>
  <si>
    <t>Action Items</t>
  </si>
  <si>
    <t>Responsible</t>
  </si>
  <si>
    <t>Due</t>
  </si>
  <si>
    <t>Results</t>
  </si>
  <si>
    <t>Status Key:</t>
  </si>
  <si>
    <t>[1] No Plan or Late</t>
  </si>
  <si>
    <t>[2] Action in Progress</t>
  </si>
  <si>
    <t>[3] Action Completed</t>
  </si>
  <si>
    <t xml:space="preserve"> </t>
  </si>
  <si>
    <t>Item1</t>
  </si>
  <si>
    <t>Item2</t>
  </si>
  <si>
    <t>Item3</t>
  </si>
  <si>
    <t>Item4</t>
  </si>
  <si>
    <t>Item5</t>
  </si>
  <si>
    <t>Item6</t>
  </si>
  <si>
    <t>Item7</t>
  </si>
  <si>
    <t>Item8</t>
  </si>
  <si>
    <t>Item9</t>
  </si>
  <si>
    <t>Item10</t>
  </si>
  <si>
    <t>Item11</t>
  </si>
  <si>
    <t>Item12</t>
  </si>
  <si>
    <t>Item13</t>
  </si>
  <si>
    <t>Item14</t>
  </si>
  <si>
    <t>Item15</t>
  </si>
  <si>
    <t>Item16</t>
  </si>
  <si>
    <t>Item17</t>
  </si>
  <si>
    <t>Item18</t>
  </si>
  <si>
    <t>Item19</t>
  </si>
  <si>
    <t>Item20</t>
  </si>
  <si>
    <t>Item21</t>
  </si>
  <si>
    <t>Item22</t>
  </si>
  <si>
    <t>Item23</t>
  </si>
  <si>
    <t>Item24</t>
  </si>
  <si>
    <t>Item25</t>
  </si>
  <si>
    <t>Item26</t>
  </si>
  <si>
    <t>Item27</t>
  </si>
  <si>
    <t>Item28</t>
  </si>
  <si>
    <t>Item29</t>
  </si>
  <si>
    <t>Item30</t>
  </si>
  <si>
    <t>Item31</t>
  </si>
  <si>
    <t>Item32</t>
  </si>
  <si>
    <t>Item33</t>
  </si>
  <si>
    <t>Item34</t>
  </si>
  <si>
    <t>Item35</t>
  </si>
  <si>
    <t>Item36</t>
  </si>
  <si>
    <t>Item37</t>
  </si>
  <si>
    <t>Item38</t>
  </si>
  <si>
    <t>Item39</t>
  </si>
  <si>
    <t>Item40</t>
  </si>
  <si>
    <t>Item41</t>
  </si>
  <si>
    <t>Item42</t>
  </si>
  <si>
    <t>Item43</t>
  </si>
  <si>
    <t>Item44</t>
  </si>
  <si>
    <t>Item45</t>
  </si>
  <si>
    <t>Item46</t>
  </si>
  <si>
    <t>Item47</t>
  </si>
  <si>
    <t>Item48</t>
  </si>
  <si>
    <t>Item49</t>
  </si>
  <si>
    <t>Item50</t>
  </si>
  <si>
    <t>Item51</t>
  </si>
  <si>
    <t>Item52</t>
  </si>
  <si>
    <t>Item53</t>
  </si>
  <si>
    <t>Item54</t>
  </si>
  <si>
    <t>Item55</t>
  </si>
  <si>
    <t>Item56</t>
  </si>
  <si>
    <t>Item57</t>
  </si>
  <si>
    <t>Item58</t>
  </si>
  <si>
    <t>Item59</t>
  </si>
  <si>
    <t>Item60</t>
  </si>
  <si>
    <t>Item61</t>
  </si>
  <si>
    <t>Item62</t>
  </si>
  <si>
    <t>Item63</t>
  </si>
  <si>
    <t>Item64</t>
  </si>
  <si>
    <t>Item65</t>
  </si>
  <si>
    <t>Desc1</t>
  </si>
  <si>
    <t>Desc2</t>
  </si>
  <si>
    <t>Desc3</t>
  </si>
  <si>
    <t>Desc4</t>
  </si>
  <si>
    <t>Desc5</t>
  </si>
  <si>
    <t>Desc6</t>
  </si>
  <si>
    <t>Desc7</t>
  </si>
  <si>
    <t>Desc8</t>
  </si>
  <si>
    <t>Desc9</t>
  </si>
  <si>
    <t>Desc10</t>
  </si>
  <si>
    <t>Desc11</t>
  </si>
  <si>
    <t>Desc12</t>
  </si>
  <si>
    <t>Desc13</t>
  </si>
  <si>
    <t>Desc14</t>
  </si>
  <si>
    <t>Desc15</t>
  </si>
  <si>
    <t>Desc16</t>
  </si>
  <si>
    <t>Desc17</t>
  </si>
  <si>
    <t>Desc18</t>
  </si>
  <si>
    <t>Desc19</t>
  </si>
  <si>
    <t>Desc20</t>
  </si>
  <si>
    <t>Desc21</t>
  </si>
  <si>
    <t>Desc22</t>
  </si>
  <si>
    <t>Desc23</t>
  </si>
  <si>
    <t>Desc24</t>
  </si>
  <si>
    <t>Desc25</t>
  </si>
  <si>
    <t>Desc26</t>
  </si>
  <si>
    <t>Desc27</t>
  </si>
  <si>
    <t>Desc28</t>
  </si>
  <si>
    <t>Desc29</t>
  </si>
  <si>
    <t>Desc30</t>
  </si>
  <si>
    <t>Desc31</t>
  </si>
  <si>
    <t>Desc32</t>
  </si>
  <si>
    <t>Desc33</t>
  </si>
  <si>
    <t>Desc34</t>
  </si>
  <si>
    <t>Desc35</t>
  </si>
  <si>
    <t>Desc36</t>
  </si>
  <si>
    <t>Desc37</t>
  </si>
  <si>
    <t>Desc38</t>
  </si>
  <si>
    <t>Desc39</t>
  </si>
  <si>
    <t>Desc40</t>
  </si>
  <si>
    <t>Desc41</t>
  </si>
  <si>
    <t>Desc42</t>
  </si>
  <si>
    <t>Desc43</t>
  </si>
  <si>
    <t>Desc44</t>
  </si>
  <si>
    <t>Desc45</t>
  </si>
  <si>
    <t>Desc46</t>
  </si>
  <si>
    <t>Desc47</t>
  </si>
  <si>
    <t>Desc48</t>
  </si>
  <si>
    <t>Desc49</t>
  </si>
  <si>
    <t>Desc50</t>
  </si>
  <si>
    <t>Desc51</t>
  </si>
  <si>
    <t>Desc52</t>
  </si>
  <si>
    <t>Desc53</t>
  </si>
  <si>
    <t>Desc54</t>
  </si>
  <si>
    <t>Desc55</t>
  </si>
  <si>
    <t>Desc56</t>
  </si>
  <si>
    <t>Desc57</t>
  </si>
  <si>
    <t>Desc58</t>
  </si>
  <si>
    <t>Desc59</t>
  </si>
  <si>
    <t>Desc60</t>
  </si>
  <si>
    <t>Desc61</t>
  </si>
  <si>
    <t>Desc62</t>
  </si>
  <si>
    <t>Desc63</t>
  </si>
  <si>
    <t>DeptA</t>
  </si>
  <si>
    <t>DeptB</t>
  </si>
  <si>
    <t>DeptC</t>
  </si>
  <si>
    <t>DeptD</t>
  </si>
  <si>
    <t>DeptE</t>
  </si>
  <si>
    <t>DeptF</t>
  </si>
  <si>
    <t>DeptG</t>
  </si>
  <si>
    <t>DeptH</t>
  </si>
  <si>
    <t>DeptJ</t>
  </si>
  <si>
    <t>DeptK</t>
  </si>
  <si>
    <t>Customer1</t>
  </si>
  <si>
    <t>Customer2</t>
  </si>
  <si>
    <t>Customer3</t>
  </si>
  <si>
    <t>Customer4</t>
  </si>
  <si>
    <t>Customer5</t>
  </si>
  <si>
    <t>Customer6</t>
  </si>
  <si>
    <t>Customer7</t>
  </si>
  <si>
    <t>Customer8</t>
  </si>
  <si>
    <t>Customer9</t>
  </si>
  <si>
    <t>Customer10</t>
  </si>
  <si>
    <t>Customer11</t>
  </si>
  <si>
    <t>Customer12</t>
  </si>
  <si>
    <t>Customer13</t>
  </si>
  <si>
    <t>Customer14</t>
  </si>
  <si>
    <t>Customer15</t>
  </si>
  <si>
    <t>Customer16</t>
  </si>
  <si>
    <t>Customer17</t>
  </si>
  <si>
    <t>Customer18</t>
  </si>
  <si>
    <t>Customer19</t>
  </si>
  <si>
    <t>Customer20</t>
  </si>
  <si>
    <t>Customer21</t>
  </si>
  <si>
    <t>Customer22</t>
  </si>
  <si>
    <t>Customer23</t>
  </si>
  <si>
    <t>Customer24</t>
  </si>
  <si>
    <t>Customer25</t>
  </si>
  <si>
    <t>Customer26</t>
  </si>
  <si>
    <t>Customer27</t>
  </si>
  <si>
    <t>Customer28</t>
  </si>
  <si>
    <t>Customer29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</si>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</sst>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2"/>
      <color theme="1"/>
      <name val="Arial Narrow"/>
      <family val="2"/>
    </font>
    <font>
      <b/>
      <sz val="8"/>
      <color theme="0"/>
      <name val="Arial Narrow"/>
      <family val="2"/>
    </font>
    <font>
      <b/>
      <sz val="10"/>
      <color theme="1"/>
      <name val="Arial Narrow"/>
      <family val="2"/>
    </font>
    <font>
      <sz val="12"/>
      <color theme="0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NumberFormat="1"/>
    <xf numFmtId="14" fontId="0" fillId="0" borderId="0" xfId="0" applyNumberFormat="1"/>
    <xf numFmtId="9" fontId="0" fillId="0" borderId="0" xfId="2" applyFont="1"/>
    <xf numFmtId="2" fontId="0" fillId="0" borderId="0" xfId="0" applyNumberFormat="1"/>
    <xf numFmtId="1" fontId="0" fillId="0" borderId="0" xfId="0" applyNumberFormat="1"/>
    <xf numFmtId="0" fontId="0" fillId="0" borderId="0" xfId="0" applyAlignment="1">
      <alignment horizontal="left"/>
    </xf>
    <xf numFmtId="164" fontId="0" fillId="0" borderId="0" xfId="0" applyNumberFormat="1"/>
    <xf numFmtId="44" fontId="0" fillId="0" borderId="0" xfId="1" applyFont="1"/>
    <xf numFmtId="0" fontId="0" fillId="0" borderId="0" xfId="0" pivotButton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0" xfId="0" applyFont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14" fontId="2" fillId="0" borderId="0" xfId="0" applyNumberFormat="1" applyFont="1"/>
    <xf numFmtId="0" fontId="2" fillId="0" borderId="0" xfId="0" applyFont="1" applyAlignment="1">
      <alignment horizontal="right"/>
    </xf>
    <xf numFmtId="0" fontId="4" fillId="0" borderId="7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7" xfId="0" applyFont="1" applyBorder="1" applyAlignment="1">
      <alignment horizontal="left"/>
    </xf>
    <xf numFmtId="0" fontId="2" fillId="3" borderId="7" xfId="0" applyFont="1" applyFill="1" applyBorder="1" applyAlignment="1">
      <alignment horizontal="left"/>
    </xf>
    <xf numFmtId="0" fontId="2" fillId="0" borderId="6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vertical="center"/>
    </xf>
    <xf numFmtId="14" fontId="2" fillId="0" borderId="0" xfId="0" applyNumberFormat="1" applyFont="1" applyAlignment="1">
      <alignment horizontal="right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0" fontId="0" fillId="0" borderId="0" xfId="0" applyAlignment="1">
      <alignment horizontal="left" indent="1"/>
    </xf>
    <xf numFmtId="0" fontId="5" fillId="2" borderId="7" xfId="0" applyFont="1" applyFill="1" applyBorder="1" applyAlignment="1">
      <alignment horizontal="center" wrapText="1"/>
    </xf>
    <xf numFmtId="0" fontId="2" fillId="0" borderId="15" xfId="0" applyFont="1" applyBorder="1" applyAlignment="1">
      <alignment horizontal="left"/>
    </xf>
    <xf numFmtId="0" fontId="2" fillId="0" borderId="16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2" fillId="2" borderId="7" xfId="0" applyFont="1" applyFill="1" applyBorder="1" applyAlignment="1">
      <alignment horizontal="center"/>
    </xf>
    <xf numFmtId="0" fontId="2" fillId="0" borderId="7" xfId="0" applyFont="1" applyBorder="1" applyAlignment="1">
      <alignment horizontal="center" wrapText="1"/>
    </xf>
    <xf numFmtId="14" fontId="2" fillId="0" borderId="7" xfId="0" applyNumberFormat="1" applyFont="1" applyBorder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20"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numFmt numFmtId="1" formatCode="0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SOP OTD.xlsm]Value Late!PivotTable1</c:name>
    <c:fmtId val="7"/>
  </c:pivotSource>
  <c:chart>
    <c:title>
      <c:tx>
        <c:strRef>
          <c:f>'Open Late Summary'!$Z$5</c:f>
          <c:strCache>
            <c:ptCount val="1"/>
            <c:pt idx="0">
              <c:v>Aug Top 5 Past Due by Dollars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'Open Late Summary'!$Z$5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'Open Late Summary'!$Z$5</c:f>
              <c:multiLvlStrCache>
                <c:ptCount val="7"/>
                <c:lvl>
                  <c:pt idx="0">
                    <c:v>1408935</c:v>
                  </c:pt>
                  <c:pt idx="1">
                    <c:v>1407818</c:v>
                  </c:pt>
                  <c:pt idx="2">
                    <c:v>2022787</c:v>
                  </c:pt>
                  <c:pt idx="3">
                    <c:v>2041355</c:v>
                  </c:pt>
                  <c:pt idx="4">
                    <c:v>2034970</c:v>
                  </c:pt>
                  <c:pt idx="5">
                    <c:v>2030834</c:v>
                  </c:pt>
                  <c:pt idx="6">
                    <c:v>2031762</c:v>
                  </c:pt>
                </c:lvl>
                <c:lvl>
                  <c:pt idx="0">
                    <c:v>Item40</c:v>
                  </c:pt>
                  <c:pt idx="2">
                    <c:v>Item27</c:v>
                  </c:pt>
                  <c:pt idx="4">
                    <c:v>Item36</c:v>
                  </c:pt>
                  <c:pt idx="5">
                    <c:v>Item31</c:v>
                  </c:pt>
                  <c:pt idx="6">
                    <c:v>Item51</c:v>
                  </c:pt>
                </c:lvl>
              </c:multiLvlStrCache>
            </c:multiLvlStrRef>
          </c:cat>
          <c:val>
            <c:numRef>
              <c:f>'Open Late Summary'!$Z$5</c:f>
              <c:numCache>
                <c:formatCode>"$"#,##0.00</c:formatCode>
                <c:ptCount val="7"/>
                <c:pt idx="0">
                  <c:v>384148</c:v>
                </c:pt>
                <c:pt idx="1">
                  <c:v>58810</c:v>
                </c:pt>
                <c:pt idx="2">
                  <c:v>293344</c:v>
                </c:pt>
                <c:pt idx="3">
                  <c:v>128548</c:v>
                </c:pt>
                <c:pt idx="4">
                  <c:v>228589</c:v>
                </c:pt>
                <c:pt idx="5">
                  <c:v>219138</c:v>
                </c:pt>
                <c:pt idx="6">
                  <c:v>214260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33-4BDB-A4C6-C49D7DF90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9334304"/>
        <c:axId val="1589332864"/>
      </c:barChart>
      <c:catAx>
        <c:axId val="1589334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9332864"/>
        <c:crosses val="autoZero"/>
        <c:auto val="1"/>
        <c:lblAlgn val="ctr"/>
        <c:lblOffset val="100"/>
        <c:noMultiLvlLbl val="0"/>
      </c:catAx>
      <c:valAx>
        <c:axId val="158933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933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SOP OTD.xlsm]Days Late!PivotTable2</c:name>
    <c:fmtId val="9"/>
  </c:pivotSource>
  <c:chart>
    <c:title>
      <c:tx>
        <c:strRef>
          <c:f>'Open Late Summary'!$Z$4</c:f>
          <c:strCache>
            <c:ptCount val="1"/>
            <c:pt idx="0">
              <c:v>Aug Top 5 Past Due by Days Late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'Open Late Summary'!$Z$4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'Open Late Summary'!$Z$4</c:f>
              <c:multiLvlStrCache>
                <c:ptCount val="6"/>
                <c:lvl>
                  <c:pt idx="0">
                    <c:v>2034970</c:v>
                  </c:pt>
                  <c:pt idx="1">
                    <c:v>1408935</c:v>
                  </c:pt>
                  <c:pt idx="2">
                    <c:v>1407818</c:v>
                  </c:pt>
                  <c:pt idx="3">
                    <c:v>2033489</c:v>
                  </c:pt>
                  <c:pt idx="4">
                    <c:v>2035926</c:v>
                  </c:pt>
                  <c:pt idx="5">
                    <c:v>2034329</c:v>
                  </c:pt>
                </c:lvl>
                <c:lvl>
                  <c:pt idx="0">
                    <c:v>Item36</c:v>
                  </c:pt>
                  <c:pt idx="1">
                    <c:v>Item40</c:v>
                  </c:pt>
                  <c:pt idx="3">
                    <c:v>Item35</c:v>
                  </c:pt>
                  <c:pt idx="4">
                    <c:v>Item45</c:v>
                  </c:pt>
                  <c:pt idx="5">
                    <c:v>Item54</c:v>
                  </c:pt>
                </c:lvl>
              </c:multiLvlStrCache>
            </c:multiLvlStrRef>
          </c:cat>
          <c:val>
            <c:numRef>
              <c:f>'Open Late Summary'!$Z$4</c:f>
              <c:numCache>
                <c:formatCode>0.00</c:formatCode>
                <c:ptCount val="6"/>
                <c:pt idx="0">
                  <c:v>150</c:v>
                </c:pt>
                <c:pt idx="1">
                  <c:v>138</c:v>
                </c:pt>
                <c:pt idx="2">
                  <c:v>12</c:v>
                </c:pt>
                <c:pt idx="3">
                  <c:v>147</c:v>
                </c:pt>
                <c:pt idx="4">
                  <c:v>73</c:v>
                </c:pt>
                <c:pt idx="5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B1-4B85-8FE1-01CCA98C1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5282624"/>
        <c:axId val="485282264"/>
      </c:barChart>
      <c:catAx>
        <c:axId val="48528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282264"/>
        <c:crosses val="autoZero"/>
        <c:auto val="1"/>
        <c:lblAlgn val="ctr"/>
        <c:lblOffset val="100"/>
        <c:noMultiLvlLbl val="0"/>
      </c:catAx>
      <c:valAx>
        <c:axId val="485282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282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19049</xdr:colOff>
      <xdr:row>3</xdr:row>
      <xdr:rowOff>0</xdr:rowOff>
    </xdr:from>
    <xdr:to>
      <xdr:col>14</xdr:col>
      <xdr:colOff>609599</xdr:colOff>
      <xdr:row>25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06F9BC7-E4D8-4592-B674-33A5D786EA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66675</xdr:colOff>
      <xdr:row>2</xdr:row>
      <xdr:rowOff>200024</xdr:rowOff>
    </xdr:from>
    <xdr:to>
      <xdr:col>8</xdr:col>
      <xdr:colOff>28575</xdr:colOff>
      <xdr:row>25</xdr:row>
      <xdr:rowOff>9524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79417E2-13BA-4E29-80F8-0F1447A654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tie Vella" refreshedDate="45894.432151388886" createdVersion="8" refreshedVersion="8" minRefreshableVersion="3" recordCount="109" xr:uid="{89197AB6-B07C-44D9-942B-FEE6AC81E40D}">
  <cacheSource type="worksheet">
    <worksheetSource name="Query1"/>
  </cacheSource>
  <cacheFields count="22">
    <cacheField name="Item Number" numFmtId="0">
      <sharedItems count="158">
        <s v="Item1"/>
        <s v="Item2"/>
        <s v="Item3"/>
        <s v="Item4"/>
        <s v="Item5"/>
        <s v="Item6"/>
        <s v="Item7"/>
        <s v="Item8"/>
        <s v="Item9"/>
        <s v="Item10"/>
        <s v="Item11"/>
        <s v="Item12"/>
        <s v="Item13"/>
        <s v="Item14"/>
        <s v="Item15"/>
        <s v="Item16"/>
        <s v="Item17"/>
        <s v="Item18"/>
        <s v="Item19"/>
        <s v="Item20"/>
        <s v="Item21"/>
        <s v="Item22"/>
        <s v="Item23"/>
        <s v="Item24"/>
        <s v="Item25"/>
        <s v="Item26"/>
        <s v="Item27"/>
        <s v="Item28"/>
        <s v="Item29"/>
        <s v="Item30"/>
        <s v="Item31"/>
        <s v="Item32"/>
        <s v="Item33"/>
        <s v="Item34"/>
        <s v="Item35"/>
        <s v="Item36"/>
        <s v="Item37"/>
        <s v="Item38"/>
        <s v="Item39"/>
        <s v="Item40"/>
        <s v="Item41"/>
        <s v="Item42"/>
        <s v="Item43"/>
        <s v="Item44"/>
        <s v="Item45"/>
        <s v="Item46"/>
        <s v="Item47"/>
        <s v="Item48"/>
        <s v="Item49"/>
        <s v="Item50"/>
        <s v="Item51"/>
        <s v="Item52"/>
        <s v="Item53"/>
        <s v="Item54"/>
        <s v="Item55"/>
        <s v="Item56"/>
        <s v="Item57"/>
        <s v="Item58"/>
        <s v="Item59"/>
        <s v="Item60"/>
        <s v="Item61"/>
        <s v="Item62"/>
        <s v="Item63"/>
        <s v="Item64"/>
        <s v="Item65"/>
        <s v="33341-1        " u="1"/>
        <s v="33342-1        " u="1"/>
        <s v="33133-1        " u="1"/>
        <s v="95676-2/05     " u="1"/>
        <s v="32582-1        " u="1"/>
        <s v="32582-2        " u="1"/>
        <s v="4300-5/02      " u="1"/>
        <s v="CERTS HOP DEF  " u="1"/>
        <s v="27287-1/05     " u="1"/>
        <s v="32715-1CS      " u="1"/>
        <s v="NRE HOP DFN    " u="1"/>
        <s v="25785-4        " u="1"/>
        <s v="27682-1/03     " u="1"/>
        <s v="32857-2        " u="1"/>
        <s v="26610-2/07     " u="1"/>
        <s v="23914-H7/01    " u="1"/>
        <s v="FAI CHG HOP DFN" u="1"/>
        <s v="33035-1        " u="1"/>
        <s v="32060-2        " u="1"/>
        <s v="WB3-140/03     " u="1"/>
        <s v="32980-1        " u="1"/>
        <s v="32060-1        " u="1"/>
        <s v="CERTS HOP IND  " u="1"/>
        <s v="32243-1        " u="1"/>
        <s v="32887-1        " u="1"/>
        <s v="32177-1        " u="1"/>
        <s v="22096-2/01     " u="1"/>
        <s v="33399-1        " u="1"/>
        <s v="32317-4        " u="1"/>
        <s v="N6300-4A/65    " u="1"/>
        <s v="23217-1/01     " u="1"/>
        <s v="32679-1        " u="1"/>
        <s v="CANCCHG HOP DFN" u="1"/>
        <s v="NEW PART       " u="1"/>
        <s v="NT32673RM      " u="1"/>
        <s v="33073-1        " u="1"/>
        <s v="26467-1/02     " u="1"/>
        <s v="32307-1        " u="1"/>
        <s v="32069-1        " u="1"/>
        <s v="E21-X059/03    " u="1"/>
        <s v="26467-3/02     " u="1"/>
        <s v="26467-2/05     " u="1"/>
        <s v="29312-1        " u="1"/>
        <s v="10745-CV/02    " u="1"/>
        <s v="24539-1/02     " u="1"/>
        <s v="93704-2/04     " u="1"/>
        <s v="33394-1        " u="1"/>
        <s v="25473-2/03     " u="1"/>
        <s v="27799-1/01     " u="1"/>
        <s v="24424-2/06     " u="1"/>
        <s v="32890-5        " u="1"/>
        <s v="N6300-2TAP     " u="1"/>
        <s v="TTB-3          " u="1"/>
        <s v="FAI CHG HOP IND" u="1"/>
        <s v="NRE HOP IND    " u="1"/>
        <s v="33407-4        " u="1"/>
        <s v="S22-AA-1.5     " u="1"/>
        <s v="TTNA-3/07      " u="1"/>
        <s v="27400-1/01     " u="1"/>
        <s v="2210019-08000  " u="1"/>
        <s v="5245SH-56      " u="1"/>
        <s v="WB1-060        " u="1"/>
        <s v="8810139-01000  " u="1"/>
        <s v="NRE33361-POLI3 " u="1"/>
        <s v="NRE33361-POLI1 " u="1"/>
        <s v="NRE33361-POLI4 " u="1"/>
        <s v="92160-1/01     " u="1"/>
        <s v="32506-1        " u="1"/>
        <s v="29220-1/01     " u="1"/>
        <s v="32678-1        " u="1"/>
        <s v="23914-H5/01    " u="1"/>
        <s v="23914-2/01     " u="1"/>
        <s v="33139-2        " u="1"/>
        <s v="32780-1        " u="1"/>
        <s v="32657-1        " u="1"/>
        <s v="29160-1        " u="1"/>
        <s v="94323-1/01RWK  " u="1"/>
        <s v="33103-1        " u="1"/>
        <s v="28888-1/01     " u="1"/>
        <s v="32325-4        " u="1"/>
        <s v="E21-X077       " u="1"/>
        <s v="B64-CB-20      " u="1"/>
        <s v="TTNB-2         " u="1"/>
        <s v="CMO3758-1      " u="1"/>
        <s v="TTNB-3         " u="1"/>
        <s v="32773-1        " u="1"/>
        <s v="6300-4HDS      " u="1"/>
        <s v="25473-3        " u="1"/>
        <s v="29556-1        " u="1"/>
        <s v="32497-1        " u="1"/>
        <s v="T22-AB-3       " u="1"/>
        <s v="P500-19/5      " u="1"/>
        <s v="32834-1        " u="1"/>
      </sharedItems>
    </cacheField>
    <cacheField name="Description" numFmtId="0">
      <sharedItems/>
    </cacheField>
    <cacheField name="Dept" numFmtId="0">
      <sharedItems count="21">
        <s v="DeptA"/>
        <s v="DeptB"/>
        <s v="DeptC"/>
        <s v="DeptD"/>
        <s v="DeptE"/>
        <s v="DeptF"/>
        <s v="DeptG"/>
        <s v="DeptH"/>
        <s v="DeptJ"/>
        <s v="DeptK"/>
        <s v="140 " u="1"/>
        <s v="116 " u="1"/>
        <s v="121 " u="1"/>
        <s v="124 " u="1"/>
        <s v="111 " u="1"/>
        <s v="113 " u="1"/>
        <s v="106 " u="1"/>
        <s v="128 " u="1"/>
        <s v="118 " u="1"/>
        <s v="115 " u="1"/>
        <s v="112 " u="1"/>
      </sharedItems>
    </cacheField>
    <cacheField name="Hold Status" numFmtId="0">
      <sharedItems/>
    </cacheField>
    <cacheField name="Customer" numFmtId="0">
      <sharedItems containsSemiMixedTypes="0" containsString="0" containsNumber="1" containsInteger="1" minValue="20000425" maxValue="20076715"/>
    </cacheField>
    <cacheField name="Customer Name" numFmtId="0">
      <sharedItems/>
    </cacheField>
    <cacheField name="Order" numFmtId="0">
      <sharedItems containsMixedTypes="1" containsNumber="1" containsInteger="1" minValue="1406549" maxValue="2042398" count="177">
        <n v="2040464"/>
        <n v="2032023"/>
        <n v="2041380"/>
        <n v="2040426"/>
        <n v="2027997"/>
        <n v="2040727"/>
        <n v="2041937"/>
        <n v="2020972"/>
        <n v="2031448"/>
        <n v="2033046"/>
        <n v="2035026"/>
        <n v="2042398"/>
        <n v="2033355"/>
        <n v="2037616"/>
        <n v="2038559"/>
        <n v="2007702"/>
        <n v="2007709"/>
        <n v="2014832"/>
        <n v="2022560"/>
        <n v="2023882"/>
        <n v="2024710"/>
        <n v="2038279"/>
        <n v="2027231"/>
        <n v="2028826"/>
        <n v="2028679"/>
        <n v="2032948"/>
        <n v="2036796"/>
        <n v="2037274"/>
        <n v="2030665"/>
        <n v="2022787"/>
        <n v="2035792"/>
        <n v="2041355"/>
        <n v="2030712"/>
        <n v="2038565"/>
        <n v="2028739"/>
        <n v="2035164"/>
        <n v="2036524"/>
        <n v="2037751"/>
        <n v="2030834"/>
        <n v="2029232"/>
        <n v="2037278"/>
        <n v="2031951"/>
        <n v="2033489"/>
        <n v="2034970"/>
        <n v="2031945"/>
        <n v="1406549"/>
        <n v="1406761"/>
        <n v="1407818"/>
        <n v="1408935"/>
        <n v="1417813"/>
        <n v="2035410"/>
        <n v="2030819"/>
        <n v="2032232"/>
        <n v="2035926"/>
        <n v="2037902"/>
        <n v="2026226"/>
        <n v="2023629"/>
        <n v="2000635"/>
        <n v="2031762"/>
        <n v="2037559"/>
        <n v="2033824"/>
        <n v="2034329"/>
        <n v="2034529"/>
        <n v="2037685"/>
        <n v="2037745"/>
        <n v="2037991"/>
        <n v="2039651"/>
        <n v="2037650"/>
        <n v="2038996"/>
        <n v="2006182"/>
        <n v="2033448"/>
        <s v="1040447" u="1"/>
        <s v="1032006" u="1"/>
        <s v="1009656" u="1"/>
        <s v="1040409" u="1"/>
        <s v="1027980" u="1"/>
        <s v="1040710" u="1"/>
        <s v="1020955" u="1"/>
        <s v="1031431" u="1"/>
        <s v="1033029" u="1"/>
        <s v="1040810" u="1"/>
        <s v="1040812" u="1"/>
        <s v="1040815" u="1"/>
        <s v="1036657" u="1"/>
        <s v="1041608" u="1"/>
        <s v="1033338" u="1"/>
        <s v="1037599" u="1"/>
        <s v="1003402" u="1"/>
        <s v="1007685" u="1"/>
        <s v="1007692" u="1"/>
        <s v="1014815" u="1"/>
        <s v="1017694" u="1"/>
        <s v="1022543" u="1"/>
        <s v="1023865" u="1"/>
        <s v="1024693" u="1"/>
        <s v="1030417" u="1"/>
        <s v="1038262" u="1"/>
        <s v="1027214" u="1"/>
        <s v="1028662" u="1"/>
        <s v="1029681" u="1"/>
        <s v="1032382" u="1"/>
        <s v="1032931" u="1"/>
        <s v="1030648" u="1"/>
        <s v="1033425" u="1"/>
        <s v="1035775" u="1"/>
        <s v="1041338" u="1"/>
        <s v="1030695" u="1"/>
        <s v="1028722" u="1"/>
        <s v="1035147" u="1"/>
        <s v="1036507" u="1"/>
        <s v="1037734" u="1"/>
        <s v="1030817" u="1"/>
        <s v="1029215" u="1"/>
        <s v="1031934" u="1"/>
        <s v="1033472" u="1"/>
        <s v="1034953" u="1"/>
        <s v="0406532" u="1"/>
        <s v="0406744" u="1"/>
        <s v="0408918" u="1"/>
        <s v="0417796" u="1"/>
        <s v="0426544" u="1"/>
        <s v="0426566" u="1"/>
        <s v="1019067" u="1"/>
        <s v="1035393" u="1"/>
        <s v="1030802" u="1"/>
        <s v="1032215" u="1"/>
        <s v="1035909" u="1"/>
        <s v="1037206" u="1"/>
        <s v="1037885" u="1"/>
        <s v="1023612" u="1"/>
        <s v="1031745" u="1"/>
        <s v="1033807" u="1"/>
        <s v="1034312" u="1"/>
        <s v="1034512" u="1"/>
        <s v="1036304" u="1"/>
        <s v="1037974" u="1"/>
        <s v="1037633" u="1"/>
        <s v="1038979" u="1"/>
        <s v="1035349" u="1"/>
        <s v="1037563" u="1"/>
        <s v="1031083" u="1"/>
        <s v="1030844" u="1"/>
        <s v="1033020" u="1"/>
        <s v="1034201" u="1"/>
        <s v="1023983" u="1"/>
        <s v="1027378" u="1"/>
        <s v="1038821" u="1"/>
        <s v="1039132" u="1"/>
        <s v="1030967" u="1"/>
        <s v="1032620" u="1"/>
        <s v="1008637" u="1"/>
        <s v="1011902" u="1"/>
        <s v="1029777" u="1"/>
        <s v="1032111" u="1"/>
        <s v="1033322" u="1"/>
        <s v="1031259" u="1"/>
        <s v="1006384" u="1"/>
        <s v="1020408" u="1"/>
        <s v="1022770" u="1"/>
        <s v="1023581" u="1"/>
        <s v="1033556" u="1"/>
        <s v="1034755" u="1"/>
        <s v="1035280" u="1"/>
        <s v="1033771" u="1"/>
        <s v="1035769" u="1"/>
        <s v="1037328" u="1"/>
        <s v="1031263" u="1"/>
        <s v="1034062" u="1"/>
        <s v="1036492" u="1"/>
        <s v="0406732" u="1"/>
        <s v="0417731" u="1"/>
        <s v="1027593" u="1"/>
        <s v="1034805" u="1"/>
        <s v="1032192" u="1"/>
        <s v="1034480" u="1"/>
        <s v="1035861" u="1"/>
        <s v="1017089" u="1"/>
      </sharedItems>
    </cacheField>
    <cacheField name="WHS" numFmtId="0">
      <sharedItems/>
    </cacheField>
    <cacheField name="QOH" numFmtId="0">
      <sharedItems containsSemiMixedTypes="0" containsString="0" containsNumber="1" containsInteger="1" minValue="0" maxValue="1328"/>
    </cacheField>
    <cacheField name="QOH Cost" numFmtId="0">
      <sharedItems containsSemiMixedTypes="0" containsString="0" containsNumber="1" minValue="0" maxValue="170885.9"/>
    </cacheField>
    <cacheField name="Open Qty in Order of UM" numFmtId="0">
      <sharedItems containsSemiMixedTypes="0" containsString="0" containsNumber="1" containsInteger="1" minValue="0" maxValue="298"/>
    </cacheField>
    <cacheField name="Selling Price" numFmtId="0">
      <sharedItems containsSemiMixedTypes="0" containsString="0" containsNumber="1" containsInteger="1" minValue="352" maxValue="49760"/>
    </cacheField>
    <cacheField name="Open Net Sale Amt" numFmtId="0">
      <sharedItems containsSemiMixedTypes="0" containsString="0" containsNumber="1" containsInteger="1" minValue="4286" maxValue="293374"/>
    </cacheField>
    <cacheField name="UOM" numFmtId="0">
      <sharedItems/>
    </cacheField>
    <cacheField name="Create Date" numFmtId="14">
      <sharedItems containsSemiMixedTypes="0" containsNonDate="0" containsDate="1" containsString="0" minDate="2022-11-04T00:00:00" maxDate="2025-08-16T00:00:00"/>
    </cacheField>
    <cacheField name="Promise Date" numFmtId="14">
      <sharedItems containsSemiMixedTypes="0" containsNonDate="0" containsDate="1" containsString="0" minDate="2024-06-11T00:00:00" maxDate="2025-08-26T00:00:00"/>
    </cacheField>
    <cacheField name="Request Date" numFmtId="14">
      <sharedItems containsSemiMixedTypes="0" containsNonDate="0" containsDate="1" containsString="0" minDate="2024-06-11T00:00:00" maxDate="2025-08-26T00:00:00"/>
    </cacheField>
    <cacheField name="Manufacturing Date" numFmtId="14">
      <sharedItems containsSemiMixedTypes="0" containsNonDate="0" containsDate="1" containsString="0" minDate="2024-08-22T00:00:00" maxDate="2025-12-12T00:00:00"/>
    </cacheField>
    <cacheField name="BackOrder Qty" numFmtId="0">
      <sharedItems containsSemiMixedTypes="0" containsString="0" containsNumber="1" containsInteger="1" minValue="0" maxValue="270"/>
    </cacheField>
    <cacheField name="Line item Status" numFmtId="0">
      <sharedItems/>
    </cacheField>
    <cacheField name="Days Late" numFmtId="1">
      <sharedItems containsSemiMixedTypes="0" containsString="0" containsNumber="1" containsInteger="1" minValue="0" maxValue="440"/>
    </cacheField>
    <cacheField name="IsLate" numFmtId="0">
      <sharedItems count="2">
        <s v="Yes"/>
        <s v="N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9">
  <r>
    <x v="0"/>
    <s v="Desc1"/>
    <x v="0"/>
    <s v="None"/>
    <n v="20076715"/>
    <s v="Customer1"/>
    <x v="0"/>
    <s v="X"/>
    <n v="0"/>
    <n v="0"/>
    <n v="260"/>
    <n v="47572"/>
    <n v="291822"/>
    <s v="EA"/>
    <d v="2025-07-07T00:00:00"/>
    <d v="2025-08-01T00:00:00"/>
    <d v="2025-08-01T00:00:00"/>
    <d v="2025-08-01T00:00:00"/>
    <n v="0"/>
    <s v="Open"/>
    <n v="24"/>
    <x v="0"/>
  </r>
  <r>
    <x v="1"/>
    <s v="Desc2"/>
    <x v="0"/>
    <s v="None"/>
    <n v="20076715"/>
    <s v="Customer1"/>
    <x v="0"/>
    <s v="X"/>
    <n v="0"/>
    <n v="0"/>
    <n v="171"/>
    <n v="32812"/>
    <n v="155216"/>
    <s v="EA"/>
    <d v="2025-07-07T00:00:00"/>
    <d v="2025-08-01T00:00:00"/>
    <d v="2025-08-01T00:00:00"/>
    <d v="2025-08-01T00:00:00"/>
    <n v="0"/>
    <s v="Open"/>
    <n v="24"/>
    <x v="0"/>
  </r>
  <r>
    <x v="1"/>
    <s v="Desc2"/>
    <x v="0"/>
    <s v="None"/>
    <n v="20076715"/>
    <s v="Customer1"/>
    <x v="0"/>
    <s v="X"/>
    <n v="0"/>
    <n v="0"/>
    <n v="157"/>
    <n v="31810"/>
    <n v="61313"/>
    <s v="EA"/>
    <d v="2025-07-07T00:00:00"/>
    <d v="2025-08-01T00:00:00"/>
    <d v="2025-08-01T00:00:00"/>
    <d v="2025-08-01T00:00:00"/>
    <n v="0"/>
    <s v="Open"/>
    <n v="24"/>
    <x v="0"/>
  </r>
  <r>
    <x v="1"/>
    <s v="Desc2"/>
    <x v="0"/>
    <s v="None"/>
    <n v="20076715"/>
    <s v="Customer1"/>
    <x v="0"/>
    <s v="X"/>
    <n v="0"/>
    <n v="0"/>
    <n v="177"/>
    <n v="34197"/>
    <n v="269551"/>
    <s v="EA"/>
    <d v="2025-07-07T00:00:00"/>
    <d v="2025-08-01T00:00:00"/>
    <d v="2025-08-01T00:00:00"/>
    <d v="2025-08-01T00:00:00"/>
    <n v="0"/>
    <s v="Open"/>
    <n v="24"/>
    <x v="0"/>
  </r>
  <r>
    <x v="1"/>
    <s v="Desc2"/>
    <x v="0"/>
    <s v="None"/>
    <n v="20076715"/>
    <s v="Customer1"/>
    <x v="0"/>
    <s v="X"/>
    <n v="0"/>
    <n v="0"/>
    <n v="53"/>
    <n v="11279"/>
    <n v="85283"/>
    <s v="EA"/>
    <d v="2025-07-07T00:00:00"/>
    <d v="2025-08-01T00:00:00"/>
    <d v="2025-08-01T00:00:00"/>
    <d v="2025-08-01T00:00:00"/>
    <n v="0"/>
    <s v="Open"/>
    <n v="24"/>
    <x v="0"/>
  </r>
  <r>
    <x v="2"/>
    <s v="Desc3"/>
    <x v="0"/>
    <s v="None"/>
    <n v="20076715"/>
    <s v="Customer1"/>
    <x v="0"/>
    <s v="X"/>
    <n v="448"/>
    <n v="1315.4"/>
    <n v="152"/>
    <n v="2552"/>
    <n v="38953"/>
    <s v="EA"/>
    <d v="2025-07-09T00:00:00"/>
    <d v="2025-08-01T00:00:00"/>
    <d v="2025-08-01T00:00:00"/>
    <d v="2025-09-12T00:00:00"/>
    <n v="0"/>
    <s v="Active"/>
    <n v="24"/>
    <x v="0"/>
  </r>
  <r>
    <x v="2"/>
    <s v="Desc3"/>
    <x v="0"/>
    <s v="None"/>
    <n v="20076715"/>
    <s v="Customer1"/>
    <x v="0"/>
    <s v="X"/>
    <n v="448"/>
    <n v="1315.4"/>
    <n v="101"/>
    <n v="25674"/>
    <n v="180373"/>
    <s v="EA"/>
    <d v="2025-07-09T00:00:00"/>
    <d v="2025-08-01T00:00:00"/>
    <d v="2025-08-01T00:00:00"/>
    <d v="2025-09-12T00:00:00"/>
    <n v="0"/>
    <s v="Active"/>
    <n v="24"/>
    <x v="0"/>
  </r>
  <r>
    <x v="2"/>
    <s v="Desc3"/>
    <x v="0"/>
    <s v="None"/>
    <n v="20076715"/>
    <s v="Customer1"/>
    <x v="0"/>
    <s v="X"/>
    <n v="448"/>
    <n v="1315.4"/>
    <n v="178"/>
    <n v="6721"/>
    <n v="232406"/>
    <s v="EA"/>
    <d v="2025-07-09T00:00:00"/>
    <d v="2025-08-01T00:00:00"/>
    <d v="2025-08-01T00:00:00"/>
    <d v="2025-09-12T00:00:00"/>
    <n v="0"/>
    <s v="Active"/>
    <n v="24"/>
    <x v="0"/>
  </r>
  <r>
    <x v="2"/>
    <s v="Desc3"/>
    <x v="0"/>
    <s v="None"/>
    <n v="20076715"/>
    <s v="Customer1"/>
    <x v="0"/>
    <s v="X"/>
    <n v="448"/>
    <n v="1315.4"/>
    <n v="251"/>
    <n v="46065"/>
    <n v="70284"/>
    <s v="EA"/>
    <d v="2025-07-09T00:00:00"/>
    <d v="2025-08-01T00:00:00"/>
    <d v="2025-08-01T00:00:00"/>
    <d v="2025-10-10T00:00:00"/>
    <n v="0"/>
    <s v="Active"/>
    <n v="24"/>
    <x v="0"/>
  </r>
  <r>
    <x v="3"/>
    <s v="Desc4"/>
    <x v="1"/>
    <s v="None"/>
    <n v="20073715"/>
    <s v="Customer2"/>
    <x v="1"/>
    <s v="X"/>
    <n v="0"/>
    <n v="0"/>
    <n v="223"/>
    <n v="7994"/>
    <n v="142208"/>
    <s v="EA"/>
    <d v="2024-09-24T00:00:00"/>
    <d v="2025-07-23T00:00:00"/>
    <d v="2025-07-23T00:00:00"/>
    <d v="2025-07-23T00:00:00"/>
    <n v="5"/>
    <s v="Active"/>
    <n v="33"/>
    <x v="0"/>
  </r>
  <r>
    <x v="4"/>
    <s v="Desc5"/>
    <x v="2"/>
    <s v="Held"/>
    <n v="20070715"/>
    <s v="Customer3"/>
    <x v="2"/>
    <s v="X"/>
    <n v="0"/>
    <n v="0"/>
    <n v="191"/>
    <n v="22749"/>
    <n v="162593"/>
    <s v="EA"/>
    <d v="2025-07-16T00:00:00"/>
    <d v="2025-08-16T00:00:00"/>
    <d v="2025-08-16T00:00:00"/>
    <d v="2025-08-15T00:00:00"/>
    <n v="0"/>
    <s v="Open"/>
    <n v="9"/>
    <x v="0"/>
  </r>
  <r>
    <x v="5"/>
    <s v="Desc6"/>
    <x v="3"/>
    <s v="None"/>
    <n v="20036116"/>
    <s v="Customer4"/>
    <x v="3"/>
    <s v="X"/>
    <n v="23"/>
    <n v="5246.15"/>
    <n v="56"/>
    <n v="8923"/>
    <n v="204165"/>
    <s v="EA"/>
    <d v="2025-06-16T00:00:00"/>
    <d v="2025-07-31T00:00:00"/>
    <d v="2025-07-31T00:00:00"/>
    <d v="2025-07-29T00:00:00"/>
    <n v="0"/>
    <s v="Active"/>
    <n v="25"/>
    <x v="0"/>
  </r>
  <r>
    <x v="6"/>
    <s v="Desc7"/>
    <x v="3"/>
    <s v="None"/>
    <n v="20031515"/>
    <s v="Customer5"/>
    <x v="4"/>
    <s v="X"/>
    <n v="0"/>
    <n v="0"/>
    <n v="0"/>
    <n v="47959"/>
    <n v="275264"/>
    <s v="EA"/>
    <d v="2024-05-24T00:00:00"/>
    <d v="2024-08-22T00:00:00"/>
    <d v="2024-08-22T00:00:00"/>
    <d v="2024-08-22T00:00:00"/>
    <n v="0"/>
    <s v="Open"/>
    <n v="368"/>
    <x v="0"/>
  </r>
  <r>
    <x v="6"/>
    <s v="Desc7"/>
    <x v="3"/>
    <s v="None"/>
    <n v="20031515"/>
    <s v="Customer5"/>
    <x v="5"/>
    <s v="X"/>
    <n v="0"/>
    <n v="0"/>
    <n v="69"/>
    <n v="28899"/>
    <n v="40334"/>
    <s v="EA"/>
    <d v="2025-06-24T00:00:00"/>
    <d v="2025-06-25T00:00:00"/>
    <d v="2025-06-25T00:00:00"/>
    <d v="2025-06-25T00:00:00"/>
    <n v="0"/>
    <s v="Open"/>
    <n v="61"/>
    <x v="0"/>
  </r>
  <r>
    <x v="6"/>
    <s v="Desc7"/>
    <x v="3"/>
    <s v="None"/>
    <n v="20031515"/>
    <s v="Customer5"/>
    <x v="6"/>
    <s v="X"/>
    <n v="0"/>
    <n v="0"/>
    <n v="208"/>
    <n v="26310"/>
    <n v="19190"/>
    <s v="EA"/>
    <d v="2025-08-01T00:00:00"/>
    <d v="2025-08-08T00:00:00"/>
    <d v="2025-08-08T00:00:00"/>
    <d v="2025-08-08T00:00:00"/>
    <n v="0"/>
    <s v="Open"/>
    <n v="17"/>
    <x v="0"/>
  </r>
  <r>
    <x v="7"/>
    <s v="Desc8"/>
    <x v="4"/>
    <s v="None"/>
    <n v="20029425"/>
    <s v="Customer6"/>
    <x v="7"/>
    <s v="X"/>
    <n v="49"/>
    <n v="170885.9"/>
    <n v="156"/>
    <n v="24914"/>
    <n v="290322"/>
    <s v="EA"/>
    <d v="2023-10-31T00:00:00"/>
    <d v="2025-04-14T00:00:00"/>
    <d v="2025-04-14T00:00:00"/>
    <d v="2025-04-14T00:00:00"/>
    <n v="1"/>
    <s v="Active"/>
    <n v="133"/>
    <x v="0"/>
  </r>
  <r>
    <x v="8"/>
    <s v="Desc9"/>
    <x v="2"/>
    <s v="None"/>
    <n v="20029425"/>
    <s v="Customer6"/>
    <x v="7"/>
    <s v="X"/>
    <n v="1"/>
    <n v="0"/>
    <n v="87"/>
    <n v="12021"/>
    <n v="279146"/>
    <s v="EA"/>
    <d v="2024-08-15T00:00:00"/>
    <d v="2024-10-28T00:00:00"/>
    <d v="2024-10-28T00:00:00"/>
    <d v="2024-10-28T00:00:00"/>
    <n v="0"/>
    <s v="Open"/>
    <n v="301"/>
    <x v="0"/>
  </r>
  <r>
    <x v="8"/>
    <s v="Desc9"/>
    <x v="2"/>
    <s v="None"/>
    <n v="20029425"/>
    <s v="Customer6"/>
    <x v="8"/>
    <s v="X"/>
    <n v="1"/>
    <n v="0"/>
    <n v="16"/>
    <n v="37104"/>
    <n v="120007"/>
    <s v="EA"/>
    <d v="2024-09-05T00:00:00"/>
    <d v="2024-09-30T00:00:00"/>
    <d v="2024-09-30T00:00:00"/>
    <d v="2024-09-30T00:00:00"/>
    <n v="0"/>
    <s v="Open"/>
    <n v="329"/>
    <x v="0"/>
  </r>
  <r>
    <x v="8"/>
    <s v="Desc9"/>
    <x v="2"/>
    <s v="Partial"/>
    <n v="20029425"/>
    <s v="Customer6"/>
    <x v="9"/>
    <s v="X"/>
    <n v="1"/>
    <n v="0"/>
    <n v="291"/>
    <n v="25943"/>
    <n v="178831"/>
    <s v="EA"/>
    <d v="2024-10-25T00:00:00"/>
    <d v="2024-10-25T00:00:00"/>
    <d v="2024-10-25T00:00:00"/>
    <d v="2024-10-25T00:00:00"/>
    <n v="0"/>
    <s v="Open"/>
    <n v="304"/>
    <x v="0"/>
  </r>
  <r>
    <x v="9"/>
    <s v="Desc10"/>
    <x v="4"/>
    <s v="Held"/>
    <n v="20029425"/>
    <s v="Customer6"/>
    <x v="10"/>
    <s v="X"/>
    <n v="0"/>
    <n v="0"/>
    <n v="272"/>
    <n v="23763"/>
    <n v="128527"/>
    <s v="EA"/>
    <d v="2024-12-31T00:00:00"/>
    <d v="2025-08-22T00:00:00"/>
    <d v="2025-08-22T00:00:00"/>
    <d v="2025-08-15T00:00:00"/>
    <n v="0"/>
    <s v="Open"/>
    <n v="3"/>
    <x v="0"/>
  </r>
  <r>
    <x v="10"/>
    <s v="Desc11"/>
    <x v="4"/>
    <s v="Held"/>
    <n v="20029425"/>
    <s v="Customer6"/>
    <x v="10"/>
    <s v="X"/>
    <n v="0"/>
    <n v="0"/>
    <n v="27"/>
    <n v="630"/>
    <n v="215905"/>
    <s v="EA"/>
    <d v="2025-06-18T00:00:00"/>
    <d v="2025-08-22T00:00:00"/>
    <d v="2025-08-22T00:00:00"/>
    <d v="2025-08-22T00:00:00"/>
    <n v="0"/>
    <s v="Open"/>
    <n v="3"/>
    <x v="0"/>
  </r>
  <r>
    <x v="11"/>
    <s v="Desc12"/>
    <x v="1"/>
    <s v="None"/>
    <n v="20029325"/>
    <s v="Customer6"/>
    <x v="11"/>
    <s v="X"/>
    <n v="0"/>
    <n v="0"/>
    <n v="44"/>
    <n v="31138"/>
    <n v="191203"/>
    <s v="EA"/>
    <d v="2025-08-15T00:00:00"/>
    <d v="2025-08-18T00:00:00"/>
    <d v="2025-08-18T00:00:00"/>
    <d v="2025-08-18T00:00:00"/>
    <n v="99"/>
    <s v="Active"/>
    <n v="7"/>
    <x v="0"/>
  </r>
  <r>
    <x v="6"/>
    <s v="Desc7"/>
    <x v="3"/>
    <s v="None"/>
    <n v="20024925"/>
    <s v="Customer7"/>
    <x v="12"/>
    <s v="X"/>
    <n v="0"/>
    <n v="0"/>
    <n v="188"/>
    <n v="48296"/>
    <n v="227564"/>
    <s v="EA"/>
    <d v="2024-11-11T00:00:00"/>
    <d v="2025-07-07T00:00:00"/>
    <d v="2025-06-30T00:00:00"/>
    <d v="2025-07-07T00:00:00"/>
    <n v="0"/>
    <s v="Open"/>
    <n v="49"/>
    <x v="0"/>
  </r>
  <r>
    <x v="12"/>
    <s v="Desc13"/>
    <x v="3"/>
    <s v="Partial"/>
    <n v="20024925"/>
    <s v="Customer7"/>
    <x v="13"/>
    <s v="X"/>
    <n v="374"/>
    <n v="19555.18"/>
    <n v="211"/>
    <n v="5645"/>
    <n v="248166"/>
    <s v="EA"/>
    <d v="2025-03-20T00:00:00"/>
    <d v="2025-07-16T00:00:00"/>
    <d v="2025-06-30T00:00:00"/>
    <d v="2025-07-16T00:00:00"/>
    <n v="0"/>
    <s v="Open"/>
    <n v="40"/>
    <x v="0"/>
  </r>
  <r>
    <x v="13"/>
    <s v="Desc14"/>
    <x v="2"/>
    <s v="Partial"/>
    <n v="20024925"/>
    <s v="Customer7"/>
    <x v="13"/>
    <s v="X"/>
    <n v="1"/>
    <n v="0"/>
    <n v="173"/>
    <n v="19503"/>
    <n v="170531"/>
    <s v="EA"/>
    <d v="2025-03-24T00:00:00"/>
    <d v="2025-07-23T00:00:00"/>
    <d v="2025-06-30T00:00:00"/>
    <d v="2025-07-23T00:00:00"/>
    <n v="0"/>
    <s v="Open"/>
    <n v="33"/>
    <x v="0"/>
  </r>
  <r>
    <x v="14"/>
    <s v="Desc13"/>
    <x v="3"/>
    <s v="Held"/>
    <n v="20024925"/>
    <s v="Customer7"/>
    <x v="14"/>
    <s v="X"/>
    <n v="4"/>
    <n v="201.7"/>
    <n v="10"/>
    <n v="45249"/>
    <n v="47929"/>
    <s v="EA"/>
    <d v="2025-04-17T00:00:00"/>
    <d v="2025-08-07T00:00:00"/>
    <d v="2025-08-07T00:00:00"/>
    <d v="2025-08-07T00:00:00"/>
    <n v="0"/>
    <s v="Open"/>
    <n v="18"/>
    <x v="0"/>
  </r>
  <r>
    <x v="15"/>
    <s v="Desc15"/>
    <x v="5"/>
    <s v="Held"/>
    <n v="20023925"/>
    <s v="Customer8"/>
    <x v="15"/>
    <s v="X"/>
    <n v="0"/>
    <n v="0"/>
    <n v="201"/>
    <n v="7298"/>
    <n v="191702"/>
    <s v="EA"/>
    <d v="2022-11-04T00:00:00"/>
    <d v="2025-06-30T00:00:00"/>
    <d v="2024-08-30T00:00:00"/>
    <d v="2025-06-30T00:00:00"/>
    <n v="82"/>
    <s v="Active"/>
    <n v="56"/>
    <x v="0"/>
  </r>
  <r>
    <x v="15"/>
    <s v="Desc15"/>
    <x v="5"/>
    <s v="Held"/>
    <n v="20023925"/>
    <s v="Customer8"/>
    <x v="16"/>
    <s v="X"/>
    <n v="0"/>
    <n v="0"/>
    <n v="210"/>
    <n v="33135"/>
    <n v="56176"/>
    <s v="EA"/>
    <d v="2022-11-04T00:00:00"/>
    <d v="2024-08-30T00:00:00"/>
    <d v="2024-06-30T00:00:00"/>
    <d v="2025-06-30T00:00:00"/>
    <n v="0"/>
    <s v="Open"/>
    <n v="360"/>
    <x v="0"/>
  </r>
  <r>
    <x v="16"/>
    <s v="Desc16"/>
    <x v="5"/>
    <s v="None"/>
    <n v="20023925"/>
    <s v="Customer8"/>
    <x v="17"/>
    <s v="X"/>
    <n v="5"/>
    <n v="108096.14"/>
    <n v="90"/>
    <n v="33718"/>
    <n v="41221"/>
    <s v="EA"/>
    <d v="2025-06-23T00:00:00"/>
    <d v="2025-07-15T00:00:00"/>
    <d v="2025-07-15T00:00:00"/>
    <d v="2025-07-15T00:00:00"/>
    <n v="0"/>
    <s v="Active"/>
    <n v="41"/>
    <x v="0"/>
  </r>
  <r>
    <x v="17"/>
    <s v="Desc17"/>
    <x v="6"/>
    <s v="None"/>
    <n v="20023925"/>
    <s v="Customer8"/>
    <x v="18"/>
    <s v="X"/>
    <n v="0"/>
    <n v="0"/>
    <n v="104"/>
    <n v="39936"/>
    <n v="6777"/>
    <s v="EA"/>
    <d v="2023-12-14T00:00:00"/>
    <d v="2024-06-11T00:00:00"/>
    <d v="2024-06-11T00:00:00"/>
    <d v="2025-06-11T00:00:00"/>
    <n v="0"/>
    <s v="Open"/>
    <n v="440"/>
    <x v="0"/>
  </r>
  <r>
    <x v="18"/>
    <s v="Desc18"/>
    <x v="5"/>
    <s v="Held"/>
    <n v="20023925"/>
    <s v="Customer8"/>
    <x v="19"/>
    <s v="X"/>
    <n v="0"/>
    <n v="0"/>
    <n v="291"/>
    <n v="46902"/>
    <n v="69539"/>
    <s v="EA"/>
    <d v="2024-01-26T00:00:00"/>
    <d v="2025-06-23T00:00:00"/>
    <d v="2025-06-23T00:00:00"/>
    <d v="2025-07-21T00:00:00"/>
    <n v="0"/>
    <s v="Open"/>
    <n v="63"/>
    <x v="0"/>
  </r>
  <r>
    <x v="19"/>
    <s v="Desc19"/>
    <x v="5"/>
    <s v="None"/>
    <n v="20023925"/>
    <s v="Customer8"/>
    <x v="20"/>
    <s v="X"/>
    <n v="0"/>
    <n v="0"/>
    <n v="29"/>
    <n v="4023"/>
    <n v="230089"/>
    <s v="EA"/>
    <d v="2024-02-20T00:00:00"/>
    <d v="2025-01-13T00:00:00"/>
    <d v="2025-01-13T00:00:00"/>
    <d v="2025-04-24T00:00:00"/>
    <n v="8"/>
    <s v="Active"/>
    <n v="224"/>
    <x v="0"/>
  </r>
  <r>
    <x v="20"/>
    <s v="Desc20"/>
    <x v="7"/>
    <s v="Held"/>
    <n v="20020026"/>
    <s v="Customer9"/>
    <x v="21"/>
    <s v="X"/>
    <n v="0"/>
    <n v="0"/>
    <n v="2"/>
    <n v="25539"/>
    <n v="233965"/>
    <s v="EA"/>
    <d v="2025-04-09T00:00:00"/>
    <d v="2025-04-23T00:00:00"/>
    <d v="2025-04-09T00:00:00"/>
    <d v="2025-04-23T00:00:00"/>
    <n v="0"/>
    <s v="Open"/>
    <n v="124"/>
    <x v="0"/>
  </r>
  <r>
    <x v="6"/>
    <s v="Desc7"/>
    <x v="3"/>
    <s v="None"/>
    <n v="20019025"/>
    <s v="Customer10"/>
    <x v="22"/>
    <s v="X"/>
    <n v="0"/>
    <n v="0"/>
    <n v="76"/>
    <n v="16787"/>
    <n v="242169"/>
    <s v="EA"/>
    <d v="2024-05-02T00:00:00"/>
    <d v="2025-04-24T00:00:00"/>
    <d v="2025-04-24T00:00:00"/>
    <d v="2025-04-24T00:00:00"/>
    <n v="0"/>
    <s v="Open"/>
    <n v="123"/>
    <x v="0"/>
  </r>
  <r>
    <x v="21"/>
    <s v="Desc21"/>
    <x v="7"/>
    <s v="None"/>
    <n v="20019025"/>
    <s v="Customer10"/>
    <x v="23"/>
    <s v="X"/>
    <n v="0"/>
    <n v="0"/>
    <n v="64"/>
    <n v="5212"/>
    <n v="278184"/>
    <s v="EA"/>
    <d v="2024-06-18T00:00:00"/>
    <d v="2025-08-14T00:00:00"/>
    <d v="2025-08-14T00:00:00"/>
    <d v="2025-08-14T00:00:00"/>
    <n v="0"/>
    <s v="Open"/>
    <n v="11"/>
    <x v="0"/>
  </r>
  <r>
    <x v="22"/>
    <s v="Desc22"/>
    <x v="8"/>
    <s v="Held"/>
    <n v="20018725"/>
    <s v="Customer11"/>
    <x v="24"/>
    <s v="X"/>
    <n v="0"/>
    <n v="0"/>
    <n v="27"/>
    <n v="1701"/>
    <n v="252375"/>
    <s v="EA"/>
    <d v="2024-06-13T00:00:00"/>
    <d v="2025-02-04T00:00:00"/>
    <d v="2025-02-04T00:00:00"/>
    <d v="2025-02-04T00:00:00"/>
    <n v="37"/>
    <s v="Active"/>
    <n v="202"/>
    <x v="0"/>
  </r>
  <r>
    <x v="22"/>
    <s v="Desc22"/>
    <x v="8"/>
    <s v="Held"/>
    <n v="20018725"/>
    <s v="Customer11"/>
    <x v="25"/>
    <s v="X"/>
    <n v="0"/>
    <n v="0"/>
    <n v="269"/>
    <n v="9068"/>
    <n v="226391"/>
    <s v="EA"/>
    <d v="2024-10-22T00:00:00"/>
    <d v="2025-05-20T00:00:00"/>
    <d v="2025-05-20T00:00:00"/>
    <d v="2025-05-20T00:00:00"/>
    <n v="0"/>
    <s v="Open"/>
    <n v="97"/>
    <x v="0"/>
  </r>
  <r>
    <x v="23"/>
    <s v="Desc23"/>
    <x v="8"/>
    <s v="None"/>
    <n v="20018725"/>
    <s v="Customer11"/>
    <x v="26"/>
    <s v="X"/>
    <n v="55"/>
    <n v="1308.8599999999999"/>
    <n v="125"/>
    <n v="24473"/>
    <n v="161926"/>
    <s v="EA"/>
    <d v="2025-02-24T00:00:00"/>
    <d v="2025-08-11T00:00:00"/>
    <d v="2025-07-22T00:00:00"/>
    <d v="2025-08-11T00:00:00"/>
    <n v="0"/>
    <s v="Open"/>
    <n v="14"/>
    <x v="0"/>
  </r>
  <r>
    <x v="24"/>
    <s v="Desc24"/>
    <x v="8"/>
    <s v="None"/>
    <n v="20018725"/>
    <s v="Customer11"/>
    <x v="27"/>
    <s v="X"/>
    <n v="9"/>
    <n v="1191.23"/>
    <n v="143"/>
    <n v="47926"/>
    <n v="149986"/>
    <s v="EA"/>
    <d v="2025-03-10T00:00:00"/>
    <d v="2025-08-11T00:00:00"/>
    <d v="2025-06-25T00:00:00"/>
    <d v="2025-08-11T00:00:00"/>
    <n v="56"/>
    <s v="Active"/>
    <n v="14"/>
    <x v="0"/>
  </r>
  <r>
    <x v="25"/>
    <s v="Desc25"/>
    <x v="3"/>
    <s v="None"/>
    <n v="20018225"/>
    <s v="Customer12"/>
    <x v="28"/>
    <s v="X"/>
    <n v="0"/>
    <n v="0"/>
    <n v="96"/>
    <n v="13448"/>
    <n v="131444"/>
    <s v="EA"/>
    <d v="2024-08-14T00:00:00"/>
    <d v="2025-03-11T00:00:00"/>
    <d v="2025-03-11T00:00:00"/>
    <d v="2025-03-11T00:00:00"/>
    <n v="41"/>
    <s v="Active"/>
    <n v="167"/>
    <x v="0"/>
  </r>
  <r>
    <x v="25"/>
    <s v="Desc25"/>
    <x v="3"/>
    <s v="None"/>
    <n v="20018225"/>
    <s v="Customer12"/>
    <x v="28"/>
    <s v="X"/>
    <n v="0"/>
    <n v="0"/>
    <n v="107"/>
    <n v="48341"/>
    <n v="221782"/>
    <s v="EA"/>
    <d v="2024-08-14T00:00:00"/>
    <d v="2025-03-11T00:00:00"/>
    <d v="2025-03-11T00:00:00"/>
    <d v="2025-03-11T00:00:00"/>
    <n v="0"/>
    <s v="Open"/>
    <n v="167"/>
    <x v="0"/>
  </r>
  <r>
    <x v="26"/>
    <s v="Desc26"/>
    <x v="1"/>
    <s v="Held"/>
    <n v="20017625"/>
    <s v="Customer12"/>
    <x v="29"/>
    <s v="X"/>
    <n v="2"/>
    <n v="38355.14"/>
    <n v="215"/>
    <n v="43222"/>
    <n v="143631"/>
    <s v="EA"/>
    <d v="2024-04-05T00:00:00"/>
    <d v="2025-08-22T00:00:00"/>
    <d v="2025-06-23T00:00:00"/>
    <d v="2025-08-22T00:00:00"/>
    <n v="1"/>
    <s v="Active"/>
    <n v="3"/>
    <x v="0"/>
  </r>
  <r>
    <x v="26"/>
    <s v="Desc26"/>
    <x v="1"/>
    <s v="Held"/>
    <n v="20017625"/>
    <s v="Customer12"/>
    <x v="29"/>
    <s v="X"/>
    <n v="2"/>
    <n v="38355.14"/>
    <n v="25"/>
    <n v="37071"/>
    <n v="149713"/>
    <s v="EA"/>
    <d v="2024-04-05T00:00:00"/>
    <d v="2025-08-22T00:00:00"/>
    <d v="2025-07-23T00:00:00"/>
    <d v="2025-08-22T00:00:00"/>
    <n v="0"/>
    <s v="Open"/>
    <n v="3"/>
    <x v="0"/>
  </r>
  <r>
    <x v="13"/>
    <s v="Desc14"/>
    <x v="2"/>
    <s v="Held"/>
    <n v="20017625"/>
    <s v="Customer12"/>
    <x v="30"/>
    <s v="X"/>
    <n v="1"/>
    <n v="0"/>
    <n v="102"/>
    <n v="8191"/>
    <n v="45899"/>
    <s v="EA"/>
    <d v="2025-01-23T00:00:00"/>
    <d v="2025-08-01T00:00:00"/>
    <d v="2025-07-11T00:00:00"/>
    <d v="2025-08-01T00:00:00"/>
    <n v="0"/>
    <s v="Open"/>
    <n v="24"/>
    <x v="0"/>
  </r>
  <r>
    <x v="26"/>
    <s v="Desc26"/>
    <x v="1"/>
    <s v="Held"/>
    <n v="20017625"/>
    <s v="Customer12"/>
    <x v="31"/>
    <s v="X"/>
    <n v="2"/>
    <n v="38355.14"/>
    <n v="96"/>
    <n v="42690"/>
    <n v="128548"/>
    <s v="EA"/>
    <d v="2025-07-15T00:00:00"/>
    <d v="2025-07-31T00:00:00"/>
    <d v="2025-07-31T00:00:00"/>
    <d v="2025-07-31T00:00:00"/>
    <n v="0"/>
    <s v="Active"/>
    <n v="25"/>
    <x v="0"/>
  </r>
  <r>
    <x v="27"/>
    <s v="Desc27"/>
    <x v="7"/>
    <s v="None"/>
    <n v="20017125"/>
    <s v="Customer13"/>
    <x v="32"/>
    <s v="X"/>
    <n v="22"/>
    <n v="497.26"/>
    <n v="29"/>
    <n v="35595"/>
    <n v="150124"/>
    <s v="EA"/>
    <d v="2024-08-15T00:00:00"/>
    <d v="2025-06-30T00:00:00"/>
    <d v="2025-06-30T00:00:00"/>
    <d v="2025-06-23T00:00:00"/>
    <n v="0"/>
    <s v="Open"/>
    <n v="56"/>
    <x v="0"/>
  </r>
  <r>
    <x v="28"/>
    <s v="Desc28"/>
    <x v="4"/>
    <s v="None"/>
    <n v="20014925"/>
    <s v="Customer14"/>
    <x v="33"/>
    <s v="X"/>
    <n v="0"/>
    <n v="0"/>
    <n v="13"/>
    <n v="21421"/>
    <n v="101349"/>
    <s v="EA"/>
    <d v="2025-04-17T00:00:00"/>
    <d v="2025-08-04T00:00:00"/>
    <d v="2025-08-04T00:00:00"/>
    <d v="2025-12-11T00:00:00"/>
    <n v="1"/>
    <s v="Active"/>
    <n v="21"/>
    <x v="0"/>
  </r>
  <r>
    <x v="6"/>
    <s v="Desc7"/>
    <x v="3"/>
    <s v="None"/>
    <n v="20014625"/>
    <s v="Customer15"/>
    <x v="34"/>
    <s v="X"/>
    <n v="0"/>
    <n v="0"/>
    <n v="147"/>
    <n v="4766"/>
    <n v="290315"/>
    <s v="EA"/>
    <d v="2024-06-14T00:00:00"/>
    <d v="2025-04-16T00:00:00"/>
    <d v="2025-04-16T00:00:00"/>
    <d v="2025-04-16T00:00:00"/>
    <n v="0"/>
    <s v="Open"/>
    <n v="131"/>
    <x v="0"/>
  </r>
  <r>
    <x v="6"/>
    <s v="Desc7"/>
    <x v="3"/>
    <s v="None"/>
    <n v="20014625"/>
    <s v="Customer15"/>
    <x v="34"/>
    <s v="X"/>
    <n v="0"/>
    <n v="0"/>
    <n v="108"/>
    <n v="22717"/>
    <n v="243162"/>
    <s v="EA"/>
    <d v="2024-06-14T00:00:00"/>
    <d v="2025-05-29T00:00:00"/>
    <d v="2025-05-29T00:00:00"/>
    <d v="2025-05-29T00:00:00"/>
    <n v="0"/>
    <s v="Open"/>
    <n v="88"/>
    <x v="0"/>
  </r>
  <r>
    <x v="6"/>
    <s v="Desc7"/>
    <x v="3"/>
    <s v="None"/>
    <n v="20014625"/>
    <s v="Customer15"/>
    <x v="34"/>
    <s v="X"/>
    <n v="0"/>
    <n v="0"/>
    <n v="154"/>
    <n v="4157"/>
    <n v="291285"/>
    <s v="EA"/>
    <d v="2024-06-14T00:00:00"/>
    <d v="2025-05-09T00:00:00"/>
    <d v="2025-05-09T00:00:00"/>
    <d v="2025-05-09T00:00:00"/>
    <n v="0"/>
    <s v="Open"/>
    <n v="108"/>
    <x v="0"/>
  </r>
  <r>
    <x v="6"/>
    <s v="Desc7"/>
    <x v="3"/>
    <s v="None"/>
    <n v="20014625"/>
    <s v="Customer15"/>
    <x v="35"/>
    <s v="X"/>
    <n v="0"/>
    <n v="0"/>
    <n v="73"/>
    <n v="19670"/>
    <n v="78225"/>
    <s v="EA"/>
    <d v="2025-01-07T00:00:00"/>
    <d v="2025-05-07T00:00:00"/>
    <d v="2025-05-07T00:00:00"/>
    <d v="2025-05-07T00:00:00"/>
    <n v="0"/>
    <s v="Open"/>
    <n v="110"/>
    <x v="0"/>
  </r>
  <r>
    <x v="6"/>
    <s v="Desc7"/>
    <x v="3"/>
    <s v="None"/>
    <n v="20014625"/>
    <s v="Customer15"/>
    <x v="35"/>
    <s v="X"/>
    <n v="0"/>
    <n v="0"/>
    <n v="256"/>
    <n v="10614"/>
    <n v="55678"/>
    <s v="EA"/>
    <d v="2025-01-07T00:00:00"/>
    <d v="2025-06-14T00:00:00"/>
    <d v="2025-06-14T00:00:00"/>
    <d v="2025-06-14T00:00:00"/>
    <n v="0"/>
    <s v="Open"/>
    <n v="72"/>
    <x v="0"/>
  </r>
  <r>
    <x v="6"/>
    <s v="Desc7"/>
    <x v="3"/>
    <s v="None"/>
    <n v="20014625"/>
    <s v="Customer15"/>
    <x v="35"/>
    <s v="X"/>
    <n v="0"/>
    <n v="0"/>
    <n v="6"/>
    <n v="31188"/>
    <n v="193452"/>
    <s v="EA"/>
    <d v="2025-01-07T00:00:00"/>
    <d v="2025-07-16T00:00:00"/>
    <d v="2025-07-16T00:00:00"/>
    <d v="2025-07-16T00:00:00"/>
    <n v="0"/>
    <s v="Open"/>
    <n v="40"/>
    <x v="0"/>
  </r>
  <r>
    <x v="29"/>
    <s v="Desc13"/>
    <x v="3"/>
    <s v="Held"/>
    <n v="20012925"/>
    <s v="Customer16"/>
    <x v="36"/>
    <s v="X"/>
    <n v="0"/>
    <n v="0"/>
    <n v="174"/>
    <n v="3841"/>
    <n v="98964"/>
    <s v="EA"/>
    <d v="2025-02-13T00:00:00"/>
    <d v="2025-06-12T00:00:00"/>
    <d v="2025-02-14T00:00:00"/>
    <d v="2025-06-12T00:00:00"/>
    <n v="0"/>
    <s v="Open"/>
    <n v="74"/>
    <x v="0"/>
  </r>
  <r>
    <x v="20"/>
    <s v="Desc20"/>
    <x v="7"/>
    <s v="None"/>
    <n v="20012925"/>
    <s v="Customer16"/>
    <x v="37"/>
    <s v="X"/>
    <n v="0"/>
    <n v="0"/>
    <n v="38"/>
    <n v="8275"/>
    <n v="97262"/>
    <s v="EA"/>
    <d v="2025-03-24T00:00:00"/>
    <d v="2025-07-14T00:00:00"/>
    <d v="2025-07-14T00:00:00"/>
    <d v="2025-07-14T00:00:00"/>
    <n v="0"/>
    <s v="Open"/>
    <n v="42"/>
    <x v="0"/>
  </r>
  <r>
    <x v="30"/>
    <s v="Desc29"/>
    <x v="1"/>
    <s v="None"/>
    <n v="20010625"/>
    <s v="Customer17"/>
    <x v="38"/>
    <s v="X"/>
    <n v="78"/>
    <n v="12876.61"/>
    <n v="215"/>
    <n v="24751"/>
    <n v="219138"/>
    <s v="EA"/>
    <d v="2024-08-19T00:00:00"/>
    <d v="2025-07-07T00:00:00"/>
    <d v="2025-07-07T00:00:00"/>
    <d v="2025-07-07T00:00:00"/>
    <n v="270"/>
    <s v="Active"/>
    <n v="49"/>
    <x v="0"/>
  </r>
  <r>
    <x v="31"/>
    <s v="Desc30"/>
    <x v="2"/>
    <s v="None"/>
    <n v="20009425"/>
    <s v="Customer18"/>
    <x v="39"/>
    <s v="X"/>
    <n v="0"/>
    <n v="0"/>
    <n v="212"/>
    <n v="13409"/>
    <n v="278345"/>
    <s v="EA"/>
    <d v="2025-07-30T00:00:00"/>
    <d v="2025-08-01T00:00:00"/>
    <d v="2025-08-01T00:00:00"/>
    <d v="2025-08-01T00:00:00"/>
    <n v="0"/>
    <s v="Open"/>
    <n v="24"/>
    <x v="0"/>
  </r>
  <r>
    <x v="32"/>
    <s v="Desc31"/>
    <x v="3"/>
    <s v="None"/>
    <n v="20009025"/>
    <s v="Customer18"/>
    <x v="40"/>
    <s v="X"/>
    <n v="0"/>
    <n v="0"/>
    <n v="96"/>
    <n v="45595"/>
    <n v="63670"/>
    <s v="EA"/>
    <d v="2025-03-10T00:00:00"/>
    <d v="2025-08-14T00:00:00"/>
    <d v="2025-08-14T00:00:00"/>
    <d v="2025-08-07T00:00:00"/>
    <n v="0"/>
    <s v="Open"/>
    <n v="11"/>
    <x v="0"/>
  </r>
  <r>
    <x v="33"/>
    <s v="Desc32"/>
    <x v="3"/>
    <s v="None"/>
    <n v="20008725"/>
    <s v="Customer18"/>
    <x v="41"/>
    <s v="X"/>
    <n v="0"/>
    <n v="0"/>
    <n v="135"/>
    <n v="10663"/>
    <n v="127761"/>
    <s v="EA"/>
    <d v="2024-09-20T00:00:00"/>
    <d v="2024-12-10T00:00:00"/>
    <d v="2024-12-10T00:00:00"/>
    <d v="2024-09-20T00:00:00"/>
    <n v="0"/>
    <s v="Open"/>
    <n v="258"/>
    <x v="0"/>
  </r>
  <r>
    <x v="34"/>
    <s v="Desc33"/>
    <x v="1"/>
    <s v="None"/>
    <n v="20008725"/>
    <s v="Customer18"/>
    <x v="42"/>
    <s v="X"/>
    <n v="1"/>
    <n v="9649.5"/>
    <n v="98"/>
    <n v="22259"/>
    <n v="171044"/>
    <s v="EA"/>
    <d v="2024-12-05T00:00:00"/>
    <d v="2025-03-31T00:00:00"/>
    <d v="2025-03-31T00:00:00"/>
    <d v="2025-03-31T00:00:00"/>
    <n v="0"/>
    <s v="Open"/>
    <n v="147"/>
    <x v="0"/>
  </r>
  <r>
    <x v="35"/>
    <s v="Desc34"/>
    <x v="1"/>
    <s v="None"/>
    <n v="20008725"/>
    <s v="Customer18"/>
    <x v="43"/>
    <s v="X"/>
    <n v="0"/>
    <n v="0"/>
    <n v="276"/>
    <n v="37080"/>
    <n v="228589"/>
    <s v="EA"/>
    <d v="2024-12-27T00:00:00"/>
    <d v="2025-03-28T00:00:00"/>
    <d v="2025-01-03T00:00:00"/>
    <d v="2025-03-28T00:00:00"/>
    <n v="0"/>
    <s v="Open"/>
    <n v="150"/>
    <x v="0"/>
  </r>
  <r>
    <x v="36"/>
    <s v="Desc35"/>
    <x v="1"/>
    <s v="None"/>
    <n v="20008325"/>
    <s v="Customer18"/>
    <x v="44"/>
    <s v="X"/>
    <n v="1328"/>
    <n v="39882"/>
    <n v="60"/>
    <n v="9062"/>
    <n v="12045"/>
    <s v="EA"/>
    <d v="2024-09-20T00:00:00"/>
    <d v="2025-08-22T00:00:00"/>
    <d v="2025-08-22T00:00:00"/>
    <d v="2025-08-22T00:00:00"/>
    <n v="246"/>
    <s v="Active"/>
    <n v="3"/>
    <x v="0"/>
  </r>
  <r>
    <x v="37"/>
    <s v="Desc36"/>
    <x v="3"/>
    <s v="None"/>
    <n v="20007525"/>
    <s v="Customer19"/>
    <x v="45"/>
    <s v="X"/>
    <n v="180"/>
    <n v="5061.8599999999997"/>
    <n v="95"/>
    <n v="14336"/>
    <n v="243261"/>
    <s v="EA"/>
    <d v="2025-01-27T00:00:00"/>
    <d v="2025-05-05T00:00:00"/>
    <d v="2025-04-28T00:00:00"/>
    <d v="2025-05-05T00:00:00"/>
    <n v="10"/>
    <s v="Active"/>
    <n v="112"/>
    <x v="0"/>
  </r>
  <r>
    <x v="37"/>
    <s v="Desc36"/>
    <x v="3"/>
    <s v="None"/>
    <n v="20007525"/>
    <s v="Customer19"/>
    <x v="45"/>
    <s v="X"/>
    <n v="180"/>
    <n v="5061.8599999999997"/>
    <n v="54"/>
    <n v="41896"/>
    <n v="40037"/>
    <s v="EA"/>
    <d v="2025-03-09T00:00:00"/>
    <d v="2025-06-16T00:00:00"/>
    <d v="2025-05-26T00:00:00"/>
    <d v="2025-06-16T00:00:00"/>
    <n v="0"/>
    <s v="Open"/>
    <n v="70"/>
    <x v="0"/>
  </r>
  <r>
    <x v="37"/>
    <s v="Desc36"/>
    <x v="3"/>
    <s v="None"/>
    <n v="20007525"/>
    <s v="Customer19"/>
    <x v="45"/>
    <s v="X"/>
    <n v="180"/>
    <n v="5061.8599999999997"/>
    <n v="52"/>
    <n v="1229"/>
    <n v="249755"/>
    <s v="EA"/>
    <d v="2025-04-23T00:00:00"/>
    <d v="2025-07-14T00:00:00"/>
    <d v="2025-07-14T00:00:00"/>
    <d v="2025-07-14T00:00:00"/>
    <n v="0"/>
    <s v="Open"/>
    <n v="42"/>
    <x v="0"/>
  </r>
  <r>
    <x v="37"/>
    <s v="Desc36"/>
    <x v="3"/>
    <s v="None"/>
    <n v="20007525"/>
    <s v="Customer19"/>
    <x v="45"/>
    <s v="X"/>
    <n v="180"/>
    <n v="5061.8599999999997"/>
    <n v="294"/>
    <n v="15920"/>
    <n v="238143"/>
    <s v="EA"/>
    <d v="2025-05-08T00:00:00"/>
    <d v="2025-07-21T00:00:00"/>
    <d v="2025-07-21T00:00:00"/>
    <d v="2025-07-21T00:00:00"/>
    <n v="0"/>
    <s v="Open"/>
    <n v="35"/>
    <x v="0"/>
  </r>
  <r>
    <x v="37"/>
    <s v="Desc36"/>
    <x v="3"/>
    <s v="None"/>
    <n v="20007525"/>
    <s v="Customer19"/>
    <x v="45"/>
    <s v="X"/>
    <n v="180"/>
    <n v="5061.8599999999997"/>
    <n v="9"/>
    <n v="2496"/>
    <n v="175280"/>
    <s v="EA"/>
    <d v="2025-05-08T00:00:00"/>
    <d v="2025-07-21T00:00:00"/>
    <d v="2025-07-21T00:00:00"/>
    <d v="2025-07-21T00:00:00"/>
    <n v="0"/>
    <s v="Open"/>
    <n v="35"/>
    <x v="0"/>
  </r>
  <r>
    <x v="37"/>
    <s v="Desc36"/>
    <x v="3"/>
    <s v="None"/>
    <n v="20007525"/>
    <s v="Customer19"/>
    <x v="45"/>
    <s v="X"/>
    <n v="180"/>
    <n v="5061.8599999999997"/>
    <n v="52"/>
    <n v="33686"/>
    <n v="5702"/>
    <s v="EA"/>
    <d v="2025-05-08T00:00:00"/>
    <d v="2025-07-28T00:00:00"/>
    <d v="2025-07-28T00:00:00"/>
    <d v="2025-07-28T00:00:00"/>
    <n v="0"/>
    <s v="Open"/>
    <n v="28"/>
    <x v="0"/>
  </r>
  <r>
    <x v="37"/>
    <s v="Desc36"/>
    <x v="3"/>
    <s v="None"/>
    <n v="20007525"/>
    <s v="Customer19"/>
    <x v="45"/>
    <s v="X"/>
    <n v="180"/>
    <n v="5061.8599999999997"/>
    <n v="298"/>
    <n v="3588"/>
    <n v="27123"/>
    <s v="EA"/>
    <d v="2025-05-13T00:00:00"/>
    <d v="2025-08-18T00:00:00"/>
    <d v="2025-08-04T00:00:00"/>
    <d v="2025-08-18T00:00:00"/>
    <n v="0"/>
    <s v="Open"/>
    <n v="7"/>
    <x v="0"/>
  </r>
  <r>
    <x v="38"/>
    <s v="Desc37"/>
    <x v="3"/>
    <s v="Partial"/>
    <n v="20007525"/>
    <s v="Customer19"/>
    <x v="46"/>
    <s v="X"/>
    <n v="199"/>
    <n v="4025.33"/>
    <n v="195"/>
    <n v="26573"/>
    <n v="8022"/>
    <s v="EA"/>
    <d v="2025-04-14T00:00:00"/>
    <d v="2025-08-11T00:00:00"/>
    <d v="2025-07-03T00:00:00"/>
    <d v="2025-08-11T00:00:00"/>
    <n v="0"/>
    <s v="Active"/>
    <n v="14"/>
    <x v="0"/>
  </r>
  <r>
    <x v="39"/>
    <s v="Desc38"/>
    <x v="1"/>
    <s v="None"/>
    <n v="20007525"/>
    <s v="Customer19"/>
    <x v="47"/>
    <s v="X"/>
    <n v="0"/>
    <n v="0"/>
    <n v="293"/>
    <n v="43183"/>
    <n v="58810"/>
    <s v="EA"/>
    <d v="2023-01-24T00:00:00"/>
    <d v="2025-08-13T00:00:00"/>
    <d v="2025-08-13T00:00:00"/>
    <d v="2025-08-13T00:00:00"/>
    <n v="0"/>
    <s v="Open"/>
    <n v="12"/>
    <x v="0"/>
  </r>
  <r>
    <x v="39"/>
    <s v="Desc38"/>
    <x v="1"/>
    <s v="None"/>
    <n v="20007525"/>
    <s v="Customer19"/>
    <x v="48"/>
    <s v="X"/>
    <n v="0"/>
    <n v="0"/>
    <n v="187"/>
    <n v="42699"/>
    <n v="119793"/>
    <s v="EA"/>
    <d v="2025-01-28T00:00:00"/>
    <d v="2025-06-11T00:00:00"/>
    <d v="2025-05-22T00:00:00"/>
    <d v="2025-06-11T00:00:00"/>
    <n v="34"/>
    <s v="Active"/>
    <n v="75"/>
    <x v="0"/>
  </r>
  <r>
    <x v="39"/>
    <s v="Desc38"/>
    <x v="1"/>
    <s v="None"/>
    <n v="20007525"/>
    <s v="Customer19"/>
    <x v="48"/>
    <s v="X"/>
    <n v="0"/>
    <n v="0"/>
    <n v="297"/>
    <n v="49148"/>
    <n v="183339"/>
    <s v="EA"/>
    <d v="2025-02-21T00:00:00"/>
    <d v="2025-06-27T00:00:00"/>
    <d v="2025-06-25T00:00:00"/>
    <d v="2025-06-27T00:00:00"/>
    <n v="0"/>
    <s v="Open"/>
    <n v="59"/>
    <x v="0"/>
  </r>
  <r>
    <x v="39"/>
    <s v="Desc38"/>
    <x v="1"/>
    <s v="None"/>
    <n v="20007525"/>
    <s v="Customer19"/>
    <x v="48"/>
    <s v="X"/>
    <n v="0"/>
    <n v="0"/>
    <n v="96"/>
    <n v="25939"/>
    <n v="81016"/>
    <s v="EA"/>
    <d v="2025-04-14T00:00:00"/>
    <d v="2025-08-21T00:00:00"/>
    <d v="2025-08-21T00:00:00"/>
    <d v="2025-08-21T00:00:00"/>
    <n v="0"/>
    <s v="Open"/>
    <n v="4"/>
    <x v="0"/>
  </r>
  <r>
    <x v="40"/>
    <s v="Desc39"/>
    <x v="3"/>
    <s v=" "/>
    <n v="20007525"/>
    <s v="Customer19"/>
    <x v="49"/>
    <s v="X"/>
    <n v="175"/>
    <n v="3651.86"/>
    <n v="39"/>
    <n v="22579"/>
    <n v="271367"/>
    <s v="EA"/>
    <d v="2025-04-23T00:00:00"/>
    <d v="2025-07-30T00:00:00"/>
    <d v="2025-07-14T00:00:00"/>
    <d v="2025-07-30T00:00:00"/>
    <n v="0"/>
    <s v="Open"/>
    <n v="26"/>
    <x v="0"/>
  </r>
  <r>
    <x v="41"/>
    <s v="Desc40"/>
    <x v="3"/>
    <s v="None"/>
    <n v="20007525"/>
    <s v="Customer19"/>
    <x v="50"/>
    <s v="X"/>
    <n v="0"/>
    <n v="0"/>
    <n v="34"/>
    <n v="37558"/>
    <n v="29332"/>
    <s v="EA"/>
    <d v="2025-04-14T00:00:00"/>
    <d v="2025-07-21T00:00:00"/>
    <d v="2025-06-19T00:00:00"/>
    <d v="2025-07-21T00:00:00"/>
    <n v="7"/>
    <s v="Active"/>
    <n v="35"/>
    <x v="0"/>
  </r>
  <r>
    <x v="41"/>
    <s v="Desc40"/>
    <x v="3"/>
    <s v="None"/>
    <n v="20007525"/>
    <s v="Customer19"/>
    <x v="50"/>
    <s v="X"/>
    <n v="0"/>
    <n v="0"/>
    <n v="37"/>
    <n v="29101"/>
    <n v="293374"/>
    <s v="EA"/>
    <d v="2025-05-08T00:00:00"/>
    <d v="2025-08-14T00:00:00"/>
    <d v="2025-07-29T00:00:00"/>
    <d v="2025-08-14T00:00:00"/>
    <n v="0"/>
    <s v="Open"/>
    <n v="11"/>
    <x v="0"/>
  </r>
  <r>
    <x v="42"/>
    <s v="Desc41"/>
    <x v="7"/>
    <s v="None"/>
    <n v="20007425"/>
    <s v="Customer19"/>
    <x v="51"/>
    <s v="X"/>
    <n v="26"/>
    <n v="2020.81"/>
    <n v="61"/>
    <n v="24890"/>
    <n v="272668"/>
    <s v="EA"/>
    <d v="2024-08-19T00:00:00"/>
    <d v="2025-03-18T00:00:00"/>
    <d v="2024-10-25T00:00:00"/>
    <d v="2025-03-18T00:00:00"/>
    <n v="0"/>
    <s v="Active"/>
    <n v="160"/>
    <x v="0"/>
  </r>
  <r>
    <x v="42"/>
    <s v="Desc41"/>
    <x v="7"/>
    <s v="None"/>
    <n v="20007425"/>
    <s v="Customer19"/>
    <x v="51"/>
    <s v="X"/>
    <n v="26"/>
    <n v="2020.81"/>
    <n v="25"/>
    <n v="34479"/>
    <n v="44075"/>
    <s v="EA"/>
    <d v="2024-08-19T00:00:00"/>
    <d v="2025-03-07T00:00:00"/>
    <d v="2025-03-07T00:00:00"/>
    <d v="2025-03-07T00:00:00"/>
    <n v="0"/>
    <s v="Active"/>
    <n v="171"/>
    <x v="0"/>
  </r>
  <r>
    <x v="43"/>
    <s v="Desc42"/>
    <x v="3"/>
    <s v="None"/>
    <n v="20007425"/>
    <s v="Customer19"/>
    <x v="52"/>
    <s v="X"/>
    <n v="20"/>
    <n v="96.87"/>
    <n v="224"/>
    <n v="47698"/>
    <n v="63928"/>
    <s v="EA"/>
    <d v="2024-10-01T00:00:00"/>
    <d v="2025-07-28T00:00:00"/>
    <d v="2025-05-01T00:00:00"/>
    <d v="2025-07-28T00:00:00"/>
    <n v="3"/>
    <s v="Active"/>
    <n v="28"/>
    <x v="0"/>
  </r>
  <r>
    <x v="13"/>
    <s v="Desc14"/>
    <x v="2"/>
    <s v="None"/>
    <n v="20007425"/>
    <s v="Customer19"/>
    <x v="53"/>
    <s v="X"/>
    <n v="1"/>
    <n v="0"/>
    <n v="215"/>
    <n v="32786"/>
    <n v="157996"/>
    <s v="EA"/>
    <d v="2025-01-28T00:00:00"/>
    <d v="2025-06-13T00:00:00"/>
    <d v="2025-05-02T00:00:00"/>
    <d v="2025-06-13T00:00:00"/>
    <n v="0"/>
    <s v="Open"/>
    <n v="73"/>
    <x v="0"/>
  </r>
  <r>
    <x v="8"/>
    <s v="Desc9"/>
    <x v="2"/>
    <s v="None"/>
    <n v="20007425"/>
    <s v="Customer19"/>
    <x v="53"/>
    <s v="X"/>
    <n v="1"/>
    <n v="0"/>
    <n v="210"/>
    <n v="23934"/>
    <n v="173715"/>
    <s v="EA"/>
    <d v="2025-01-28T00:00:00"/>
    <d v="2025-06-13T00:00:00"/>
    <d v="2025-05-09T00:00:00"/>
    <d v="2025-06-13T00:00:00"/>
    <n v="0"/>
    <s v="Open"/>
    <n v="73"/>
    <x v="0"/>
  </r>
  <r>
    <x v="44"/>
    <s v="Desc43"/>
    <x v="1"/>
    <s v="None"/>
    <n v="20007425"/>
    <s v="Customer19"/>
    <x v="53"/>
    <s v="X"/>
    <n v="101"/>
    <n v="5131.17"/>
    <n v="289"/>
    <n v="352"/>
    <n v="86007"/>
    <s v="EA"/>
    <d v="2025-02-13T00:00:00"/>
    <d v="2025-06-13T00:00:00"/>
    <d v="2025-05-02T00:00:00"/>
    <d v="2025-06-13T00:00:00"/>
    <n v="0"/>
    <s v="Open"/>
    <n v="73"/>
    <x v="0"/>
  </r>
  <r>
    <x v="45"/>
    <s v="Desc44"/>
    <x v="3"/>
    <s v="None"/>
    <n v="20007425"/>
    <s v="Customer19"/>
    <x v="54"/>
    <s v="X"/>
    <n v="142"/>
    <n v="497.1"/>
    <n v="13"/>
    <n v="26538"/>
    <n v="209623"/>
    <s v="EA"/>
    <d v="2025-03-28T00:00:00"/>
    <d v="2025-08-25T00:00:00"/>
    <d v="2025-08-25T00:00:00"/>
    <d v="2025-08-25T00:00:00"/>
    <n v="0"/>
    <s v="Open"/>
    <n v="0"/>
    <x v="1"/>
  </r>
  <r>
    <x v="46"/>
    <s v="Desc45"/>
    <x v="7"/>
    <s v="None"/>
    <n v="20006525"/>
    <s v="Customer20"/>
    <x v="55"/>
    <s v="X"/>
    <n v="424"/>
    <n v="52026.54"/>
    <n v="154"/>
    <n v="33231"/>
    <n v="191840"/>
    <s v="EA"/>
    <d v="2024-07-17T00:00:00"/>
    <d v="2025-08-07T00:00:00"/>
    <d v="2025-08-07T00:00:00"/>
    <d v="2025-08-07T00:00:00"/>
    <n v="0"/>
    <s v="Active"/>
    <n v="18"/>
    <x v="0"/>
  </r>
  <r>
    <x v="47"/>
    <s v="Desc46"/>
    <x v="3"/>
    <s v="None"/>
    <n v="20006225"/>
    <s v="Customer21"/>
    <x v="56"/>
    <s v="X"/>
    <n v="70"/>
    <n v="2926.23"/>
    <n v="15"/>
    <n v="4605"/>
    <n v="281538"/>
    <s v="EA"/>
    <d v="2025-03-19T00:00:00"/>
    <d v="2025-04-29T00:00:00"/>
    <d v="2025-04-29T00:00:00"/>
    <d v="2025-04-29T00:00:00"/>
    <n v="0"/>
    <s v="Open"/>
    <n v="118"/>
    <x v="0"/>
  </r>
  <r>
    <x v="47"/>
    <s v="Desc46"/>
    <x v="3"/>
    <s v="None"/>
    <n v="20006225"/>
    <s v="Customer21"/>
    <x v="56"/>
    <s v="X"/>
    <n v="70"/>
    <n v="2926.23"/>
    <n v="133"/>
    <n v="4072"/>
    <n v="177957"/>
    <s v="EA"/>
    <d v="2025-05-19T00:00:00"/>
    <d v="2025-08-22T00:00:00"/>
    <d v="2025-08-22T00:00:00"/>
    <d v="2025-08-15T00:00:00"/>
    <n v="0"/>
    <s v="Open"/>
    <n v="3"/>
    <x v="0"/>
  </r>
  <r>
    <x v="48"/>
    <s v="Desc47"/>
    <x v="7"/>
    <s v="None"/>
    <n v="20005825"/>
    <s v="Customer22"/>
    <x v="57"/>
    <s v="X"/>
    <n v="761"/>
    <n v="14079.36"/>
    <n v="49"/>
    <n v="9471"/>
    <n v="49192"/>
    <s v="EA"/>
    <d v="2025-07-30T00:00:00"/>
    <d v="2025-08-25T00:00:00"/>
    <d v="2025-08-25T00:00:00"/>
    <d v="2025-08-25T00:00:00"/>
    <n v="0"/>
    <s v="Active"/>
    <n v="0"/>
    <x v="1"/>
  </r>
  <r>
    <x v="49"/>
    <s v="Desc48"/>
    <x v="1"/>
    <s v="None"/>
    <n v="20005825"/>
    <s v="Customer22"/>
    <x v="57"/>
    <s v="X"/>
    <n v="558"/>
    <n v="8369.81"/>
    <n v="172"/>
    <n v="30639"/>
    <n v="85281"/>
    <s v="EA"/>
    <d v="2025-07-30T00:00:00"/>
    <d v="2025-08-25T00:00:00"/>
    <d v="2025-08-25T00:00:00"/>
    <d v="2025-08-25T00:00:00"/>
    <n v="0"/>
    <s v="Active"/>
    <n v="0"/>
    <x v="1"/>
  </r>
  <r>
    <x v="50"/>
    <s v="Desc49"/>
    <x v="1"/>
    <s v="None"/>
    <n v="20005725"/>
    <s v="Customer23"/>
    <x v="58"/>
    <s v="X"/>
    <n v="43"/>
    <n v="1461.21"/>
    <n v="103"/>
    <n v="17001"/>
    <n v="214260"/>
    <s v="EA"/>
    <d v="2024-09-16T00:00:00"/>
    <d v="2025-07-25T00:00:00"/>
    <d v="2025-07-25T00:00:00"/>
    <d v="2025-07-25T00:00:00"/>
    <n v="0"/>
    <s v="Open"/>
    <n v="31"/>
    <x v="0"/>
  </r>
  <r>
    <x v="51"/>
    <s v="Desc50"/>
    <x v="7"/>
    <s v="None"/>
    <n v="20005535"/>
    <s v="Customer24"/>
    <x v="59"/>
    <s v="X"/>
    <n v="218"/>
    <n v="16598.18"/>
    <n v="213"/>
    <n v="35178"/>
    <n v="80042"/>
    <s v="EA"/>
    <d v="2025-03-19T00:00:00"/>
    <d v="2025-08-25T00:00:00"/>
    <d v="2025-08-25T00:00:00"/>
    <d v="2025-08-25T00:00:00"/>
    <n v="0"/>
    <s v="Active"/>
    <n v="0"/>
    <x v="1"/>
  </r>
  <r>
    <x v="51"/>
    <s v="Desc50"/>
    <x v="7"/>
    <s v="None"/>
    <n v="20005535"/>
    <s v="Customer24"/>
    <x v="59"/>
    <s v="X"/>
    <n v="218"/>
    <n v="16598.18"/>
    <n v="33"/>
    <n v="2181"/>
    <n v="24492"/>
    <s v="EA"/>
    <d v="2025-03-19T00:00:00"/>
    <d v="2025-08-25T00:00:00"/>
    <d v="2025-08-25T00:00:00"/>
    <d v="2025-08-25T00:00:00"/>
    <n v="0"/>
    <s v="Active"/>
    <n v="0"/>
    <x v="1"/>
  </r>
  <r>
    <x v="6"/>
    <s v="Desc7"/>
    <x v="3"/>
    <s v="None"/>
    <n v="20005535"/>
    <s v="Customer24"/>
    <x v="59"/>
    <s v="X"/>
    <n v="0"/>
    <n v="0"/>
    <n v="140"/>
    <n v="37504"/>
    <n v="173306"/>
    <s v="EA"/>
    <d v="2025-03-19T00:00:00"/>
    <d v="2025-08-25T00:00:00"/>
    <d v="2025-08-25T00:00:00"/>
    <d v="2025-08-25T00:00:00"/>
    <n v="0"/>
    <s v="Open"/>
    <n v="0"/>
    <x v="1"/>
  </r>
  <r>
    <x v="52"/>
    <s v="Desc51"/>
    <x v="3"/>
    <s v="None"/>
    <n v="20004525"/>
    <s v="Customer25"/>
    <x v="60"/>
    <s v="X"/>
    <n v="0"/>
    <n v="0"/>
    <n v="221"/>
    <n v="49760"/>
    <n v="4286"/>
    <s v="EA"/>
    <d v="2024-11-18T00:00:00"/>
    <d v="2025-03-10T00:00:00"/>
    <d v="2025-03-07T00:00:00"/>
    <d v="2025-03-10T00:00:00"/>
    <n v="6"/>
    <s v="Active"/>
    <n v="168"/>
    <x v="0"/>
  </r>
  <r>
    <x v="53"/>
    <s v="Desc52"/>
    <x v="1"/>
    <s v="None"/>
    <n v="20004525"/>
    <s v="Customer25"/>
    <x v="61"/>
    <s v="X"/>
    <n v="0"/>
    <n v="0"/>
    <n v="142"/>
    <n v="612"/>
    <n v="108932"/>
    <s v="EA"/>
    <d v="2024-12-05T00:00:00"/>
    <d v="2025-07-03T00:00:00"/>
    <d v="2025-02-14T00:00:00"/>
    <d v="2025-07-03T00:00:00"/>
    <n v="0"/>
    <s v="Open"/>
    <n v="53"/>
    <x v="0"/>
  </r>
  <r>
    <x v="54"/>
    <s v="Desc53"/>
    <x v="2"/>
    <s v="Held"/>
    <n v="20004525"/>
    <s v="Customer25"/>
    <x v="62"/>
    <s v="X"/>
    <n v="0"/>
    <n v="0"/>
    <n v="189"/>
    <n v="16070"/>
    <n v="278351"/>
    <s v="EA"/>
    <d v="2025-03-05T00:00:00"/>
    <d v="2025-08-01T00:00:00"/>
    <d v="2025-05-14T00:00:00"/>
    <d v="2025-08-01T00:00:00"/>
    <n v="0"/>
    <s v="Open"/>
    <n v="24"/>
    <x v="0"/>
  </r>
  <r>
    <x v="20"/>
    <s v="Desc20"/>
    <x v="7"/>
    <s v="Held"/>
    <n v="20004525"/>
    <s v="Customer25"/>
    <x v="62"/>
    <s v="X"/>
    <n v="0"/>
    <n v="0"/>
    <n v="182"/>
    <n v="48514"/>
    <n v="128389"/>
    <s v="EA"/>
    <d v="2025-03-05T00:00:00"/>
    <d v="2025-08-01T00:00:00"/>
    <d v="2025-05-14T00:00:00"/>
    <d v="2025-08-01T00:00:00"/>
    <n v="0"/>
    <s v="Open"/>
    <n v="24"/>
    <x v="0"/>
  </r>
  <r>
    <x v="55"/>
    <s v="Desc54"/>
    <x v="2"/>
    <s v="Held"/>
    <n v="20004525"/>
    <s v="Customer25"/>
    <x v="62"/>
    <s v="X"/>
    <n v="0"/>
    <n v="0"/>
    <n v="200"/>
    <n v="17762"/>
    <n v="237990"/>
    <s v="EA"/>
    <d v="2025-03-05T00:00:00"/>
    <d v="2025-08-01T00:00:00"/>
    <d v="2025-05-14T00:00:00"/>
    <d v="2025-08-01T00:00:00"/>
    <n v="0"/>
    <s v="Open"/>
    <n v="24"/>
    <x v="0"/>
  </r>
  <r>
    <x v="56"/>
    <s v="Desc55"/>
    <x v="3"/>
    <s v="Held"/>
    <n v="20004525"/>
    <s v="Customer25"/>
    <x v="62"/>
    <s v="X"/>
    <n v="0"/>
    <n v="0"/>
    <n v="169"/>
    <n v="9987"/>
    <n v="90607"/>
    <s v="EA"/>
    <d v="2025-04-30T00:00:00"/>
    <d v="2025-08-01T00:00:00"/>
    <d v="2025-05-14T00:00:00"/>
    <d v="2025-08-01T00:00:00"/>
    <n v="0"/>
    <s v="Open"/>
    <n v="24"/>
    <x v="0"/>
  </r>
  <r>
    <x v="57"/>
    <s v="Desc56"/>
    <x v="3"/>
    <s v="Held"/>
    <n v="20004525"/>
    <s v="Customer25"/>
    <x v="63"/>
    <s v="X"/>
    <n v="3"/>
    <n v="87.21"/>
    <n v="82"/>
    <n v="28850"/>
    <n v="4735"/>
    <s v="EA"/>
    <d v="2025-03-21T00:00:00"/>
    <d v="2025-08-18T00:00:00"/>
    <d v="2025-05-09T00:00:00"/>
    <d v="2025-08-18T00:00:00"/>
    <n v="0"/>
    <s v="Open"/>
    <n v="7"/>
    <x v="0"/>
  </r>
  <r>
    <x v="58"/>
    <s v="Desc57"/>
    <x v="3"/>
    <s v="Held"/>
    <n v="20004525"/>
    <s v="Customer25"/>
    <x v="64"/>
    <s v="X"/>
    <n v="0"/>
    <n v="0"/>
    <n v="134"/>
    <n v="35055"/>
    <n v="66179"/>
    <s v="EA"/>
    <d v="2025-03-24T00:00:00"/>
    <d v="2025-08-18T00:00:00"/>
    <d v="2025-08-13T00:00:00"/>
    <d v="2025-08-18T00:00:00"/>
    <n v="0"/>
    <s v="Open"/>
    <n v="7"/>
    <x v="0"/>
  </r>
  <r>
    <x v="59"/>
    <s v="Desc58"/>
    <x v="3"/>
    <s v="None"/>
    <n v="20004125"/>
    <s v="Customer26"/>
    <x v="65"/>
    <s v="X"/>
    <n v="0"/>
    <n v="0"/>
    <n v="242"/>
    <n v="9043"/>
    <n v="126744"/>
    <s v="EA"/>
    <d v="2025-04-01T00:00:00"/>
    <d v="2025-07-11T00:00:00"/>
    <d v="2025-06-04T00:00:00"/>
    <d v="2025-07-08T00:00:00"/>
    <n v="0"/>
    <s v="Open"/>
    <n v="45"/>
    <x v="0"/>
  </r>
  <r>
    <x v="60"/>
    <s v="Desc59"/>
    <x v="3"/>
    <s v="Held"/>
    <n v="20004125"/>
    <s v="Customer26"/>
    <x v="66"/>
    <s v="X"/>
    <n v="0"/>
    <n v="0"/>
    <n v="62"/>
    <n v="33605"/>
    <n v="32840"/>
    <s v="EA"/>
    <d v="2025-05-21T00:00:00"/>
    <d v="2025-08-20T00:00:00"/>
    <d v="2025-08-15T00:00:00"/>
    <d v="2025-08-20T00:00:00"/>
    <n v="0"/>
    <s v="Open"/>
    <n v="5"/>
    <x v="0"/>
  </r>
  <r>
    <x v="61"/>
    <s v="Desc60"/>
    <x v="7"/>
    <s v="None"/>
    <n v="20002825"/>
    <s v="Customer27"/>
    <x v="67"/>
    <s v="X"/>
    <n v="0"/>
    <n v="0"/>
    <n v="221"/>
    <n v="27075"/>
    <n v="6821"/>
    <s v="EA"/>
    <d v="2025-04-07T00:00:00"/>
    <d v="2025-05-02T00:00:00"/>
    <d v="2025-05-02T00:00:00"/>
    <d v="2025-10-08T00:00:00"/>
    <n v="12"/>
    <s v="Active"/>
    <n v="115"/>
    <x v="0"/>
  </r>
  <r>
    <x v="61"/>
    <s v="Desc60"/>
    <x v="7"/>
    <s v="None"/>
    <n v="20002825"/>
    <s v="Customer27"/>
    <x v="67"/>
    <s v="X"/>
    <n v="0"/>
    <n v="0"/>
    <n v="284"/>
    <n v="12390"/>
    <n v="54541"/>
    <s v="EA"/>
    <d v="2025-04-22T00:00:00"/>
    <d v="2025-05-16T00:00:00"/>
    <d v="2025-05-16T00:00:00"/>
    <d v="2025-05-16T00:00:00"/>
    <n v="0"/>
    <s v="Open"/>
    <n v="101"/>
    <x v="0"/>
  </r>
  <r>
    <x v="61"/>
    <s v="Desc60"/>
    <x v="7"/>
    <s v="None"/>
    <n v="20002825"/>
    <s v="Customer27"/>
    <x v="67"/>
    <s v="X"/>
    <n v="0"/>
    <n v="0"/>
    <n v="66"/>
    <n v="27033"/>
    <n v="276200"/>
    <s v="EA"/>
    <d v="2025-06-20T00:00:00"/>
    <d v="2025-07-03T00:00:00"/>
    <d v="2025-07-03T00:00:00"/>
    <d v="2025-10-08T00:00:00"/>
    <n v="0"/>
    <s v="Open"/>
    <n v="53"/>
    <x v="0"/>
  </r>
  <r>
    <x v="62"/>
    <s v="Desc61"/>
    <x v="7"/>
    <s v="None"/>
    <n v="20001335"/>
    <s v="Customer28"/>
    <x v="68"/>
    <s v="X"/>
    <n v="0"/>
    <n v="0"/>
    <n v="52"/>
    <n v="38119"/>
    <n v="284610"/>
    <s v="EA"/>
    <d v="2025-04-30T00:00:00"/>
    <d v="2025-06-25T00:00:00"/>
    <d v="2025-06-06T00:00:00"/>
    <d v="2025-06-25T00:00:00"/>
    <n v="75"/>
    <s v="Active"/>
    <n v="61"/>
    <x v="0"/>
  </r>
  <r>
    <x v="63"/>
    <s v="Desc62"/>
    <x v="9"/>
    <s v="None"/>
    <n v="20000425"/>
    <s v="Customer29"/>
    <x v="69"/>
    <s v="X"/>
    <n v="899"/>
    <n v="13179.71"/>
    <n v="137"/>
    <n v="7726"/>
    <n v="86704"/>
    <s v="EA"/>
    <d v="2022-12-08T00:00:00"/>
    <d v="2025-08-25T00:00:00"/>
    <d v="2025-08-25T00:00:00"/>
    <d v="2025-08-25T00:00:00"/>
    <n v="0"/>
    <s v="Active"/>
    <n v="0"/>
    <x v="1"/>
  </r>
  <r>
    <x v="64"/>
    <s v="Desc63"/>
    <x v="8"/>
    <s v="None"/>
    <n v="20000425"/>
    <s v="Customer29"/>
    <x v="70"/>
    <s v="X"/>
    <n v="0"/>
    <n v="0"/>
    <n v="167"/>
    <n v="11941"/>
    <n v="184175"/>
    <s v="EA"/>
    <d v="2024-11-06T00:00:00"/>
    <d v="2025-08-18T00:00:00"/>
    <d v="2025-08-18T00:00:00"/>
    <d v="2025-08-18T00:00:00"/>
    <n v="4"/>
    <s v="Active"/>
    <n v="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7DBC10-4310-4FF2-B4AA-8D4BA987D33E}" name="PivotTable2" cacheId="5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 chartFormat="10">
  <location ref="A4:B16" firstHeaderRow="1" firstDataRow="1" firstDataCol="1" rowPageCount="2" colPageCount="1"/>
  <pivotFields count="22">
    <pivotField axis="axisRow" showAll="0" measureFilter="1" sortType="descending">
      <items count="159">
        <item sd="0" m="1" x="91"/>
        <item sd="0" m="1" x="136"/>
        <item sd="0" m="1" x="135"/>
        <item sd="0" m="1" x="109"/>
        <item sd="0" m="1" x="152"/>
        <item sd="0" m="1" x="101"/>
        <item sd="0" m="1" x="106"/>
        <item sd="0" m="1" x="73"/>
        <item sd="0" m="1" x="123"/>
        <item sd="0" m="1" x="143"/>
        <item sd="0" m="1" x="133"/>
        <item sd="0" m="1" x="153"/>
        <item sd="0" m="1" x="103"/>
        <item sd="0" m="1" x="88"/>
        <item sd="0" m="1" x="144"/>
        <item sd="0" m="1" x="154"/>
        <item sd="0" m="1" x="132"/>
        <item sd="0" m="1" x="139"/>
        <item sd="0" m="1" x="134"/>
        <item sd="0" m="1" x="96"/>
        <item sd="0" m="1" x="150"/>
        <item sd="0" m="1" x="138"/>
        <item sd="0" m="1" x="100"/>
        <item sd="0" m="1" x="137"/>
        <item sd="0" m="1" x="92"/>
        <item sd="0" m="1" x="125"/>
        <item sd="0" m="1" x="151"/>
        <item sd="0" m="1" x="131"/>
        <item sd="0" m="1" x="141"/>
        <item sd="0" m="1" x="146"/>
        <item sd="0" m="1" x="72"/>
        <item sd="0" m="1" x="87"/>
        <item sd="0" m="1" x="148"/>
        <item sd="0" m="1" x="145"/>
        <item sd="0" m="1" x="81"/>
        <item sd="0" m="1" x="116"/>
        <item sd="0" m="1" x="98"/>
        <item sd="0" m="1" x="75"/>
        <item sd="0" m="1" x="129"/>
        <item sd="0" m="1" x="128"/>
        <item sd="0" m="1" x="130"/>
        <item sd="0" m="1" x="99"/>
        <item sd="0" m="1" x="156"/>
        <item sd="0" m="1" x="155"/>
        <item sd="0" m="1" x="117"/>
        <item sd="0" m="1" x="147"/>
        <item sd="0" m="1" x="140"/>
        <item sd="0" m="1" x="127"/>
        <item sd="0" m="1" x="74"/>
        <item sd="0" m="1" x="83"/>
        <item sd="0" m="1" x="79"/>
        <item sd="0" m="1" x="149"/>
        <item sd="0" m="1" x="86"/>
        <item sd="0" m="1" x="142"/>
        <item sd="0" m="1" x="84"/>
        <item sd="0" m="1" x="157"/>
        <item sd="0" m="1" x="82"/>
        <item sd="0" m="1" x="93"/>
        <item m="1" x="126"/>
        <item m="1" x="65"/>
        <item m="1" x="66"/>
        <item m="1" x="67"/>
        <item m="1" x="68"/>
        <item m="1" x="69"/>
        <item m="1" x="70"/>
        <item m="1" x="71"/>
        <item m="1" x="76"/>
        <item m="1" x="77"/>
        <item m="1" x="78"/>
        <item m="1" x="80"/>
        <item m="1" x="85"/>
        <item m="1" x="89"/>
        <item m="1" x="90"/>
        <item m="1" x="94"/>
        <item m="1" x="95"/>
        <item m="1" x="97"/>
        <item m="1" x="102"/>
        <item m="1" x="104"/>
        <item m="1" x="105"/>
        <item m="1" x="107"/>
        <item m="1" x="108"/>
        <item m="1" x="110"/>
        <item m="1" x="111"/>
        <item m="1" x="112"/>
        <item m="1" x="113"/>
        <item m="1" x="114"/>
        <item m="1" x="115"/>
        <item m="1" x="118"/>
        <item m="1" x="119"/>
        <item m="1" x="120"/>
        <item m="1" x="121"/>
        <item m="1" x="122"/>
        <item m="1" x="1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multipleItemSelectionAllowed="1" showAll="0">
      <items count="22">
        <item h="1" m="1" x="16"/>
        <item h="1" m="1" x="14"/>
        <item h="1" m="1" x="20"/>
        <item h="1" m="1" x="15"/>
        <item h="1" m="1" x="19"/>
        <item h="1" m="1" x="11"/>
        <item h="1" m="1" x="18"/>
        <item m="1" x="12"/>
        <item h="1" m="1" x="13"/>
        <item h="1" m="1" x="17"/>
        <item h="1" m="1" x="10"/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t="default"/>
      </items>
    </pivotField>
    <pivotField showAll="0"/>
    <pivotField showAll="0"/>
    <pivotField showAll="0"/>
    <pivotField axis="axisRow" showAll="0" measureFilter="1" sortType="descending">
      <items count="178">
        <item m="1" x="84"/>
        <item m="1" x="105"/>
        <item m="1" x="82"/>
        <item m="1" x="81"/>
        <item m="1" x="80"/>
        <item m="1" x="76"/>
        <item m="1" x="71"/>
        <item m="1" x="74"/>
        <item m="1" x="147"/>
        <item m="1" x="137"/>
        <item m="1" x="146"/>
        <item m="1" x="96"/>
        <item m="1" x="135"/>
        <item m="1" x="128"/>
        <item m="1" x="110"/>
        <item m="1" x="136"/>
        <item m="1" x="86"/>
        <item m="1" x="139"/>
        <item m="1" x="165"/>
        <item m="1" x="127"/>
        <item m="1" x="83"/>
        <item m="1" x="109"/>
        <item m="1" x="168"/>
        <item m="1" x="134"/>
        <item m="1" x="126"/>
        <item m="1" x="175"/>
        <item m="1" x="104"/>
        <item m="1" x="164"/>
        <item m="1" x="123"/>
        <item m="1" x="138"/>
        <item m="1" x="162"/>
        <item m="1" x="108"/>
        <item m="1" x="115"/>
        <item m="1" x="172"/>
        <item m="1" x="161"/>
        <item m="1" x="133"/>
        <item m="1" x="174"/>
        <item m="1" x="132"/>
        <item m="1" x="143"/>
        <item m="1" x="167"/>
        <item m="1" x="131"/>
        <item m="1" x="163"/>
        <item m="1" x="160"/>
        <item m="1" x="114"/>
        <item m="1" x="103"/>
        <item m="1" x="85"/>
        <item m="1" x="154"/>
        <item m="1" x="79"/>
        <item m="1" x="142"/>
        <item m="1" x="101"/>
        <item m="1" x="149"/>
        <item m="1" x="100"/>
        <item m="1" x="125"/>
        <item m="1" x="173"/>
        <item m="1" x="153"/>
        <item m="1" x="72"/>
        <item m="1" x="113"/>
        <item m="1" x="130"/>
        <item m="1" x="78"/>
        <item m="1" x="166"/>
        <item m="1" x="155"/>
        <item m="1" x="140"/>
        <item m="1" x="148"/>
        <item m="1" x="141"/>
        <item m="1" x="111"/>
        <item m="1" x="124"/>
        <item m="1" x="106"/>
        <item m="1" x="102"/>
        <item m="1" x="95"/>
        <item m="1" x="152"/>
        <item m="1" x="99"/>
        <item m="1" x="112"/>
        <item m="1" x="107"/>
        <item m="1" x="98"/>
        <item m="1" x="75"/>
        <item m="1" x="171"/>
        <item m="1" x="145"/>
        <item m="1" x="97"/>
        <item m="1" x="94"/>
        <item m="1" x="144"/>
        <item m="1" x="93"/>
        <item m="1" x="129"/>
        <item m="1" x="159"/>
        <item m="1" x="158"/>
        <item m="1" x="92"/>
        <item m="1" x="77"/>
        <item m="1" x="157"/>
        <item m="1" x="122"/>
        <item m="1" x="91"/>
        <item m="1" x="176"/>
        <item m="1" x="90"/>
        <item m="1" x="151"/>
        <item m="1" x="73"/>
        <item m="1" x="150"/>
        <item m="1" x="89"/>
        <item m="1" x="88"/>
        <item m="1" x="156"/>
        <item m="1" x="87"/>
        <item m="1" x="121"/>
        <item m="1" x="120"/>
        <item m="1" x="119"/>
        <item m="1" x="170"/>
        <item m="1" x="118"/>
        <item m="1" x="117"/>
        <item m="1" x="169"/>
        <item m="1" x="116"/>
        <item x="11"/>
        <item x="6"/>
        <item x="2"/>
        <item x="31"/>
        <item x="5"/>
        <item x="0"/>
        <item x="3"/>
        <item x="66"/>
        <item x="68"/>
        <item x="33"/>
        <item x="14"/>
        <item x="21"/>
        <item x="65"/>
        <item x="54"/>
        <item x="37"/>
        <item x="64"/>
        <item x="63"/>
        <item x="67"/>
        <item x="13"/>
        <item x="59"/>
        <item x="40"/>
        <item x="27"/>
        <item x="26"/>
        <item x="36"/>
        <item x="53"/>
        <item x="30"/>
        <item x="50"/>
        <item x="35"/>
        <item x="10"/>
        <item x="43"/>
        <item x="62"/>
        <item x="61"/>
        <item x="60"/>
        <item x="42"/>
        <item x="70"/>
        <item x="12"/>
        <item x="9"/>
        <item x="25"/>
        <item x="52"/>
        <item x="1"/>
        <item x="41"/>
        <item x="44"/>
        <item x="58"/>
        <item x="8"/>
        <item x="38"/>
        <item x="51"/>
        <item x="32"/>
        <item x="28"/>
        <item x="39"/>
        <item x="23"/>
        <item x="34"/>
        <item x="24"/>
        <item x="4"/>
        <item x="22"/>
        <item x="55"/>
        <item x="20"/>
        <item x="19"/>
        <item x="56"/>
        <item x="29"/>
        <item x="18"/>
        <item x="7"/>
        <item x="17"/>
        <item x="16"/>
        <item x="15"/>
        <item x="69"/>
        <item x="57"/>
        <item x="49"/>
        <item x="48"/>
        <item x="47"/>
        <item x="46"/>
        <item x="4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4" showAll="0"/>
    <pivotField numFmtId="14" showAll="0"/>
    <pivotField numFmtId="14" showAll="0"/>
    <pivotField numFmtId="14" showAll="0"/>
    <pivotField showAll="0"/>
    <pivotField showAll="0"/>
    <pivotField dataField="1" numFmtId="2" showAll="0"/>
    <pivotField axis="axisPage" multipleItemSelectionAllowed="1" showAll="0">
      <items count="3">
        <item h="1" x="1"/>
        <item x="0"/>
        <item t="default"/>
      </items>
    </pivotField>
  </pivotFields>
  <rowFields count="2">
    <field x="0"/>
    <field x="6"/>
  </rowFields>
  <rowItems count="12">
    <i>
      <x v="128"/>
    </i>
    <i r="1">
      <x v="135"/>
    </i>
    <i>
      <x v="132"/>
    </i>
    <i r="1">
      <x v="173"/>
    </i>
    <i r="1">
      <x v="174"/>
    </i>
    <i>
      <x v="127"/>
    </i>
    <i r="1">
      <x v="139"/>
    </i>
    <i>
      <x v="137"/>
    </i>
    <i r="1">
      <x v="130"/>
    </i>
    <i>
      <x v="146"/>
    </i>
    <i r="1">
      <x v="137"/>
    </i>
    <i t="grand">
      <x/>
    </i>
  </rowItems>
  <colItems count="1">
    <i/>
  </colItems>
  <pageFields count="2">
    <pageField fld="2" hier="-1"/>
    <pageField fld="21" hier="-1"/>
  </pageFields>
  <dataFields count="1">
    <dataField name="Sum of Days Late" fld="20" baseField="0" baseItem="0" numFmtId="2"/>
  </dataFields>
  <chartFormats count="2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6" type="count" evalOrder="-1" id="2" iMeasureFld="0">
      <autoFilter ref="A1">
        <filterColumn colId="0">
          <top10 val="5" filterVal="5"/>
        </filterColumn>
      </autoFilter>
    </filter>
    <filter fld="0" type="count" evalOrder="-1" id="4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0C0235-8C31-48C5-8981-E117FD0C916A}" name="PivotTable1" cacheId="5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 chartFormat="8">
  <location ref="A4:B17" firstHeaderRow="1" firstDataRow="1" firstDataCol="1" rowPageCount="2" colPageCount="1"/>
  <pivotFields count="22">
    <pivotField axis="axisRow" showAll="0" measureFilter="1" sortType="descending">
      <items count="159">
        <item sd="0" m="1" x="91"/>
        <item sd="0" m="1" x="135"/>
        <item sd="0" m="1" x="109"/>
        <item sd="0" m="1" x="152"/>
        <item sd="0" m="1" x="101"/>
        <item sd="0" m="1" x="106"/>
        <item sd="0" m="1" x="73"/>
        <item sd="0" m="1" x="123"/>
        <item sd="0" m="1" x="143"/>
        <item sd="0" m="1" x="133"/>
        <item sd="0" m="1" x="153"/>
        <item sd="0" m="1" x="103"/>
        <item sd="0" m="1" x="88"/>
        <item sd="0" m="1" x="144"/>
        <item sd="0" m="1" x="154"/>
        <item sd="0" m="1" x="132"/>
        <item sd="0" m="1" x="139"/>
        <item sd="0" m="1" x="134"/>
        <item sd="0" m="1" x="96"/>
        <item sd="0" m="1" x="150"/>
        <item sd="0" m="1" x="138"/>
        <item sd="0" m="1" x="100"/>
        <item sd="0" m="1" x="137"/>
        <item sd="0" m="1" x="92"/>
        <item sd="0" m="1" x="125"/>
        <item sd="0" m="1" x="151"/>
        <item sd="0" m="1" x="131"/>
        <item sd="0" m="1" x="141"/>
        <item sd="0" m="1" x="146"/>
        <item sd="0" m="1" x="72"/>
        <item sd="0" m="1" x="87"/>
        <item sd="0" m="1" x="148"/>
        <item sd="0" m="1" x="145"/>
        <item sd="0" m="1" x="81"/>
        <item sd="0" m="1" x="116"/>
        <item sd="0" m="1" x="98"/>
        <item sd="0" m="1" x="75"/>
        <item sd="0" m="1" x="129"/>
        <item sd="0" m="1" x="128"/>
        <item sd="0" m="1" x="130"/>
        <item sd="0" m="1" x="99"/>
        <item sd="0" m="1" x="156"/>
        <item sd="0" m="1" x="155"/>
        <item sd="0" m="1" x="117"/>
        <item sd="0" m="1" x="147"/>
        <item sd="0" m="1" x="74"/>
        <item sd="0" m="1" x="79"/>
        <item m="1" x="126"/>
        <item m="1" x="127"/>
        <item sd="0" m="1" x="136"/>
        <item m="1" x="82"/>
        <item m="1" x="83"/>
        <item m="1" x="84"/>
        <item m="1" x="86"/>
        <item sd="0" m="1" x="140"/>
        <item m="1" x="93"/>
        <item m="1" x="142"/>
        <item m="1" x="149"/>
        <item m="1" x="157"/>
        <item m="1" x="65"/>
        <item m="1" x="66"/>
        <item m="1" x="67"/>
        <item m="1" x="68"/>
        <item m="1" x="69"/>
        <item m="1" x="70"/>
        <item m="1" x="71"/>
        <item m="1" x="76"/>
        <item m="1" x="77"/>
        <item m="1" x="78"/>
        <item m="1" x="80"/>
        <item m="1" x="85"/>
        <item m="1" x="89"/>
        <item m="1" x="90"/>
        <item m="1" x="94"/>
        <item m="1" x="95"/>
        <item m="1" x="97"/>
        <item m="1" x="102"/>
        <item m="1" x="104"/>
        <item m="1" x="105"/>
        <item m="1" x="107"/>
        <item m="1" x="108"/>
        <item m="1" x="110"/>
        <item m="1" x="111"/>
        <item m="1" x="112"/>
        <item m="1" x="113"/>
        <item m="1" x="114"/>
        <item m="1" x="115"/>
        <item m="1" x="118"/>
        <item m="1" x="119"/>
        <item m="1" x="120"/>
        <item m="1" x="121"/>
        <item m="1" x="122"/>
        <item m="1" x="1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multipleItemSelectionAllowed="1" showAll="0">
      <items count="22">
        <item h="1" m="1" x="16"/>
        <item h="1" m="1" x="14"/>
        <item h="1" m="1" x="20"/>
        <item h="1" m="1" x="15"/>
        <item h="1" m="1" x="19"/>
        <item h="1" m="1" x="11"/>
        <item h="1" m="1" x="18"/>
        <item m="1" x="12"/>
        <item h="1" m="1" x="13"/>
        <item h="1" m="1" x="17"/>
        <item h="1" m="1" x="10"/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t="default"/>
      </items>
    </pivotField>
    <pivotField showAll="0"/>
    <pivotField showAll="0"/>
    <pivotField showAll="0"/>
    <pivotField axis="axisRow" showAll="0" measureFilter="1" sortType="descending">
      <items count="178">
        <item m="1" x="116"/>
        <item m="1" x="169"/>
        <item m="1" x="118"/>
        <item m="1" x="170"/>
        <item m="1" x="121"/>
        <item m="1" x="150"/>
        <item m="1" x="151"/>
        <item m="1" x="157"/>
        <item m="1" x="77"/>
        <item m="1" x="144"/>
        <item m="1" x="97"/>
        <item m="1" x="145"/>
        <item m="1" x="171"/>
        <item m="1" x="107"/>
        <item m="1" x="152"/>
        <item m="1" x="95"/>
        <item m="1" x="102"/>
        <item m="1" x="124"/>
        <item m="1" x="111"/>
        <item m="1" x="141"/>
        <item m="1" x="148"/>
        <item m="1" x="155"/>
        <item m="1" x="173"/>
        <item m="1" x="101"/>
        <item m="1" x="142"/>
        <item m="1" x="154"/>
        <item m="1" x="103"/>
        <item m="1" x="114"/>
        <item m="1" x="160"/>
        <item m="1" x="163"/>
        <item m="1" x="131"/>
        <item m="1" x="167"/>
        <item m="1" x="143"/>
        <item m="1" x="174"/>
        <item m="1" x="161"/>
        <item m="1" x="172"/>
        <item m="1" x="115"/>
        <item m="1" x="108"/>
        <item m="1" x="162"/>
        <item m="1" x="138"/>
        <item m="1" x="164"/>
        <item m="1" x="175"/>
        <item m="1" x="168"/>
        <item m="1" x="165"/>
        <item m="1" x="136"/>
        <item m="1" x="96"/>
        <item m="1" x="146"/>
        <item m="1" x="139"/>
        <item m="1" x="147"/>
        <item m="1" x="140"/>
        <item m="1" x="75"/>
        <item m="1" x="78"/>
        <item m="1" x="79"/>
        <item m="1" x="149"/>
        <item m="1" x="88"/>
        <item m="1" x="89"/>
        <item m="1" x="90"/>
        <item m="1" x="92"/>
        <item m="1" x="94"/>
        <item m="1" x="98"/>
        <item m="1" x="153"/>
        <item m="1" x="156"/>
        <item m="1" x="158"/>
        <item m="1" x="159"/>
        <item m="1" x="166"/>
        <item m="1" x="113"/>
        <item m="1" x="176"/>
        <item m="1" x="71"/>
        <item m="1" x="72"/>
        <item m="1" x="73"/>
        <item m="1" x="74"/>
        <item m="1" x="76"/>
        <item m="1" x="80"/>
        <item m="1" x="81"/>
        <item m="1" x="82"/>
        <item m="1" x="83"/>
        <item m="1" x="84"/>
        <item m="1" x="85"/>
        <item m="1" x="86"/>
        <item m="1" x="87"/>
        <item m="1" x="91"/>
        <item m="1" x="93"/>
        <item m="1" x="99"/>
        <item m="1" x="100"/>
        <item m="1" x="104"/>
        <item m="1" x="105"/>
        <item m="1" x="106"/>
        <item m="1" x="109"/>
        <item m="1" x="110"/>
        <item m="1" x="112"/>
        <item m="1" x="117"/>
        <item m="1" x="119"/>
        <item m="1" x="120"/>
        <item m="1" x="122"/>
        <item m="1" x="123"/>
        <item m="1" x="125"/>
        <item m="1" x="126"/>
        <item m="1" x="127"/>
        <item m="1" x="128"/>
        <item m="1" x="129"/>
        <item m="1" x="130"/>
        <item m="1" x="132"/>
        <item m="1" x="133"/>
        <item m="1" x="134"/>
        <item m="1" x="135"/>
        <item m="1" x="13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dataField="1" showAll="0"/>
    <pivotField showAll="0"/>
    <pivotField numFmtId="14" showAll="0"/>
    <pivotField numFmtId="14" showAll="0"/>
    <pivotField numFmtId="14" showAll="0"/>
    <pivotField numFmtId="14" showAll="0"/>
    <pivotField showAll="0"/>
    <pivotField showAll="0"/>
    <pivotField numFmtId="2" showAll="0"/>
    <pivotField axis="axisPage" multipleItemSelectionAllowed="1" showAll="0">
      <items count="3">
        <item h="1" x="1"/>
        <item x="0"/>
        <item t="default"/>
      </items>
    </pivotField>
  </pivotFields>
  <rowFields count="2">
    <field x="0"/>
    <field x="6"/>
  </rowFields>
  <rowItems count="13">
    <i>
      <x v="132"/>
    </i>
    <i r="1">
      <x v="154"/>
    </i>
    <i r="1">
      <x v="153"/>
    </i>
    <i>
      <x v="119"/>
    </i>
    <i r="1">
      <x v="135"/>
    </i>
    <i r="1">
      <x v="137"/>
    </i>
    <i>
      <x v="128"/>
    </i>
    <i r="1">
      <x v="149"/>
    </i>
    <i>
      <x v="123"/>
    </i>
    <i r="1">
      <x v="144"/>
    </i>
    <i>
      <x v="143"/>
    </i>
    <i r="1">
      <x v="164"/>
    </i>
    <i t="grand">
      <x/>
    </i>
  </rowItems>
  <colItems count="1">
    <i/>
  </colItems>
  <pageFields count="2">
    <pageField fld="2" hier="-1"/>
    <pageField fld="21" hier="-1"/>
  </pageFields>
  <dataFields count="1">
    <dataField name="Sum of Open Net Sale Amt" fld="12" baseField="6" baseItem="202" numFmtId="16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6" type="count" evalOrder="-1" id="1" iMeasureFld="0">
      <autoFilter ref="A1">
        <filterColumn colId="0">
          <top10 val="5" filterVal="5"/>
        </filterColumn>
      </autoFilter>
    </filter>
    <filter fld="0" type="count" evalOrder="-1" id="3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810C4A-6F35-48EE-BC42-5A11AFA2C359}" name="Query1" displayName="Query1" ref="A5:V114" totalsRowShown="0">
  <autoFilter ref="A5:V114" xr:uid="{ED810C4A-6F35-48EE-BC42-5A11AFA2C359}"/>
  <tableColumns count="22">
    <tableColumn id="1" xr3:uid="{BC50F682-833B-4D33-8204-348CF7084700}" name="Item Number" dataDxfId="19"/>
    <tableColumn id="2" xr3:uid="{5B8FF098-49DC-4B3B-8D89-B63298ACD8B2}" name="Description" dataDxfId="18"/>
    <tableColumn id="3" xr3:uid="{E93CF34A-A55E-4457-98E6-AC36BA1C940A}" name="Dept" dataDxfId="17"/>
    <tableColumn id="4" xr3:uid="{1E36B624-14AD-4A36-8A3A-ACB10F8010E9}" name="Hold Status" dataDxfId="16"/>
    <tableColumn id="5" xr3:uid="{40100498-6918-4226-A651-05D3E5AE51B4}" name="Customer"/>
    <tableColumn id="6" xr3:uid="{19D1C89C-4081-4B77-87D1-1753FF40BF3D}" name="Customer Name" dataDxfId="15"/>
    <tableColumn id="7" xr3:uid="{93D4C70D-0FAF-4499-BD2B-B8B92A0D6AE6}" name="Order" dataDxfId="14"/>
    <tableColumn id="8" xr3:uid="{1CDBB7DD-DE20-4DF0-9672-9B75CEBDA295}" name="WHS" dataDxfId="13"/>
    <tableColumn id="9" xr3:uid="{EC07EBE1-0632-43AB-8843-74F04A271138}" name="QOH"/>
    <tableColumn id="10" xr3:uid="{AB2146FB-FABF-42A5-8B07-38A56D63D7BD}" name="QOH Cost"/>
    <tableColumn id="11" xr3:uid="{44ADA9CE-16F3-4F8E-8662-D892C22DFF21}" name="Open Qty in Order of UM"/>
    <tableColumn id="21" xr3:uid="{FFFC5377-A8E0-45E4-99A9-F0CA73C8315B}" name="Selling Price"/>
    <tableColumn id="12" xr3:uid="{028F31A0-2E59-4E5A-9D83-11E582DB7840}" name="Open Net Sale Amt"/>
    <tableColumn id="13" xr3:uid="{C231E5C6-96C7-48CD-8002-9FF245881384}" name="UOM" dataDxfId="12"/>
    <tableColumn id="14" xr3:uid="{F9E1017F-A3BB-4094-A1BF-2AB07AF71E09}" name="Create Date" dataDxfId="11"/>
    <tableColumn id="15" xr3:uid="{00CD9F5E-208E-4B8D-9C50-A6C0DED85007}" name="Promise Date" dataDxfId="10"/>
    <tableColumn id="16" xr3:uid="{345EC15A-E0DE-443B-9445-72A2B3673E75}" name="Request Date" dataDxfId="9"/>
    <tableColumn id="17" xr3:uid="{9A89D299-2CFD-4A27-81EB-8349054494DA}" name="Manufacturing Date" dataDxfId="8"/>
    <tableColumn id="18" xr3:uid="{E37E9930-8639-4C53-B772-07DED70665F2}" name="BackOrder Qty"/>
    <tableColumn id="19" xr3:uid="{34D204B8-6F89-4C1C-B455-D80F4E71C2A5}" name="Line item Status" dataDxfId="7"/>
    <tableColumn id="20" xr3:uid="{4ABB7C34-8E6E-4B0E-BFDB-16A64E376DAC}" name="Days Late" dataDxfId="6">
      <calculatedColumnFormula>IF(Query1[[#This Row],[Promise Date]]="", "", TODAY() -Query1[[#This Row],[Promise Date]])</calculatedColumnFormula>
    </tableColumn>
    <tableColumn id="22" xr3:uid="{B59ADBEA-1F7C-4338-B2BA-BA9829447A9D}" name="IsLate">
      <calculatedColumnFormula>IF(Query1[[#This Row],[Days Late]]&gt;0, "Yes", "No")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69F763-C118-49A5-AE3D-1F5BF0336123}" name="Parameters" displayName="Parameters" ref="A1:B3" totalsRowShown="0">
  <autoFilter ref="A1:B3" xr:uid="{BD69F763-C118-49A5-AE3D-1F5BF0336123}"/>
  <tableColumns count="2">
    <tableColumn id="1" xr3:uid="{DEFEA034-3035-49DC-8EE9-F85A9FB9D662}" name="Parameter"/>
    <tableColumn id="2" xr3:uid="{D969A20C-0E7E-4529-94A6-EC4CDC8EAF00}" name="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AAB3E-BEE1-41EB-9D3A-F01150FCBB59}">
  <dimension ref="A1:Z39"/>
  <sheetViews>
    <sheetView tabSelected="1" workbookViewId="0">
      <selection activeCell="C37" sqref="C37:N39"/>
    </sheetView>
  </sheetViews>
  <sheetFormatPr defaultColWidth="9.140625" defaultRowHeight="15.75" x14ac:dyDescent="0.25"/>
  <cols>
    <col min="1" max="1" width="1.140625" style="13" customWidth="1"/>
    <col min="2" max="13" width="9.140625" style="13"/>
    <col min="14" max="14" width="10.140625" style="13" customWidth="1"/>
    <col min="15" max="15" width="9.140625" style="13"/>
    <col min="16" max="16" width="1.140625" style="13" customWidth="1"/>
    <col min="17" max="17" width="9.140625" style="13"/>
    <col min="18" max="18" width="9.5703125" style="13" customWidth="1"/>
    <col min="19" max="19" width="15.140625" style="13" bestFit="1" customWidth="1"/>
    <col min="20" max="20" width="10.7109375" style="13" bestFit="1" customWidth="1"/>
    <col min="21" max="21" width="8.7109375" style="13" bestFit="1" customWidth="1"/>
    <col min="22" max="22" width="14.5703125" style="13" bestFit="1" customWidth="1"/>
    <col min="23" max="23" width="12.7109375" style="13" bestFit="1" customWidth="1"/>
    <col min="24" max="24" width="9.140625" style="13"/>
    <col min="25" max="25" width="9.7109375" style="13" hidden="1" customWidth="1"/>
    <col min="26" max="26" width="9.140625" style="13" hidden="1" customWidth="1"/>
    <col min="27" max="16384" width="9.140625" style="13"/>
  </cols>
  <sheetData>
    <row r="1" spans="1:26" x14ac:dyDescent="0.25">
      <c r="A1" s="10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2"/>
    </row>
    <row r="2" spans="1:26" x14ac:dyDescent="0.25">
      <c r="A2" s="14"/>
      <c r="B2" s="15" t="s">
        <v>39</v>
      </c>
      <c r="C2" s="15"/>
      <c r="D2" s="15"/>
      <c r="H2" s="15"/>
      <c r="I2" s="15"/>
      <c r="J2" s="15"/>
      <c r="K2" s="15"/>
      <c r="L2" s="15"/>
      <c r="M2" s="39"/>
      <c r="N2" s="39"/>
      <c r="O2" s="39"/>
      <c r="P2" s="16"/>
      <c r="Y2" s="13" t="s">
        <v>40</v>
      </c>
    </row>
    <row r="3" spans="1:26" x14ac:dyDescent="0.25">
      <c r="A3" s="14"/>
      <c r="B3" s="40" t="s">
        <v>41</v>
      </c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16"/>
      <c r="R3"/>
      <c r="S3"/>
      <c r="T3"/>
      <c r="U3"/>
      <c r="V3"/>
      <c r="W3"/>
      <c r="X3"/>
      <c r="Y3" s="13" t="str">
        <f ca="1">TEXT(Z3, "mmm")</f>
        <v>Aug</v>
      </c>
      <c r="Z3" s="17">
        <f ca="1">TODAY()</f>
        <v>45894</v>
      </c>
    </row>
    <row r="4" spans="1:26" x14ac:dyDescent="0.25">
      <c r="A4" s="14"/>
      <c r="B4" s="41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3"/>
      <c r="P4" s="16"/>
      <c r="R4"/>
      <c r="S4"/>
      <c r="T4"/>
      <c r="U4" s="3"/>
      <c r="V4"/>
      <c r="W4" s="3"/>
      <c r="X4" s="3"/>
      <c r="Z4" s="13" t="str">
        <f ca="1">_xlfn.CONCAT(Y3," Top 5 Past Due by Days Late")</f>
        <v>Aug Top 5 Past Due by Days Late</v>
      </c>
    </row>
    <row r="5" spans="1:26" x14ac:dyDescent="0.25">
      <c r="A5" s="14"/>
      <c r="B5" s="44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45"/>
      <c r="P5" s="16"/>
      <c r="Z5" s="13" t="str">
        <f ca="1">_xlfn.CONCAT(Y3, " Top 5 Past Due by Dollars")</f>
        <v>Aug Top 5 Past Due by Dollars</v>
      </c>
    </row>
    <row r="6" spans="1:26" x14ac:dyDescent="0.25">
      <c r="A6" s="14"/>
      <c r="B6" s="44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45"/>
      <c r="P6" s="16"/>
    </row>
    <row r="7" spans="1:26" x14ac:dyDescent="0.25">
      <c r="A7" s="14"/>
      <c r="B7" s="44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45"/>
      <c r="P7" s="16"/>
    </row>
    <row r="8" spans="1:26" x14ac:dyDescent="0.25">
      <c r="A8" s="14"/>
      <c r="B8" s="44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45"/>
      <c r="P8" s="16"/>
    </row>
    <row r="9" spans="1:26" x14ac:dyDescent="0.25">
      <c r="A9" s="14"/>
      <c r="B9" s="44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45"/>
      <c r="P9" s="16"/>
    </row>
    <row r="10" spans="1:26" x14ac:dyDescent="0.25">
      <c r="A10" s="14"/>
      <c r="B10" s="44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45"/>
      <c r="P10" s="16"/>
    </row>
    <row r="11" spans="1:26" x14ac:dyDescent="0.25">
      <c r="A11" s="14"/>
      <c r="B11" s="44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45"/>
      <c r="P11" s="16"/>
    </row>
    <row r="12" spans="1:26" x14ac:dyDescent="0.25">
      <c r="A12" s="14"/>
      <c r="B12" s="44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45"/>
      <c r="P12" s="16"/>
    </row>
    <row r="13" spans="1:26" x14ac:dyDescent="0.25">
      <c r="A13" s="14"/>
      <c r="B13" s="44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45"/>
      <c r="P13" s="16"/>
    </row>
    <row r="14" spans="1:26" x14ac:dyDescent="0.25">
      <c r="A14" s="14"/>
      <c r="B14" s="44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45"/>
      <c r="P14" s="16"/>
    </row>
    <row r="15" spans="1:26" x14ac:dyDescent="0.25">
      <c r="A15" s="14"/>
      <c r="B15" s="44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45"/>
      <c r="P15" s="16"/>
      <c r="S15" s="18"/>
      <c r="V15" s="17"/>
    </row>
    <row r="16" spans="1:26" x14ac:dyDescent="0.25">
      <c r="A16" s="14"/>
      <c r="B16" s="44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45"/>
      <c r="P16" s="16"/>
      <c r="S16" s="18"/>
      <c r="V16" s="17"/>
    </row>
    <row r="17" spans="1:20" x14ac:dyDescent="0.25">
      <c r="A17" s="14"/>
      <c r="B17" s="44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45"/>
      <c r="P17" s="16"/>
      <c r="S17" s="18"/>
    </row>
    <row r="18" spans="1:20" x14ac:dyDescent="0.25">
      <c r="A18" s="14"/>
      <c r="B18" s="44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45"/>
      <c r="P18" s="16"/>
      <c r="S18" s="18"/>
    </row>
    <row r="19" spans="1:20" x14ac:dyDescent="0.25">
      <c r="A19" s="14"/>
      <c r="B19" s="44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45"/>
      <c r="P19" s="16"/>
      <c r="S19" s="18"/>
    </row>
    <row r="20" spans="1:20" x14ac:dyDescent="0.25">
      <c r="A20" s="14"/>
      <c r="B20" s="44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45"/>
      <c r="P20" s="16"/>
      <c r="S20" s="18"/>
    </row>
    <row r="21" spans="1:20" x14ac:dyDescent="0.25">
      <c r="A21" s="14"/>
      <c r="B21" s="44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45"/>
      <c r="P21" s="16"/>
      <c r="S21" s="18"/>
    </row>
    <row r="22" spans="1:20" x14ac:dyDescent="0.25">
      <c r="A22" s="14"/>
      <c r="B22" s="44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45"/>
      <c r="P22" s="16"/>
      <c r="S22" s="18"/>
    </row>
    <row r="23" spans="1:20" x14ac:dyDescent="0.25">
      <c r="A23" s="14"/>
      <c r="B23" s="44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45"/>
      <c r="P23" s="16"/>
      <c r="S23" s="18"/>
    </row>
    <row r="24" spans="1:20" x14ac:dyDescent="0.25">
      <c r="A24" s="14"/>
      <c r="B24" s="44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45"/>
      <c r="P24" s="16"/>
      <c r="S24" s="18"/>
    </row>
    <row r="25" spans="1:20" x14ac:dyDescent="0.25">
      <c r="A25" s="14"/>
      <c r="B25" s="46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8"/>
      <c r="P25" s="16"/>
      <c r="S25" s="18"/>
    </row>
    <row r="26" spans="1:20" x14ac:dyDescent="0.25">
      <c r="A26" s="14"/>
      <c r="B26" s="40" t="s">
        <v>43</v>
      </c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16"/>
      <c r="T26" s="18"/>
    </row>
    <row r="27" spans="1:20" x14ac:dyDescent="0.25">
      <c r="A27" s="14"/>
      <c r="B27" s="49" t="s">
        <v>44</v>
      </c>
      <c r="C27" s="49"/>
      <c r="D27" s="49"/>
      <c r="E27" s="49"/>
      <c r="F27" s="49" t="s">
        <v>45</v>
      </c>
      <c r="G27" s="49"/>
      <c r="H27" s="49"/>
      <c r="I27" s="49" t="s">
        <v>46</v>
      </c>
      <c r="J27" s="49"/>
      <c r="K27" s="19" t="s">
        <v>47</v>
      </c>
      <c r="L27" s="19" t="s">
        <v>42</v>
      </c>
      <c r="M27" s="49" t="s">
        <v>48</v>
      </c>
      <c r="N27" s="49"/>
      <c r="O27" s="49"/>
      <c r="P27" s="16"/>
      <c r="T27" s="18"/>
    </row>
    <row r="28" spans="1:20" x14ac:dyDescent="0.25">
      <c r="A28" s="14"/>
      <c r="B28" s="37"/>
      <c r="C28" s="37"/>
      <c r="D28" s="37"/>
      <c r="E28" s="37"/>
      <c r="F28" s="37"/>
      <c r="G28" s="37"/>
      <c r="H28" s="37"/>
      <c r="I28" s="37"/>
      <c r="J28" s="37"/>
      <c r="K28" s="38"/>
      <c r="L28" s="37"/>
      <c r="M28" s="37"/>
      <c r="N28" s="37"/>
      <c r="O28" s="37"/>
      <c r="P28" s="16"/>
      <c r="T28" s="18"/>
    </row>
    <row r="29" spans="1:20" x14ac:dyDescent="0.25">
      <c r="A29" s="14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16"/>
      <c r="T29" s="18"/>
    </row>
    <row r="30" spans="1:20" x14ac:dyDescent="0.25">
      <c r="A30" s="14"/>
      <c r="B30" s="37"/>
      <c r="C30" s="37"/>
      <c r="D30" s="37"/>
      <c r="E30" s="37"/>
      <c r="F30" s="37"/>
      <c r="G30" s="37"/>
      <c r="H30" s="37"/>
      <c r="I30" s="37"/>
      <c r="J30" s="37"/>
      <c r="K30" s="38"/>
      <c r="L30" s="37"/>
      <c r="M30" s="37"/>
      <c r="N30" s="37"/>
      <c r="O30" s="37"/>
      <c r="P30" s="16"/>
      <c r="T30" s="18"/>
    </row>
    <row r="31" spans="1:20" x14ac:dyDescent="0.25">
      <c r="A31" s="14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16"/>
      <c r="T31" s="18"/>
    </row>
    <row r="32" spans="1:20" x14ac:dyDescent="0.25">
      <c r="A32" s="14"/>
      <c r="B32" s="37"/>
      <c r="C32" s="37"/>
      <c r="D32" s="37"/>
      <c r="E32" s="37"/>
      <c r="F32" s="37"/>
      <c r="G32" s="37"/>
      <c r="H32" s="37"/>
      <c r="I32" s="37"/>
      <c r="J32" s="37"/>
      <c r="K32" s="38"/>
      <c r="L32" s="37"/>
      <c r="M32" s="37"/>
      <c r="N32" s="37"/>
      <c r="O32" s="37"/>
      <c r="P32" s="16"/>
    </row>
    <row r="33" spans="1:16" x14ac:dyDescent="0.25">
      <c r="A33" s="14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16"/>
    </row>
    <row r="34" spans="1:16" x14ac:dyDescent="0.25">
      <c r="A34" s="14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16"/>
    </row>
    <row r="35" spans="1:16" s="24" customFormat="1" x14ac:dyDescent="0.25">
      <c r="A35" s="20"/>
      <c r="B35" s="21" t="s">
        <v>49</v>
      </c>
      <c r="C35" s="21"/>
      <c r="D35" s="22">
        <v>1</v>
      </c>
      <c r="E35" s="33" t="s">
        <v>50</v>
      </c>
      <c r="F35" s="34"/>
      <c r="G35" s="35"/>
      <c r="H35" s="21">
        <v>2</v>
      </c>
      <c r="I35" s="33" t="s">
        <v>51</v>
      </c>
      <c r="J35" s="34"/>
      <c r="K35" s="35"/>
      <c r="L35" s="21">
        <v>3</v>
      </c>
      <c r="M35" s="33" t="s">
        <v>52</v>
      </c>
      <c r="N35" s="34"/>
      <c r="O35" s="35"/>
      <c r="P35" s="23"/>
    </row>
    <row r="36" spans="1:16" x14ac:dyDescent="0.25">
      <c r="A36" s="14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16"/>
    </row>
    <row r="37" spans="1:16" x14ac:dyDescent="0.25">
      <c r="A37" s="14"/>
      <c r="C37" s="25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7"/>
      <c r="P37" s="16"/>
    </row>
    <row r="38" spans="1:16" x14ac:dyDescent="0.25">
      <c r="A38" s="14"/>
      <c r="C38" s="18"/>
      <c r="H38" s="18"/>
      <c r="P38" s="16"/>
    </row>
    <row r="39" spans="1:16" ht="16.5" thickBot="1" x14ac:dyDescent="0.3">
      <c r="A39" s="28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30"/>
    </row>
  </sheetData>
  <mergeCells count="31">
    <mergeCell ref="M28:O29"/>
    <mergeCell ref="M2:O2"/>
    <mergeCell ref="B3:O3"/>
    <mergeCell ref="B4:O25"/>
    <mergeCell ref="B26:O26"/>
    <mergeCell ref="B27:E27"/>
    <mergeCell ref="F27:H27"/>
    <mergeCell ref="I27:J27"/>
    <mergeCell ref="M27:O27"/>
    <mergeCell ref="B28:E29"/>
    <mergeCell ref="F28:H29"/>
    <mergeCell ref="I28:J29"/>
    <mergeCell ref="K28:K29"/>
    <mergeCell ref="L28:L29"/>
    <mergeCell ref="M32:O33"/>
    <mergeCell ref="B30:E31"/>
    <mergeCell ref="F30:H31"/>
    <mergeCell ref="I30:J31"/>
    <mergeCell ref="K30:K31"/>
    <mergeCell ref="L30:L31"/>
    <mergeCell ref="M30:O31"/>
    <mergeCell ref="B32:E33"/>
    <mergeCell ref="F32:H33"/>
    <mergeCell ref="I32:J33"/>
    <mergeCell ref="K32:K33"/>
    <mergeCell ref="L32:L33"/>
    <mergeCell ref="B34:O34"/>
    <mergeCell ref="E35:G35"/>
    <mergeCell ref="I35:K35"/>
    <mergeCell ref="M35:O35"/>
    <mergeCell ref="B36:O36"/>
  </mergeCells>
  <conditionalFormatting sqref="B34 B35:E35 H35:I35 L35:M35">
    <cfRule type="cellIs" dxfId="5" priority="4" operator="equal">
      <formula>3</formula>
    </cfRule>
    <cfRule type="cellIs" dxfId="4" priority="5" operator="equal">
      <formula>2</formula>
    </cfRule>
    <cfRule type="cellIs" dxfId="3" priority="6" operator="equal">
      <formula>1</formula>
    </cfRule>
  </conditionalFormatting>
  <conditionalFormatting sqref="B27:O33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dataValidations count="1">
    <dataValidation type="whole" allowBlank="1" showInputMessage="1" showErrorMessage="1" sqref="L28:L33" xr:uid="{3F5AF75A-EC24-4820-B510-0D616313000A}">
      <formula1>1</formula1>
      <formula2>3</formula2>
    </dataValidation>
  </dataValidations>
  <pageMargins left="0.25" right="0.25" top="0.75" bottom="0.75" header="0.3" footer="0.3"/>
  <pageSetup scale="8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77094-D2D6-4E28-B347-8B173F1D2E22}">
  <dimension ref="A1:B16"/>
  <sheetViews>
    <sheetView workbookViewId="0">
      <selection activeCell="E17" sqref="E17"/>
    </sheetView>
  </sheetViews>
  <sheetFormatPr defaultRowHeight="15" x14ac:dyDescent="0.25"/>
  <cols>
    <col min="1" max="1" width="13.42578125" bestFit="1" customWidth="1"/>
    <col min="2" max="2" width="16.5703125" bestFit="1" customWidth="1"/>
    <col min="4" max="4" width="15.28515625" bestFit="1" customWidth="1"/>
    <col min="5" max="5" width="15.85546875" bestFit="1" customWidth="1"/>
  </cols>
  <sheetData>
    <row r="1" spans="1:2" x14ac:dyDescent="0.25">
      <c r="A1" s="9" t="s">
        <v>2</v>
      </c>
      <c r="B1" t="s">
        <v>183</v>
      </c>
    </row>
    <row r="2" spans="1:2" x14ac:dyDescent="0.25">
      <c r="A2" s="9" t="s">
        <v>32</v>
      </c>
      <c r="B2" t="s">
        <v>33</v>
      </c>
    </row>
    <row r="4" spans="1:2" x14ac:dyDescent="0.25">
      <c r="A4" s="9" t="s">
        <v>34</v>
      </c>
      <c r="B4" t="s">
        <v>37</v>
      </c>
    </row>
    <row r="5" spans="1:2" x14ac:dyDescent="0.25">
      <c r="A5" s="6" t="s">
        <v>89</v>
      </c>
      <c r="B5" s="4">
        <v>150</v>
      </c>
    </row>
    <row r="6" spans="1:2" x14ac:dyDescent="0.25">
      <c r="A6" s="31">
        <v>2034970</v>
      </c>
      <c r="B6" s="4">
        <v>150</v>
      </c>
    </row>
    <row r="7" spans="1:2" x14ac:dyDescent="0.25">
      <c r="A7" s="6" t="s">
        <v>93</v>
      </c>
      <c r="B7" s="4">
        <v>150</v>
      </c>
    </row>
    <row r="8" spans="1:2" x14ac:dyDescent="0.25">
      <c r="A8" s="31">
        <v>1408935</v>
      </c>
      <c r="B8" s="4">
        <v>138</v>
      </c>
    </row>
    <row r="9" spans="1:2" x14ac:dyDescent="0.25">
      <c r="A9" s="31">
        <v>1407818</v>
      </c>
      <c r="B9" s="4">
        <v>12</v>
      </c>
    </row>
    <row r="10" spans="1:2" x14ac:dyDescent="0.25">
      <c r="A10" s="6" t="s">
        <v>88</v>
      </c>
      <c r="B10" s="4">
        <v>147</v>
      </c>
    </row>
    <row r="11" spans="1:2" x14ac:dyDescent="0.25">
      <c r="A11" s="31">
        <v>2033489</v>
      </c>
      <c r="B11" s="4">
        <v>147</v>
      </c>
    </row>
    <row r="12" spans="1:2" x14ac:dyDescent="0.25">
      <c r="A12" s="6" t="s">
        <v>98</v>
      </c>
      <c r="B12" s="4">
        <v>73</v>
      </c>
    </row>
    <row r="13" spans="1:2" x14ac:dyDescent="0.25">
      <c r="A13" s="31">
        <v>2035926</v>
      </c>
      <c r="B13" s="4">
        <v>73</v>
      </c>
    </row>
    <row r="14" spans="1:2" x14ac:dyDescent="0.25">
      <c r="A14" s="6" t="s">
        <v>107</v>
      </c>
      <c r="B14" s="4">
        <v>53</v>
      </c>
    </row>
    <row r="15" spans="1:2" x14ac:dyDescent="0.25">
      <c r="A15" s="31">
        <v>2034329</v>
      </c>
      <c r="B15" s="4">
        <v>53</v>
      </c>
    </row>
    <row r="16" spans="1:2" x14ac:dyDescent="0.25">
      <c r="A16" s="6" t="s">
        <v>38</v>
      </c>
      <c r="B16" s="4">
        <v>573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40C9F-2985-4D7E-AD8B-EED774CFFF37}">
  <dimension ref="A1:E17"/>
  <sheetViews>
    <sheetView workbookViewId="0">
      <selection activeCell="B5" sqref="B5"/>
    </sheetView>
  </sheetViews>
  <sheetFormatPr defaultRowHeight="15" x14ac:dyDescent="0.25"/>
  <cols>
    <col min="1" max="1" width="13.42578125" bestFit="1" customWidth="1"/>
    <col min="2" max="2" width="25" customWidth="1"/>
    <col min="4" max="4" width="15.42578125" bestFit="1" customWidth="1"/>
    <col min="5" max="5" width="15.85546875" bestFit="1" customWidth="1"/>
  </cols>
  <sheetData>
    <row r="1" spans="1:5" x14ac:dyDescent="0.25">
      <c r="A1" s="9" t="s">
        <v>2</v>
      </c>
      <c r="B1" t="s">
        <v>183</v>
      </c>
    </row>
    <row r="2" spans="1:5" x14ac:dyDescent="0.25">
      <c r="A2" s="9" t="s">
        <v>32</v>
      </c>
      <c r="B2" t="s">
        <v>33</v>
      </c>
    </row>
    <row r="4" spans="1:5" x14ac:dyDescent="0.25">
      <c r="A4" s="9" t="s">
        <v>34</v>
      </c>
      <c r="B4" t="s">
        <v>35</v>
      </c>
      <c r="D4" t="s">
        <v>36</v>
      </c>
      <c r="E4" t="s">
        <v>37</v>
      </c>
    </row>
    <row r="5" spans="1:5" x14ac:dyDescent="0.25">
      <c r="A5" s="6" t="s">
        <v>93</v>
      </c>
      <c r="B5" s="7">
        <v>442958</v>
      </c>
      <c r="D5" t="str">
        <f>IF(OR(A5="Grand Total", A5=""), "", A5)</f>
        <v>Item40</v>
      </c>
      <c r="E5" s="8">
        <f t="shared" ref="E5:E9" si="0">IF(OR(A5="Grand Total", A5=""), "", B5)</f>
        <v>442958</v>
      </c>
    </row>
    <row r="6" spans="1:5" x14ac:dyDescent="0.25">
      <c r="A6" s="31">
        <v>1408935</v>
      </c>
      <c r="B6" s="7">
        <v>384148</v>
      </c>
      <c r="D6">
        <f t="shared" ref="D6:D9" si="1">IF(OR(A6="Grand Total", A6=""), "", A6)</f>
        <v>1408935</v>
      </c>
      <c r="E6" s="8">
        <f t="shared" si="0"/>
        <v>384148</v>
      </c>
    </row>
    <row r="7" spans="1:5" x14ac:dyDescent="0.25">
      <c r="A7" s="31">
        <v>1407818</v>
      </c>
      <c r="B7" s="7">
        <v>58810</v>
      </c>
      <c r="D7">
        <f t="shared" si="1"/>
        <v>1407818</v>
      </c>
      <c r="E7" s="8">
        <f t="shared" si="0"/>
        <v>58810</v>
      </c>
    </row>
    <row r="8" spans="1:5" x14ac:dyDescent="0.25">
      <c r="A8" s="6" t="s">
        <v>80</v>
      </c>
      <c r="B8" s="7">
        <v>421892</v>
      </c>
      <c r="D8" t="str">
        <f t="shared" si="1"/>
        <v>Item27</v>
      </c>
      <c r="E8" s="8">
        <f t="shared" si="0"/>
        <v>421892</v>
      </c>
    </row>
    <row r="9" spans="1:5" x14ac:dyDescent="0.25">
      <c r="A9" s="31">
        <v>2022787</v>
      </c>
      <c r="B9" s="7">
        <v>293344</v>
      </c>
      <c r="D9">
        <f t="shared" si="1"/>
        <v>2022787</v>
      </c>
      <c r="E9" s="8">
        <f t="shared" si="0"/>
        <v>293344</v>
      </c>
    </row>
    <row r="10" spans="1:5" x14ac:dyDescent="0.25">
      <c r="A10" s="31">
        <v>2041355</v>
      </c>
      <c r="B10" s="7">
        <v>128548</v>
      </c>
    </row>
    <row r="11" spans="1:5" x14ac:dyDescent="0.25">
      <c r="A11" s="6" t="s">
        <v>89</v>
      </c>
      <c r="B11" s="7">
        <v>228589</v>
      </c>
    </row>
    <row r="12" spans="1:5" x14ac:dyDescent="0.25">
      <c r="A12" s="31">
        <v>2034970</v>
      </c>
      <c r="B12" s="7">
        <v>228589</v>
      </c>
    </row>
    <row r="13" spans="1:5" x14ac:dyDescent="0.25">
      <c r="A13" s="6" t="s">
        <v>84</v>
      </c>
      <c r="B13" s="7">
        <v>219138</v>
      </c>
    </row>
    <row r="14" spans="1:5" x14ac:dyDescent="0.25">
      <c r="A14" s="31">
        <v>2030834</v>
      </c>
      <c r="B14" s="7">
        <v>219138</v>
      </c>
    </row>
    <row r="15" spans="1:5" x14ac:dyDescent="0.25">
      <c r="A15" s="6" t="s">
        <v>104</v>
      </c>
      <c r="B15" s="7">
        <v>214260</v>
      </c>
    </row>
    <row r="16" spans="1:5" x14ac:dyDescent="0.25">
      <c r="A16" s="31">
        <v>2031762</v>
      </c>
      <c r="B16" s="7">
        <v>214260</v>
      </c>
    </row>
    <row r="17" spans="1:2" x14ac:dyDescent="0.25">
      <c r="A17" s="6" t="s">
        <v>38</v>
      </c>
      <c r="B17" s="7">
        <v>1526837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9BD82-3134-47EA-8AEE-2BE0E842A9A1}">
  <dimension ref="A1:V114"/>
  <sheetViews>
    <sheetView workbookViewId="0">
      <selection activeCell="J11" sqref="J11"/>
    </sheetView>
  </sheetViews>
  <sheetFormatPr defaultRowHeight="15" x14ac:dyDescent="0.25"/>
  <cols>
    <col min="1" max="1" width="18.42578125" bestFit="1" customWidth="1"/>
    <col min="2" max="2" width="34.140625" bestFit="1" customWidth="1"/>
    <col min="3" max="3" width="7.7109375" bestFit="1" customWidth="1"/>
    <col min="4" max="4" width="13.7109375" bestFit="1" customWidth="1"/>
    <col min="5" max="5" width="12.28515625" bestFit="1" customWidth="1"/>
    <col min="6" max="6" width="39.5703125" bestFit="1" customWidth="1"/>
    <col min="7" max="7" width="8.42578125" bestFit="1" customWidth="1"/>
    <col min="8" max="8" width="7.7109375" bestFit="1" customWidth="1"/>
    <col min="9" max="9" width="7.5703125" bestFit="1" customWidth="1"/>
    <col min="10" max="10" width="12.28515625" bestFit="1" customWidth="1"/>
    <col min="11" max="11" width="25.42578125" bestFit="1" customWidth="1"/>
    <col min="12" max="12" width="14.42578125" bestFit="1" customWidth="1"/>
    <col min="13" max="13" width="20.42578125" bestFit="1" customWidth="1"/>
    <col min="14" max="14" width="7.5703125" bestFit="1" customWidth="1"/>
    <col min="15" max="15" width="14.140625" bestFit="1" customWidth="1"/>
    <col min="16" max="16" width="15.5703125" bestFit="1" customWidth="1"/>
    <col min="17" max="17" width="15.7109375" bestFit="1" customWidth="1"/>
    <col min="18" max="18" width="21.140625" bestFit="1" customWidth="1"/>
    <col min="19" max="19" width="16.28515625" bestFit="1" customWidth="1"/>
    <col min="20" max="20" width="18" bestFit="1" customWidth="1"/>
    <col min="21" max="21" width="12" style="5" bestFit="1" customWidth="1"/>
    <col min="22" max="22" width="8.7109375" bestFit="1" customWidth="1"/>
  </cols>
  <sheetData>
    <row r="1" spans="1:22" x14ac:dyDescent="0.25">
      <c r="A1" t="s">
        <v>25</v>
      </c>
      <c r="B1" t="s">
        <v>26</v>
      </c>
    </row>
    <row r="2" spans="1:22" x14ac:dyDescent="0.25">
      <c r="A2" t="s">
        <v>27</v>
      </c>
      <c r="B2">
        <v>20220501</v>
      </c>
      <c r="D2" t="s">
        <v>29</v>
      </c>
    </row>
    <row r="3" spans="1:22" x14ac:dyDescent="0.25">
      <c r="A3" t="s">
        <v>28</v>
      </c>
      <c r="B3" t="str">
        <f ca="1">TEXT(TODAY(), "yyyymmdd")</f>
        <v>20250825</v>
      </c>
    </row>
    <row r="5" spans="1:22" x14ac:dyDescent="0.25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L5" t="s">
        <v>30</v>
      </c>
      <c r="M5" t="s">
        <v>11</v>
      </c>
      <c r="N5" t="s">
        <v>12</v>
      </c>
      <c r="O5" t="s">
        <v>13</v>
      </c>
      <c r="P5" t="s">
        <v>14</v>
      </c>
      <c r="Q5" t="s">
        <v>15</v>
      </c>
      <c r="R5" t="s">
        <v>16</v>
      </c>
      <c r="S5" t="s">
        <v>17</v>
      </c>
      <c r="T5" t="s">
        <v>18</v>
      </c>
      <c r="U5" s="5" t="s">
        <v>31</v>
      </c>
      <c r="V5" t="s">
        <v>32</v>
      </c>
    </row>
    <row r="6" spans="1:22" x14ac:dyDescent="0.25">
      <c r="A6" s="1" t="s">
        <v>54</v>
      </c>
      <c r="B6" s="1" t="s">
        <v>119</v>
      </c>
      <c r="C6" s="1" t="s">
        <v>182</v>
      </c>
      <c r="D6" s="1" t="s">
        <v>19</v>
      </c>
      <c r="E6">
        <v>20076715</v>
      </c>
      <c r="F6" s="1" t="s">
        <v>192</v>
      </c>
      <c r="G6" s="1">
        <v>2040464</v>
      </c>
      <c r="H6" s="1" t="s">
        <v>221</v>
      </c>
      <c r="I6">
        <v>0</v>
      </c>
      <c r="J6">
        <v>0</v>
      </c>
      <c r="K6">
        <v>260</v>
      </c>
      <c r="L6">
        <v>47572</v>
      </c>
      <c r="M6">
        <v>291822</v>
      </c>
      <c r="N6" s="1" t="s">
        <v>20</v>
      </c>
      <c r="O6" s="2">
        <v>45845</v>
      </c>
      <c r="P6" s="2">
        <v>45870</v>
      </c>
      <c r="Q6" s="2">
        <v>45870</v>
      </c>
      <c r="R6" s="2">
        <v>45870</v>
      </c>
      <c r="S6">
        <v>0</v>
      </c>
      <c r="T6" s="1" t="s">
        <v>21</v>
      </c>
      <c r="U6" s="5">
        <f ca="1">IF(Query1[[#This Row],[Promise Date]]="", "", TODAY() -Query1[[#This Row],[Promise Date]])</f>
        <v>24</v>
      </c>
      <c r="V6" t="str">
        <f ca="1">IF(Query1[[#This Row],[Days Late]]&gt;0, "Yes", "No")</f>
        <v>Yes</v>
      </c>
    </row>
    <row r="7" spans="1:22" x14ac:dyDescent="0.25">
      <c r="A7" s="1" t="s">
        <v>55</v>
      </c>
      <c r="B7" s="1" t="s">
        <v>120</v>
      </c>
      <c r="C7" s="1" t="s">
        <v>182</v>
      </c>
      <c r="D7" s="1" t="s">
        <v>19</v>
      </c>
      <c r="E7">
        <v>20076715</v>
      </c>
      <c r="F7" s="1" t="s">
        <v>192</v>
      </c>
      <c r="G7" s="1">
        <v>2040464</v>
      </c>
      <c r="H7" s="1" t="s">
        <v>221</v>
      </c>
      <c r="I7">
        <v>0</v>
      </c>
      <c r="J7">
        <v>0</v>
      </c>
      <c r="K7">
        <v>171</v>
      </c>
      <c r="L7">
        <v>32812</v>
      </c>
      <c r="M7">
        <v>155216</v>
      </c>
      <c r="N7" s="1" t="s">
        <v>20</v>
      </c>
      <c r="O7" s="2">
        <v>45845</v>
      </c>
      <c r="P7" s="2">
        <v>45870</v>
      </c>
      <c r="Q7" s="2">
        <v>45870</v>
      </c>
      <c r="R7" s="2">
        <v>45870</v>
      </c>
      <c r="S7">
        <v>0</v>
      </c>
      <c r="T7" s="1" t="s">
        <v>21</v>
      </c>
      <c r="U7" s="5">
        <f ca="1">IF(Query1[[#This Row],[Promise Date]]="", "", TODAY() -Query1[[#This Row],[Promise Date]])</f>
        <v>24</v>
      </c>
      <c r="V7" t="str">
        <f ca="1">IF(Query1[[#This Row],[Days Late]]&gt;0, "Yes", "No")</f>
        <v>Yes</v>
      </c>
    </row>
    <row r="8" spans="1:22" x14ac:dyDescent="0.25">
      <c r="A8" s="1" t="s">
        <v>55</v>
      </c>
      <c r="B8" s="1" t="s">
        <v>120</v>
      </c>
      <c r="C8" s="1" t="s">
        <v>182</v>
      </c>
      <c r="D8" s="1" t="s">
        <v>19</v>
      </c>
      <c r="E8">
        <v>20076715</v>
      </c>
      <c r="F8" s="1" t="s">
        <v>192</v>
      </c>
      <c r="G8" s="1">
        <v>2040464</v>
      </c>
      <c r="H8" s="1" t="s">
        <v>221</v>
      </c>
      <c r="I8">
        <v>0</v>
      </c>
      <c r="J8">
        <v>0</v>
      </c>
      <c r="K8">
        <v>157</v>
      </c>
      <c r="L8">
        <v>31810</v>
      </c>
      <c r="M8">
        <v>61313</v>
      </c>
      <c r="N8" s="1" t="s">
        <v>20</v>
      </c>
      <c r="O8" s="2">
        <v>45845</v>
      </c>
      <c r="P8" s="2">
        <v>45870</v>
      </c>
      <c r="Q8" s="2">
        <v>45870</v>
      </c>
      <c r="R8" s="2">
        <v>45870</v>
      </c>
      <c r="S8">
        <v>0</v>
      </c>
      <c r="T8" s="1" t="s">
        <v>21</v>
      </c>
      <c r="U8" s="5">
        <f ca="1">IF(Query1[[#This Row],[Promise Date]]="", "", TODAY() -Query1[[#This Row],[Promise Date]])</f>
        <v>24</v>
      </c>
      <c r="V8" t="str">
        <f ca="1">IF(Query1[[#This Row],[Days Late]]&gt;0, "Yes", "No")</f>
        <v>Yes</v>
      </c>
    </row>
    <row r="9" spans="1:22" x14ac:dyDescent="0.25">
      <c r="A9" s="1" t="s">
        <v>55</v>
      </c>
      <c r="B9" s="1" t="s">
        <v>120</v>
      </c>
      <c r="C9" s="1" t="s">
        <v>182</v>
      </c>
      <c r="D9" s="1" t="s">
        <v>19</v>
      </c>
      <c r="E9">
        <v>20076715</v>
      </c>
      <c r="F9" s="1" t="s">
        <v>192</v>
      </c>
      <c r="G9" s="1">
        <v>2040464</v>
      </c>
      <c r="H9" s="1" t="s">
        <v>221</v>
      </c>
      <c r="I9">
        <v>0</v>
      </c>
      <c r="J9">
        <v>0</v>
      </c>
      <c r="K9">
        <v>177</v>
      </c>
      <c r="L9">
        <v>34197</v>
      </c>
      <c r="M9">
        <v>269551</v>
      </c>
      <c r="N9" s="1" t="s">
        <v>20</v>
      </c>
      <c r="O9" s="2">
        <v>45845</v>
      </c>
      <c r="P9" s="2">
        <v>45870</v>
      </c>
      <c r="Q9" s="2">
        <v>45870</v>
      </c>
      <c r="R9" s="2">
        <v>45870</v>
      </c>
      <c r="S9">
        <v>0</v>
      </c>
      <c r="T9" s="1" t="s">
        <v>21</v>
      </c>
      <c r="U9" s="5">
        <f ca="1">IF(Query1[[#This Row],[Promise Date]]="", "", TODAY() -Query1[[#This Row],[Promise Date]])</f>
        <v>24</v>
      </c>
      <c r="V9" t="str">
        <f ca="1">IF(Query1[[#This Row],[Days Late]]&gt;0, "Yes", "No")</f>
        <v>Yes</v>
      </c>
    </row>
    <row r="10" spans="1:22" x14ac:dyDescent="0.25">
      <c r="A10" s="1" t="s">
        <v>55</v>
      </c>
      <c r="B10" s="1" t="s">
        <v>120</v>
      </c>
      <c r="C10" s="1" t="s">
        <v>182</v>
      </c>
      <c r="D10" s="1" t="s">
        <v>19</v>
      </c>
      <c r="E10">
        <v>20076715</v>
      </c>
      <c r="F10" s="1" t="s">
        <v>192</v>
      </c>
      <c r="G10" s="1">
        <v>2040464</v>
      </c>
      <c r="H10" s="1" t="s">
        <v>221</v>
      </c>
      <c r="I10">
        <v>0</v>
      </c>
      <c r="J10">
        <v>0</v>
      </c>
      <c r="K10">
        <v>53</v>
      </c>
      <c r="L10">
        <v>11279</v>
      </c>
      <c r="M10">
        <v>85283</v>
      </c>
      <c r="N10" s="1" t="s">
        <v>20</v>
      </c>
      <c r="O10" s="2">
        <v>45845</v>
      </c>
      <c r="P10" s="2">
        <v>45870</v>
      </c>
      <c r="Q10" s="2">
        <v>45870</v>
      </c>
      <c r="R10" s="2">
        <v>45870</v>
      </c>
      <c r="S10">
        <v>0</v>
      </c>
      <c r="T10" s="1" t="s">
        <v>21</v>
      </c>
      <c r="U10" s="5">
        <f ca="1">IF(Query1[[#This Row],[Promise Date]]="", "", TODAY() -Query1[[#This Row],[Promise Date]])</f>
        <v>24</v>
      </c>
      <c r="V10" t="str">
        <f ca="1">IF(Query1[[#This Row],[Days Late]]&gt;0, "Yes", "No")</f>
        <v>Yes</v>
      </c>
    </row>
    <row r="11" spans="1:22" x14ac:dyDescent="0.25">
      <c r="A11" s="1" t="s">
        <v>56</v>
      </c>
      <c r="B11" s="1" t="s">
        <v>121</v>
      </c>
      <c r="C11" s="1" t="s">
        <v>182</v>
      </c>
      <c r="D11" s="1" t="s">
        <v>19</v>
      </c>
      <c r="E11">
        <v>20076715</v>
      </c>
      <c r="F11" s="1" t="s">
        <v>192</v>
      </c>
      <c r="G11" s="1">
        <v>2040464</v>
      </c>
      <c r="H11" s="1" t="s">
        <v>221</v>
      </c>
      <c r="I11">
        <v>448</v>
      </c>
      <c r="J11">
        <v>1315.4</v>
      </c>
      <c r="K11">
        <v>152</v>
      </c>
      <c r="L11">
        <v>2552</v>
      </c>
      <c r="M11">
        <v>38953</v>
      </c>
      <c r="N11" s="1" t="s">
        <v>20</v>
      </c>
      <c r="O11" s="2">
        <v>45847</v>
      </c>
      <c r="P11" s="2">
        <v>45870</v>
      </c>
      <c r="Q11" s="2">
        <v>45870</v>
      </c>
      <c r="R11" s="2">
        <v>45912</v>
      </c>
      <c r="S11">
        <v>0</v>
      </c>
      <c r="T11" s="1" t="s">
        <v>23</v>
      </c>
      <c r="U11" s="5">
        <f ca="1">IF(Query1[[#This Row],[Promise Date]]="", "", TODAY() -Query1[[#This Row],[Promise Date]])</f>
        <v>24</v>
      </c>
      <c r="V11" t="str">
        <f ca="1">IF(Query1[[#This Row],[Days Late]]&gt;0, "Yes", "No")</f>
        <v>Yes</v>
      </c>
    </row>
    <row r="12" spans="1:22" x14ac:dyDescent="0.25">
      <c r="A12" s="1" t="s">
        <v>56</v>
      </c>
      <c r="B12" s="1" t="s">
        <v>121</v>
      </c>
      <c r="C12" s="1" t="s">
        <v>182</v>
      </c>
      <c r="D12" s="1" t="s">
        <v>19</v>
      </c>
      <c r="E12">
        <v>20076715</v>
      </c>
      <c r="F12" s="1" t="s">
        <v>192</v>
      </c>
      <c r="G12" s="1">
        <v>2040464</v>
      </c>
      <c r="H12" s="1" t="s">
        <v>221</v>
      </c>
      <c r="I12">
        <v>448</v>
      </c>
      <c r="J12">
        <v>1315.4</v>
      </c>
      <c r="K12">
        <v>101</v>
      </c>
      <c r="L12">
        <v>25674</v>
      </c>
      <c r="M12">
        <v>180373</v>
      </c>
      <c r="N12" s="1" t="s">
        <v>20</v>
      </c>
      <c r="O12" s="2">
        <v>45847</v>
      </c>
      <c r="P12" s="2">
        <v>45870</v>
      </c>
      <c r="Q12" s="2">
        <v>45870</v>
      </c>
      <c r="R12" s="2">
        <v>45912</v>
      </c>
      <c r="S12">
        <v>0</v>
      </c>
      <c r="T12" s="1" t="s">
        <v>23</v>
      </c>
      <c r="U12" s="5">
        <f ca="1">IF(Query1[[#This Row],[Promise Date]]="", "", TODAY() -Query1[[#This Row],[Promise Date]])</f>
        <v>24</v>
      </c>
      <c r="V12" t="str">
        <f ca="1">IF(Query1[[#This Row],[Days Late]]&gt;0, "Yes", "No")</f>
        <v>Yes</v>
      </c>
    </row>
    <row r="13" spans="1:22" x14ac:dyDescent="0.25">
      <c r="A13" s="1" t="s">
        <v>56</v>
      </c>
      <c r="B13" s="1" t="s">
        <v>121</v>
      </c>
      <c r="C13" s="1" t="s">
        <v>182</v>
      </c>
      <c r="D13" s="1" t="s">
        <v>19</v>
      </c>
      <c r="E13">
        <v>20076715</v>
      </c>
      <c r="F13" s="1" t="s">
        <v>192</v>
      </c>
      <c r="G13" s="1">
        <v>2040464</v>
      </c>
      <c r="H13" s="1" t="s">
        <v>221</v>
      </c>
      <c r="I13">
        <v>448</v>
      </c>
      <c r="J13">
        <v>1315.4</v>
      </c>
      <c r="K13">
        <v>178</v>
      </c>
      <c r="L13">
        <v>6721</v>
      </c>
      <c r="M13">
        <v>232406</v>
      </c>
      <c r="N13" s="1" t="s">
        <v>20</v>
      </c>
      <c r="O13" s="2">
        <v>45847</v>
      </c>
      <c r="P13" s="2">
        <v>45870</v>
      </c>
      <c r="Q13" s="2">
        <v>45870</v>
      </c>
      <c r="R13" s="2">
        <v>45912</v>
      </c>
      <c r="S13">
        <v>0</v>
      </c>
      <c r="T13" s="1" t="s">
        <v>23</v>
      </c>
      <c r="U13" s="5">
        <f ca="1">IF(Query1[[#This Row],[Promise Date]]="", "", TODAY() -Query1[[#This Row],[Promise Date]])</f>
        <v>24</v>
      </c>
      <c r="V13" t="str">
        <f ca="1">IF(Query1[[#This Row],[Days Late]]&gt;0, "Yes", "No")</f>
        <v>Yes</v>
      </c>
    </row>
    <row r="14" spans="1:22" x14ac:dyDescent="0.25">
      <c r="A14" s="1" t="s">
        <v>56</v>
      </c>
      <c r="B14" s="1" t="s">
        <v>121</v>
      </c>
      <c r="C14" s="1" t="s">
        <v>182</v>
      </c>
      <c r="D14" s="1" t="s">
        <v>19</v>
      </c>
      <c r="E14">
        <v>20076715</v>
      </c>
      <c r="F14" s="1" t="s">
        <v>192</v>
      </c>
      <c r="G14" s="1">
        <v>2040464</v>
      </c>
      <c r="H14" s="1" t="s">
        <v>221</v>
      </c>
      <c r="I14">
        <v>448</v>
      </c>
      <c r="J14">
        <v>1315.4</v>
      </c>
      <c r="K14">
        <v>251</v>
      </c>
      <c r="L14">
        <v>46065</v>
      </c>
      <c r="M14">
        <v>70284</v>
      </c>
      <c r="N14" s="1" t="s">
        <v>20</v>
      </c>
      <c r="O14" s="2">
        <v>45847</v>
      </c>
      <c r="P14" s="2">
        <v>45870</v>
      </c>
      <c r="Q14" s="2">
        <v>45870</v>
      </c>
      <c r="R14" s="2">
        <v>45940</v>
      </c>
      <c r="S14">
        <v>0</v>
      </c>
      <c r="T14" s="1" t="s">
        <v>23</v>
      </c>
      <c r="U14" s="5">
        <f ca="1">IF(Query1[[#This Row],[Promise Date]]="", "", TODAY() -Query1[[#This Row],[Promise Date]])</f>
        <v>24</v>
      </c>
      <c r="V14" t="str">
        <f ca="1">IF(Query1[[#This Row],[Days Late]]&gt;0, "Yes", "No")</f>
        <v>Yes</v>
      </c>
    </row>
    <row r="15" spans="1:22" x14ac:dyDescent="0.25">
      <c r="A15" s="1" t="s">
        <v>57</v>
      </c>
      <c r="B15" s="1" t="s">
        <v>122</v>
      </c>
      <c r="C15" s="1" t="s">
        <v>183</v>
      </c>
      <c r="D15" s="1" t="s">
        <v>19</v>
      </c>
      <c r="E15">
        <v>20073715</v>
      </c>
      <c r="F15" s="1" t="s">
        <v>193</v>
      </c>
      <c r="G15" s="1">
        <v>2032023</v>
      </c>
      <c r="H15" s="1" t="s">
        <v>221</v>
      </c>
      <c r="I15">
        <v>0</v>
      </c>
      <c r="J15">
        <v>0</v>
      </c>
      <c r="K15">
        <v>223</v>
      </c>
      <c r="L15">
        <v>7994</v>
      </c>
      <c r="M15">
        <v>142208</v>
      </c>
      <c r="N15" s="1" t="s">
        <v>20</v>
      </c>
      <c r="O15" s="2">
        <v>45559</v>
      </c>
      <c r="P15" s="2">
        <v>45861</v>
      </c>
      <c r="Q15" s="2">
        <v>45861</v>
      </c>
      <c r="R15" s="2">
        <v>45861</v>
      </c>
      <c r="S15">
        <v>5</v>
      </c>
      <c r="T15" s="1" t="s">
        <v>23</v>
      </c>
      <c r="U15" s="5">
        <f ca="1">IF(Query1[[#This Row],[Promise Date]]="", "", TODAY() -Query1[[#This Row],[Promise Date]])</f>
        <v>33</v>
      </c>
      <c r="V15" t="str">
        <f ca="1">IF(Query1[[#This Row],[Days Late]]&gt;0, "Yes", "No")</f>
        <v>Yes</v>
      </c>
    </row>
    <row r="16" spans="1:22" x14ac:dyDescent="0.25">
      <c r="A16" s="1" t="s">
        <v>58</v>
      </c>
      <c r="B16" s="1" t="s">
        <v>123</v>
      </c>
      <c r="C16" s="1" t="s">
        <v>184</v>
      </c>
      <c r="D16" s="1" t="s">
        <v>22</v>
      </c>
      <c r="E16">
        <v>20070715</v>
      </c>
      <c r="F16" s="1" t="s">
        <v>194</v>
      </c>
      <c r="G16" s="1">
        <v>2041380</v>
      </c>
      <c r="H16" s="1" t="s">
        <v>221</v>
      </c>
      <c r="I16">
        <v>0</v>
      </c>
      <c r="J16">
        <v>0</v>
      </c>
      <c r="K16">
        <v>191</v>
      </c>
      <c r="L16">
        <v>22749</v>
      </c>
      <c r="M16">
        <v>162593</v>
      </c>
      <c r="N16" s="1" t="s">
        <v>20</v>
      </c>
      <c r="O16" s="2">
        <v>45854</v>
      </c>
      <c r="P16" s="2">
        <v>45885</v>
      </c>
      <c r="Q16" s="2">
        <v>45885</v>
      </c>
      <c r="R16" s="2">
        <v>45884</v>
      </c>
      <c r="S16">
        <v>0</v>
      </c>
      <c r="T16" s="1" t="s">
        <v>21</v>
      </c>
      <c r="U16" s="5">
        <f ca="1">IF(Query1[[#This Row],[Promise Date]]="", "", TODAY() -Query1[[#This Row],[Promise Date]])</f>
        <v>9</v>
      </c>
      <c r="V16" t="str">
        <f ca="1">IF(Query1[[#This Row],[Days Late]]&gt;0, "Yes", "No")</f>
        <v>Yes</v>
      </c>
    </row>
    <row r="17" spans="1:22" x14ac:dyDescent="0.25">
      <c r="A17" s="1" t="s">
        <v>59</v>
      </c>
      <c r="B17" s="1" t="s">
        <v>124</v>
      </c>
      <c r="C17" s="1" t="s">
        <v>185</v>
      </c>
      <c r="D17" s="1" t="s">
        <v>19</v>
      </c>
      <c r="E17">
        <v>20036116</v>
      </c>
      <c r="F17" s="1" t="s">
        <v>195</v>
      </c>
      <c r="G17" s="1">
        <v>2040426</v>
      </c>
      <c r="H17" s="1" t="s">
        <v>221</v>
      </c>
      <c r="I17">
        <v>23</v>
      </c>
      <c r="J17">
        <v>5246.15</v>
      </c>
      <c r="K17">
        <v>56</v>
      </c>
      <c r="L17">
        <v>8923</v>
      </c>
      <c r="M17">
        <v>204165</v>
      </c>
      <c r="N17" s="1" t="s">
        <v>20</v>
      </c>
      <c r="O17" s="2">
        <v>45824</v>
      </c>
      <c r="P17" s="2">
        <v>45869</v>
      </c>
      <c r="Q17" s="2">
        <v>45869</v>
      </c>
      <c r="R17" s="2">
        <v>45867</v>
      </c>
      <c r="S17">
        <v>0</v>
      </c>
      <c r="T17" s="1" t="s">
        <v>23</v>
      </c>
      <c r="U17" s="5">
        <f ca="1">IF(Query1[[#This Row],[Promise Date]]="", "", TODAY() -Query1[[#This Row],[Promise Date]])</f>
        <v>25</v>
      </c>
      <c r="V17" t="str">
        <f ca="1">IF(Query1[[#This Row],[Days Late]]&gt;0, "Yes", "No")</f>
        <v>Yes</v>
      </c>
    </row>
    <row r="18" spans="1:22" x14ac:dyDescent="0.25">
      <c r="A18" s="1" t="s">
        <v>60</v>
      </c>
      <c r="B18" s="1" t="s">
        <v>125</v>
      </c>
      <c r="C18" s="1" t="s">
        <v>185</v>
      </c>
      <c r="D18" s="1" t="s">
        <v>19</v>
      </c>
      <c r="E18">
        <v>20031515</v>
      </c>
      <c r="F18" s="1" t="s">
        <v>196</v>
      </c>
      <c r="G18" s="1">
        <v>2027997</v>
      </c>
      <c r="H18" s="1" t="s">
        <v>221</v>
      </c>
      <c r="I18">
        <v>0</v>
      </c>
      <c r="J18">
        <v>0</v>
      </c>
      <c r="K18">
        <v>0</v>
      </c>
      <c r="L18">
        <v>47959</v>
      </c>
      <c r="M18">
        <v>275264</v>
      </c>
      <c r="N18" s="1" t="s">
        <v>20</v>
      </c>
      <c r="O18" s="2">
        <v>45436</v>
      </c>
      <c r="P18" s="2">
        <v>45526</v>
      </c>
      <c r="Q18" s="2">
        <v>45526</v>
      </c>
      <c r="R18" s="2">
        <v>45526</v>
      </c>
      <c r="S18">
        <v>0</v>
      </c>
      <c r="T18" s="1" t="s">
        <v>21</v>
      </c>
      <c r="U18" s="5">
        <f ca="1">IF(Query1[[#This Row],[Promise Date]]="", "", TODAY() -Query1[[#This Row],[Promise Date]])</f>
        <v>368</v>
      </c>
      <c r="V18" t="str">
        <f ca="1">IF(Query1[[#This Row],[Days Late]]&gt;0, "Yes", "No")</f>
        <v>Yes</v>
      </c>
    </row>
    <row r="19" spans="1:22" x14ac:dyDescent="0.25">
      <c r="A19" s="1" t="s">
        <v>60</v>
      </c>
      <c r="B19" s="1" t="s">
        <v>125</v>
      </c>
      <c r="C19" s="1" t="s">
        <v>185</v>
      </c>
      <c r="D19" s="1" t="s">
        <v>19</v>
      </c>
      <c r="E19">
        <v>20031515</v>
      </c>
      <c r="F19" s="1" t="s">
        <v>196</v>
      </c>
      <c r="G19" s="1">
        <v>2040727</v>
      </c>
      <c r="H19" s="1" t="s">
        <v>221</v>
      </c>
      <c r="I19">
        <v>0</v>
      </c>
      <c r="J19">
        <v>0</v>
      </c>
      <c r="K19">
        <v>69</v>
      </c>
      <c r="L19">
        <v>28899</v>
      </c>
      <c r="M19">
        <v>40334</v>
      </c>
      <c r="N19" s="1" t="s">
        <v>20</v>
      </c>
      <c r="O19" s="2">
        <v>45832</v>
      </c>
      <c r="P19" s="2">
        <v>45833</v>
      </c>
      <c r="Q19" s="2">
        <v>45833</v>
      </c>
      <c r="R19" s="2">
        <v>45833</v>
      </c>
      <c r="S19">
        <v>0</v>
      </c>
      <c r="T19" s="1" t="s">
        <v>21</v>
      </c>
      <c r="U19" s="5">
        <f ca="1">IF(Query1[[#This Row],[Promise Date]]="", "", TODAY() -Query1[[#This Row],[Promise Date]])</f>
        <v>61</v>
      </c>
      <c r="V19" t="str">
        <f ca="1">IF(Query1[[#This Row],[Days Late]]&gt;0, "Yes", "No")</f>
        <v>Yes</v>
      </c>
    </row>
    <row r="20" spans="1:22" x14ac:dyDescent="0.25">
      <c r="A20" s="1" t="s">
        <v>60</v>
      </c>
      <c r="B20" s="1" t="s">
        <v>125</v>
      </c>
      <c r="C20" s="1" t="s">
        <v>185</v>
      </c>
      <c r="D20" s="1" t="s">
        <v>19</v>
      </c>
      <c r="E20">
        <v>20031515</v>
      </c>
      <c r="F20" s="1" t="s">
        <v>196</v>
      </c>
      <c r="G20" s="1">
        <v>2041937</v>
      </c>
      <c r="H20" s="1" t="s">
        <v>221</v>
      </c>
      <c r="I20">
        <v>0</v>
      </c>
      <c r="J20">
        <v>0</v>
      </c>
      <c r="K20">
        <v>208</v>
      </c>
      <c r="L20">
        <v>26310</v>
      </c>
      <c r="M20">
        <v>19190</v>
      </c>
      <c r="N20" s="1" t="s">
        <v>20</v>
      </c>
      <c r="O20" s="2">
        <v>45870</v>
      </c>
      <c r="P20" s="2">
        <v>45877</v>
      </c>
      <c r="Q20" s="2">
        <v>45877</v>
      </c>
      <c r="R20" s="2">
        <v>45877</v>
      </c>
      <c r="S20">
        <v>0</v>
      </c>
      <c r="T20" s="1" t="s">
        <v>21</v>
      </c>
      <c r="U20" s="5">
        <f ca="1">IF(Query1[[#This Row],[Promise Date]]="", "", TODAY() -Query1[[#This Row],[Promise Date]])</f>
        <v>17</v>
      </c>
      <c r="V20" t="str">
        <f ca="1">IF(Query1[[#This Row],[Days Late]]&gt;0, "Yes", "No")</f>
        <v>Yes</v>
      </c>
    </row>
    <row r="21" spans="1:22" x14ac:dyDescent="0.25">
      <c r="A21" s="1" t="s">
        <v>61</v>
      </c>
      <c r="B21" s="1" t="s">
        <v>126</v>
      </c>
      <c r="C21" s="1" t="s">
        <v>186</v>
      </c>
      <c r="D21" s="1" t="s">
        <v>19</v>
      </c>
      <c r="E21">
        <v>20029425</v>
      </c>
      <c r="F21" s="1" t="s">
        <v>197</v>
      </c>
      <c r="G21" s="1">
        <v>2020972</v>
      </c>
      <c r="H21" s="1" t="s">
        <v>221</v>
      </c>
      <c r="I21">
        <v>49</v>
      </c>
      <c r="J21">
        <v>170885.9</v>
      </c>
      <c r="K21">
        <v>156</v>
      </c>
      <c r="L21">
        <v>24914</v>
      </c>
      <c r="M21">
        <v>290322</v>
      </c>
      <c r="N21" s="1" t="s">
        <v>20</v>
      </c>
      <c r="O21" s="2">
        <v>45230</v>
      </c>
      <c r="P21" s="2">
        <v>45761</v>
      </c>
      <c r="Q21" s="2">
        <v>45761</v>
      </c>
      <c r="R21" s="2">
        <v>45761</v>
      </c>
      <c r="S21">
        <v>1</v>
      </c>
      <c r="T21" s="1" t="s">
        <v>23</v>
      </c>
      <c r="U21" s="5">
        <f ca="1">IF(Query1[[#This Row],[Promise Date]]="", "", TODAY() -Query1[[#This Row],[Promise Date]])</f>
        <v>133</v>
      </c>
      <c r="V21" t="str">
        <f ca="1">IF(Query1[[#This Row],[Days Late]]&gt;0, "Yes", "No")</f>
        <v>Yes</v>
      </c>
    </row>
    <row r="22" spans="1:22" x14ac:dyDescent="0.25">
      <c r="A22" s="1" t="s">
        <v>62</v>
      </c>
      <c r="B22" s="1" t="s">
        <v>127</v>
      </c>
      <c r="C22" s="1" t="s">
        <v>184</v>
      </c>
      <c r="D22" s="1" t="s">
        <v>19</v>
      </c>
      <c r="E22">
        <v>20029425</v>
      </c>
      <c r="F22" s="1" t="s">
        <v>197</v>
      </c>
      <c r="G22" s="1">
        <v>2020972</v>
      </c>
      <c r="H22" s="1" t="s">
        <v>221</v>
      </c>
      <c r="I22">
        <v>1</v>
      </c>
      <c r="J22">
        <v>0</v>
      </c>
      <c r="K22">
        <v>87</v>
      </c>
      <c r="L22">
        <v>12021</v>
      </c>
      <c r="M22">
        <v>279146</v>
      </c>
      <c r="N22" s="1" t="s">
        <v>20</v>
      </c>
      <c r="O22" s="2">
        <v>45519</v>
      </c>
      <c r="P22" s="2">
        <v>45593</v>
      </c>
      <c r="Q22" s="2">
        <v>45593</v>
      </c>
      <c r="R22" s="2">
        <v>45593</v>
      </c>
      <c r="S22">
        <v>0</v>
      </c>
      <c r="T22" s="1" t="s">
        <v>21</v>
      </c>
      <c r="U22" s="5">
        <f ca="1">IF(Query1[[#This Row],[Promise Date]]="", "", TODAY() -Query1[[#This Row],[Promise Date]])</f>
        <v>301</v>
      </c>
      <c r="V22" t="str">
        <f ca="1">IF(Query1[[#This Row],[Days Late]]&gt;0, "Yes", "No")</f>
        <v>Yes</v>
      </c>
    </row>
    <row r="23" spans="1:22" x14ac:dyDescent="0.25">
      <c r="A23" s="1" t="s">
        <v>62</v>
      </c>
      <c r="B23" s="1" t="s">
        <v>127</v>
      </c>
      <c r="C23" s="1" t="s">
        <v>184</v>
      </c>
      <c r="D23" s="1" t="s">
        <v>19</v>
      </c>
      <c r="E23">
        <v>20029425</v>
      </c>
      <c r="F23" s="1" t="s">
        <v>197</v>
      </c>
      <c r="G23" s="1">
        <v>2031448</v>
      </c>
      <c r="H23" s="1" t="s">
        <v>221</v>
      </c>
      <c r="I23">
        <v>1</v>
      </c>
      <c r="J23">
        <v>0</v>
      </c>
      <c r="K23">
        <v>16</v>
      </c>
      <c r="L23">
        <v>37104</v>
      </c>
      <c r="M23">
        <v>120007</v>
      </c>
      <c r="N23" s="1" t="s">
        <v>20</v>
      </c>
      <c r="O23" s="2">
        <v>45540</v>
      </c>
      <c r="P23" s="2">
        <v>45565</v>
      </c>
      <c r="Q23" s="2">
        <v>45565</v>
      </c>
      <c r="R23" s="2">
        <v>45565</v>
      </c>
      <c r="S23">
        <v>0</v>
      </c>
      <c r="T23" s="1" t="s">
        <v>21</v>
      </c>
      <c r="U23" s="5">
        <f ca="1">IF(Query1[[#This Row],[Promise Date]]="", "", TODAY() -Query1[[#This Row],[Promise Date]])</f>
        <v>329</v>
      </c>
      <c r="V23" t="str">
        <f ca="1">IF(Query1[[#This Row],[Days Late]]&gt;0, "Yes", "No")</f>
        <v>Yes</v>
      </c>
    </row>
    <row r="24" spans="1:22" x14ac:dyDescent="0.25">
      <c r="A24" s="1" t="s">
        <v>62</v>
      </c>
      <c r="B24" s="1" t="s">
        <v>127</v>
      </c>
      <c r="C24" s="1" t="s">
        <v>184</v>
      </c>
      <c r="D24" s="1" t="s">
        <v>24</v>
      </c>
      <c r="E24">
        <v>20029425</v>
      </c>
      <c r="F24" s="1" t="s">
        <v>197</v>
      </c>
      <c r="G24" s="1">
        <v>2033046</v>
      </c>
      <c r="H24" s="1" t="s">
        <v>221</v>
      </c>
      <c r="I24">
        <v>1</v>
      </c>
      <c r="J24">
        <v>0</v>
      </c>
      <c r="K24">
        <v>291</v>
      </c>
      <c r="L24">
        <v>25943</v>
      </c>
      <c r="M24">
        <v>178831</v>
      </c>
      <c r="N24" s="1" t="s">
        <v>20</v>
      </c>
      <c r="O24" s="2">
        <v>45590</v>
      </c>
      <c r="P24" s="2">
        <v>45590</v>
      </c>
      <c r="Q24" s="2">
        <v>45590</v>
      </c>
      <c r="R24" s="2">
        <v>45590</v>
      </c>
      <c r="S24">
        <v>0</v>
      </c>
      <c r="T24" s="1" t="s">
        <v>21</v>
      </c>
      <c r="U24" s="5">
        <f ca="1">IF(Query1[[#This Row],[Promise Date]]="", "", TODAY() -Query1[[#This Row],[Promise Date]])</f>
        <v>304</v>
      </c>
      <c r="V24" t="str">
        <f ca="1">IF(Query1[[#This Row],[Days Late]]&gt;0, "Yes", "No")</f>
        <v>Yes</v>
      </c>
    </row>
    <row r="25" spans="1:22" x14ac:dyDescent="0.25">
      <c r="A25" s="1" t="s">
        <v>63</v>
      </c>
      <c r="B25" s="1" t="s">
        <v>128</v>
      </c>
      <c r="C25" s="1" t="s">
        <v>186</v>
      </c>
      <c r="D25" s="1" t="s">
        <v>22</v>
      </c>
      <c r="E25">
        <v>20029425</v>
      </c>
      <c r="F25" s="1" t="s">
        <v>197</v>
      </c>
      <c r="G25" s="1">
        <v>2035026</v>
      </c>
      <c r="H25" s="1" t="s">
        <v>221</v>
      </c>
      <c r="I25">
        <v>0</v>
      </c>
      <c r="J25">
        <v>0</v>
      </c>
      <c r="K25">
        <v>272</v>
      </c>
      <c r="L25">
        <v>23763</v>
      </c>
      <c r="M25">
        <v>128527</v>
      </c>
      <c r="N25" s="1" t="s">
        <v>20</v>
      </c>
      <c r="O25" s="2">
        <v>45657</v>
      </c>
      <c r="P25" s="2">
        <v>45891</v>
      </c>
      <c r="Q25" s="2">
        <v>45891</v>
      </c>
      <c r="R25" s="2">
        <v>45884</v>
      </c>
      <c r="S25">
        <v>0</v>
      </c>
      <c r="T25" s="1" t="s">
        <v>21</v>
      </c>
      <c r="U25" s="5">
        <f ca="1">IF(Query1[[#This Row],[Promise Date]]="", "", TODAY() -Query1[[#This Row],[Promise Date]])</f>
        <v>3</v>
      </c>
      <c r="V25" t="str">
        <f ca="1">IF(Query1[[#This Row],[Days Late]]&gt;0, "Yes", "No")</f>
        <v>Yes</v>
      </c>
    </row>
    <row r="26" spans="1:22" x14ac:dyDescent="0.25">
      <c r="A26" s="1" t="s">
        <v>64</v>
      </c>
      <c r="B26" s="1" t="s">
        <v>129</v>
      </c>
      <c r="C26" s="1" t="s">
        <v>186</v>
      </c>
      <c r="D26" s="1" t="s">
        <v>22</v>
      </c>
      <c r="E26">
        <v>20029425</v>
      </c>
      <c r="F26" s="1" t="s">
        <v>197</v>
      </c>
      <c r="G26" s="1">
        <v>2035026</v>
      </c>
      <c r="H26" s="1" t="s">
        <v>221</v>
      </c>
      <c r="I26">
        <v>0</v>
      </c>
      <c r="J26">
        <v>0</v>
      </c>
      <c r="K26">
        <v>27</v>
      </c>
      <c r="L26">
        <v>630</v>
      </c>
      <c r="M26">
        <v>215905</v>
      </c>
      <c r="N26" s="1" t="s">
        <v>20</v>
      </c>
      <c r="O26" s="2">
        <v>45826</v>
      </c>
      <c r="P26" s="2">
        <v>45891</v>
      </c>
      <c r="Q26" s="2">
        <v>45891</v>
      </c>
      <c r="R26" s="2">
        <v>45891</v>
      </c>
      <c r="S26">
        <v>0</v>
      </c>
      <c r="T26" s="1" t="s">
        <v>21</v>
      </c>
      <c r="U26" s="5">
        <f ca="1">IF(Query1[[#This Row],[Promise Date]]="", "", TODAY() -Query1[[#This Row],[Promise Date]])</f>
        <v>3</v>
      </c>
      <c r="V26" t="str">
        <f ca="1">IF(Query1[[#This Row],[Days Late]]&gt;0, "Yes", "No")</f>
        <v>Yes</v>
      </c>
    </row>
    <row r="27" spans="1:22" x14ac:dyDescent="0.25">
      <c r="A27" s="1" t="s">
        <v>65</v>
      </c>
      <c r="B27" s="1" t="s">
        <v>130</v>
      </c>
      <c r="C27" s="1" t="s">
        <v>183</v>
      </c>
      <c r="D27" s="1" t="s">
        <v>19</v>
      </c>
      <c r="E27">
        <v>20029325</v>
      </c>
      <c r="F27" s="1" t="s">
        <v>197</v>
      </c>
      <c r="G27" s="1">
        <v>2042398</v>
      </c>
      <c r="H27" s="1" t="s">
        <v>221</v>
      </c>
      <c r="I27">
        <v>0</v>
      </c>
      <c r="J27">
        <v>0</v>
      </c>
      <c r="K27">
        <v>44</v>
      </c>
      <c r="L27">
        <v>31138</v>
      </c>
      <c r="M27">
        <v>191203</v>
      </c>
      <c r="N27" s="1" t="s">
        <v>20</v>
      </c>
      <c r="O27" s="2">
        <v>45884</v>
      </c>
      <c r="P27" s="2">
        <v>45887</v>
      </c>
      <c r="Q27" s="2">
        <v>45887</v>
      </c>
      <c r="R27" s="2">
        <v>45887</v>
      </c>
      <c r="S27">
        <v>99</v>
      </c>
      <c r="T27" s="1" t="s">
        <v>23</v>
      </c>
      <c r="U27" s="5">
        <f ca="1">IF(Query1[[#This Row],[Promise Date]]="", "", TODAY() -Query1[[#This Row],[Promise Date]])</f>
        <v>7</v>
      </c>
      <c r="V27" t="str">
        <f ca="1">IF(Query1[[#This Row],[Days Late]]&gt;0, "Yes", "No")</f>
        <v>Yes</v>
      </c>
    </row>
    <row r="28" spans="1:22" x14ac:dyDescent="0.25">
      <c r="A28" s="1" t="s">
        <v>60</v>
      </c>
      <c r="B28" s="1" t="s">
        <v>125</v>
      </c>
      <c r="C28" s="1" t="s">
        <v>185</v>
      </c>
      <c r="D28" s="1" t="s">
        <v>19</v>
      </c>
      <c r="E28">
        <v>20024925</v>
      </c>
      <c r="F28" s="1" t="s">
        <v>198</v>
      </c>
      <c r="G28" s="1">
        <v>2033355</v>
      </c>
      <c r="H28" s="1" t="s">
        <v>221</v>
      </c>
      <c r="I28">
        <v>0</v>
      </c>
      <c r="J28">
        <v>0</v>
      </c>
      <c r="K28">
        <v>188</v>
      </c>
      <c r="L28">
        <v>48296</v>
      </c>
      <c r="M28">
        <v>227564</v>
      </c>
      <c r="N28" s="1" t="s">
        <v>20</v>
      </c>
      <c r="O28" s="2">
        <v>45607</v>
      </c>
      <c r="P28" s="2">
        <v>45845</v>
      </c>
      <c r="Q28" s="2">
        <v>45838</v>
      </c>
      <c r="R28" s="2">
        <v>45845</v>
      </c>
      <c r="S28">
        <v>0</v>
      </c>
      <c r="T28" s="1" t="s">
        <v>21</v>
      </c>
      <c r="U28" s="5">
        <f ca="1">IF(Query1[[#This Row],[Promise Date]]="", "", TODAY() -Query1[[#This Row],[Promise Date]])</f>
        <v>49</v>
      </c>
      <c r="V28" t="str">
        <f ca="1">IF(Query1[[#This Row],[Days Late]]&gt;0, "Yes", "No")</f>
        <v>Yes</v>
      </c>
    </row>
    <row r="29" spans="1:22" x14ac:dyDescent="0.25">
      <c r="A29" s="1" t="s">
        <v>66</v>
      </c>
      <c r="B29" s="1" t="s">
        <v>131</v>
      </c>
      <c r="C29" s="1" t="s">
        <v>185</v>
      </c>
      <c r="D29" s="1" t="s">
        <v>24</v>
      </c>
      <c r="E29">
        <v>20024925</v>
      </c>
      <c r="F29" s="1" t="s">
        <v>198</v>
      </c>
      <c r="G29" s="1">
        <v>2037616</v>
      </c>
      <c r="H29" s="1" t="s">
        <v>221</v>
      </c>
      <c r="I29">
        <v>374</v>
      </c>
      <c r="J29">
        <v>19555.18</v>
      </c>
      <c r="K29">
        <v>211</v>
      </c>
      <c r="L29">
        <v>5645</v>
      </c>
      <c r="M29">
        <v>248166</v>
      </c>
      <c r="N29" s="1" t="s">
        <v>20</v>
      </c>
      <c r="O29" s="2">
        <v>45736</v>
      </c>
      <c r="P29" s="2">
        <v>45854</v>
      </c>
      <c r="Q29" s="2">
        <v>45838</v>
      </c>
      <c r="R29" s="2">
        <v>45854</v>
      </c>
      <c r="S29">
        <v>0</v>
      </c>
      <c r="T29" s="1" t="s">
        <v>21</v>
      </c>
      <c r="U29" s="5">
        <f ca="1">IF(Query1[[#This Row],[Promise Date]]="", "", TODAY() -Query1[[#This Row],[Promise Date]])</f>
        <v>40</v>
      </c>
      <c r="V29" t="str">
        <f ca="1">IF(Query1[[#This Row],[Days Late]]&gt;0, "Yes", "No")</f>
        <v>Yes</v>
      </c>
    </row>
    <row r="30" spans="1:22" x14ac:dyDescent="0.25">
      <c r="A30" s="1" t="s">
        <v>67</v>
      </c>
      <c r="B30" s="1" t="s">
        <v>132</v>
      </c>
      <c r="C30" s="1" t="s">
        <v>184</v>
      </c>
      <c r="D30" s="1" t="s">
        <v>24</v>
      </c>
      <c r="E30">
        <v>20024925</v>
      </c>
      <c r="F30" s="1" t="s">
        <v>198</v>
      </c>
      <c r="G30" s="1">
        <v>2037616</v>
      </c>
      <c r="H30" s="1" t="s">
        <v>221</v>
      </c>
      <c r="I30">
        <v>1</v>
      </c>
      <c r="J30">
        <v>0</v>
      </c>
      <c r="K30">
        <v>173</v>
      </c>
      <c r="L30">
        <v>19503</v>
      </c>
      <c r="M30">
        <v>170531</v>
      </c>
      <c r="N30" s="1" t="s">
        <v>20</v>
      </c>
      <c r="O30" s="2">
        <v>45740</v>
      </c>
      <c r="P30" s="2">
        <v>45861</v>
      </c>
      <c r="Q30" s="2">
        <v>45838</v>
      </c>
      <c r="R30" s="2">
        <v>45861</v>
      </c>
      <c r="S30">
        <v>0</v>
      </c>
      <c r="T30" s="1" t="s">
        <v>21</v>
      </c>
      <c r="U30" s="5">
        <f ca="1">IF(Query1[[#This Row],[Promise Date]]="", "", TODAY() -Query1[[#This Row],[Promise Date]])</f>
        <v>33</v>
      </c>
      <c r="V30" t="str">
        <f ca="1">IF(Query1[[#This Row],[Days Late]]&gt;0, "Yes", "No")</f>
        <v>Yes</v>
      </c>
    </row>
    <row r="31" spans="1:22" x14ac:dyDescent="0.25">
      <c r="A31" s="1" t="s">
        <v>68</v>
      </c>
      <c r="B31" s="1" t="s">
        <v>131</v>
      </c>
      <c r="C31" s="1" t="s">
        <v>185</v>
      </c>
      <c r="D31" s="1" t="s">
        <v>22</v>
      </c>
      <c r="E31">
        <v>20024925</v>
      </c>
      <c r="F31" s="1" t="s">
        <v>198</v>
      </c>
      <c r="G31" s="1">
        <v>2038559</v>
      </c>
      <c r="H31" s="1" t="s">
        <v>221</v>
      </c>
      <c r="I31">
        <v>4</v>
      </c>
      <c r="J31">
        <v>201.7</v>
      </c>
      <c r="K31">
        <v>10</v>
      </c>
      <c r="L31">
        <v>45249</v>
      </c>
      <c r="M31">
        <v>47929</v>
      </c>
      <c r="N31" s="1" t="s">
        <v>20</v>
      </c>
      <c r="O31" s="2">
        <v>45764</v>
      </c>
      <c r="P31" s="2">
        <v>45876</v>
      </c>
      <c r="Q31" s="2">
        <v>45876</v>
      </c>
      <c r="R31" s="2">
        <v>45876</v>
      </c>
      <c r="S31">
        <v>0</v>
      </c>
      <c r="T31" s="1" t="s">
        <v>21</v>
      </c>
      <c r="U31" s="5">
        <f ca="1">IF(Query1[[#This Row],[Promise Date]]="", "", TODAY() -Query1[[#This Row],[Promise Date]])</f>
        <v>18</v>
      </c>
      <c r="V31" t="str">
        <f ca="1">IF(Query1[[#This Row],[Days Late]]&gt;0, "Yes", "No")</f>
        <v>Yes</v>
      </c>
    </row>
    <row r="32" spans="1:22" x14ac:dyDescent="0.25">
      <c r="A32" s="1" t="s">
        <v>69</v>
      </c>
      <c r="B32" s="1" t="s">
        <v>133</v>
      </c>
      <c r="C32" s="1" t="s">
        <v>187</v>
      </c>
      <c r="D32" s="1" t="s">
        <v>22</v>
      </c>
      <c r="E32">
        <v>20023925</v>
      </c>
      <c r="F32" s="1" t="s">
        <v>199</v>
      </c>
      <c r="G32" s="1">
        <v>2007702</v>
      </c>
      <c r="H32" s="1" t="s">
        <v>221</v>
      </c>
      <c r="I32">
        <v>0</v>
      </c>
      <c r="J32">
        <v>0</v>
      </c>
      <c r="K32">
        <v>201</v>
      </c>
      <c r="L32">
        <v>7298</v>
      </c>
      <c r="M32">
        <v>191702</v>
      </c>
      <c r="N32" s="1" t="s">
        <v>20</v>
      </c>
      <c r="O32" s="2">
        <v>44869</v>
      </c>
      <c r="P32" s="2">
        <v>45838</v>
      </c>
      <c r="Q32" s="2">
        <v>45534</v>
      </c>
      <c r="R32" s="2">
        <v>45838</v>
      </c>
      <c r="S32">
        <v>82</v>
      </c>
      <c r="T32" s="1" t="s">
        <v>23</v>
      </c>
      <c r="U32" s="5">
        <f ca="1">IF(Query1[[#This Row],[Promise Date]]="", "", TODAY() -Query1[[#This Row],[Promise Date]])</f>
        <v>56</v>
      </c>
      <c r="V32" t="str">
        <f ca="1">IF(Query1[[#This Row],[Days Late]]&gt;0, "Yes", "No")</f>
        <v>Yes</v>
      </c>
    </row>
    <row r="33" spans="1:22" x14ac:dyDescent="0.25">
      <c r="A33" s="1" t="s">
        <v>69</v>
      </c>
      <c r="B33" s="1" t="s">
        <v>133</v>
      </c>
      <c r="C33" s="1" t="s">
        <v>187</v>
      </c>
      <c r="D33" s="1" t="s">
        <v>22</v>
      </c>
      <c r="E33">
        <v>20023925</v>
      </c>
      <c r="F33" s="1" t="s">
        <v>199</v>
      </c>
      <c r="G33" s="1">
        <v>2007709</v>
      </c>
      <c r="H33" s="1" t="s">
        <v>221</v>
      </c>
      <c r="I33">
        <v>0</v>
      </c>
      <c r="J33">
        <v>0</v>
      </c>
      <c r="K33">
        <v>210</v>
      </c>
      <c r="L33">
        <v>33135</v>
      </c>
      <c r="M33">
        <v>56176</v>
      </c>
      <c r="N33" s="1" t="s">
        <v>20</v>
      </c>
      <c r="O33" s="2">
        <v>44869</v>
      </c>
      <c r="P33" s="2">
        <v>45534</v>
      </c>
      <c r="Q33" s="2">
        <v>45473</v>
      </c>
      <c r="R33" s="2">
        <v>45838</v>
      </c>
      <c r="S33">
        <v>0</v>
      </c>
      <c r="T33" s="1" t="s">
        <v>21</v>
      </c>
      <c r="U33" s="5">
        <f ca="1">IF(Query1[[#This Row],[Promise Date]]="", "", TODAY() -Query1[[#This Row],[Promise Date]])</f>
        <v>360</v>
      </c>
      <c r="V33" t="str">
        <f ca="1">IF(Query1[[#This Row],[Days Late]]&gt;0, "Yes", "No")</f>
        <v>Yes</v>
      </c>
    </row>
    <row r="34" spans="1:22" x14ac:dyDescent="0.25">
      <c r="A34" s="1" t="s">
        <v>70</v>
      </c>
      <c r="B34" s="1" t="s">
        <v>134</v>
      </c>
      <c r="C34" s="1" t="s">
        <v>187</v>
      </c>
      <c r="D34" s="1" t="s">
        <v>19</v>
      </c>
      <c r="E34">
        <v>20023925</v>
      </c>
      <c r="F34" s="1" t="s">
        <v>199</v>
      </c>
      <c r="G34" s="1">
        <v>2014832</v>
      </c>
      <c r="H34" s="1" t="s">
        <v>221</v>
      </c>
      <c r="I34">
        <v>5</v>
      </c>
      <c r="J34">
        <v>108096.14</v>
      </c>
      <c r="K34">
        <v>90</v>
      </c>
      <c r="L34">
        <v>33718</v>
      </c>
      <c r="M34">
        <v>41221</v>
      </c>
      <c r="N34" s="1" t="s">
        <v>20</v>
      </c>
      <c r="O34" s="2">
        <v>45831</v>
      </c>
      <c r="P34" s="2">
        <v>45853</v>
      </c>
      <c r="Q34" s="2">
        <v>45853</v>
      </c>
      <c r="R34" s="2">
        <v>45853</v>
      </c>
      <c r="S34">
        <v>0</v>
      </c>
      <c r="T34" s="1" t="s">
        <v>23</v>
      </c>
      <c r="U34" s="5">
        <f ca="1">IF(Query1[[#This Row],[Promise Date]]="", "", TODAY() -Query1[[#This Row],[Promise Date]])</f>
        <v>41</v>
      </c>
      <c r="V34" t="str">
        <f ca="1">IF(Query1[[#This Row],[Days Late]]&gt;0, "Yes", "No")</f>
        <v>Yes</v>
      </c>
    </row>
    <row r="35" spans="1:22" x14ac:dyDescent="0.25">
      <c r="A35" s="1" t="s">
        <v>71</v>
      </c>
      <c r="B35" s="1" t="s">
        <v>135</v>
      </c>
      <c r="C35" s="1" t="s">
        <v>188</v>
      </c>
      <c r="D35" s="1" t="s">
        <v>19</v>
      </c>
      <c r="E35">
        <v>20023925</v>
      </c>
      <c r="F35" s="1" t="s">
        <v>199</v>
      </c>
      <c r="G35" s="1">
        <v>2022560</v>
      </c>
      <c r="H35" s="1" t="s">
        <v>221</v>
      </c>
      <c r="I35">
        <v>0</v>
      </c>
      <c r="J35">
        <v>0</v>
      </c>
      <c r="K35">
        <v>104</v>
      </c>
      <c r="L35">
        <v>39936</v>
      </c>
      <c r="M35">
        <v>6777</v>
      </c>
      <c r="N35" s="1" t="s">
        <v>20</v>
      </c>
      <c r="O35" s="2">
        <v>45274</v>
      </c>
      <c r="P35" s="2">
        <v>45454</v>
      </c>
      <c r="Q35" s="2">
        <v>45454</v>
      </c>
      <c r="R35" s="2">
        <v>45819</v>
      </c>
      <c r="S35">
        <v>0</v>
      </c>
      <c r="T35" s="1" t="s">
        <v>21</v>
      </c>
      <c r="U35" s="5">
        <f ca="1">IF(Query1[[#This Row],[Promise Date]]="", "", TODAY() -Query1[[#This Row],[Promise Date]])</f>
        <v>440</v>
      </c>
      <c r="V35" t="str">
        <f ca="1">IF(Query1[[#This Row],[Days Late]]&gt;0, "Yes", "No")</f>
        <v>Yes</v>
      </c>
    </row>
    <row r="36" spans="1:22" x14ac:dyDescent="0.25">
      <c r="A36" s="1" t="s">
        <v>72</v>
      </c>
      <c r="B36" s="1" t="s">
        <v>136</v>
      </c>
      <c r="C36" s="1" t="s">
        <v>187</v>
      </c>
      <c r="D36" s="1" t="s">
        <v>22</v>
      </c>
      <c r="E36">
        <v>20023925</v>
      </c>
      <c r="F36" s="1" t="s">
        <v>199</v>
      </c>
      <c r="G36" s="1">
        <v>2023882</v>
      </c>
      <c r="H36" s="1" t="s">
        <v>221</v>
      </c>
      <c r="I36">
        <v>0</v>
      </c>
      <c r="J36">
        <v>0</v>
      </c>
      <c r="K36">
        <v>291</v>
      </c>
      <c r="L36">
        <v>46902</v>
      </c>
      <c r="M36">
        <v>69539</v>
      </c>
      <c r="N36" s="1" t="s">
        <v>20</v>
      </c>
      <c r="O36" s="2">
        <v>45317</v>
      </c>
      <c r="P36" s="2">
        <v>45831</v>
      </c>
      <c r="Q36" s="2">
        <v>45831</v>
      </c>
      <c r="R36" s="2">
        <v>45859</v>
      </c>
      <c r="S36">
        <v>0</v>
      </c>
      <c r="T36" s="1" t="s">
        <v>21</v>
      </c>
      <c r="U36" s="5">
        <f ca="1">IF(Query1[[#This Row],[Promise Date]]="", "", TODAY() -Query1[[#This Row],[Promise Date]])</f>
        <v>63</v>
      </c>
      <c r="V36" t="str">
        <f ca="1">IF(Query1[[#This Row],[Days Late]]&gt;0, "Yes", "No")</f>
        <v>Yes</v>
      </c>
    </row>
    <row r="37" spans="1:22" x14ac:dyDescent="0.25">
      <c r="A37" s="1" t="s">
        <v>73</v>
      </c>
      <c r="B37" s="1" t="s">
        <v>137</v>
      </c>
      <c r="C37" s="1" t="s">
        <v>187</v>
      </c>
      <c r="D37" s="1" t="s">
        <v>19</v>
      </c>
      <c r="E37">
        <v>20023925</v>
      </c>
      <c r="F37" s="1" t="s">
        <v>199</v>
      </c>
      <c r="G37" s="1">
        <v>2024710</v>
      </c>
      <c r="H37" s="1" t="s">
        <v>221</v>
      </c>
      <c r="I37">
        <v>0</v>
      </c>
      <c r="J37">
        <v>0</v>
      </c>
      <c r="K37">
        <v>29</v>
      </c>
      <c r="L37">
        <v>4023</v>
      </c>
      <c r="M37">
        <v>230089</v>
      </c>
      <c r="N37" s="1" t="s">
        <v>20</v>
      </c>
      <c r="O37" s="2">
        <v>45342</v>
      </c>
      <c r="P37" s="2">
        <v>45670</v>
      </c>
      <c r="Q37" s="2">
        <v>45670</v>
      </c>
      <c r="R37" s="2">
        <v>45771</v>
      </c>
      <c r="S37">
        <v>8</v>
      </c>
      <c r="T37" s="1" t="s">
        <v>23</v>
      </c>
      <c r="U37" s="5">
        <f ca="1">IF(Query1[[#This Row],[Promise Date]]="", "", TODAY() -Query1[[#This Row],[Promise Date]])</f>
        <v>224</v>
      </c>
      <c r="V37" t="str">
        <f ca="1">IF(Query1[[#This Row],[Days Late]]&gt;0, "Yes", "No")</f>
        <v>Yes</v>
      </c>
    </row>
    <row r="38" spans="1:22" x14ac:dyDescent="0.25">
      <c r="A38" s="1" t="s">
        <v>74</v>
      </c>
      <c r="B38" s="1" t="s">
        <v>138</v>
      </c>
      <c r="C38" s="1" t="s">
        <v>189</v>
      </c>
      <c r="D38" s="1" t="s">
        <v>22</v>
      </c>
      <c r="E38">
        <v>20020026</v>
      </c>
      <c r="F38" s="1" t="s">
        <v>200</v>
      </c>
      <c r="G38" s="1">
        <v>2038279</v>
      </c>
      <c r="H38" s="1" t="s">
        <v>221</v>
      </c>
      <c r="I38">
        <v>0</v>
      </c>
      <c r="J38">
        <v>0</v>
      </c>
      <c r="K38">
        <v>2</v>
      </c>
      <c r="L38">
        <v>25539</v>
      </c>
      <c r="M38">
        <v>233965</v>
      </c>
      <c r="N38" s="1" t="s">
        <v>20</v>
      </c>
      <c r="O38" s="2">
        <v>45756</v>
      </c>
      <c r="P38" s="2">
        <v>45770</v>
      </c>
      <c r="Q38" s="2">
        <v>45756</v>
      </c>
      <c r="R38" s="2">
        <v>45770</v>
      </c>
      <c r="S38">
        <v>0</v>
      </c>
      <c r="T38" s="1" t="s">
        <v>21</v>
      </c>
      <c r="U38" s="5">
        <f ca="1">IF(Query1[[#This Row],[Promise Date]]="", "", TODAY() -Query1[[#This Row],[Promise Date]])</f>
        <v>124</v>
      </c>
      <c r="V38" t="str">
        <f ca="1">IF(Query1[[#This Row],[Days Late]]&gt;0, "Yes", "No")</f>
        <v>Yes</v>
      </c>
    </row>
    <row r="39" spans="1:22" x14ac:dyDescent="0.25">
      <c r="A39" s="1" t="s">
        <v>60</v>
      </c>
      <c r="B39" s="1" t="s">
        <v>125</v>
      </c>
      <c r="C39" s="1" t="s">
        <v>185</v>
      </c>
      <c r="D39" s="1" t="s">
        <v>19</v>
      </c>
      <c r="E39">
        <v>20019025</v>
      </c>
      <c r="F39" s="1" t="s">
        <v>201</v>
      </c>
      <c r="G39" s="1">
        <v>2027231</v>
      </c>
      <c r="H39" s="1" t="s">
        <v>221</v>
      </c>
      <c r="I39">
        <v>0</v>
      </c>
      <c r="J39">
        <v>0</v>
      </c>
      <c r="K39">
        <v>76</v>
      </c>
      <c r="L39">
        <v>16787</v>
      </c>
      <c r="M39">
        <v>242169</v>
      </c>
      <c r="N39" s="1" t="s">
        <v>20</v>
      </c>
      <c r="O39" s="2">
        <v>45414</v>
      </c>
      <c r="P39" s="2">
        <v>45771</v>
      </c>
      <c r="Q39" s="2">
        <v>45771</v>
      </c>
      <c r="R39" s="2">
        <v>45771</v>
      </c>
      <c r="S39">
        <v>0</v>
      </c>
      <c r="T39" s="1" t="s">
        <v>21</v>
      </c>
      <c r="U39" s="5">
        <f ca="1">IF(Query1[[#This Row],[Promise Date]]="", "", TODAY() -Query1[[#This Row],[Promise Date]])</f>
        <v>123</v>
      </c>
      <c r="V39" t="str">
        <f ca="1">IF(Query1[[#This Row],[Days Late]]&gt;0, "Yes", "No")</f>
        <v>Yes</v>
      </c>
    </row>
    <row r="40" spans="1:22" x14ac:dyDescent="0.25">
      <c r="A40" s="1" t="s">
        <v>75</v>
      </c>
      <c r="B40" s="1" t="s">
        <v>139</v>
      </c>
      <c r="C40" s="1" t="s">
        <v>189</v>
      </c>
      <c r="D40" s="1" t="s">
        <v>19</v>
      </c>
      <c r="E40">
        <v>20019025</v>
      </c>
      <c r="F40" s="1" t="s">
        <v>201</v>
      </c>
      <c r="G40" s="1">
        <v>2028826</v>
      </c>
      <c r="H40" s="1" t="s">
        <v>221</v>
      </c>
      <c r="I40">
        <v>0</v>
      </c>
      <c r="J40">
        <v>0</v>
      </c>
      <c r="K40">
        <v>64</v>
      </c>
      <c r="L40">
        <v>5212</v>
      </c>
      <c r="M40">
        <v>278184</v>
      </c>
      <c r="N40" s="1" t="s">
        <v>20</v>
      </c>
      <c r="O40" s="2">
        <v>45461</v>
      </c>
      <c r="P40" s="2">
        <v>45883</v>
      </c>
      <c r="Q40" s="2">
        <v>45883</v>
      </c>
      <c r="R40" s="2">
        <v>45883</v>
      </c>
      <c r="S40">
        <v>0</v>
      </c>
      <c r="T40" s="1" t="s">
        <v>21</v>
      </c>
      <c r="U40" s="5">
        <f ca="1">IF(Query1[[#This Row],[Promise Date]]="", "", TODAY() -Query1[[#This Row],[Promise Date]])</f>
        <v>11</v>
      </c>
      <c r="V40" t="str">
        <f ca="1">IF(Query1[[#This Row],[Days Late]]&gt;0, "Yes", "No")</f>
        <v>Yes</v>
      </c>
    </row>
    <row r="41" spans="1:22" x14ac:dyDescent="0.25">
      <c r="A41" s="1" t="s">
        <v>76</v>
      </c>
      <c r="B41" s="1" t="s">
        <v>140</v>
      </c>
      <c r="C41" s="1" t="s">
        <v>190</v>
      </c>
      <c r="D41" s="1" t="s">
        <v>22</v>
      </c>
      <c r="E41">
        <v>20018725</v>
      </c>
      <c r="F41" s="1" t="s">
        <v>202</v>
      </c>
      <c r="G41" s="1">
        <v>2028679</v>
      </c>
      <c r="H41" s="1" t="s">
        <v>221</v>
      </c>
      <c r="I41">
        <v>0</v>
      </c>
      <c r="J41">
        <v>0</v>
      </c>
      <c r="K41">
        <v>27</v>
      </c>
      <c r="L41">
        <v>1701</v>
      </c>
      <c r="M41">
        <v>252375</v>
      </c>
      <c r="N41" s="1" t="s">
        <v>20</v>
      </c>
      <c r="O41" s="2">
        <v>45456</v>
      </c>
      <c r="P41" s="2">
        <v>45692</v>
      </c>
      <c r="Q41" s="2">
        <v>45692</v>
      </c>
      <c r="R41" s="2">
        <v>45692</v>
      </c>
      <c r="S41">
        <v>37</v>
      </c>
      <c r="T41" s="1" t="s">
        <v>23</v>
      </c>
      <c r="U41" s="5">
        <f ca="1">IF(Query1[[#This Row],[Promise Date]]="", "", TODAY() -Query1[[#This Row],[Promise Date]])</f>
        <v>202</v>
      </c>
      <c r="V41" t="str">
        <f ca="1">IF(Query1[[#This Row],[Days Late]]&gt;0, "Yes", "No")</f>
        <v>Yes</v>
      </c>
    </row>
    <row r="42" spans="1:22" x14ac:dyDescent="0.25">
      <c r="A42" s="1" t="s">
        <v>76</v>
      </c>
      <c r="B42" s="1" t="s">
        <v>140</v>
      </c>
      <c r="C42" s="1" t="s">
        <v>190</v>
      </c>
      <c r="D42" s="1" t="s">
        <v>22</v>
      </c>
      <c r="E42">
        <v>20018725</v>
      </c>
      <c r="F42" s="1" t="s">
        <v>202</v>
      </c>
      <c r="G42" s="1">
        <v>2032948</v>
      </c>
      <c r="H42" s="1" t="s">
        <v>221</v>
      </c>
      <c r="I42">
        <v>0</v>
      </c>
      <c r="J42">
        <v>0</v>
      </c>
      <c r="K42">
        <v>269</v>
      </c>
      <c r="L42">
        <v>9068</v>
      </c>
      <c r="M42">
        <v>226391</v>
      </c>
      <c r="N42" s="1" t="s">
        <v>20</v>
      </c>
      <c r="O42" s="2">
        <v>45587</v>
      </c>
      <c r="P42" s="2">
        <v>45797</v>
      </c>
      <c r="Q42" s="2">
        <v>45797</v>
      </c>
      <c r="R42" s="2">
        <v>45797</v>
      </c>
      <c r="S42">
        <v>0</v>
      </c>
      <c r="T42" s="1" t="s">
        <v>21</v>
      </c>
      <c r="U42" s="5">
        <f ca="1">IF(Query1[[#This Row],[Promise Date]]="", "", TODAY() -Query1[[#This Row],[Promise Date]])</f>
        <v>97</v>
      </c>
      <c r="V42" t="str">
        <f ca="1">IF(Query1[[#This Row],[Days Late]]&gt;0, "Yes", "No")</f>
        <v>Yes</v>
      </c>
    </row>
    <row r="43" spans="1:22" x14ac:dyDescent="0.25">
      <c r="A43" s="1" t="s">
        <v>77</v>
      </c>
      <c r="B43" s="1" t="s">
        <v>141</v>
      </c>
      <c r="C43" s="1" t="s">
        <v>190</v>
      </c>
      <c r="D43" s="1" t="s">
        <v>19</v>
      </c>
      <c r="E43">
        <v>20018725</v>
      </c>
      <c r="F43" s="1" t="s">
        <v>202</v>
      </c>
      <c r="G43" s="1">
        <v>2036796</v>
      </c>
      <c r="H43" s="1" t="s">
        <v>221</v>
      </c>
      <c r="I43">
        <v>55</v>
      </c>
      <c r="J43">
        <v>1308.8599999999999</v>
      </c>
      <c r="K43">
        <v>125</v>
      </c>
      <c r="L43">
        <v>24473</v>
      </c>
      <c r="M43">
        <v>161926</v>
      </c>
      <c r="N43" s="1" t="s">
        <v>20</v>
      </c>
      <c r="O43" s="2">
        <v>45712</v>
      </c>
      <c r="P43" s="2">
        <v>45880</v>
      </c>
      <c r="Q43" s="2">
        <v>45860</v>
      </c>
      <c r="R43" s="2">
        <v>45880</v>
      </c>
      <c r="S43">
        <v>0</v>
      </c>
      <c r="T43" s="1" t="s">
        <v>21</v>
      </c>
      <c r="U43" s="5">
        <f ca="1">IF(Query1[[#This Row],[Promise Date]]="", "", TODAY() -Query1[[#This Row],[Promise Date]])</f>
        <v>14</v>
      </c>
      <c r="V43" t="str">
        <f ca="1">IF(Query1[[#This Row],[Days Late]]&gt;0, "Yes", "No")</f>
        <v>Yes</v>
      </c>
    </row>
    <row r="44" spans="1:22" x14ac:dyDescent="0.25">
      <c r="A44" s="1" t="s">
        <v>78</v>
      </c>
      <c r="B44" s="1" t="s">
        <v>142</v>
      </c>
      <c r="C44" s="1" t="s">
        <v>190</v>
      </c>
      <c r="D44" s="1" t="s">
        <v>19</v>
      </c>
      <c r="E44">
        <v>20018725</v>
      </c>
      <c r="F44" s="1" t="s">
        <v>202</v>
      </c>
      <c r="G44" s="1">
        <v>2037274</v>
      </c>
      <c r="H44" s="1" t="s">
        <v>221</v>
      </c>
      <c r="I44">
        <v>9</v>
      </c>
      <c r="J44">
        <v>1191.23</v>
      </c>
      <c r="K44">
        <v>143</v>
      </c>
      <c r="L44">
        <v>47926</v>
      </c>
      <c r="M44">
        <v>149986</v>
      </c>
      <c r="N44" s="1" t="s">
        <v>20</v>
      </c>
      <c r="O44" s="2">
        <v>45726</v>
      </c>
      <c r="P44" s="2">
        <v>45880</v>
      </c>
      <c r="Q44" s="2">
        <v>45833</v>
      </c>
      <c r="R44" s="2">
        <v>45880</v>
      </c>
      <c r="S44">
        <v>56</v>
      </c>
      <c r="T44" s="1" t="s">
        <v>23</v>
      </c>
      <c r="U44" s="5">
        <f ca="1">IF(Query1[[#This Row],[Promise Date]]="", "", TODAY() -Query1[[#This Row],[Promise Date]])</f>
        <v>14</v>
      </c>
      <c r="V44" t="str">
        <f ca="1">IF(Query1[[#This Row],[Days Late]]&gt;0, "Yes", "No")</f>
        <v>Yes</v>
      </c>
    </row>
    <row r="45" spans="1:22" x14ac:dyDescent="0.25">
      <c r="A45" s="1" t="s">
        <v>79</v>
      </c>
      <c r="B45" s="1" t="s">
        <v>143</v>
      </c>
      <c r="C45" s="1" t="s">
        <v>185</v>
      </c>
      <c r="D45" s="1" t="s">
        <v>19</v>
      </c>
      <c r="E45">
        <v>20018225</v>
      </c>
      <c r="F45" s="1" t="s">
        <v>203</v>
      </c>
      <c r="G45" s="1">
        <v>2030665</v>
      </c>
      <c r="H45" s="1" t="s">
        <v>221</v>
      </c>
      <c r="I45">
        <v>0</v>
      </c>
      <c r="J45">
        <v>0</v>
      </c>
      <c r="K45">
        <v>96</v>
      </c>
      <c r="L45">
        <v>13448</v>
      </c>
      <c r="M45">
        <v>131444</v>
      </c>
      <c r="N45" s="1" t="s">
        <v>20</v>
      </c>
      <c r="O45" s="2">
        <v>45518</v>
      </c>
      <c r="P45" s="2">
        <v>45727</v>
      </c>
      <c r="Q45" s="2">
        <v>45727</v>
      </c>
      <c r="R45" s="2">
        <v>45727</v>
      </c>
      <c r="S45">
        <v>41</v>
      </c>
      <c r="T45" s="1" t="s">
        <v>23</v>
      </c>
      <c r="U45" s="5">
        <f ca="1">IF(Query1[[#This Row],[Promise Date]]="", "", TODAY() -Query1[[#This Row],[Promise Date]])</f>
        <v>167</v>
      </c>
      <c r="V45" t="str">
        <f ca="1">IF(Query1[[#This Row],[Days Late]]&gt;0, "Yes", "No")</f>
        <v>Yes</v>
      </c>
    </row>
    <row r="46" spans="1:22" x14ac:dyDescent="0.25">
      <c r="A46" s="1" t="s">
        <v>79</v>
      </c>
      <c r="B46" s="1" t="s">
        <v>143</v>
      </c>
      <c r="C46" s="1" t="s">
        <v>185</v>
      </c>
      <c r="D46" s="1" t="s">
        <v>19</v>
      </c>
      <c r="E46">
        <v>20018225</v>
      </c>
      <c r="F46" s="1" t="s">
        <v>203</v>
      </c>
      <c r="G46" s="1">
        <v>2030665</v>
      </c>
      <c r="H46" s="1" t="s">
        <v>221</v>
      </c>
      <c r="I46">
        <v>0</v>
      </c>
      <c r="J46">
        <v>0</v>
      </c>
      <c r="K46">
        <v>107</v>
      </c>
      <c r="L46">
        <v>48341</v>
      </c>
      <c r="M46">
        <v>221782</v>
      </c>
      <c r="N46" s="1" t="s">
        <v>20</v>
      </c>
      <c r="O46" s="2">
        <v>45518</v>
      </c>
      <c r="P46" s="2">
        <v>45727</v>
      </c>
      <c r="Q46" s="2">
        <v>45727</v>
      </c>
      <c r="R46" s="2">
        <v>45727</v>
      </c>
      <c r="S46">
        <v>0</v>
      </c>
      <c r="T46" s="1" t="s">
        <v>21</v>
      </c>
      <c r="U46" s="5">
        <f ca="1">IF(Query1[[#This Row],[Promise Date]]="", "", TODAY() -Query1[[#This Row],[Promise Date]])</f>
        <v>167</v>
      </c>
      <c r="V46" t="str">
        <f ca="1">IF(Query1[[#This Row],[Days Late]]&gt;0, "Yes", "No")</f>
        <v>Yes</v>
      </c>
    </row>
    <row r="47" spans="1:22" x14ac:dyDescent="0.25">
      <c r="A47" s="1" t="s">
        <v>80</v>
      </c>
      <c r="B47" s="1" t="s">
        <v>144</v>
      </c>
      <c r="C47" s="1" t="s">
        <v>183</v>
      </c>
      <c r="D47" s="1" t="s">
        <v>22</v>
      </c>
      <c r="E47">
        <v>20017625</v>
      </c>
      <c r="F47" s="1" t="s">
        <v>203</v>
      </c>
      <c r="G47" s="1">
        <v>2022787</v>
      </c>
      <c r="H47" s="1" t="s">
        <v>221</v>
      </c>
      <c r="I47">
        <v>2</v>
      </c>
      <c r="J47">
        <v>38355.14</v>
      </c>
      <c r="K47">
        <v>215</v>
      </c>
      <c r="L47">
        <v>43222</v>
      </c>
      <c r="M47">
        <v>143631</v>
      </c>
      <c r="N47" s="1" t="s">
        <v>20</v>
      </c>
      <c r="O47" s="2">
        <v>45387</v>
      </c>
      <c r="P47" s="2">
        <v>45891</v>
      </c>
      <c r="Q47" s="2">
        <v>45831</v>
      </c>
      <c r="R47" s="2">
        <v>45891</v>
      </c>
      <c r="S47">
        <v>1</v>
      </c>
      <c r="T47" s="1" t="s">
        <v>23</v>
      </c>
      <c r="U47" s="5">
        <f ca="1">IF(Query1[[#This Row],[Promise Date]]="", "", TODAY() -Query1[[#This Row],[Promise Date]])</f>
        <v>3</v>
      </c>
      <c r="V47" t="str">
        <f ca="1">IF(Query1[[#This Row],[Days Late]]&gt;0, "Yes", "No")</f>
        <v>Yes</v>
      </c>
    </row>
    <row r="48" spans="1:22" x14ac:dyDescent="0.25">
      <c r="A48" s="1" t="s">
        <v>80</v>
      </c>
      <c r="B48" s="1" t="s">
        <v>144</v>
      </c>
      <c r="C48" s="1" t="s">
        <v>183</v>
      </c>
      <c r="D48" s="1" t="s">
        <v>22</v>
      </c>
      <c r="E48">
        <v>20017625</v>
      </c>
      <c r="F48" s="1" t="s">
        <v>203</v>
      </c>
      <c r="G48" s="1">
        <v>2022787</v>
      </c>
      <c r="H48" s="1" t="s">
        <v>221</v>
      </c>
      <c r="I48">
        <v>2</v>
      </c>
      <c r="J48">
        <v>38355.14</v>
      </c>
      <c r="K48">
        <v>25</v>
      </c>
      <c r="L48">
        <v>37071</v>
      </c>
      <c r="M48">
        <v>149713</v>
      </c>
      <c r="N48" s="1" t="s">
        <v>20</v>
      </c>
      <c r="O48" s="2">
        <v>45387</v>
      </c>
      <c r="P48" s="2">
        <v>45891</v>
      </c>
      <c r="Q48" s="2">
        <v>45861</v>
      </c>
      <c r="R48" s="2">
        <v>45891</v>
      </c>
      <c r="S48">
        <v>0</v>
      </c>
      <c r="T48" s="1" t="s">
        <v>21</v>
      </c>
      <c r="U48" s="5">
        <f ca="1">IF(Query1[[#This Row],[Promise Date]]="", "", TODAY() -Query1[[#This Row],[Promise Date]])</f>
        <v>3</v>
      </c>
      <c r="V48" t="str">
        <f ca="1">IF(Query1[[#This Row],[Days Late]]&gt;0, "Yes", "No")</f>
        <v>Yes</v>
      </c>
    </row>
    <row r="49" spans="1:22" x14ac:dyDescent="0.25">
      <c r="A49" s="1" t="s">
        <v>67</v>
      </c>
      <c r="B49" s="1" t="s">
        <v>132</v>
      </c>
      <c r="C49" s="1" t="s">
        <v>184</v>
      </c>
      <c r="D49" s="1" t="s">
        <v>22</v>
      </c>
      <c r="E49">
        <v>20017625</v>
      </c>
      <c r="F49" s="1" t="s">
        <v>203</v>
      </c>
      <c r="G49" s="1">
        <v>2035792</v>
      </c>
      <c r="H49" s="1" t="s">
        <v>221</v>
      </c>
      <c r="I49">
        <v>1</v>
      </c>
      <c r="J49">
        <v>0</v>
      </c>
      <c r="K49">
        <v>102</v>
      </c>
      <c r="L49">
        <v>8191</v>
      </c>
      <c r="M49">
        <v>45899</v>
      </c>
      <c r="N49" s="1" t="s">
        <v>20</v>
      </c>
      <c r="O49" s="2">
        <v>45680</v>
      </c>
      <c r="P49" s="2">
        <v>45870</v>
      </c>
      <c r="Q49" s="2">
        <v>45849</v>
      </c>
      <c r="R49" s="2">
        <v>45870</v>
      </c>
      <c r="S49">
        <v>0</v>
      </c>
      <c r="T49" s="1" t="s">
        <v>21</v>
      </c>
      <c r="U49" s="5">
        <f ca="1">IF(Query1[[#This Row],[Promise Date]]="", "", TODAY() -Query1[[#This Row],[Promise Date]])</f>
        <v>24</v>
      </c>
      <c r="V49" t="str">
        <f ca="1">IF(Query1[[#This Row],[Days Late]]&gt;0, "Yes", "No")</f>
        <v>Yes</v>
      </c>
    </row>
    <row r="50" spans="1:22" x14ac:dyDescent="0.25">
      <c r="A50" s="1" t="s">
        <v>80</v>
      </c>
      <c r="B50" s="1" t="s">
        <v>144</v>
      </c>
      <c r="C50" s="1" t="s">
        <v>183</v>
      </c>
      <c r="D50" s="1" t="s">
        <v>22</v>
      </c>
      <c r="E50">
        <v>20017625</v>
      </c>
      <c r="F50" s="1" t="s">
        <v>203</v>
      </c>
      <c r="G50" s="1">
        <v>2041355</v>
      </c>
      <c r="H50" s="1" t="s">
        <v>221</v>
      </c>
      <c r="I50">
        <v>2</v>
      </c>
      <c r="J50">
        <v>38355.14</v>
      </c>
      <c r="K50">
        <v>96</v>
      </c>
      <c r="L50">
        <v>42690</v>
      </c>
      <c r="M50">
        <v>128548</v>
      </c>
      <c r="N50" s="1" t="s">
        <v>20</v>
      </c>
      <c r="O50" s="2">
        <v>45853</v>
      </c>
      <c r="P50" s="2">
        <v>45869</v>
      </c>
      <c r="Q50" s="2">
        <v>45869</v>
      </c>
      <c r="R50" s="2">
        <v>45869</v>
      </c>
      <c r="S50">
        <v>0</v>
      </c>
      <c r="T50" s="1" t="s">
        <v>23</v>
      </c>
      <c r="U50" s="5">
        <f ca="1">IF(Query1[[#This Row],[Promise Date]]="", "", TODAY() -Query1[[#This Row],[Promise Date]])</f>
        <v>25</v>
      </c>
      <c r="V50" t="str">
        <f ca="1">IF(Query1[[#This Row],[Days Late]]&gt;0, "Yes", "No")</f>
        <v>Yes</v>
      </c>
    </row>
    <row r="51" spans="1:22" x14ac:dyDescent="0.25">
      <c r="A51" s="1" t="s">
        <v>81</v>
      </c>
      <c r="B51" s="1" t="s">
        <v>145</v>
      </c>
      <c r="C51" s="1" t="s">
        <v>189</v>
      </c>
      <c r="D51" s="1" t="s">
        <v>19</v>
      </c>
      <c r="E51">
        <v>20017125</v>
      </c>
      <c r="F51" s="1" t="s">
        <v>204</v>
      </c>
      <c r="G51" s="1">
        <v>2030712</v>
      </c>
      <c r="H51" s="1" t="s">
        <v>221</v>
      </c>
      <c r="I51">
        <v>22</v>
      </c>
      <c r="J51">
        <v>497.26</v>
      </c>
      <c r="K51">
        <v>29</v>
      </c>
      <c r="L51">
        <v>35595</v>
      </c>
      <c r="M51">
        <v>150124</v>
      </c>
      <c r="N51" s="1" t="s">
        <v>20</v>
      </c>
      <c r="O51" s="2">
        <v>45519</v>
      </c>
      <c r="P51" s="2">
        <v>45838</v>
      </c>
      <c r="Q51" s="2">
        <v>45838</v>
      </c>
      <c r="R51" s="2">
        <v>45831</v>
      </c>
      <c r="S51">
        <v>0</v>
      </c>
      <c r="T51" s="1" t="s">
        <v>21</v>
      </c>
      <c r="U51" s="5">
        <f ca="1">IF(Query1[[#This Row],[Promise Date]]="", "", TODAY() -Query1[[#This Row],[Promise Date]])</f>
        <v>56</v>
      </c>
      <c r="V51" t="str">
        <f ca="1">IF(Query1[[#This Row],[Days Late]]&gt;0, "Yes", "No")</f>
        <v>Yes</v>
      </c>
    </row>
    <row r="52" spans="1:22" x14ac:dyDescent="0.25">
      <c r="A52" s="1" t="s">
        <v>82</v>
      </c>
      <c r="B52" s="1" t="s">
        <v>146</v>
      </c>
      <c r="C52" s="1" t="s">
        <v>186</v>
      </c>
      <c r="D52" s="1" t="s">
        <v>19</v>
      </c>
      <c r="E52">
        <v>20014925</v>
      </c>
      <c r="F52" s="1" t="s">
        <v>205</v>
      </c>
      <c r="G52" s="1">
        <v>2038565</v>
      </c>
      <c r="H52" s="1" t="s">
        <v>221</v>
      </c>
      <c r="I52">
        <v>0</v>
      </c>
      <c r="J52">
        <v>0</v>
      </c>
      <c r="K52">
        <v>13</v>
      </c>
      <c r="L52">
        <v>21421</v>
      </c>
      <c r="M52">
        <v>101349</v>
      </c>
      <c r="N52" s="1" t="s">
        <v>20</v>
      </c>
      <c r="O52" s="2">
        <v>45764</v>
      </c>
      <c r="P52" s="2">
        <v>45873</v>
      </c>
      <c r="Q52" s="2">
        <v>45873</v>
      </c>
      <c r="R52" s="2">
        <v>46002</v>
      </c>
      <c r="S52">
        <v>1</v>
      </c>
      <c r="T52" s="1" t="s">
        <v>23</v>
      </c>
      <c r="U52" s="5">
        <f ca="1">IF(Query1[[#This Row],[Promise Date]]="", "", TODAY() -Query1[[#This Row],[Promise Date]])</f>
        <v>21</v>
      </c>
      <c r="V52" t="str">
        <f ca="1">IF(Query1[[#This Row],[Days Late]]&gt;0, "Yes", "No")</f>
        <v>Yes</v>
      </c>
    </row>
    <row r="53" spans="1:22" x14ac:dyDescent="0.25">
      <c r="A53" s="1" t="s">
        <v>60</v>
      </c>
      <c r="B53" s="1" t="s">
        <v>125</v>
      </c>
      <c r="C53" s="1" t="s">
        <v>185</v>
      </c>
      <c r="D53" s="1" t="s">
        <v>19</v>
      </c>
      <c r="E53">
        <v>20014625</v>
      </c>
      <c r="F53" s="1" t="s">
        <v>206</v>
      </c>
      <c r="G53" s="1">
        <v>2028739</v>
      </c>
      <c r="H53" s="1" t="s">
        <v>221</v>
      </c>
      <c r="I53">
        <v>0</v>
      </c>
      <c r="J53">
        <v>0</v>
      </c>
      <c r="K53">
        <v>147</v>
      </c>
      <c r="L53">
        <v>4766</v>
      </c>
      <c r="M53">
        <v>290315</v>
      </c>
      <c r="N53" s="1" t="s">
        <v>20</v>
      </c>
      <c r="O53" s="2">
        <v>45457</v>
      </c>
      <c r="P53" s="2">
        <v>45763</v>
      </c>
      <c r="Q53" s="2">
        <v>45763</v>
      </c>
      <c r="R53" s="2">
        <v>45763</v>
      </c>
      <c r="S53">
        <v>0</v>
      </c>
      <c r="T53" s="1" t="s">
        <v>21</v>
      </c>
      <c r="U53" s="5">
        <f ca="1">IF(Query1[[#This Row],[Promise Date]]="", "", TODAY() -Query1[[#This Row],[Promise Date]])</f>
        <v>131</v>
      </c>
      <c r="V53" t="str">
        <f ca="1">IF(Query1[[#This Row],[Days Late]]&gt;0, "Yes", "No")</f>
        <v>Yes</v>
      </c>
    </row>
    <row r="54" spans="1:22" x14ac:dyDescent="0.25">
      <c r="A54" s="1" t="s">
        <v>60</v>
      </c>
      <c r="B54" s="1" t="s">
        <v>125</v>
      </c>
      <c r="C54" s="1" t="s">
        <v>185</v>
      </c>
      <c r="D54" s="1" t="s">
        <v>19</v>
      </c>
      <c r="E54">
        <v>20014625</v>
      </c>
      <c r="F54" s="1" t="s">
        <v>206</v>
      </c>
      <c r="G54" s="1">
        <v>2028739</v>
      </c>
      <c r="H54" s="1" t="s">
        <v>221</v>
      </c>
      <c r="I54">
        <v>0</v>
      </c>
      <c r="J54">
        <v>0</v>
      </c>
      <c r="K54">
        <v>108</v>
      </c>
      <c r="L54">
        <v>22717</v>
      </c>
      <c r="M54">
        <v>243162</v>
      </c>
      <c r="N54" s="1" t="s">
        <v>20</v>
      </c>
      <c r="O54" s="2">
        <v>45457</v>
      </c>
      <c r="P54" s="2">
        <v>45806</v>
      </c>
      <c r="Q54" s="2">
        <v>45806</v>
      </c>
      <c r="R54" s="2">
        <v>45806</v>
      </c>
      <c r="S54">
        <v>0</v>
      </c>
      <c r="T54" s="1" t="s">
        <v>21</v>
      </c>
      <c r="U54" s="5">
        <f ca="1">IF(Query1[[#This Row],[Promise Date]]="", "", TODAY() -Query1[[#This Row],[Promise Date]])</f>
        <v>88</v>
      </c>
      <c r="V54" t="str">
        <f ca="1">IF(Query1[[#This Row],[Days Late]]&gt;0, "Yes", "No")</f>
        <v>Yes</v>
      </c>
    </row>
    <row r="55" spans="1:22" x14ac:dyDescent="0.25">
      <c r="A55" s="1" t="s">
        <v>60</v>
      </c>
      <c r="B55" s="1" t="s">
        <v>125</v>
      </c>
      <c r="C55" s="1" t="s">
        <v>185</v>
      </c>
      <c r="D55" s="1" t="s">
        <v>19</v>
      </c>
      <c r="E55">
        <v>20014625</v>
      </c>
      <c r="F55" s="1" t="s">
        <v>206</v>
      </c>
      <c r="G55" s="1">
        <v>2028739</v>
      </c>
      <c r="H55" s="1" t="s">
        <v>221</v>
      </c>
      <c r="I55">
        <v>0</v>
      </c>
      <c r="J55">
        <v>0</v>
      </c>
      <c r="K55">
        <v>154</v>
      </c>
      <c r="L55">
        <v>4157</v>
      </c>
      <c r="M55">
        <v>291285</v>
      </c>
      <c r="N55" s="1" t="s">
        <v>20</v>
      </c>
      <c r="O55" s="2">
        <v>45457</v>
      </c>
      <c r="P55" s="2">
        <v>45786</v>
      </c>
      <c r="Q55" s="2">
        <v>45786</v>
      </c>
      <c r="R55" s="2">
        <v>45786</v>
      </c>
      <c r="S55">
        <v>0</v>
      </c>
      <c r="T55" s="1" t="s">
        <v>21</v>
      </c>
      <c r="U55" s="5">
        <f ca="1">IF(Query1[[#This Row],[Promise Date]]="", "", TODAY() -Query1[[#This Row],[Promise Date]])</f>
        <v>108</v>
      </c>
      <c r="V55" t="str">
        <f ca="1">IF(Query1[[#This Row],[Days Late]]&gt;0, "Yes", "No")</f>
        <v>Yes</v>
      </c>
    </row>
    <row r="56" spans="1:22" x14ac:dyDescent="0.25">
      <c r="A56" s="1" t="s">
        <v>60</v>
      </c>
      <c r="B56" s="1" t="s">
        <v>125</v>
      </c>
      <c r="C56" s="1" t="s">
        <v>185</v>
      </c>
      <c r="D56" s="1" t="s">
        <v>19</v>
      </c>
      <c r="E56">
        <v>20014625</v>
      </c>
      <c r="F56" s="1" t="s">
        <v>206</v>
      </c>
      <c r="G56" s="1">
        <v>2035164</v>
      </c>
      <c r="H56" s="1" t="s">
        <v>221</v>
      </c>
      <c r="I56">
        <v>0</v>
      </c>
      <c r="J56">
        <v>0</v>
      </c>
      <c r="K56">
        <v>73</v>
      </c>
      <c r="L56">
        <v>19670</v>
      </c>
      <c r="M56">
        <v>78225</v>
      </c>
      <c r="N56" s="1" t="s">
        <v>20</v>
      </c>
      <c r="O56" s="2">
        <v>45664</v>
      </c>
      <c r="P56" s="2">
        <v>45784</v>
      </c>
      <c r="Q56" s="2">
        <v>45784</v>
      </c>
      <c r="R56" s="2">
        <v>45784</v>
      </c>
      <c r="S56">
        <v>0</v>
      </c>
      <c r="T56" s="1" t="s">
        <v>21</v>
      </c>
      <c r="U56" s="5">
        <f ca="1">IF(Query1[[#This Row],[Promise Date]]="", "", TODAY() -Query1[[#This Row],[Promise Date]])</f>
        <v>110</v>
      </c>
      <c r="V56" t="str">
        <f ca="1">IF(Query1[[#This Row],[Days Late]]&gt;0, "Yes", "No")</f>
        <v>Yes</v>
      </c>
    </row>
    <row r="57" spans="1:22" x14ac:dyDescent="0.25">
      <c r="A57" s="1" t="s">
        <v>60</v>
      </c>
      <c r="B57" s="1" t="s">
        <v>125</v>
      </c>
      <c r="C57" s="1" t="s">
        <v>185</v>
      </c>
      <c r="D57" s="1" t="s">
        <v>19</v>
      </c>
      <c r="E57">
        <v>20014625</v>
      </c>
      <c r="F57" s="1" t="s">
        <v>206</v>
      </c>
      <c r="G57" s="1">
        <v>2035164</v>
      </c>
      <c r="H57" s="1" t="s">
        <v>221</v>
      </c>
      <c r="I57">
        <v>0</v>
      </c>
      <c r="J57">
        <v>0</v>
      </c>
      <c r="K57">
        <v>256</v>
      </c>
      <c r="L57">
        <v>10614</v>
      </c>
      <c r="M57">
        <v>55678</v>
      </c>
      <c r="N57" s="1" t="s">
        <v>20</v>
      </c>
      <c r="O57" s="2">
        <v>45664</v>
      </c>
      <c r="P57" s="2">
        <v>45822</v>
      </c>
      <c r="Q57" s="2">
        <v>45822</v>
      </c>
      <c r="R57" s="2">
        <v>45822</v>
      </c>
      <c r="S57">
        <v>0</v>
      </c>
      <c r="T57" s="1" t="s">
        <v>21</v>
      </c>
      <c r="U57" s="5">
        <f ca="1">IF(Query1[[#This Row],[Promise Date]]="", "", TODAY() -Query1[[#This Row],[Promise Date]])</f>
        <v>72</v>
      </c>
      <c r="V57" t="str">
        <f ca="1">IF(Query1[[#This Row],[Days Late]]&gt;0, "Yes", "No")</f>
        <v>Yes</v>
      </c>
    </row>
    <row r="58" spans="1:22" x14ac:dyDescent="0.25">
      <c r="A58" s="1" t="s">
        <v>60</v>
      </c>
      <c r="B58" s="1" t="s">
        <v>125</v>
      </c>
      <c r="C58" s="1" t="s">
        <v>185</v>
      </c>
      <c r="D58" s="1" t="s">
        <v>19</v>
      </c>
      <c r="E58">
        <v>20014625</v>
      </c>
      <c r="F58" s="1" t="s">
        <v>206</v>
      </c>
      <c r="G58" s="1">
        <v>2035164</v>
      </c>
      <c r="H58" s="1" t="s">
        <v>221</v>
      </c>
      <c r="I58">
        <v>0</v>
      </c>
      <c r="J58">
        <v>0</v>
      </c>
      <c r="K58">
        <v>6</v>
      </c>
      <c r="L58">
        <v>31188</v>
      </c>
      <c r="M58">
        <v>193452</v>
      </c>
      <c r="N58" s="1" t="s">
        <v>20</v>
      </c>
      <c r="O58" s="2">
        <v>45664</v>
      </c>
      <c r="P58" s="2">
        <v>45854</v>
      </c>
      <c r="Q58" s="2">
        <v>45854</v>
      </c>
      <c r="R58" s="2">
        <v>45854</v>
      </c>
      <c r="S58">
        <v>0</v>
      </c>
      <c r="T58" s="1" t="s">
        <v>21</v>
      </c>
      <c r="U58" s="5">
        <f ca="1">IF(Query1[[#This Row],[Promise Date]]="", "", TODAY() -Query1[[#This Row],[Promise Date]])</f>
        <v>40</v>
      </c>
      <c r="V58" t="str">
        <f ca="1">IF(Query1[[#This Row],[Days Late]]&gt;0, "Yes", "No")</f>
        <v>Yes</v>
      </c>
    </row>
    <row r="59" spans="1:22" x14ac:dyDescent="0.25">
      <c r="A59" s="1" t="s">
        <v>83</v>
      </c>
      <c r="B59" s="1" t="s">
        <v>131</v>
      </c>
      <c r="C59" s="1" t="s">
        <v>185</v>
      </c>
      <c r="D59" s="1" t="s">
        <v>22</v>
      </c>
      <c r="E59">
        <v>20012925</v>
      </c>
      <c r="F59" s="1" t="s">
        <v>207</v>
      </c>
      <c r="G59" s="1">
        <v>2036524</v>
      </c>
      <c r="H59" s="1" t="s">
        <v>221</v>
      </c>
      <c r="I59">
        <v>0</v>
      </c>
      <c r="J59">
        <v>0</v>
      </c>
      <c r="K59">
        <v>174</v>
      </c>
      <c r="L59">
        <v>3841</v>
      </c>
      <c r="M59">
        <v>98964</v>
      </c>
      <c r="N59" s="1" t="s">
        <v>20</v>
      </c>
      <c r="O59" s="2">
        <v>45701</v>
      </c>
      <c r="P59" s="2">
        <v>45820</v>
      </c>
      <c r="Q59" s="2">
        <v>45702</v>
      </c>
      <c r="R59" s="2">
        <v>45820</v>
      </c>
      <c r="S59">
        <v>0</v>
      </c>
      <c r="T59" s="1" t="s">
        <v>21</v>
      </c>
      <c r="U59" s="5">
        <f ca="1">IF(Query1[[#This Row],[Promise Date]]="", "", TODAY() -Query1[[#This Row],[Promise Date]])</f>
        <v>74</v>
      </c>
      <c r="V59" t="str">
        <f ca="1">IF(Query1[[#This Row],[Days Late]]&gt;0, "Yes", "No")</f>
        <v>Yes</v>
      </c>
    </row>
    <row r="60" spans="1:22" x14ac:dyDescent="0.25">
      <c r="A60" s="1" t="s">
        <v>74</v>
      </c>
      <c r="B60" s="1" t="s">
        <v>138</v>
      </c>
      <c r="C60" s="1" t="s">
        <v>189</v>
      </c>
      <c r="D60" s="1" t="s">
        <v>19</v>
      </c>
      <c r="E60">
        <v>20012925</v>
      </c>
      <c r="F60" s="1" t="s">
        <v>207</v>
      </c>
      <c r="G60" s="1">
        <v>2037751</v>
      </c>
      <c r="H60" s="1" t="s">
        <v>221</v>
      </c>
      <c r="I60">
        <v>0</v>
      </c>
      <c r="J60">
        <v>0</v>
      </c>
      <c r="K60">
        <v>38</v>
      </c>
      <c r="L60">
        <v>8275</v>
      </c>
      <c r="M60">
        <v>97262</v>
      </c>
      <c r="N60" s="1" t="s">
        <v>20</v>
      </c>
      <c r="O60" s="2">
        <v>45740</v>
      </c>
      <c r="P60" s="2">
        <v>45852</v>
      </c>
      <c r="Q60" s="2">
        <v>45852</v>
      </c>
      <c r="R60" s="2">
        <v>45852</v>
      </c>
      <c r="S60">
        <v>0</v>
      </c>
      <c r="T60" s="1" t="s">
        <v>21</v>
      </c>
      <c r="U60" s="5">
        <f ca="1">IF(Query1[[#This Row],[Promise Date]]="", "", TODAY() -Query1[[#This Row],[Promise Date]])</f>
        <v>42</v>
      </c>
      <c r="V60" t="str">
        <f ca="1">IF(Query1[[#This Row],[Days Late]]&gt;0, "Yes", "No")</f>
        <v>Yes</v>
      </c>
    </row>
    <row r="61" spans="1:22" x14ac:dyDescent="0.25">
      <c r="A61" s="1" t="s">
        <v>84</v>
      </c>
      <c r="B61" s="1" t="s">
        <v>147</v>
      </c>
      <c r="C61" s="1" t="s">
        <v>183</v>
      </c>
      <c r="D61" s="1" t="s">
        <v>19</v>
      </c>
      <c r="E61">
        <v>20010625</v>
      </c>
      <c r="F61" s="1" t="s">
        <v>208</v>
      </c>
      <c r="G61" s="1">
        <v>2030834</v>
      </c>
      <c r="H61" s="1" t="s">
        <v>221</v>
      </c>
      <c r="I61">
        <v>78</v>
      </c>
      <c r="J61">
        <v>12876.61</v>
      </c>
      <c r="K61">
        <v>215</v>
      </c>
      <c r="L61">
        <v>24751</v>
      </c>
      <c r="M61">
        <v>219138</v>
      </c>
      <c r="N61" s="1" t="s">
        <v>20</v>
      </c>
      <c r="O61" s="2">
        <v>45523</v>
      </c>
      <c r="P61" s="2">
        <v>45845</v>
      </c>
      <c r="Q61" s="2">
        <v>45845</v>
      </c>
      <c r="R61" s="2">
        <v>45845</v>
      </c>
      <c r="S61">
        <v>270</v>
      </c>
      <c r="T61" s="1" t="s">
        <v>23</v>
      </c>
      <c r="U61" s="5">
        <f ca="1">IF(Query1[[#This Row],[Promise Date]]="", "", TODAY() -Query1[[#This Row],[Promise Date]])</f>
        <v>49</v>
      </c>
      <c r="V61" t="str">
        <f ca="1">IF(Query1[[#This Row],[Days Late]]&gt;0, "Yes", "No")</f>
        <v>Yes</v>
      </c>
    </row>
    <row r="62" spans="1:22" x14ac:dyDescent="0.25">
      <c r="A62" s="1" t="s">
        <v>85</v>
      </c>
      <c r="B62" s="1" t="s">
        <v>148</v>
      </c>
      <c r="C62" s="1" t="s">
        <v>184</v>
      </c>
      <c r="D62" s="1" t="s">
        <v>19</v>
      </c>
      <c r="E62">
        <v>20009425</v>
      </c>
      <c r="F62" s="1" t="s">
        <v>209</v>
      </c>
      <c r="G62" s="1">
        <v>2029232</v>
      </c>
      <c r="H62" s="1" t="s">
        <v>221</v>
      </c>
      <c r="I62">
        <v>0</v>
      </c>
      <c r="J62">
        <v>0</v>
      </c>
      <c r="K62">
        <v>212</v>
      </c>
      <c r="L62">
        <v>13409</v>
      </c>
      <c r="M62">
        <v>278345</v>
      </c>
      <c r="N62" s="1" t="s">
        <v>20</v>
      </c>
      <c r="O62" s="2">
        <v>45868</v>
      </c>
      <c r="P62" s="2">
        <v>45870</v>
      </c>
      <c r="Q62" s="2">
        <v>45870</v>
      </c>
      <c r="R62" s="2">
        <v>45870</v>
      </c>
      <c r="S62">
        <v>0</v>
      </c>
      <c r="T62" s="1" t="s">
        <v>21</v>
      </c>
      <c r="U62" s="5">
        <f ca="1">IF(Query1[[#This Row],[Promise Date]]="", "", TODAY() -Query1[[#This Row],[Promise Date]])</f>
        <v>24</v>
      </c>
      <c r="V62" t="str">
        <f ca="1">IF(Query1[[#This Row],[Days Late]]&gt;0, "Yes", "No")</f>
        <v>Yes</v>
      </c>
    </row>
    <row r="63" spans="1:22" x14ac:dyDescent="0.25">
      <c r="A63" s="1" t="s">
        <v>86</v>
      </c>
      <c r="B63" s="1" t="s">
        <v>149</v>
      </c>
      <c r="C63" s="1" t="s">
        <v>185</v>
      </c>
      <c r="D63" s="1" t="s">
        <v>19</v>
      </c>
      <c r="E63">
        <v>20009025</v>
      </c>
      <c r="F63" s="1" t="s">
        <v>209</v>
      </c>
      <c r="G63" s="1">
        <v>2037278</v>
      </c>
      <c r="H63" s="1" t="s">
        <v>221</v>
      </c>
      <c r="I63">
        <v>0</v>
      </c>
      <c r="J63">
        <v>0</v>
      </c>
      <c r="K63">
        <v>96</v>
      </c>
      <c r="L63">
        <v>45595</v>
      </c>
      <c r="M63">
        <v>63670</v>
      </c>
      <c r="N63" s="1" t="s">
        <v>20</v>
      </c>
      <c r="O63" s="2">
        <v>45726</v>
      </c>
      <c r="P63" s="2">
        <v>45883</v>
      </c>
      <c r="Q63" s="2">
        <v>45883</v>
      </c>
      <c r="R63" s="2">
        <v>45876</v>
      </c>
      <c r="S63">
        <v>0</v>
      </c>
      <c r="T63" s="1" t="s">
        <v>21</v>
      </c>
      <c r="U63" s="5">
        <f ca="1">IF(Query1[[#This Row],[Promise Date]]="", "", TODAY() -Query1[[#This Row],[Promise Date]])</f>
        <v>11</v>
      </c>
      <c r="V63" t="str">
        <f ca="1">IF(Query1[[#This Row],[Days Late]]&gt;0, "Yes", "No")</f>
        <v>Yes</v>
      </c>
    </row>
    <row r="64" spans="1:22" x14ac:dyDescent="0.25">
      <c r="A64" s="1" t="s">
        <v>87</v>
      </c>
      <c r="B64" s="1" t="s">
        <v>150</v>
      </c>
      <c r="C64" s="1" t="s">
        <v>185</v>
      </c>
      <c r="D64" s="1" t="s">
        <v>19</v>
      </c>
      <c r="E64">
        <v>20008725</v>
      </c>
      <c r="F64" s="1" t="s">
        <v>209</v>
      </c>
      <c r="G64" s="1">
        <v>2031951</v>
      </c>
      <c r="H64" s="1" t="s">
        <v>221</v>
      </c>
      <c r="I64">
        <v>0</v>
      </c>
      <c r="J64">
        <v>0</v>
      </c>
      <c r="K64">
        <v>135</v>
      </c>
      <c r="L64">
        <v>10663</v>
      </c>
      <c r="M64">
        <v>127761</v>
      </c>
      <c r="N64" s="1" t="s">
        <v>20</v>
      </c>
      <c r="O64" s="2">
        <v>45555</v>
      </c>
      <c r="P64" s="2">
        <v>45636</v>
      </c>
      <c r="Q64" s="2">
        <v>45636</v>
      </c>
      <c r="R64" s="2">
        <v>45555</v>
      </c>
      <c r="S64">
        <v>0</v>
      </c>
      <c r="T64" s="1" t="s">
        <v>21</v>
      </c>
      <c r="U64" s="5">
        <f ca="1">IF(Query1[[#This Row],[Promise Date]]="", "", TODAY() -Query1[[#This Row],[Promise Date]])</f>
        <v>258</v>
      </c>
      <c r="V64" t="str">
        <f ca="1">IF(Query1[[#This Row],[Days Late]]&gt;0, "Yes", "No")</f>
        <v>Yes</v>
      </c>
    </row>
    <row r="65" spans="1:22" x14ac:dyDescent="0.25">
      <c r="A65" s="1" t="s">
        <v>88</v>
      </c>
      <c r="B65" s="1" t="s">
        <v>151</v>
      </c>
      <c r="C65" s="1" t="s">
        <v>183</v>
      </c>
      <c r="D65" s="1" t="s">
        <v>19</v>
      </c>
      <c r="E65">
        <v>20008725</v>
      </c>
      <c r="F65" s="1" t="s">
        <v>209</v>
      </c>
      <c r="G65" s="1">
        <v>2033489</v>
      </c>
      <c r="H65" s="1" t="s">
        <v>221</v>
      </c>
      <c r="I65">
        <v>1</v>
      </c>
      <c r="J65">
        <v>9649.5</v>
      </c>
      <c r="K65">
        <v>98</v>
      </c>
      <c r="L65">
        <v>22259</v>
      </c>
      <c r="M65">
        <v>171044</v>
      </c>
      <c r="N65" s="1" t="s">
        <v>20</v>
      </c>
      <c r="O65" s="2">
        <v>45631</v>
      </c>
      <c r="P65" s="2">
        <v>45747</v>
      </c>
      <c r="Q65" s="2">
        <v>45747</v>
      </c>
      <c r="R65" s="2">
        <v>45747</v>
      </c>
      <c r="S65">
        <v>0</v>
      </c>
      <c r="T65" s="1" t="s">
        <v>21</v>
      </c>
      <c r="U65" s="5">
        <f ca="1">IF(Query1[[#This Row],[Promise Date]]="", "", TODAY() -Query1[[#This Row],[Promise Date]])</f>
        <v>147</v>
      </c>
      <c r="V65" t="str">
        <f ca="1">IF(Query1[[#This Row],[Days Late]]&gt;0, "Yes", "No")</f>
        <v>Yes</v>
      </c>
    </row>
    <row r="66" spans="1:22" x14ac:dyDescent="0.25">
      <c r="A66" s="1" t="s">
        <v>89</v>
      </c>
      <c r="B66" s="1" t="s">
        <v>152</v>
      </c>
      <c r="C66" s="1" t="s">
        <v>183</v>
      </c>
      <c r="D66" s="1" t="s">
        <v>19</v>
      </c>
      <c r="E66">
        <v>20008725</v>
      </c>
      <c r="F66" s="1" t="s">
        <v>209</v>
      </c>
      <c r="G66" s="1">
        <v>2034970</v>
      </c>
      <c r="H66" s="1" t="s">
        <v>221</v>
      </c>
      <c r="I66">
        <v>0</v>
      </c>
      <c r="J66">
        <v>0</v>
      </c>
      <c r="K66">
        <v>276</v>
      </c>
      <c r="L66">
        <v>37080</v>
      </c>
      <c r="M66">
        <v>228589</v>
      </c>
      <c r="N66" s="1" t="s">
        <v>20</v>
      </c>
      <c r="O66" s="2">
        <v>45653</v>
      </c>
      <c r="P66" s="2">
        <v>45744</v>
      </c>
      <c r="Q66" s="2">
        <v>45660</v>
      </c>
      <c r="R66" s="2">
        <v>45744</v>
      </c>
      <c r="S66">
        <v>0</v>
      </c>
      <c r="T66" s="1" t="s">
        <v>21</v>
      </c>
      <c r="U66" s="5">
        <f ca="1">IF(Query1[[#This Row],[Promise Date]]="", "", TODAY() -Query1[[#This Row],[Promise Date]])</f>
        <v>150</v>
      </c>
      <c r="V66" t="str">
        <f ca="1">IF(Query1[[#This Row],[Days Late]]&gt;0, "Yes", "No")</f>
        <v>Yes</v>
      </c>
    </row>
    <row r="67" spans="1:22" x14ac:dyDescent="0.25">
      <c r="A67" s="1" t="s">
        <v>90</v>
      </c>
      <c r="B67" s="1" t="s">
        <v>153</v>
      </c>
      <c r="C67" s="1" t="s">
        <v>183</v>
      </c>
      <c r="D67" s="1" t="s">
        <v>19</v>
      </c>
      <c r="E67">
        <v>20008325</v>
      </c>
      <c r="F67" s="1" t="s">
        <v>209</v>
      </c>
      <c r="G67" s="1">
        <v>2031945</v>
      </c>
      <c r="H67" s="1" t="s">
        <v>221</v>
      </c>
      <c r="I67">
        <v>1328</v>
      </c>
      <c r="J67">
        <v>39882</v>
      </c>
      <c r="K67">
        <v>60</v>
      </c>
      <c r="L67">
        <v>9062</v>
      </c>
      <c r="M67">
        <v>12045</v>
      </c>
      <c r="N67" s="1" t="s">
        <v>20</v>
      </c>
      <c r="O67" s="2">
        <v>45555</v>
      </c>
      <c r="P67" s="2">
        <v>45891</v>
      </c>
      <c r="Q67" s="2">
        <v>45891</v>
      </c>
      <c r="R67" s="2">
        <v>45891</v>
      </c>
      <c r="S67">
        <v>246</v>
      </c>
      <c r="T67" s="1" t="s">
        <v>23</v>
      </c>
      <c r="U67" s="5">
        <f ca="1">IF(Query1[[#This Row],[Promise Date]]="", "", TODAY() -Query1[[#This Row],[Promise Date]])</f>
        <v>3</v>
      </c>
      <c r="V67" t="str">
        <f ca="1">IF(Query1[[#This Row],[Days Late]]&gt;0, "Yes", "No")</f>
        <v>Yes</v>
      </c>
    </row>
    <row r="68" spans="1:22" x14ac:dyDescent="0.25">
      <c r="A68" s="1" t="s">
        <v>91</v>
      </c>
      <c r="B68" s="1" t="s">
        <v>154</v>
      </c>
      <c r="C68" s="1" t="s">
        <v>185</v>
      </c>
      <c r="D68" s="1" t="s">
        <v>19</v>
      </c>
      <c r="E68">
        <v>20007525</v>
      </c>
      <c r="F68" s="1" t="s">
        <v>210</v>
      </c>
      <c r="G68" s="1">
        <v>1406549</v>
      </c>
      <c r="H68" s="1" t="s">
        <v>221</v>
      </c>
      <c r="I68">
        <v>180</v>
      </c>
      <c r="J68">
        <v>5061.8599999999997</v>
      </c>
      <c r="K68">
        <v>95</v>
      </c>
      <c r="L68">
        <v>14336</v>
      </c>
      <c r="M68">
        <v>243261</v>
      </c>
      <c r="N68" s="1" t="s">
        <v>20</v>
      </c>
      <c r="O68" s="2">
        <v>45684</v>
      </c>
      <c r="P68" s="2">
        <v>45782</v>
      </c>
      <c r="Q68" s="2">
        <v>45775</v>
      </c>
      <c r="R68" s="2">
        <v>45782</v>
      </c>
      <c r="S68">
        <v>10</v>
      </c>
      <c r="T68" s="1" t="s">
        <v>23</v>
      </c>
      <c r="U68" s="5">
        <f ca="1">IF(Query1[[#This Row],[Promise Date]]="", "", TODAY() -Query1[[#This Row],[Promise Date]])</f>
        <v>112</v>
      </c>
      <c r="V68" t="str">
        <f ca="1">IF(Query1[[#This Row],[Days Late]]&gt;0, "Yes", "No")</f>
        <v>Yes</v>
      </c>
    </row>
    <row r="69" spans="1:22" x14ac:dyDescent="0.25">
      <c r="A69" s="1" t="s">
        <v>91</v>
      </c>
      <c r="B69" s="1" t="s">
        <v>154</v>
      </c>
      <c r="C69" s="1" t="s">
        <v>185</v>
      </c>
      <c r="D69" s="1" t="s">
        <v>19</v>
      </c>
      <c r="E69">
        <v>20007525</v>
      </c>
      <c r="F69" s="1" t="s">
        <v>210</v>
      </c>
      <c r="G69" s="1">
        <v>1406549</v>
      </c>
      <c r="H69" s="1" t="s">
        <v>221</v>
      </c>
      <c r="I69">
        <v>180</v>
      </c>
      <c r="J69">
        <v>5061.8599999999997</v>
      </c>
      <c r="K69">
        <v>54</v>
      </c>
      <c r="L69">
        <v>41896</v>
      </c>
      <c r="M69">
        <v>40037</v>
      </c>
      <c r="N69" s="1" t="s">
        <v>20</v>
      </c>
      <c r="O69" s="2">
        <v>45725</v>
      </c>
      <c r="P69" s="2">
        <v>45824</v>
      </c>
      <c r="Q69" s="2">
        <v>45803</v>
      </c>
      <c r="R69" s="2">
        <v>45824</v>
      </c>
      <c r="S69">
        <v>0</v>
      </c>
      <c r="T69" s="1" t="s">
        <v>21</v>
      </c>
      <c r="U69" s="5">
        <f ca="1">IF(Query1[[#This Row],[Promise Date]]="", "", TODAY() -Query1[[#This Row],[Promise Date]])</f>
        <v>70</v>
      </c>
      <c r="V69" t="str">
        <f ca="1">IF(Query1[[#This Row],[Days Late]]&gt;0, "Yes", "No")</f>
        <v>Yes</v>
      </c>
    </row>
    <row r="70" spans="1:22" x14ac:dyDescent="0.25">
      <c r="A70" s="1" t="s">
        <v>91</v>
      </c>
      <c r="B70" s="1" t="s">
        <v>154</v>
      </c>
      <c r="C70" s="1" t="s">
        <v>185</v>
      </c>
      <c r="D70" s="1" t="s">
        <v>19</v>
      </c>
      <c r="E70">
        <v>20007525</v>
      </c>
      <c r="F70" s="1" t="s">
        <v>210</v>
      </c>
      <c r="G70" s="1">
        <v>1406549</v>
      </c>
      <c r="H70" s="1" t="s">
        <v>221</v>
      </c>
      <c r="I70">
        <v>180</v>
      </c>
      <c r="J70">
        <v>5061.8599999999997</v>
      </c>
      <c r="K70">
        <v>52</v>
      </c>
      <c r="L70">
        <v>1229</v>
      </c>
      <c r="M70">
        <v>249755</v>
      </c>
      <c r="N70" s="1" t="s">
        <v>20</v>
      </c>
      <c r="O70" s="2">
        <v>45770</v>
      </c>
      <c r="P70" s="2">
        <v>45852</v>
      </c>
      <c r="Q70" s="2">
        <v>45852</v>
      </c>
      <c r="R70" s="2">
        <v>45852</v>
      </c>
      <c r="S70">
        <v>0</v>
      </c>
      <c r="T70" s="1" t="s">
        <v>21</v>
      </c>
      <c r="U70" s="5">
        <f ca="1">IF(Query1[[#This Row],[Promise Date]]="", "", TODAY() -Query1[[#This Row],[Promise Date]])</f>
        <v>42</v>
      </c>
      <c r="V70" t="str">
        <f ca="1">IF(Query1[[#This Row],[Days Late]]&gt;0, "Yes", "No")</f>
        <v>Yes</v>
      </c>
    </row>
    <row r="71" spans="1:22" x14ac:dyDescent="0.25">
      <c r="A71" s="1" t="s">
        <v>91</v>
      </c>
      <c r="B71" s="1" t="s">
        <v>154</v>
      </c>
      <c r="C71" s="1" t="s">
        <v>185</v>
      </c>
      <c r="D71" s="1" t="s">
        <v>19</v>
      </c>
      <c r="E71">
        <v>20007525</v>
      </c>
      <c r="F71" s="1" t="s">
        <v>210</v>
      </c>
      <c r="G71" s="1">
        <v>1406549</v>
      </c>
      <c r="H71" s="1" t="s">
        <v>221</v>
      </c>
      <c r="I71">
        <v>180</v>
      </c>
      <c r="J71">
        <v>5061.8599999999997</v>
      </c>
      <c r="K71">
        <v>294</v>
      </c>
      <c r="L71">
        <v>15920</v>
      </c>
      <c r="M71">
        <v>238143</v>
      </c>
      <c r="N71" s="1" t="s">
        <v>20</v>
      </c>
      <c r="O71" s="2">
        <v>45785</v>
      </c>
      <c r="P71" s="2">
        <v>45859</v>
      </c>
      <c r="Q71" s="2">
        <v>45859</v>
      </c>
      <c r="R71" s="2">
        <v>45859</v>
      </c>
      <c r="S71">
        <v>0</v>
      </c>
      <c r="T71" s="1" t="s">
        <v>21</v>
      </c>
      <c r="U71" s="5">
        <f ca="1">IF(Query1[[#This Row],[Promise Date]]="", "", TODAY() -Query1[[#This Row],[Promise Date]])</f>
        <v>35</v>
      </c>
      <c r="V71" t="str">
        <f ca="1">IF(Query1[[#This Row],[Days Late]]&gt;0, "Yes", "No")</f>
        <v>Yes</v>
      </c>
    </row>
    <row r="72" spans="1:22" x14ac:dyDescent="0.25">
      <c r="A72" s="1" t="s">
        <v>91</v>
      </c>
      <c r="B72" s="1" t="s">
        <v>154</v>
      </c>
      <c r="C72" s="1" t="s">
        <v>185</v>
      </c>
      <c r="D72" s="1" t="s">
        <v>19</v>
      </c>
      <c r="E72">
        <v>20007525</v>
      </c>
      <c r="F72" s="1" t="s">
        <v>210</v>
      </c>
      <c r="G72" s="1">
        <v>1406549</v>
      </c>
      <c r="H72" s="1" t="s">
        <v>221</v>
      </c>
      <c r="I72">
        <v>180</v>
      </c>
      <c r="J72">
        <v>5061.8599999999997</v>
      </c>
      <c r="K72">
        <v>9</v>
      </c>
      <c r="L72">
        <v>2496</v>
      </c>
      <c r="M72">
        <v>175280</v>
      </c>
      <c r="N72" s="1" t="s">
        <v>20</v>
      </c>
      <c r="O72" s="2">
        <v>45785</v>
      </c>
      <c r="P72" s="2">
        <v>45859</v>
      </c>
      <c r="Q72" s="2">
        <v>45859</v>
      </c>
      <c r="R72" s="2">
        <v>45859</v>
      </c>
      <c r="S72">
        <v>0</v>
      </c>
      <c r="T72" s="1" t="s">
        <v>21</v>
      </c>
      <c r="U72" s="5">
        <f ca="1">IF(Query1[[#This Row],[Promise Date]]="", "", TODAY() -Query1[[#This Row],[Promise Date]])</f>
        <v>35</v>
      </c>
      <c r="V72" t="str">
        <f ca="1">IF(Query1[[#This Row],[Days Late]]&gt;0, "Yes", "No")</f>
        <v>Yes</v>
      </c>
    </row>
    <row r="73" spans="1:22" x14ac:dyDescent="0.25">
      <c r="A73" s="1" t="s">
        <v>91</v>
      </c>
      <c r="B73" s="1" t="s">
        <v>154</v>
      </c>
      <c r="C73" s="1" t="s">
        <v>185</v>
      </c>
      <c r="D73" s="1" t="s">
        <v>19</v>
      </c>
      <c r="E73">
        <v>20007525</v>
      </c>
      <c r="F73" s="1" t="s">
        <v>210</v>
      </c>
      <c r="G73" s="1">
        <v>1406549</v>
      </c>
      <c r="H73" s="1" t="s">
        <v>221</v>
      </c>
      <c r="I73">
        <v>180</v>
      </c>
      <c r="J73">
        <v>5061.8599999999997</v>
      </c>
      <c r="K73">
        <v>52</v>
      </c>
      <c r="L73">
        <v>33686</v>
      </c>
      <c r="M73">
        <v>5702</v>
      </c>
      <c r="N73" s="1" t="s">
        <v>20</v>
      </c>
      <c r="O73" s="2">
        <v>45785</v>
      </c>
      <c r="P73" s="2">
        <v>45866</v>
      </c>
      <c r="Q73" s="2">
        <v>45866</v>
      </c>
      <c r="R73" s="2">
        <v>45866</v>
      </c>
      <c r="S73">
        <v>0</v>
      </c>
      <c r="T73" s="1" t="s">
        <v>21</v>
      </c>
      <c r="U73" s="5">
        <f ca="1">IF(Query1[[#This Row],[Promise Date]]="", "", TODAY() -Query1[[#This Row],[Promise Date]])</f>
        <v>28</v>
      </c>
      <c r="V73" t="str">
        <f ca="1">IF(Query1[[#This Row],[Days Late]]&gt;0, "Yes", "No")</f>
        <v>Yes</v>
      </c>
    </row>
    <row r="74" spans="1:22" x14ac:dyDescent="0.25">
      <c r="A74" s="1" t="s">
        <v>91</v>
      </c>
      <c r="B74" s="1" t="s">
        <v>154</v>
      </c>
      <c r="C74" s="1" t="s">
        <v>185</v>
      </c>
      <c r="D74" s="1" t="s">
        <v>19</v>
      </c>
      <c r="E74">
        <v>20007525</v>
      </c>
      <c r="F74" s="1" t="s">
        <v>210</v>
      </c>
      <c r="G74" s="1">
        <v>1406549</v>
      </c>
      <c r="H74" s="1" t="s">
        <v>221</v>
      </c>
      <c r="I74">
        <v>180</v>
      </c>
      <c r="J74">
        <v>5061.8599999999997</v>
      </c>
      <c r="K74">
        <v>298</v>
      </c>
      <c r="L74">
        <v>3588</v>
      </c>
      <c r="M74">
        <v>27123</v>
      </c>
      <c r="N74" s="1" t="s">
        <v>20</v>
      </c>
      <c r="O74" s="2">
        <v>45790</v>
      </c>
      <c r="P74" s="2">
        <v>45887</v>
      </c>
      <c r="Q74" s="2">
        <v>45873</v>
      </c>
      <c r="R74" s="2">
        <v>45887</v>
      </c>
      <c r="S74">
        <v>0</v>
      </c>
      <c r="T74" s="1" t="s">
        <v>21</v>
      </c>
      <c r="U74" s="5">
        <f ca="1">IF(Query1[[#This Row],[Promise Date]]="", "", TODAY() -Query1[[#This Row],[Promise Date]])</f>
        <v>7</v>
      </c>
      <c r="V74" t="str">
        <f ca="1">IF(Query1[[#This Row],[Days Late]]&gt;0, "Yes", "No")</f>
        <v>Yes</v>
      </c>
    </row>
    <row r="75" spans="1:22" x14ac:dyDescent="0.25">
      <c r="A75" s="1" t="s">
        <v>92</v>
      </c>
      <c r="B75" s="1" t="s">
        <v>155</v>
      </c>
      <c r="C75" s="1" t="s">
        <v>185</v>
      </c>
      <c r="D75" s="1" t="s">
        <v>24</v>
      </c>
      <c r="E75">
        <v>20007525</v>
      </c>
      <c r="F75" s="1" t="s">
        <v>210</v>
      </c>
      <c r="G75" s="1">
        <v>1406761</v>
      </c>
      <c r="H75" s="1" t="s">
        <v>221</v>
      </c>
      <c r="I75">
        <v>199</v>
      </c>
      <c r="J75">
        <v>4025.33</v>
      </c>
      <c r="K75">
        <v>195</v>
      </c>
      <c r="L75">
        <v>26573</v>
      </c>
      <c r="M75">
        <v>8022</v>
      </c>
      <c r="N75" s="1" t="s">
        <v>20</v>
      </c>
      <c r="O75" s="2">
        <v>45761</v>
      </c>
      <c r="P75" s="2">
        <v>45880</v>
      </c>
      <c r="Q75" s="2">
        <v>45841</v>
      </c>
      <c r="R75" s="2">
        <v>45880</v>
      </c>
      <c r="S75">
        <v>0</v>
      </c>
      <c r="T75" s="1" t="s">
        <v>23</v>
      </c>
      <c r="U75" s="5">
        <f ca="1">IF(Query1[[#This Row],[Promise Date]]="", "", TODAY() -Query1[[#This Row],[Promise Date]])</f>
        <v>14</v>
      </c>
      <c r="V75" t="str">
        <f ca="1">IF(Query1[[#This Row],[Days Late]]&gt;0, "Yes", "No")</f>
        <v>Yes</v>
      </c>
    </row>
    <row r="76" spans="1:22" x14ac:dyDescent="0.25">
      <c r="A76" s="1" t="s">
        <v>93</v>
      </c>
      <c r="B76" s="1" t="s">
        <v>156</v>
      </c>
      <c r="C76" s="1" t="s">
        <v>183</v>
      </c>
      <c r="D76" s="1" t="s">
        <v>19</v>
      </c>
      <c r="E76">
        <v>20007525</v>
      </c>
      <c r="F76" s="1" t="s">
        <v>210</v>
      </c>
      <c r="G76" s="1">
        <v>1407818</v>
      </c>
      <c r="H76" s="1" t="s">
        <v>221</v>
      </c>
      <c r="I76">
        <v>0</v>
      </c>
      <c r="J76">
        <v>0</v>
      </c>
      <c r="K76">
        <v>293</v>
      </c>
      <c r="L76">
        <v>43183</v>
      </c>
      <c r="M76">
        <v>58810</v>
      </c>
      <c r="N76" s="1" t="s">
        <v>20</v>
      </c>
      <c r="O76" s="2">
        <v>44950</v>
      </c>
      <c r="P76" s="2">
        <v>45882</v>
      </c>
      <c r="Q76" s="2">
        <v>45882</v>
      </c>
      <c r="R76" s="2">
        <v>45882</v>
      </c>
      <c r="S76">
        <v>0</v>
      </c>
      <c r="T76" s="1" t="s">
        <v>21</v>
      </c>
      <c r="U76" s="5">
        <f ca="1">IF(Query1[[#This Row],[Promise Date]]="", "", TODAY() -Query1[[#This Row],[Promise Date]])</f>
        <v>12</v>
      </c>
      <c r="V76" t="str">
        <f ca="1">IF(Query1[[#This Row],[Days Late]]&gt;0, "Yes", "No")</f>
        <v>Yes</v>
      </c>
    </row>
    <row r="77" spans="1:22" x14ac:dyDescent="0.25">
      <c r="A77" s="1" t="s">
        <v>93</v>
      </c>
      <c r="B77" s="1" t="s">
        <v>156</v>
      </c>
      <c r="C77" s="1" t="s">
        <v>183</v>
      </c>
      <c r="D77" s="1" t="s">
        <v>19</v>
      </c>
      <c r="E77">
        <v>20007525</v>
      </c>
      <c r="F77" s="1" t="s">
        <v>210</v>
      </c>
      <c r="G77" s="1">
        <v>1408935</v>
      </c>
      <c r="H77" s="1" t="s">
        <v>221</v>
      </c>
      <c r="I77">
        <v>0</v>
      </c>
      <c r="J77">
        <v>0</v>
      </c>
      <c r="K77">
        <v>187</v>
      </c>
      <c r="L77">
        <v>42699</v>
      </c>
      <c r="M77">
        <v>119793</v>
      </c>
      <c r="N77" s="1" t="s">
        <v>20</v>
      </c>
      <c r="O77" s="2">
        <v>45685</v>
      </c>
      <c r="P77" s="2">
        <v>45819</v>
      </c>
      <c r="Q77" s="2">
        <v>45799</v>
      </c>
      <c r="R77" s="2">
        <v>45819</v>
      </c>
      <c r="S77">
        <v>34</v>
      </c>
      <c r="T77" s="1" t="s">
        <v>23</v>
      </c>
      <c r="U77" s="5">
        <f ca="1">IF(Query1[[#This Row],[Promise Date]]="", "", TODAY() -Query1[[#This Row],[Promise Date]])</f>
        <v>75</v>
      </c>
      <c r="V77" t="str">
        <f ca="1">IF(Query1[[#This Row],[Days Late]]&gt;0, "Yes", "No")</f>
        <v>Yes</v>
      </c>
    </row>
    <row r="78" spans="1:22" x14ac:dyDescent="0.25">
      <c r="A78" s="1" t="s">
        <v>93</v>
      </c>
      <c r="B78" s="1" t="s">
        <v>156</v>
      </c>
      <c r="C78" s="1" t="s">
        <v>183</v>
      </c>
      <c r="D78" s="1" t="s">
        <v>19</v>
      </c>
      <c r="E78">
        <v>20007525</v>
      </c>
      <c r="F78" s="1" t="s">
        <v>210</v>
      </c>
      <c r="G78" s="1">
        <v>1408935</v>
      </c>
      <c r="H78" s="1" t="s">
        <v>221</v>
      </c>
      <c r="I78">
        <v>0</v>
      </c>
      <c r="J78">
        <v>0</v>
      </c>
      <c r="K78">
        <v>297</v>
      </c>
      <c r="L78">
        <v>49148</v>
      </c>
      <c r="M78">
        <v>183339</v>
      </c>
      <c r="N78" s="1" t="s">
        <v>20</v>
      </c>
      <c r="O78" s="2">
        <v>45709</v>
      </c>
      <c r="P78" s="2">
        <v>45835</v>
      </c>
      <c r="Q78" s="2">
        <v>45833</v>
      </c>
      <c r="R78" s="2">
        <v>45835</v>
      </c>
      <c r="S78">
        <v>0</v>
      </c>
      <c r="T78" s="1" t="s">
        <v>21</v>
      </c>
      <c r="U78" s="5">
        <f ca="1">IF(Query1[[#This Row],[Promise Date]]="", "", TODAY() -Query1[[#This Row],[Promise Date]])</f>
        <v>59</v>
      </c>
      <c r="V78" t="str">
        <f ca="1">IF(Query1[[#This Row],[Days Late]]&gt;0, "Yes", "No")</f>
        <v>Yes</v>
      </c>
    </row>
    <row r="79" spans="1:22" x14ac:dyDescent="0.25">
      <c r="A79" s="1" t="s">
        <v>93</v>
      </c>
      <c r="B79" s="1" t="s">
        <v>156</v>
      </c>
      <c r="C79" s="1" t="s">
        <v>183</v>
      </c>
      <c r="D79" s="1" t="s">
        <v>19</v>
      </c>
      <c r="E79">
        <v>20007525</v>
      </c>
      <c r="F79" s="1" t="s">
        <v>210</v>
      </c>
      <c r="G79" s="1">
        <v>1408935</v>
      </c>
      <c r="H79" s="1" t="s">
        <v>221</v>
      </c>
      <c r="I79">
        <v>0</v>
      </c>
      <c r="J79">
        <v>0</v>
      </c>
      <c r="K79">
        <v>96</v>
      </c>
      <c r="L79">
        <v>25939</v>
      </c>
      <c r="M79">
        <v>81016</v>
      </c>
      <c r="N79" s="1" t="s">
        <v>20</v>
      </c>
      <c r="O79" s="2">
        <v>45761</v>
      </c>
      <c r="P79" s="2">
        <v>45890</v>
      </c>
      <c r="Q79" s="2">
        <v>45890</v>
      </c>
      <c r="R79" s="2">
        <v>45890</v>
      </c>
      <c r="S79">
        <v>0</v>
      </c>
      <c r="T79" s="1" t="s">
        <v>21</v>
      </c>
      <c r="U79" s="5">
        <f ca="1">IF(Query1[[#This Row],[Promise Date]]="", "", TODAY() -Query1[[#This Row],[Promise Date]])</f>
        <v>4</v>
      </c>
      <c r="V79" t="str">
        <f ca="1">IF(Query1[[#This Row],[Days Late]]&gt;0, "Yes", "No")</f>
        <v>Yes</v>
      </c>
    </row>
    <row r="80" spans="1:22" x14ac:dyDescent="0.25">
      <c r="A80" s="1" t="s">
        <v>94</v>
      </c>
      <c r="B80" s="1" t="s">
        <v>157</v>
      </c>
      <c r="C80" s="1" t="s">
        <v>185</v>
      </c>
      <c r="D80" s="1" t="s">
        <v>53</v>
      </c>
      <c r="E80">
        <v>20007525</v>
      </c>
      <c r="F80" s="1" t="s">
        <v>210</v>
      </c>
      <c r="G80" s="1">
        <v>1417813</v>
      </c>
      <c r="H80" s="1" t="s">
        <v>221</v>
      </c>
      <c r="I80">
        <v>175</v>
      </c>
      <c r="J80">
        <v>3651.86</v>
      </c>
      <c r="K80">
        <v>39</v>
      </c>
      <c r="L80">
        <v>22579</v>
      </c>
      <c r="M80">
        <v>271367</v>
      </c>
      <c r="N80" s="1" t="s">
        <v>20</v>
      </c>
      <c r="O80" s="2">
        <v>45770</v>
      </c>
      <c r="P80" s="2">
        <v>45868</v>
      </c>
      <c r="Q80" s="2">
        <v>45852</v>
      </c>
      <c r="R80" s="2">
        <v>45868</v>
      </c>
      <c r="S80">
        <v>0</v>
      </c>
      <c r="T80" s="1" t="s">
        <v>21</v>
      </c>
      <c r="U80" s="5">
        <f ca="1">IF(Query1[[#This Row],[Promise Date]]="", "", TODAY() -Query1[[#This Row],[Promise Date]])</f>
        <v>26</v>
      </c>
      <c r="V80" t="str">
        <f ca="1">IF(Query1[[#This Row],[Days Late]]&gt;0, "Yes", "No")</f>
        <v>Yes</v>
      </c>
    </row>
    <row r="81" spans="1:22" x14ac:dyDescent="0.25">
      <c r="A81" s="1" t="s">
        <v>95</v>
      </c>
      <c r="B81" s="1" t="s">
        <v>158</v>
      </c>
      <c r="C81" s="1" t="s">
        <v>185</v>
      </c>
      <c r="D81" s="1" t="s">
        <v>19</v>
      </c>
      <c r="E81">
        <v>20007525</v>
      </c>
      <c r="F81" s="1" t="s">
        <v>210</v>
      </c>
      <c r="G81" s="1">
        <v>2035410</v>
      </c>
      <c r="H81" s="1" t="s">
        <v>221</v>
      </c>
      <c r="I81">
        <v>0</v>
      </c>
      <c r="J81">
        <v>0</v>
      </c>
      <c r="K81">
        <v>34</v>
      </c>
      <c r="L81">
        <v>37558</v>
      </c>
      <c r="M81">
        <v>29332</v>
      </c>
      <c r="N81" s="1" t="s">
        <v>20</v>
      </c>
      <c r="O81" s="2">
        <v>45761</v>
      </c>
      <c r="P81" s="2">
        <v>45859</v>
      </c>
      <c r="Q81" s="2">
        <v>45827</v>
      </c>
      <c r="R81" s="2">
        <v>45859</v>
      </c>
      <c r="S81">
        <v>7</v>
      </c>
      <c r="T81" s="1" t="s">
        <v>23</v>
      </c>
      <c r="U81" s="5">
        <f ca="1">IF(Query1[[#This Row],[Promise Date]]="", "", TODAY() -Query1[[#This Row],[Promise Date]])</f>
        <v>35</v>
      </c>
      <c r="V81" t="str">
        <f ca="1">IF(Query1[[#This Row],[Days Late]]&gt;0, "Yes", "No")</f>
        <v>Yes</v>
      </c>
    </row>
    <row r="82" spans="1:22" x14ac:dyDescent="0.25">
      <c r="A82" s="1" t="s">
        <v>95</v>
      </c>
      <c r="B82" s="1" t="s">
        <v>158</v>
      </c>
      <c r="C82" s="1" t="s">
        <v>185</v>
      </c>
      <c r="D82" s="1" t="s">
        <v>19</v>
      </c>
      <c r="E82">
        <v>20007525</v>
      </c>
      <c r="F82" s="1" t="s">
        <v>210</v>
      </c>
      <c r="G82" s="1">
        <v>2035410</v>
      </c>
      <c r="H82" s="1" t="s">
        <v>221</v>
      </c>
      <c r="I82">
        <v>0</v>
      </c>
      <c r="J82">
        <v>0</v>
      </c>
      <c r="K82">
        <v>37</v>
      </c>
      <c r="L82">
        <v>29101</v>
      </c>
      <c r="M82">
        <v>293374</v>
      </c>
      <c r="N82" s="1" t="s">
        <v>20</v>
      </c>
      <c r="O82" s="2">
        <v>45785</v>
      </c>
      <c r="P82" s="2">
        <v>45883</v>
      </c>
      <c r="Q82" s="2">
        <v>45867</v>
      </c>
      <c r="R82" s="2">
        <v>45883</v>
      </c>
      <c r="S82">
        <v>0</v>
      </c>
      <c r="T82" s="1" t="s">
        <v>21</v>
      </c>
      <c r="U82" s="5">
        <f ca="1">IF(Query1[[#This Row],[Promise Date]]="", "", TODAY() -Query1[[#This Row],[Promise Date]])</f>
        <v>11</v>
      </c>
      <c r="V82" t="str">
        <f ca="1">IF(Query1[[#This Row],[Days Late]]&gt;0, "Yes", "No")</f>
        <v>Yes</v>
      </c>
    </row>
    <row r="83" spans="1:22" x14ac:dyDescent="0.25">
      <c r="A83" s="1" t="s">
        <v>96</v>
      </c>
      <c r="B83" s="1" t="s">
        <v>159</v>
      </c>
      <c r="C83" s="1" t="s">
        <v>189</v>
      </c>
      <c r="D83" s="1" t="s">
        <v>19</v>
      </c>
      <c r="E83">
        <v>20007425</v>
      </c>
      <c r="F83" s="1" t="s">
        <v>210</v>
      </c>
      <c r="G83" s="1">
        <v>2030819</v>
      </c>
      <c r="H83" s="1" t="s">
        <v>221</v>
      </c>
      <c r="I83">
        <v>26</v>
      </c>
      <c r="J83">
        <v>2020.81</v>
      </c>
      <c r="K83">
        <v>61</v>
      </c>
      <c r="L83">
        <v>24890</v>
      </c>
      <c r="M83">
        <v>272668</v>
      </c>
      <c r="N83" s="1" t="s">
        <v>20</v>
      </c>
      <c r="O83" s="2">
        <v>45523</v>
      </c>
      <c r="P83" s="2">
        <v>45734</v>
      </c>
      <c r="Q83" s="2">
        <v>45590</v>
      </c>
      <c r="R83" s="2">
        <v>45734</v>
      </c>
      <c r="S83">
        <v>0</v>
      </c>
      <c r="T83" s="1" t="s">
        <v>23</v>
      </c>
      <c r="U83" s="5">
        <f ca="1">IF(Query1[[#This Row],[Promise Date]]="", "", TODAY() -Query1[[#This Row],[Promise Date]])</f>
        <v>160</v>
      </c>
      <c r="V83" t="str">
        <f ca="1">IF(Query1[[#This Row],[Days Late]]&gt;0, "Yes", "No")</f>
        <v>Yes</v>
      </c>
    </row>
    <row r="84" spans="1:22" x14ac:dyDescent="0.25">
      <c r="A84" s="1" t="s">
        <v>96</v>
      </c>
      <c r="B84" s="1" t="s">
        <v>159</v>
      </c>
      <c r="C84" s="1" t="s">
        <v>189</v>
      </c>
      <c r="D84" s="1" t="s">
        <v>19</v>
      </c>
      <c r="E84">
        <v>20007425</v>
      </c>
      <c r="F84" s="1" t="s">
        <v>210</v>
      </c>
      <c r="G84" s="1">
        <v>2030819</v>
      </c>
      <c r="H84" s="1" t="s">
        <v>221</v>
      </c>
      <c r="I84">
        <v>26</v>
      </c>
      <c r="J84">
        <v>2020.81</v>
      </c>
      <c r="K84">
        <v>25</v>
      </c>
      <c r="L84">
        <v>34479</v>
      </c>
      <c r="M84">
        <v>44075</v>
      </c>
      <c r="N84" s="1" t="s">
        <v>20</v>
      </c>
      <c r="O84" s="2">
        <v>45523</v>
      </c>
      <c r="P84" s="2">
        <v>45723</v>
      </c>
      <c r="Q84" s="2">
        <v>45723</v>
      </c>
      <c r="R84" s="2">
        <v>45723</v>
      </c>
      <c r="S84">
        <v>0</v>
      </c>
      <c r="T84" s="1" t="s">
        <v>23</v>
      </c>
      <c r="U84" s="5">
        <f ca="1">IF(Query1[[#This Row],[Promise Date]]="", "", TODAY() -Query1[[#This Row],[Promise Date]])</f>
        <v>171</v>
      </c>
      <c r="V84" t="str">
        <f ca="1">IF(Query1[[#This Row],[Days Late]]&gt;0, "Yes", "No")</f>
        <v>Yes</v>
      </c>
    </row>
    <row r="85" spans="1:22" x14ac:dyDescent="0.25">
      <c r="A85" s="1" t="s">
        <v>97</v>
      </c>
      <c r="B85" s="1" t="s">
        <v>160</v>
      </c>
      <c r="C85" s="1" t="s">
        <v>185</v>
      </c>
      <c r="D85" s="1" t="s">
        <v>19</v>
      </c>
      <c r="E85">
        <v>20007425</v>
      </c>
      <c r="F85" s="1" t="s">
        <v>210</v>
      </c>
      <c r="G85" s="1">
        <v>2032232</v>
      </c>
      <c r="H85" s="1" t="s">
        <v>221</v>
      </c>
      <c r="I85">
        <v>20</v>
      </c>
      <c r="J85">
        <v>96.87</v>
      </c>
      <c r="K85">
        <v>224</v>
      </c>
      <c r="L85">
        <v>47698</v>
      </c>
      <c r="M85">
        <v>63928</v>
      </c>
      <c r="N85" s="1" t="s">
        <v>20</v>
      </c>
      <c r="O85" s="2">
        <v>45566</v>
      </c>
      <c r="P85" s="2">
        <v>45866</v>
      </c>
      <c r="Q85" s="2">
        <v>45778</v>
      </c>
      <c r="R85" s="2">
        <v>45866</v>
      </c>
      <c r="S85">
        <v>3</v>
      </c>
      <c r="T85" s="1" t="s">
        <v>23</v>
      </c>
      <c r="U85" s="5">
        <f ca="1">IF(Query1[[#This Row],[Promise Date]]="", "", TODAY() -Query1[[#This Row],[Promise Date]])</f>
        <v>28</v>
      </c>
      <c r="V85" t="str">
        <f ca="1">IF(Query1[[#This Row],[Days Late]]&gt;0, "Yes", "No")</f>
        <v>Yes</v>
      </c>
    </row>
    <row r="86" spans="1:22" x14ac:dyDescent="0.25">
      <c r="A86" s="1" t="s">
        <v>67</v>
      </c>
      <c r="B86" s="1" t="s">
        <v>132</v>
      </c>
      <c r="C86" s="1" t="s">
        <v>184</v>
      </c>
      <c r="D86" s="1" t="s">
        <v>19</v>
      </c>
      <c r="E86">
        <v>20007425</v>
      </c>
      <c r="F86" s="1" t="s">
        <v>210</v>
      </c>
      <c r="G86" s="1">
        <v>2035926</v>
      </c>
      <c r="H86" s="1" t="s">
        <v>221</v>
      </c>
      <c r="I86">
        <v>1</v>
      </c>
      <c r="J86">
        <v>0</v>
      </c>
      <c r="K86">
        <v>215</v>
      </c>
      <c r="L86">
        <v>32786</v>
      </c>
      <c r="M86">
        <v>157996</v>
      </c>
      <c r="N86" s="1" t="s">
        <v>20</v>
      </c>
      <c r="O86" s="2">
        <v>45685</v>
      </c>
      <c r="P86" s="2">
        <v>45821</v>
      </c>
      <c r="Q86" s="2">
        <v>45779</v>
      </c>
      <c r="R86" s="2">
        <v>45821</v>
      </c>
      <c r="S86">
        <v>0</v>
      </c>
      <c r="T86" s="1" t="s">
        <v>21</v>
      </c>
      <c r="U86" s="5">
        <f ca="1">IF(Query1[[#This Row],[Promise Date]]="", "", TODAY() -Query1[[#This Row],[Promise Date]])</f>
        <v>73</v>
      </c>
      <c r="V86" t="str">
        <f ca="1">IF(Query1[[#This Row],[Days Late]]&gt;0, "Yes", "No")</f>
        <v>Yes</v>
      </c>
    </row>
    <row r="87" spans="1:22" x14ac:dyDescent="0.25">
      <c r="A87" s="1" t="s">
        <v>62</v>
      </c>
      <c r="B87" s="1" t="s">
        <v>127</v>
      </c>
      <c r="C87" s="1" t="s">
        <v>184</v>
      </c>
      <c r="D87" s="1" t="s">
        <v>19</v>
      </c>
      <c r="E87">
        <v>20007425</v>
      </c>
      <c r="F87" s="1" t="s">
        <v>210</v>
      </c>
      <c r="G87" s="1">
        <v>2035926</v>
      </c>
      <c r="H87" s="1" t="s">
        <v>221</v>
      </c>
      <c r="I87">
        <v>1</v>
      </c>
      <c r="J87">
        <v>0</v>
      </c>
      <c r="K87">
        <v>210</v>
      </c>
      <c r="L87">
        <v>23934</v>
      </c>
      <c r="M87">
        <v>173715</v>
      </c>
      <c r="N87" s="1" t="s">
        <v>20</v>
      </c>
      <c r="O87" s="2">
        <v>45685</v>
      </c>
      <c r="P87" s="2">
        <v>45821</v>
      </c>
      <c r="Q87" s="2">
        <v>45786</v>
      </c>
      <c r="R87" s="2">
        <v>45821</v>
      </c>
      <c r="S87">
        <v>0</v>
      </c>
      <c r="T87" s="1" t="s">
        <v>21</v>
      </c>
      <c r="U87" s="5">
        <f ca="1">IF(Query1[[#This Row],[Promise Date]]="", "", TODAY() -Query1[[#This Row],[Promise Date]])</f>
        <v>73</v>
      </c>
      <c r="V87" t="str">
        <f ca="1">IF(Query1[[#This Row],[Days Late]]&gt;0, "Yes", "No")</f>
        <v>Yes</v>
      </c>
    </row>
    <row r="88" spans="1:22" x14ac:dyDescent="0.25">
      <c r="A88" s="1" t="s">
        <v>98</v>
      </c>
      <c r="B88" s="1" t="s">
        <v>161</v>
      </c>
      <c r="C88" s="1" t="s">
        <v>183</v>
      </c>
      <c r="D88" s="1" t="s">
        <v>19</v>
      </c>
      <c r="E88">
        <v>20007425</v>
      </c>
      <c r="F88" s="1" t="s">
        <v>210</v>
      </c>
      <c r="G88" s="1">
        <v>2035926</v>
      </c>
      <c r="H88" s="1" t="s">
        <v>221</v>
      </c>
      <c r="I88">
        <v>101</v>
      </c>
      <c r="J88">
        <v>5131.17</v>
      </c>
      <c r="K88">
        <v>289</v>
      </c>
      <c r="L88">
        <v>352</v>
      </c>
      <c r="M88">
        <v>86007</v>
      </c>
      <c r="N88" s="1" t="s">
        <v>20</v>
      </c>
      <c r="O88" s="2">
        <v>45701</v>
      </c>
      <c r="P88" s="2">
        <v>45821</v>
      </c>
      <c r="Q88" s="2">
        <v>45779</v>
      </c>
      <c r="R88" s="2">
        <v>45821</v>
      </c>
      <c r="S88">
        <v>0</v>
      </c>
      <c r="T88" s="1" t="s">
        <v>21</v>
      </c>
      <c r="U88" s="5">
        <f ca="1">IF(Query1[[#This Row],[Promise Date]]="", "", TODAY() -Query1[[#This Row],[Promise Date]])</f>
        <v>73</v>
      </c>
      <c r="V88" t="str">
        <f ca="1">IF(Query1[[#This Row],[Days Late]]&gt;0, "Yes", "No")</f>
        <v>Yes</v>
      </c>
    </row>
    <row r="89" spans="1:22" x14ac:dyDescent="0.25">
      <c r="A89" s="1" t="s">
        <v>99</v>
      </c>
      <c r="B89" s="1" t="s">
        <v>162</v>
      </c>
      <c r="C89" s="1" t="s">
        <v>185</v>
      </c>
      <c r="D89" s="1" t="s">
        <v>19</v>
      </c>
      <c r="E89">
        <v>20007425</v>
      </c>
      <c r="F89" s="1" t="s">
        <v>210</v>
      </c>
      <c r="G89" s="1">
        <v>2037902</v>
      </c>
      <c r="H89" s="1" t="s">
        <v>221</v>
      </c>
      <c r="I89">
        <v>142</v>
      </c>
      <c r="J89">
        <v>497.1</v>
      </c>
      <c r="K89">
        <v>13</v>
      </c>
      <c r="L89">
        <v>26538</v>
      </c>
      <c r="M89">
        <v>209623</v>
      </c>
      <c r="N89" s="1" t="s">
        <v>20</v>
      </c>
      <c r="O89" s="2">
        <v>45744</v>
      </c>
      <c r="P89" s="2">
        <v>45894</v>
      </c>
      <c r="Q89" s="2">
        <v>45894</v>
      </c>
      <c r="R89" s="2">
        <v>45894</v>
      </c>
      <c r="S89">
        <v>0</v>
      </c>
      <c r="T89" s="1" t="s">
        <v>21</v>
      </c>
      <c r="U89" s="5">
        <f ca="1">IF(Query1[[#This Row],[Promise Date]]="", "", TODAY() -Query1[[#This Row],[Promise Date]])</f>
        <v>0</v>
      </c>
      <c r="V89" t="str">
        <f ca="1">IF(Query1[[#This Row],[Days Late]]&gt;0, "Yes", "No")</f>
        <v>No</v>
      </c>
    </row>
    <row r="90" spans="1:22" x14ac:dyDescent="0.25">
      <c r="A90" s="1" t="s">
        <v>100</v>
      </c>
      <c r="B90" s="1" t="s">
        <v>163</v>
      </c>
      <c r="C90" s="1" t="s">
        <v>189</v>
      </c>
      <c r="D90" s="1" t="s">
        <v>19</v>
      </c>
      <c r="E90">
        <v>20006525</v>
      </c>
      <c r="F90" s="1" t="s">
        <v>211</v>
      </c>
      <c r="G90" s="1">
        <v>2026226</v>
      </c>
      <c r="H90" s="1" t="s">
        <v>221</v>
      </c>
      <c r="I90">
        <v>424</v>
      </c>
      <c r="J90">
        <v>52026.54</v>
      </c>
      <c r="K90">
        <v>154</v>
      </c>
      <c r="L90">
        <v>33231</v>
      </c>
      <c r="M90">
        <v>191840</v>
      </c>
      <c r="N90" s="1" t="s">
        <v>20</v>
      </c>
      <c r="O90" s="2">
        <v>45490</v>
      </c>
      <c r="P90" s="2">
        <v>45876</v>
      </c>
      <c r="Q90" s="2">
        <v>45876</v>
      </c>
      <c r="R90" s="2">
        <v>45876</v>
      </c>
      <c r="S90">
        <v>0</v>
      </c>
      <c r="T90" s="1" t="s">
        <v>23</v>
      </c>
      <c r="U90" s="5">
        <f ca="1">IF(Query1[[#This Row],[Promise Date]]="", "", TODAY() -Query1[[#This Row],[Promise Date]])</f>
        <v>18</v>
      </c>
      <c r="V90" t="str">
        <f ca="1">IF(Query1[[#This Row],[Days Late]]&gt;0, "Yes", "No")</f>
        <v>Yes</v>
      </c>
    </row>
    <row r="91" spans="1:22" x14ac:dyDescent="0.25">
      <c r="A91" s="1" t="s">
        <v>101</v>
      </c>
      <c r="B91" s="1" t="s">
        <v>164</v>
      </c>
      <c r="C91" s="1" t="s">
        <v>185</v>
      </c>
      <c r="D91" s="1" t="s">
        <v>19</v>
      </c>
      <c r="E91">
        <v>20006225</v>
      </c>
      <c r="F91" s="1" t="s">
        <v>212</v>
      </c>
      <c r="G91" s="1">
        <v>2023629</v>
      </c>
      <c r="H91" s="1" t="s">
        <v>221</v>
      </c>
      <c r="I91">
        <v>70</v>
      </c>
      <c r="J91">
        <v>2926.23</v>
      </c>
      <c r="K91">
        <v>15</v>
      </c>
      <c r="L91">
        <v>4605</v>
      </c>
      <c r="M91">
        <v>281538</v>
      </c>
      <c r="N91" s="1" t="s">
        <v>20</v>
      </c>
      <c r="O91" s="2">
        <v>45735</v>
      </c>
      <c r="P91" s="2">
        <v>45776</v>
      </c>
      <c r="Q91" s="2">
        <v>45776</v>
      </c>
      <c r="R91" s="2">
        <v>45776</v>
      </c>
      <c r="S91">
        <v>0</v>
      </c>
      <c r="T91" s="1" t="s">
        <v>21</v>
      </c>
      <c r="U91" s="5">
        <f ca="1">IF(Query1[[#This Row],[Promise Date]]="", "", TODAY() -Query1[[#This Row],[Promise Date]])</f>
        <v>118</v>
      </c>
      <c r="V91" t="str">
        <f ca="1">IF(Query1[[#This Row],[Days Late]]&gt;0, "Yes", "No")</f>
        <v>Yes</v>
      </c>
    </row>
    <row r="92" spans="1:22" x14ac:dyDescent="0.25">
      <c r="A92" s="1" t="s">
        <v>101</v>
      </c>
      <c r="B92" s="1" t="s">
        <v>164</v>
      </c>
      <c r="C92" s="1" t="s">
        <v>185</v>
      </c>
      <c r="D92" s="1" t="s">
        <v>19</v>
      </c>
      <c r="E92">
        <v>20006225</v>
      </c>
      <c r="F92" s="1" t="s">
        <v>212</v>
      </c>
      <c r="G92" s="1">
        <v>2023629</v>
      </c>
      <c r="H92" s="1" t="s">
        <v>221</v>
      </c>
      <c r="I92">
        <v>70</v>
      </c>
      <c r="J92">
        <v>2926.23</v>
      </c>
      <c r="K92">
        <v>133</v>
      </c>
      <c r="L92">
        <v>4072</v>
      </c>
      <c r="M92">
        <v>177957</v>
      </c>
      <c r="N92" s="1" t="s">
        <v>20</v>
      </c>
      <c r="O92" s="2">
        <v>45796</v>
      </c>
      <c r="P92" s="2">
        <v>45891</v>
      </c>
      <c r="Q92" s="2">
        <v>45891</v>
      </c>
      <c r="R92" s="2">
        <v>45884</v>
      </c>
      <c r="S92">
        <v>0</v>
      </c>
      <c r="T92" s="1" t="s">
        <v>21</v>
      </c>
      <c r="U92" s="5">
        <f ca="1">IF(Query1[[#This Row],[Promise Date]]="", "", TODAY() -Query1[[#This Row],[Promise Date]])</f>
        <v>3</v>
      </c>
      <c r="V92" t="str">
        <f ca="1">IF(Query1[[#This Row],[Days Late]]&gt;0, "Yes", "No")</f>
        <v>Yes</v>
      </c>
    </row>
    <row r="93" spans="1:22" x14ac:dyDescent="0.25">
      <c r="A93" s="1" t="s">
        <v>102</v>
      </c>
      <c r="B93" s="1" t="s">
        <v>165</v>
      </c>
      <c r="C93" s="1" t="s">
        <v>189</v>
      </c>
      <c r="D93" s="1" t="s">
        <v>19</v>
      </c>
      <c r="E93">
        <v>20005825</v>
      </c>
      <c r="F93" s="1" t="s">
        <v>213</v>
      </c>
      <c r="G93" s="1">
        <v>2000635</v>
      </c>
      <c r="H93" s="1" t="s">
        <v>221</v>
      </c>
      <c r="I93">
        <v>761</v>
      </c>
      <c r="J93">
        <v>14079.36</v>
      </c>
      <c r="K93">
        <v>49</v>
      </c>
      <c r="L93">
        <v>9471</v>
      </c>
      <c r="M93">
        <v>49192</v>
      </c>
      <c r="N93" s="1" t="s">
        <v>20</v>
      </c>
      <c r="O93" s="2">
        <v>45868</v>
      </c>
      <c r="P93" s="2">
        <v>45894</v>
      </c>
      <c r="Q93" s="2">
        <v>45894</v>
      </c>
      <c r="R93" s="2">
        <v>45894</v>
      </c>
      <c r="S93">
        <v>0</v>
      </c>
      <c r="T93" s="1" t="s">
        <v>23</v>
      </c>
      <c r="U93" s="5">
        <f ca="1">IF(Query1[[#This Row],[Promise Date]]="", "", TODAY() -Query1[[#This Row],[Promise Date]])</f>
        <v>0</v>
      </c>
      <c r="V93" t="str">
        <f ca="1">IF(Query1[[#This Row],[Days Late]]&gt;0, "Yes", "No")</f>
        <v>No</v>
      </c>
    </row>
    <row r="94" spans="1:22" x14ac:dyDescent="0.25">
      <c r="A94" s="1" t="s">
        <v>103</v>
      </c>
      <c r="B94" s="1" t="s">
        <v>166</v>
      </c>
      <c r="C94" s="1" t="s">
        <v>183</v>
      </c>
      <c r="D94" s="1" t="s">
        <v>19</v>
      </c>
      <c r="E94">
        <v>20005825</v>
      </c>
      <c r="F94" s="1" t="s">
        <v>213</v>
      </c>
      <c r="G94" s="1">
        <v>2000635</v>
      </c>
      <c r="H94" s="1" t="s">
        <v>221</v>
      </c>
      <c r="I94">
        <v>558</v>
      </c>
      <c r="J94">
        <v>8369.81</v>
      </c>
      <c r="K94">
        <v>172</v>
      </c>
      <c r="L94">
        <v>30639</v>
      </c>
      <c r="M94">
        <v>85281</v>
      </c>
      <c r="N94" s="1" t="s">
        <v>20</v>
      </c>
      <c r="O94" s="2">
        <v>45868</v>
      </c>
      <c r="P94" s="2">
        <v>45894</v>
      </c>
      <c r="Q94" s="2">
        <v>45894</v>
      </c>
      <c r="R94" s="2">
        <v>45894</v>
      </c>
      <c r="S94">
        <v>0</v>
      </c>
      <c r="T94" s="1" t="s">
        <v>23</v>
      </c>
      <c r="U94" s="5">
        <f ca="1">IF(Query1[[#This Row],[Promise Date]]="", "", TODAY() -Query1[[#This Row],[Promise Date]])</f>
        <v>0</v>
      </c>
      <c r="V94" t="str">
        <f ca="1">IF(Query1[[#This Row],[Days Late]]&gt;0, "Yes", "No")</f>
        <v>No</v>
      </c>
    </row>
    <row r="95" spans="1:22" x14ac:dyDescent="0.25">
      <c r="A95" s="1" t="s">
        <v>104</v>
      </c>
      <c r="B95" s="1" t="s">
        <v>167</v>
      </c>
      <c r="C95" s="1" t="s">
        <v>183</v>
      </c>
      <c r="D95" s="1" t="s">
        <v>19</v>
      </c>
      <c r="E95">
        <v>20005725</v>
      </c>
      <c r="F95" s="1" t="s">
        <v>214</v>
      </c>
      <c r="G95" s="1">
        <v>2031762</v>
      </c>
      <c r="H95" s="1" t="s">
        <v>221</v>
      </c>
      <c r="I95">
        <v>43</v>
      </c>
      <c r="J95">
        <v>1461.21</v>
      </c>
      <c r="K95">
        <v>103</v>
      </c>
      <c r="L95">
        <v>17001</v>
      </c>
      <c r="M95">
        <v>214260</v>
      </c>
      <c r="N95" s="1" t="s">
        <v>20</v>
      </c>
      <c r="O95" s="2">
        <v>45551</v>
      </c>
      <c r="P95" s="2">
        <v>45863</v>
      </c>
      <c r="Q95" s="2">
        <v>45863</v>
      </c>
      <c r="R95" s="2">
        <v>45863</v>
      </c>
      <c r="S95">
        <v>0</v>
      </c>
      <c r="T95" s="1" t="s">
        <v>21</v>
      </c>
      <c r="U95" s="5">
        <f ca="1">IF(Query1[[#This Row],[Promise Date]]="", "", TODAY() -Query1[[#This Row],[Promise Date]])</f>
        <v>31</v>
      </c>
      <c r="V95" t="str">
        <f ca="1">IF(Query1[[#This Row],[Days Late]]&gt;0, "Yes", "No")</f>
        <v>Yes</v>
      </c>
    </row>
    <row r="96" spans="1:22" x14ac:dyDescent="0.25">
      <c r="A96" s="1" t="s">
        <v>105</v>
      </c>
      <c r="B96" s="1" t="s">
        <v>168</v>
      </c>
      <c r="C96" s="1" t="s">
        <v>189</v>
      </c>
      <c r="D96" s="1" t="s">
        <v>19</v>
      </c>
      <c r="E96">
        <v>20005535</v>
      </c>
      <c r="F96" s="1" t="s">
        <v>215</v>
      </c>
      <c r="G96" s="1">
        <v>2037559</v>
      </c>
      <c r="H96" s="1" t="s">
        <v>221</v>
      </c>
      <c r="I96">
        <v>218</v>
      </c>
      <c r="J96">
        <v>16598.18</v>
      </c>
      <c r="K96">
        <v>213</v>
      </c>
      <c r="L96">
        <v>35178</v>
      </c>
      <c r="M96">
        <v>80042</v>
      </c>
      <c r="N96" s="1" t="s">
        <v>20</v>
      </c>
      <c r="O96" s="2">
        <v>45735</v>
      </c>
      <c r="P96" s="2">
        <v>45894</v>
      </c>
      <c r="Q96" s="2">
        <v>45894</v>
      </c>
      <c r="R96" s="2">
        <v>45894</v>
      </c>
      <c r="S96">
        <v>0</v>
      </c>
      <c r="T96" s="1" t="s">
        <v>23</v>
      </c>
      <c r="U96" s="5">
        <f ca="1">IF(Query1[[#This Row],[Promise Date]]="", "", TODAY() -Query1[[#This Row],[Promise Date]])</f>
        <v>0</v>
      </c>
      <c r="V96" t="str">
        <f ca="1">IF(Query1[[#This Row],[Days Late]]&gt;0, "Yes", "No")</f>
        <v>No</v>
      </c>
    </row>
    <row r="97" spans="1:22" x14ac:dyDescent="0.25">
      <c r="A97" s="1" t="s">
        <v>105</v>
      </c>
      <c r="B97" s="1" t="s">
        <v>168</v>
      </c>
      <c r="C97" s="1" t="s">
        <v>189</v>
      </c>
      <c r="D97" s="1" t="s">
        <v>19</v>
      </c>
      <c r="E97">
        <v>20005535</v>
      </c>
      <c r="F97" s="1" t="s">
        <v>215</v>
      </c>
      <c r="G97" s="1">
        <v>2037559</v>
      </c>
      <c r="H97" s="1" t="s">
        <v>221</v>
      </c>
      <c r="I97">
        <v>218</v>
      </c>
      <c r="J97">
        <v>16598.18</v>
      </c>
      <c r="K97">
        <v>33</v>
      </c>
      <c r="L97">
        <v>2181</v>
      </c>
      <c r="M97">
        <v>24492</v>
      </c>
      <c r="N97" s="1" t="s">
        <v>20</v>
      </c>
      <c r="O97" s="2">
        <v>45735</v>
      </c>
      <c r="P97" s="2">
        <v>45894</v>
      </c>
      <c r="Q97" s="2">
        <v>45894</v>
      </c>
      <c r="R97" s="2">
        <v>45894</v>
      </c>
      <c r="S97">
        <v>0</v>
      </c>
      <c r="T97" s="1" t="s">
        <v>23</v>
      </c>
      <c r="U97" s="5">
        <f ca="1">IF(Query1[[#This Row],[Promise Date]]="", "", TODAY() -Query1[[#This Row],[Promise Date]])</f>
        <v>0</v>
      </c>
      <c r="V97" t="str">
        <f ca="1">IF(Query1[[#This Row],[Days Late]]&gt;0, "Yes", "No")</f>
        <v>No</v>
      </c>
    </row>
    <row r="98" spans="1:22" x14ac:dyDescent="0.25">
      <c r="A98" s="1" t="s">
        <v>60</v>
      </c>
      <c r="B98" s="1" t="s">
        <v>125</v>
      </c>
      <c r="C98" s="1" t="s">
        <v>185</v>
      </c>
      <c r="D98" s="1" t="s">
        <v>19</v>
      </c>
      <c r="E98">
        <v>20005535</v>
      </c>
      <c r="F98" s="1" t="s">
        <v>215</v>
      </c>
      <c r="G98" s="1">
        <v>2037559</v>
      </c>
      <c r="H98" s="1" t="s">
        <v>221</v>
      </c>
      <c r="I98">
        <v>0</v>
      </c>
      <c r="J98">
        <v>0</v>
      </c>
      <c r="K98">
        <v>140</v>
      </c>
      <c r="L98">
        <v>37504</v>
      </c>
      <c r="M98">
        <v>173306</v>
      </c>
      <c r="N98" s="1" t="s">
        <v>20</v>
      </c>
      <c r="O98" s="2">
        <v>45735</v>
      </c>
      <c r="P98" s="2">
        <v>45894</v>
      </c>
      <c r="Q98" s="2">
        <v>45894</v>
      </c>
      <c r="R98" s="2">
        <v>45894</v>
      </c>
      <c r="S98">
        <v>0</v>
      </c>
      <c r="T98" s="1" t="s">
        <v>21</v>
      </c>
      <c r="U98" s="5">
        <f ca="1">IF(Query1[[#This Row],[Promise Date]]="", "", TODAY() -Query1[[#This Row],[Promise Date]])</f>
        <v>0</v>
      </c>
      <c r="V98" t="str">
        <f ca="1">IF(Query1[[#This Row],[Days Late]]&gt;0, "Yes", "No")</f>
        <v>No</v>
      </c>
    </row>
    <row r="99" spans="1:22" x14ac:dyDescent="0.25">
      <c r="A99" s="1" t="s">
        <v>106</v>
      </c>
      <c r="B99" s="1" t="s">
        <v>169</v>
      </c>
      <c r="C99" s="1" t="s">
        <v>185</v>
      </c>
      <c r="D99" s="1" t="s">
        <v>19</v>
      </c>
      <c r="E99">
        <v>20004525</v>
      </c>
      <c r="F99" s="1" t="s">
        <v>216</v>
      </c>
      <c r="G99" s="1">
        <v>2033824</v>
      </c>
      <c r="H99" s="1" t="s">
        <v>221</v>
      </c>
      <c r="I99">
        <v>0</v>
      </c>
      <c r="J99">
        <v>0</v>
      </c>
      <c r="K99">
        <v>221</v>
      </c>
      <c r="L99">
        <v>49760</v>
      </c>
      <c r="M99">
        <v>4286</v>
      </c>
      <c r="N99" s="1" t="s">
        <v>20</v>
      </c>
      <c r="O99" s="2">
        <v>45614</v>
      </c>
      <c r="P99" s="2">
        <v>45726</v>
      </c>
      <c r="Q99" s="2">
        <v>45723</v>
      </c>
      <c r="R99" s="2">
        <v>45726</v>
      </c>
      <c r="S99">
        <v>6</v>
      </c>
      <c r="T99" s="1" t="s">
        <v>23</v>
      </c>
      <c r="U99" s="5">
        <f ca="1">IF(Query1[[#This Row],[Promise Date]]="", "", TODAY() -Query1[[#This Row],[Promise Date]])</f>
        <v>168</v>
      </c>
      <c r="V99" t="str">
        <f ca="1">IF(Query1[[#This Row],[Days Late]]&gt;0, "Yes", "No")</f>
        <v>Yes</v>
      </c>
    </row>
    <row r="100" spans="1:22" x14ac:dyDescent="0.25">
      <c r="A100" s="1" t="s">
        <v>107</v>
      </c>
      <c r="B100" s="1" t="s">
        <v>170</v>
      </c>
      <c r="C100" s="1" t="s">
        <v>183</v>
      </c>
      <c r="D100" s="1" t="s">
        <v>19</v>
      </c>
      <c r="E100">
        <v>20004525</v>
      </c>
      <c r="F100" s="1" t="s">
        <v>216</v>
      </c>
      <c r="G100" s="1">
        <v>2034329</v>
      </c>
      <c r="H100" s="1" t="s">
        <v>221</v>
      </c>
      <c r="I100">
        <v>0</v>
      </c>
      <c r="J100">
        <v>0</v>
      </c>
      <c r="K100">
        <v>142</v>
      </c>
      <c r="L100">
        <v>612</v>
      </c>
      <c r="M100">
        <v>108932</v>
      </c>
      <c r="N100" s="1" t="s">
        <v>20</v>
      </c>
      <c r="O100" s="2">
        <v>45631</v>
      </c>
      <c r="P100" s="2">
        <v>45841</v>
      </c>
      <c r="Q100" s="2">
        <v>45702</v>
      </c>
      <c r="R100" s="2">
        <v>45841</v>
      </c>
      <c r="S100">
        <v>0</v>
      </c>
      <c r="T100" s="1" t="s">
        <v>21</v>
      </c>
      <c r="U100" s="5">
        <f ca="1">IF(Query1[[#This Row],[Promise Date]]="", "", TODAY() -Query1[[#This Row],[Promise Date]])</f>
        <v>53</v>
      </c>
      <c r="V100" t="str">
        <f ca="1">IF(Query1[[#This Row],[Days Late]]&gt;0, "Yes", "No")</f>
        <v>Yes</v>
      </c>
    </row>
    <row r="101" spans="1:22" x14ac:dyDescent="0.25">
      <c r="A101" s="1" t="s">
        <v>108</v>
      </c>
      <c r="B101" s="1" t="s">
        <v>171</v>
      </c>
      <c r="C101" s="1" t="s">
        <v>184</v>
      </c>
      <c r="D101" s="1" t="s">
        <v>22</v>
      </c>
      <c r="E101">
        <v>20004525</v>
      </c>
      <c r="F101" s="1" t="s">
        <v>216</v>
      </c>
      <c r="G101" s="1">
        <v>2034529</v>
      </c>
      <c r="H101" s="1" t="s">
        <v>221</v>
      </c>
      <c r="I101">
        <v>0</v>
      </c>
      <c r="J101">
        <v>0</v>
      </c>
      <c r="K101">
        <v>189</v>
      </c>
      <c r="L101">
        <v>16070</v>
      </c>
      <c r="M101">
        <v>278351</v>
      </c>
      <c r="N101" s="1" t="s">
        <v>20</v>
      </c>
      <c r="O101" s="2">
        <v>45721</v>
      </c>
      <c r="P101" s="2">
        <v>45870</v>
      </c>
      <c r="Q101" s="2">
        <v>45791</v>
      </c>
      <c r="R101" s="2">
        <v>45870</v>
      </c>
      <c r="S101">
        <v>0</v>
      </c>
      <c r="T101" s="1" t="s">
        <v>21</v>
      </c>
      <c r="U101" s="5">
        <f ca="1">IF(Query1[[#This Row],[Promise Date]]="", "", TODAY() -Query1[[#This Row],[Promise Date]])</f>
        <v>24</v>
      </c>
      <c r="V101" t="str">
        <f ca="1">IF(Query1[[#This Row],[Days Late]]&gt;0, "Yes", "No")</f>
        <v>Yes</v>
      </c>
    </row>
    <row r="102" spans="1:22" x14ac:dyDescent="0.25">
      <c r="A102" s="1" t="s">
        <v>74</v>
      </c>
      <c r="B102" s="1" t="s">
        <v>138</v>
      </c>
      <c r="C102" s="1" t="s">
        <v>189</v>
      </c>
      <c r="D102" s="1" t="s">
        <v>22</v>
      </c>
      <c r="E102">
        <v>20004525</v>
      </c>
      <c r="F102" s="1" t="s">
        <v>216</v>
      </c>
      <c r="G102" s="1">
        <v>2034529</v>
      </c>
      <c r="H102" s="1" t="s">
        <v>221</v>
      </c>
      <c r="I102">
        <v>0</v>
      </c>
      <c r="J102">
        <v>0</v>
      </c>
      <c r="K102">
        <v>182</v>
      </c>
      <c r="L102">
        <v>48514</v>
      </c>
      <c r="M102">
        <v>128389</v>
      </c>
      <c r="N102" s="1" t="s">
        <v>20</v>
      </c>
      <c r="O102" s="2">
        <v>45721</v>
      </c>
      <c r="P102" s="2">
        <v>45870</v>
      </c>
      <c r="Q102" s="2">
        <v>45791</v>
      </c>
      <c r="R102" s="2">
        <v>45870</v>
      </c>
      <c r="S102">
        <v>0</v>
      </c>
      <c r="T102" s="1" t="s">
        <v>21</v>
      </c>
      <c r="U102" s="5">
        <f ca="1">IF(Query1[[#This Row],[Promise Date]]="", "", TODAY() -Query1[[#This Row],[Promise Date]])</f>
        <v>24</v>
      </c>
      <c r="V102" t="str">
        <f ca="1">IF(Query1[[#This Row],[Days Late]]&gt;0, "Yes", "No")</f>
        <v>Yes</v>
      </c>
    </row>
    <row r="103" spans="1:22" x14ac:dyDescent="0.25">
      <c r="A103" s="1" t="s">
        <v>109</v>
      </c>
      <c r="B103" s="1" t="s">
        <v>172</v>
      </c>
      <c r="C103" s="1" t="s">
        <v>184</v>
      </c>
      <c r="D103" s="1" t="s">
        <v>22</v>
      </c>
      <c r="E103">
        <v>20004525</v>
      </c>
      <c r="F103" s="1" t="s">
        <v>216</v>
      </c>
      <c r="G103" s="1">
        <v>2034529</v>
      </c>
      <c r="H103" s="1" t="s">
        <v>221</v>
      </c>
      <c r="I103">
        <v>0</v>
      </c>
      <c r="J103">
        <v>0</v>
      </c>
      <c r="K103">
        <v>200</v>
      </c>
      <c r="L103">
        <v>17762</v>
      </c>
      <c r="M103">
        <v>237990</v>
      </c>
      <c r="N103" s="1" t="s">
        <v>20</v>
      </c>
      <c r="O103" s="2">
        <v>45721</v>
      </c>
      <c r="P103" s="2">
        <v>45870</v>
      </c>
      <c r="Q103" s="2">
        <v>45791</v>
      </c>
      <c r="R103" s="2">
        <v>45870</v>
      </c>
      <c r="S103">
        <v>0</v>
      </c>
      <c r="T103" s="1" t="s">
        <v>21</v>
      </c>
      <c r="U103" s="5">
        <f ca="1">IF(Query1[[#This Row],[Promise Date]]="", "", TODAY() -Query1[[#This Row],[Promise Date]])</f>
        <v>24</v>
      </c>
      <c r="V103" t="str">
        <f ca="1">IF(Query1[[#This Row],[Days Late]]&gt;0, "Yes", "No")</f>
        <v>Yes</v>
      </c>
    </row>
    <row r="104" spans="1:22" x14ac:dyDescent="0.25">
      <c r="A104" s="1" t="s">
        <v>110</v>
      </c>
      <c r="B104" s="1" t="s">
        <v>173</v>
      </c>
      <c r="C104" s="1" t="s">
        <v>185</v>
      </c>
      <c r="D104" s="1" t="s">
        <v>22</v>
      </c>
      <c r="E104">
        <v>20004525</v>
      </c>
      <c r="F104" s="1" t="s">
        <v>216</v>
      </c>
      <c r="G104" s="1">
        <v>2034529</v>
      </c>
      <c r="H104" s="1" t="s">
        <v>221</v>
      </c>
      <c r="I104">
        <v>0</v>
      </c>
      <c r="J104">
        <v>0</v>
      </c>
      <c r="K104">
        <v>169</v>
      </c>
      <c r="L104">
        <v>9987</v>
      </c>
      <c r="M104">
        <v>90607</v>
      </c>
      <c r="N104" s="1" t="s">
        <v>20</v>
      </c>
      <c r="O104" s="2">
        <v>45777</v>
      </c>
      <c r="P104" s="2">
        <v>45870</v>
      </c>
      <c r="Q104" s="2">
        <v>45791</v>
      </c>
      <c r="R104" s="2">
        <v>45870</v>
      </c>
      <c r="S104">
        <v>0</v>
      </c>
      <c r="T104" s="1" t="s">
        <v>21</v>
      </c>
      <c r="U104" s="5">
        <f ca="1">IF(Query1[[#This Row],[Promise Date]]="", "", TODAY() -Query1[[#This Row],[Promise Date]])</f>
        <v>24</v>
      </c>
      <c r="V104" t="str">
        <f ca="1">IF(Query1[[#This Row],[Days Late]]&gt;0, "Yes", "No")</f>
        <v>Yes</v>
      </c>
    </row>
    <row r="105" spans="1:22" x14ac:dyDescent="0.25">
      <c r="A105" s="1" t="s">
        <v>111</v>
      </c>
      <c r="B105" s="1" t="s">
        <v>174</v>
      </c>
      <c r="C105" s="1" t="s">
        <v>185</v>
      </c>
      <c r="D105" s="1" t="s">
        <v>22</v>
      </c>
      <c r="E105">
        <v>20004525</v>
      </c>
      <c r="F105" s="1" t="s">
        <v>216</v>
      </c>
      <c r="G105" s="1">
        <v>2037685</v>
      </c>
      <c r="H105" s="1" t="s">
        <v>221</v>
      </c>
      <c r="I105">
        <v>3</v>
      </c>
      <c r="J105">
        <v>87.21</v>
      </c>
      <c r="K105">
        <v>82</v>
      </c>
      <c r="L105">
        <v>28850</v>
      </c>
      <c r="M105">
        <v>4735</v>
      </c>
      <c r="N105" s="1" t="s">
        <v>20</v>
      </c>
      <c r="O105" s="2">
        <v>45737</v>
      </c>
      <c r="P105" s="2">
        <v>45887</v>
      </c>
      <c r="Q105" s="2">
        <v>45786</v>
      </c>
      <c r="R105" s="2">
        <v>45887</v>
      </c>
      <c r="S105">
        <v>0</v>
      </c>
      <c r="T105" s="1" t="s">
        <v>21</v>
      </c>
      <c r="U105" s="5">
        <f ca="1">IF(Query1[[#This Row],[Promise Date]]="", "", TODAY() -Query1[[#This Row],[Promise Date]])</f>
        <v>7</v>
      </c>
      <c r="V105" t="str">
        <f ca="1">IF(Query1[[#This Row],[Days Late]]&gt;0, "Yes", "No")</f>
        <v>Yes</v>
      </c>
    </row>
    <row r="106" spans="1:22" x14ac:dyDescent="0.25">
      <c r="A106" s="1" t="s">
        <v>112</v>
      </c>
      <c r="B106" s="1" t="s">
        <v>175</v>
      </c>
      <c r="C106" s="1" t="s">
        <v>185</v>
      </c>
      <c r="D106" s="1" t="s">
        <v>22</v>
      </c>
      <c r="E106">
        <v>20004525</v>
      </c>
      <c r="F106" s="1" t="s">
        <v>216</v>
      </c>
      <c r="G106" s="1">
        <v>2037745</v>
      </c>
      <c r="H106" s="1" t="s">
        <v>221</v>
      </c>
      <c r="I106">
        <v>0</v>
      </c>
      <c r="J106">
        <v>0</v>
      </c>
      <c r="K106">
        <v>134</v>
      </c>
      <c r="L106">
        <v>35055</v>
      </c>
      <c r="M106">
        <v>66179</v>
      </c>
      <c r="N106" s="1" t="s">
        <v>20</v>
      </c>
      <c r="O106" s="2">
        <v>45740</v>
      </c>
      <c r="P106" s="2">
        <v>45887</v>
      </c>
      <c r="Q106" s="2">
        <v>45882</v>
      </c>
      <c r="R106" s="2">
        <v>45887</v>
      </c>
      <c r="S106">
        <v>0</v>
      </c>
      <c r="T106" s="1" t="s">
        <v>21</v>
      </c>
      <c r="U106" s="5">
        <f ca="1">IF(Query1[[#This Row],[Promise Date]]="", "", TODAY() -Query1[[#This Row],[Promise Date]])</f>
        <v>7</v>
      </c>
      <c r="V106" t="str">
        <f ca="1">IF(Query1[[#This Row],[Days Late]]&gt;0, "Yes", "No")</f>
        <v>Yes</v>
      </c>
    </row>
    <row r="107" spans="1:22" x14ac:dyDescent="0.25">
      <c r="A107" s="1" t="s">
        <v>113</v>
      </c>
      <c r="B107" s="1" t="s">
        <v>176</v>
      </c>
      <c r="C107" s="1" t="s">
        <v>185</v>
      </c>
      <c r="D107" s="1" t="s">
        <v>19</v>
      </c>
      <c r="E107">
        <v>20004125</v>
      </c>
      <c r="F107" s="1" t="s">
        <v>217</v>
      </c>
      <c r="G107" s="1">
        <v>2037991</v>
      </c>
      <c r="H107" s="1" t="s">
        <v>221</v>
      </c>
      <c r="I107">
        <v>0</v>
      </c>
      <c r="J107">
        <v>0</v>
      </c>
      <c r="K107">
        <v>242</v>
      </c>
      <c r="L107">
        <v>9043</v>
      </c>
      <c r="M107">
        <v>126744</v>
      </c>
      <c r="N107" s="1" t="s">
        <v>20</v>
      </c>
      <c r="O107" s="2">
        <v>45748</v>
      </c>
      <c r="P107" s="2">
        <v>45849</v>
      </c>
      <c r="Q107" s="2">
        <v>45812</v>
      </c>
      <c r="R107" s="2">
        <v>45846</v>
      </c>
      <c r="S107">
        <v>0</v>
      </c>
      <c r="T107" s="1" t="s">
        <v>21</v>
      </c>
      <c r="U107" s="5">
        <f ca="1">IF(Query1[[#This Row],[Promise Date]]="", "", TODAY() -Query1[[#This Row],[Promise Date]])</f>
        <v>45</v>
      </c>
      <c r="V107" t="str">
        <f ca="1">IF(Query1[[#This Row],[Days Late]]&gt;0, "Yes", "No")</f>
        <v>Yes</v>
      </c>
    </row>
    <row r="108" spans="1:22" x14ac:dyDescent="0.25">
      <c r="A108" s="1" t="s">
        <v>114</v>
      </c>
      <c r="B108" s="1" t="s">
        <v>177</v>
      </c>
      <c r="C108" s="1" t="s">
        <v>185</v>
      </c>
      <c r="D108" s="1" t="s">
        <v>22</v>
      </c>
      <c r="E108">
        <v>20004125</v>
      </c>
      <c r="F108" s="1" t="s">
        <v>217</v>
      </c>
      <c r="G108" s="1">
        <v>2039651</v>
      </c>
      <c r="H108" s="1" t="s">
        <v>221</v>
      </c>
      <c r="I108">
        <v>0</v>
      </c>
      <c r="J108">
        <v>0</v>
      </c>
      <c r="K108">
        <v>62</v>
      </c>
      <c r="L108">
        <v>33605</v>
      </c>
      <c r="M108">
        <v>32840</v>
      </c>
      <c r="N108" s="1" t="s">
        <v>20</v>
      </c>
      <c r="O108" s="2">
        <v>45798</v>
      </c>
      <c r="P108" s="2">
        <v>45889</v>
      </c>
      <c r="Q108" s="2">
        <v>45884</v>
      </c>
      <c r="R108" s="2">
        <v>45889</v>
      </c>
      <c r="S108">
        <v>0</v>
      </c>
      <c r="T108" s="1" t="s">
        <v>21</v>
      </c>
      <c r="U108" s="5">
        <f ca="1">IF(Query1[[#This Row],[Promise Date]]="", "", TODAY() -Query1[[#This Row],[Promise Date]])</f>
        <v>5</v>
      </c>
      <c r="V108" t="str">
        <f ca="1">IF(Query1[[#This Row],[Days Late]]&gt;0, "Yes", "No")</f>
        <v>Yes</v>
      </c>
    </row>
    <row r="109" spans="1:22" x14ac:dyDescent="0.25">
      <c r="A109" s="1" t="s">
        <v>115</v>
      </c>
      <c r="B109" s="1" t="s">
        <v>178</v>
      </c>
      <c r="C109" s="1" t="s">
        <v>189</v>
      </c>
      <c r="D109" s="1" t="s">
        <v>19</v>
      </c>
      <c r="E109">
        <v>20002825</v>
      </c>
      <c r="F109" s="1" t="s">
        <v>218</v>
      </c>
      <c r="G109" s="1">
        <v>2037650</v>
      </c>
      <c r="H109" s="1" t="s">
        <v>221</v>
      </c>
      <c r="I109">
        <v>0</v>
      </c>
      <c r="J109">
        <v>0</v>
      </c>
      <c r="K109">
        <v>221</v>
      </c>
      <c r="L109">
        <v>27075</v>
      </c>
      <c r="M109">
        <v>6821</v>
      </c>
      <c r="N109" s="1" t="s">
        <v>20</v>
      </c>
      <c r="O109" s="2">
        <v>45754</v>
      </c>
      <c r="P109" s="2">
        <v>45779</v>
      </c>
      <c r="Q109" s="2">
        <v>45779</v>
      </c>
      <c r="R109" s="2">
        <v>45938</v>
      </c>
      <c r="S109">
        <v>12</v>
      </c>
      <c r="T109" s="1" t="s">
        <v>23</v>
      </c>
      <c r="U109" s="5">
        <f ca="1">IF(Query1[[#This Row],[Promise Date]]="", "", TODAY() -Query1[[#This Row],[Promise Date]])</f>
        <v>115</v>
      </c>
      <c r="V109" t="str">
        <f ca="1">IF(Query1[[#This Row],[Days Late]]&gt;0, "Yes", "No")</f>
        <v>Yes</v>
      </c>
    </row>
    <row r="110" spans="1:22" x14ac:dyDescent="0.25">
      <c r="A110" s="1" t="s">
        <v>115</v>
      </c>
      <c r="B110" s="1" t="s">
        <v>178</v>
      </c>
      <c r="C110" s="1" t="s">
        <v>189</v>
      </c>
      <c r="D110" s="1" t="s">
        <v>19</v>
      </c>
      <c r="E110">
        <v>20002825</v>
      </c>
      <c r="F110" s="1" t="s">
        <v>218</v>
      </c>
      <c r="G110" s="1">
        <v>2037650</v>
      </c>
      <c r="H110" s="1" t="s">
        <v>221</v>
      </c>
      <c r="I110">
        <v>0</v>
      </c>
      <c r="J110">
        <v>0</v>
      </c>
      <c r="K110">
        <v>284</v>
      </c>
      <c r="L110">
        <v>12390</v>
      </c>
      <c r="M110">
        <v>54541</v>
      </c>
      <c r="N110" s="1" t="s">
        <v>20</v>
      </c>
      <c r="O110" s="2">
        <v>45769</v>
      </c>
      <c r="P110" s="2">
        <v>45793</v>
      </c>
      <c r="Q110" s="2">
        <v>45793</v>
      </c>
      <c r="R110" s="2">
        <v>45793</v>
      </c>
      <c r="S110">
        <v>0</v>
      </c>
      <c r="T110" s="1" t="s">
        <v>21</v>
      </c>
      <c r="U110" s="5">
        <f ca="1">IF(Query1[[#This Row],[Promise Date]]="", "", TODAY() -Query1[[#This Row],[Promise Date]])</f>
        <v>101</v>
      </c>
      <c r="V110" t="str">
        <f ca="1">IF(Query1[[#This Row],[Days Late]]&gt;0, "Yes", "No")</f>
        <v>Yes</v>
      </c>
    </row>
    <row r="111" spans="1:22" x14ac:dyDescent="0.25">
      <c r="A111" s="1" t="s">
        <v>115</v>
      </c>
      <c r="B111" s="1" t="s">
        <v>178</v>
      </c>
      <c r="C111" s="1" t="s">
        <v>189</v>
      </c>
      <c r="D111" s="1" t="s">
        <v>19</v>
      </c>
      <c r="E111">
        <v>20002825</v>
      </c>
      <c r="F111" s="1" t="s">
        <v>218</v>
      </c>
      <c r="G111" s="1">
        <v>2037650</v>
      </c>
      <c r="H111" s="1" t="s">
        <v>221</v>
      </c>
      <c r="I111">
        <v>0</v>
      </c>
      <c r="J111">
        <v>0</v>
      </c>
      <c r="K111">
        <v>66</v>
      </c>
      <c r="L111">
        <v>27033</v>
      </c>
      <c r="M111">
        <v>276200</v>
      </c>
      <c r="N111" s="1" t="s">
        <v>20</v>
      </c>
      <c r="O111" s="2">
        <v>45828</v>
      </c>
      <c r="P111" s="2">
        <v>45841</v>
      </c>
      <c r="Q111" s="2">
        <v>45841</v>
      </c>
      <c r="R111" s="2">
        <v>45938</v>
      </c>
      <c r="S111">
        <v>0</v>
      </c>
      <c r="T111" s="1" t="s">
        <v>21</v>
      </c>
      <c r="U111" s="5">
        <f ca="1">IF(Query1[[#This Row],[Promise Date]]="", "", TODAY() -Query1[[#This Row],[Promise Date]])</f>
        <v>53</v>
      </c>
      <c r="V111" t="str">
        <f ca="1">IF(Query1[[#This Row],[Days Late]]&gt;0, "Yes", "No")</f>
        <v>Yes</v>
      </c>
    </row>
    <row r="112" spans="1:22" x14ac:dyDescent="0.25">
      <c r="A112" s="1" t="s">
        <v>116</v>
      </c>
      <c r="B112" s="1" t="s">
        <v>179</v>
      </c>
      <c r="C112" s="1" t="s">
        <v>189</v>
      </c>
      <c r="D112" s="1" t="s">
        <v>19</v>
      </c>
      <c r="E112">
        <v>20001335</v>
      </c>
      <c r="F112" s="1" t="s">
        <v>219</v>
      </c>
      <c r="G112" s="1">
        <v>2038996</v>
      </c>
      <c r="H112" s="1" t="s">
        <v>221</v>
      </c>
      <c r="I112">
        <v>0</v>
      </c>
      <c r="J112">
        <v>0</v>
      </c>
      <c r="K112">
        <v>52</v>
      </c>
      <c r="L112">
        <v>38119</v>
      </c>
      <c r="M112">
        <v>284610</v>
      </c>
      <c r="N112" s="1" t="s">
        <v>20</v>
      </c>
      <c r="O112" s="2">
        <v>45777</v>
      </c>
      <c r="P112" s="2">
        <v>45833</v>
      </c>
      <c r="Q112" s="2">
        <v>45814</v>
      </c>
      <c r="R112" s="2">
        <v>45833</v>
      </c>
      <c r="S112">
        <v>75</v>
      </c>
      <c r="T112" s="1" t="s">
        <v>23</v>
      </c>
      <c r="U112" s="5">
        <f ca="1">IF(Query1[[#This Row],[Promise Date]]="", "", TODAY() -Query1[[#This Row],[Promise Date]])</f>
        <v>61</v>
      </c>
      <c r="V112" t="str">
        <f ca="1">IF(Query1[[#This Row],[Days Late]]&gt;0, "Yes", "No")</f>
        <v>Yes</v>
      </c>
    </row>
    <row r="113" spans="1:22" x14ac:dyDescent="0.25">
      <c r="A113" s="1" t="s">
        <v>117</v>
      </c>
      <c r="B113" s="1" t="s">
        <v>180</v>
      </c>
      <c r="C113" s="1" t="s">
        <v>191</v>
      </c>
      <c r="D113" s="1" t="s">
        <v>19</v>
      </c>
      <c r="E113">
        <v>20000425</v>
      </c>
      <c r="F113" s="1" t="s">
        <v>220</v>
      </c>
      <c r="G113" s="1">
        <v>2006182</v>
      </c>
      <c r="H113" s="1" t="s">
        <v>221</v>
      </c>
      <c r="I113">
        <v>899</v>
      </c>
      <c r="J113">
        <v>13179.71</v>
      </c>
      <c r="K113">
        <v>137</v>
      </c>
      <c r="L113">
        <v>7726</v>
      </c>
      <c r="M113">
        <v>86704</v>
      </c>
      <c r="N113" s="1" t="s">
        <v>20</v>
      </c>
      <c r="O113" s="2">
        <v>44903</v>
      </c>
      <c r="P113" s="2">
        <v>45894</v>
      </c>
      <c r="Q113" s="2">
        <v>45894</v>
      </c>
      <c r="R113" s="2">
        <v>45894</v>
      </c>
      <c r="S113">
        <v>0</v>
      </c>
      <c r="T113" s="1" t="s">
        <v>23</v>
      </c>
      <c r="U113" s="5">
        <f ca="1">IF(Query1[[#This Row],[Promise Date]]="", "", TODAY() -Query1[[#This Row],[Promise Date]])</f>
        <v>0</v>
      </c>
      <c r="V113" t="str">
        <f ca="1">IF(Query1[[#This Row],[Days Late]]&gt;0, "Yes", "No")</f>
        <v>No</v>
      </c>
    </row>
    <row r="114" spans="1:22" x14ac:dyDescent="0.25">
      <c r="A114" s="1" t="s">
        <v>118</v>
      </c>
      <c r="B114" s="1" t="s">
        <v>181</v>
      </c>
      <c r="C114" s="1" t="s">
        <v>190</v>
      </c>
      <c r="D114" s="1" t="s">
        <v>19</v>
      </c>
      <c r="E114">
        <v>20000425</v>
      </c>
      <c r="F114" s="1" t="s">
        <v>220</v>
      </c>
      <c r="G114" s="1">
        <v>2033448</v>
      </c>
      <c r="H114" s="1" t="s">
        <v>221</v>
      </c>
      <c r="I114">
        <v>0</v>
      </c>
      <c r="J114">
        <v>0</v>
      </c>
      <c r="K114">
        <v>167</v>
      </c>
      <c r="L114">
        <v>11941</v>
      </c>
      <c r="M114">
        <v>184175</v>
      </c>
      <c r="N114" s="1" t="s">
        <v>20</v>
      </c>
      <c r="O114" s="2">
        <v>45602</v>
      </c>
      <c r="P114" s="2">
        <v>45887</v>
      </c>
      <c r="Q114" s="2">
        <v>45887</v>
      </c>
      <c r="R114" s="2">
        <v>45887</v>
      </c>
      <c r="S114">
        <v>4</v>
      </c>
      <c r="T114" s="1" t="s">
        <v>23</v>
      </c>
      <c r="U114" s="5">
        <f ca="1">IF(Query1[[#This Row],[Promise Date]]="", "", TODAY() -Query1[[#This Row],[Promise Date]])</f>
        <v>7</v>
      </c>
      <c r="V114" t="str">
        <f ca="1">IF(Query1[[#This Row],[Days Late]]&gt;0, "Yes", "No")</f>
        <v>Yes</v>
      </c>
    </row>
  </sheetData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365335-1A07-4A34-BB3C-F7C74E18A72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Open Late Summary</vt:lpstr>
      <vt:lpstr>Days Late</vt:lpstr>
      <vt:lpstr>Value Late</vt:lpstr>
      <vt:lpstr>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Merl Samson</dc:creator>
  <cp:lastModifiedBy>Katie Vella</cp:lastModifiedBy>
  <cp:lastPrinted>2025-08-01T12:51:03Z</cp:lastPrinted>
  <dcterms:created xsi:type="dcterms:W3CDTF">2025-04-24T12:05:04Z</dcterms:created>
  <dcterms:modified xsi:type="dcterms:W3CDTF">2025-08-25T15:15:16Z</dcterms:modified>
</cp:coreProperties>
</file>