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:\Github\KPIs\"/>
    </mc:Choice>
  </mc:AlternateContent>
  <xr:revisionPtr revIDLastSave="0" documentId="13_ncr:1_{625D34AA-0528-4327-8411-4632573D51D9}" xr6:coauthVersionLast="47" xr6:coauthVersionMax="47" xr10:uidLastSave="{00000000-0000-0000-0000-000000000000}"/>
  <bookViews>
    <workbookView xWindow="-120" yWindow="-120" windowWidth="29040" windowHeight="15720" xr2:uid="{D9696C64-36CA-4162-8170-123220BF5BEA}"/>
  </bookViews>
  <sheets>
    <sheet name="Total Summary - 60 Day" sheetId="6" r:id="rId1"/>
    <sheet name="Matl Summary - 60 Day" sheetId="8" r:id="rId2"/>
    <sheet name="Labor Summary - 60 Day" sheetId="9" r:id="rId3"/>
    <sheet name="Total Pivot" sheetId="7" r:id="rId4"/>
    <sheet name="Matl Pivot" sheetId="11" r:id="rId5"/>
    <sheet name="Labor Pivot" sheetId="12" r:id="rId6"/>
    <sheet name="MOs Ready to close" sheetId="3" r:id="rId7"/>
    <sheet name="MO Operations" sheetId="5" r:id="rId8"/>
    <sheet name="MO Components" sheetId="2" r:id="rId9"/>
    <sheet name="Calculations" sheetId="1" r:id="rId10"/>
  </sheets>
  <calcPr calcId="191029"/>
  <pivotCaches>
    <pivotCache cacheId="6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F2" i="1" s="1"/>
  <c r="E154" i="1"/>
  <c r="L154" i="1" s="1"/>
  <c r="E155" i="1"/>
  <c r="L155" i="1" s="1"/>
  <c r="E156" i="1"/>
  <c r="L156" i="1" s="1"/>
  <c r="E157" i="1"/>
  <c r="L157" i="1" s="1"/>
  <c r="E158" i="1"/>
  <c r="L158" i="1" s="1"/>
  <c r="E159" i="1"/>
  <c r="L159" i="1" s="1"/>
  <c r="E160" i="1"/>
  <c r="L160" i="1" s="1"/>
  <c r="E161" i="1"/>
  <c r="L161" i="1" s="1"/>
  <c r="E162" i="1"/>
  <c r="L162" i="1" s="1"/>
  <c r="E163" i="1"/>
  <c r="L163" i="1" s="1"/>
  <c r="E164" i="1"/>
  <c r="L164" i="1" s="1"/>
  <c r="E165" i="1"/>
  <c r="L165" i="1" s="1"/>
  <c r="E166" i="1"/>
  <c r="L166" i="1" s="1"/>
  <c r="E167" i="1"/>
  <c r="L167" i="1" s="1"/>
  <c r="E168" i="1"/>
  <c r="L168" i="1" s="1"/>
  <c r="E169" i="1"/>
  <c r="L169" i="1" s="1"/>
  <c r="E170" i="1"/>
  <c r="L170" i="1" s="1"/>
  <c r="E171" i="1"/>
  <c r="L171" i="1" s="1"/>
  <c r="E172" i="1"/>
  <c r="L172" i="1" s="1"/>
  <c r="E173" i="1"/>
  <c r="L173" i="1" s="1"/>
  <c r="E174" i="1"/>
  <c r="L174" i="1" s="1"/>
  <c r="E175" i="1"/>
  <c r="L175" i="1" s="1"/>
  <c r="E176" i="1"/>
  <c r="L176" i="1" s="1"/>
  <c r="E177" i="1"/>
  <c r="L177" i="1" s="1"/>
  <c r="E178" i="1"/>
  <c r="L178" i="1" s="1"/>
  <c r="E179" i="1"/>
  <c r="L179" i="1" s="1"/>
  <c r="E180" i="1"/>
  <c r="L180" i="1" s="1"/>
  <c r="E181" i="1"/>
  <c r="L181" i="1" s="1"/>
  <c r="E182" i="1"/>
  <c r="L182" i="1" s="1"/>
  <c r="E183" i="1"/>
  <c r="L183" i="1" s="1"/>
  <c r="E184" i="1"/>
  <c r="L184" i="1" s="1"/>
  <c r="E185" i="1"/>
  <c r="L185" i="1" s="1"/>
  <c r="E186" i="1"/>
  <c r="L186" i="1" s="1"/>
  <c r="E187" i="1"/>
  <c r="L187" i="1" s="1"/>
  <c r="E188" i="1"/>
  <c r="L188" i="1" s="1"/>
  <c r="E189" i="1"/>
  <c r="L189" i="1" s="1"/>
  <c r="E190" i="1"/>
  <c r="L190" i="1" s="1"/>
  <c r="E191" i="1"/>
  <c r="L191" i="1" s="1"/>
  <c r="E192" i="1"/>
  <c r="L192" i="1" s="1"/>
  <c r="E193" i="1"/>
  <c r="L193" i="1" s="1"/>
  <c r="E194" i="1"/>
  <c r="L194" i="1" s="1"/>
  <c r="E195" i="1"/>
  <c r="L195" i="1" s="1"/>
  <c r="E196" i="1"/>
  <c r="L196" i="1" s="1"/>
  <c r="E197" i="1"/>
  <c r="L197" i="1" s="1"/>
  <c r="E198" i="1"/>
  <c r="L198" i="1" s="1"/>
  <c r="E199" i="1"/>
  <c r="L199" i="1" s="1"/>
  <c r="E200" i="1"/>
  <c r="L200" i="1" s="1"/>
  <c r="E201" i="1"/>
  <c r="L201" i="1" s="1"/>
  <c r="E202" i="1"/>
  <c r="L202" i="1" s="1"/>
  <c r="E203" i="1"/>
  <c r="L203" i="1" s="1"/>
  <c r="E204" i="1"/>
  <c r="L204" i="1" s="1"/>
  <c r="E205" i="1"/>
  <c r="L205" i="1" s="1"/>
  <c r="E206" i="1"/>
  <c r="L206" i="1" s="1"/>
  <c r="E207" i="1"/>
  <c r="L207" i="1" s="1"/>
  <c r="E208" i="1"/>
  <c r="L208" i="1" s="1"/>
  <c r="E209" i="1"/>
  <c r="L209" i="1" s="1"/>
  <c r="E210" i="1"/>
  <c r="L210" i="1" s="1"/>
  <c r="E211" i="1"/>
  <c r="L211" i="1" s="1"/>
  <c r="E212" i="1"/>
  <c r="L212" i="1" s="1"/>
  <c r="E213" i="1"/>
  <c r="L213" i="1" s="1"/>
  <c r="E214" i="1"/>
  <c r="L214" i="1" s="1"/>
  <c r="E215" i="1"/>
  <c r="L215" i="1" s="1"/>
  <c r="E216" i="1"/>
  <c r="L216" i="1" s="1"/>
  <c r="E217" i="1"/>
  <c r="L217" i="1" s="1"/>
  <c r="E218" i="1"/>
  <c r="L218" i="1" s="1"/>
  <c r="E219" i="1"/>
  <c r="L219" i="1" s="1"/>
  <c r="E220" i="1"/>
  <c r="L220" i="1" s="1"/>
  <c r="E221" i="1"/>
  <c r="L221" i="1" s="1"/>
  <c r="E222" i="1"/>
  <c r="L222" i="1" s="1"/>
  <c r="E223" i="1"/>
  <c r="L223" i="1" s="1"/>
  <c r="E224" i="1"/>
  <c r="L224" i="1" s="1"/>
  <c r="E225" i="1"/>
  <c r="L225" i="1" s="1"/>
  <c r="E226" i="1"/>
  <c r="L226" i="1" s="1"/>
  <c r="E227" i="1"/>
  <c r="L227" i="1" s="1"/>
  <c r="E228" i="1"/>
  <c r="L228" i="1" s="1"/>
  <c r="E229" i="1"/>
  <c r="L229" i="1" s="1"/>
  <c r="E230" i="1"/>
  <c r="L230" i="1" s="1"/>
  <c r="E231" i="1"/>
  <c r="L231" i="1" s="1"/>
  <c r="E232" i="1"/>
  <c r="L232" i="1" s="1"/>
  <c r="E233" i="1"/>
  <c r="L233" i="1" s="1"/>
  <c r="E234" i="1"/>
  <c r="L234" i="1" s="1"/>
  <c r="E235" i="1"/>
  <c r="L235" i="1" s="1"/>
  <c r="E236" i="1"/>
  <c r="L236" i="1" s="1"/>
  <c r="E237" i="1"/>
  <c r="L237" i="1" s="1"/>
  <c r="E238" i="1"/>
  <c r="L238" i="1" s="1"/>
  <c r="E239" i="1"/>
  <c r="L239" i="1" s="1"/>
  <c r="E240" i="1"/>
  <c r="L240" i="1" s="1"/>
  <c r="E241" i="1"/>
  <c r="L241" i="1" s="1"/>
  <c r="E242" i="1"/>
  <c r="L242" i="1" s="1"/>
  <c r="E243" i="1"/>
  <c r="L243" i="1" s="1"/>
  <c r="E244" i="1"/>
  <c r="L244" i="1" s="1"/>
  <c r="E245" i="1"/>
  <c r="L245" i="1" s="1"/>
  <c r="E246" i="1"/>
  <c r="L246" i="1" s="1"/>
  <c r="E247" i="1"/>
  <c r="L247" i="1" s="1"/>
  <c r="E248" i="1"/>
  <c r="L248" i="1" s="1"/>
  <c r="E249" i="1"/>
  <c r="L249" i="1" s="1"/>
  <c r="E250" i="1"/>
  <c r="L250" i="1" s="1"/>
  <c r="E251" i="1"/>
  <c r="L251" i="1" s="1"/>
  <c r="E252" i="1"/>
  <c r="L252" i="1" s="1"/>
  <c r="E253" i="1"/>
  <c r="L253" i="1" s="1"/>
  <c r="E254" i="1"/>
  <c r="L254" i="1" s="1"/>
  <c r="E255" i="1"/>
  <c r="L255" i="1" s="1"/>
  <c r="E256" i="1"/>
  <c r="L256" i="1" s="1"/>
  <c r="E257" i="1"/>
  <c r="L257" i="1" s="1"/>
  <c r="E258" i="1"/>
  <c r="L258" i="1" s="1"/>
  <c r="E259" i="1"/>
  <c r="L259" i="1" s="1"/>
  <c r="E260" i="1"/>
  <c r="L260" i="1" s="1"/>
  <c r="E261" i="1"/>
  <c r="L261" i="1" s="1"/>
  <c r="E262" i="1"/>
  <c r="L262" i="1" s="1"/>
  <c r="E263" i="1"/>
  <c r="L263" i="1" s="1"/>
  <c r="E264" i="1"/>
  <c r="L264" i="1" s="1"/>
  <c r="E265" i="1"/>
  <c r="L265" i="1" s="1"/>
  <c r="E266" i="1"/>
  <c r="L266" i="1" s="1"/>
  <c r="E267" i="1"/>
  <c r="L267" i="1" s="1"/>
  <c r="E268" i="1"/>
  <c r="L268" i="1" s="1"/>
  <c r="E269" i="1"/>
  <c r="L269" i="1" s="1"/>
  <c r="E270" i="1"/>
  <c r="L270" i="1" s="1"/>
  <c r="E271" i="1"/>
  <c r="L271" i="1" s="1"/>
  <c r="E272" i="1"/>
  <c r="L272" i="1" s="1"/>
  <c r="E273" i="1"/>
  <c r="L273" i="1" s="1"/>
  <c r="E274" i="1"/>
  <c r="L274" i="1" s="1"/>
  <c r="E275" i="1"/>
  <c r="L275" i="1" s="1"/>
  <c r="E276" i="1"/>
  <c r="L276" i="1" s="1"/>
  <c r="E277" i="1"/>
  <c r="L277" i="1" s="1"/>
  <c r="E278" i="1"/>
  <c r="L278" i="1" s="1"/>
  <c r="E279" i="1"/>
  <c r="L279" i="1" s="1"/>
  <c r="E280" i="1"/>
  <c r="L280" i="1" s="1"/>
  <c r="E281" i="1"/>
  <c r="L281" i="1" s="1"/>
  <c r="E282" i="1"/>
  <c r="L282" i="1" s="1"/>
  <c r="E283" i="1"/>
  <c r="L283" i="1" s="1"/>
  <c r="E284" i="1"/>
  <c r="L284" i="1" s="1"/>
  <c r="E285" i="1"/>
  <c r="L285" i="1" s="1"/>
  <c r="E286" i="1"/>
  <c r="L286" i="1" s="1"/>
  <c r="E287" i="1"/>
  <c r="L287" i="1" s="1"/>
  <c r="E288" i="1"/>
  <c r="L288" i="1" s="1"/>
  <c r="E289" i="1"/>
  <c r="L289" i="1" s="1"/>
  <c r="E290" i="1"/>
  <c r="L290" i="1" s="1"/>
  <c r="E291" i="1"/>
  <c r="L291" i="1" s="1"/>
  <c r="E292" i="1"/>
  <c r="L292" i="1" s="1"/>
  <c r="E293" i="1"/>
  <c r="L293" i="1" s="1"/>
  <c r="E294" i="1"/>
  <c r="L294" i="1" s="1"/>
  <c r="E295" i="1"/>
  <c r="L295" i="1" s="1"/>
  <c r="E296" i="1"/>
  <c r="L296" i="1" s="1"/>
  <c r="E297" i="1"/>
  <c r="L297" i="1" s="1"/>
  <c r="E298" i="1"/>
  <c r="L298" i="1" s="1"/>
  <c r="E299" i="1"/>
  <c r="L299" i="1" s="1"/>
  <c r="E300" i="1"/>
  <c r="L300" i="1" s="1"/>
  <c r="E301" i="1"/>
  <c r="L301" i="1" s="1"/>
  <c r="E302" i="1"/>
  <c r="L302" i="1" s="1"/>
  <c r="E303" i="1"/>
  <c r="L303" i="1" s="1"/>
  <c r="E304" i="1"/>
  <c r="L304" i="1" s="1"/>
  <c r="E305" i="1"/>
  <c r="L305" i="1" s="1"/>
  <c r="E306" i="1"/>
  <c r="L306" i="1" s="1"/>
  <c r="E307" i="1"/>
  <c r="L307" i="1" s="1"/>
  <c r="E308" i="1"/>
  <c r="L308" i="1" s="1"/>
  <c r="E309" i="1"/>
  <c r="L309" i="1" s="1"/>
  <c r="E310" i="1"/>
  <c r="L310" i="1" s="1"/>
  <c r="E311" i="1"/>
  <c r="L311" i="1" s="1"/>
  <c r="E312" i="1"/>
  <c r="L312" i="1" s="1"/>
  <c r="E313" i="1"/>
  <c r="L313" i="1" s="1"/>
  <c r="E314" i="1"/>
  <c r="L314" i="1" s="1"/>
  <c r="E315" i="1"/>
  <c r="L315" i="1" s="1"/>
  <c r="E316" i="1"/>
  <c r="L316" i="1" s="1"/>
  <c r="E317" i="1"/>
  <c r="L317" i="1" s="1"/>
  <c r="E318" i="1"/>
  <c r="L318" i="1" s="1"/>
  <c r="E319" i="1"/>
  <c r="L319" i="1" s="1"/>
  <c r="E320" i="1"/>
  <c r="L320" i="1" s="1"/>
  <c r="E321" i="1"/>
  <c r="L321" i="1" s="1"/>
  <c r="E322" i="1"/>
  <c r="L322" i="1" s="1"/>
  <c r="E323" i="1"/>
  <c r="L323" i="1" s="1"/>
  <c r="E324" i="1"/>
  <c r="L324" i="1" s="1"/>
  <c r="E325" i="1"/>
  <c r="L325" i="1" s="1"/>
  <c r="E326" i="1"/>
  <c r="L326" i="1" s="1"/>
  <c r="E327" i="1"/>
  <c r="L327" i="1" s="1"/>
  <c r="E328" i="1"/>
  <c r="L328" i="1" s="1"/>
  <c r="E329" i="1"/>
  <c r="L329" i="1" s="1"/>
  <c r="E330" i="1"/>
  <c r="L330" i="1" s="1"/>
  <c r="E331" i="1"/>
  <c r="L331" i="1" s="1"/>
  <c r="E332" i="1"/>
  <c r="L332" i="1" s="1"/>
  <c r="E333" i="1"/>
  <c r="L333" i="1" s="1"/>
  <c r="E334" i="1"/>
  <c r="L334" i="1" s="1"/>
  <c r="E335" i="1"/>
  <c r="L335" i="1" s="1"/>
  <c r="E336" i="1"/>
  <c r="L336" i="1" s="1"/>
  <c r="E337" i="1"/>
  <c r="L337" i="1" s="1"/>
  <c r="E338" i="1"/>
  <c r="L338" i="1" s="1"/>
  <c r="E339" i="1"/>
  <c r="L339" i="1" s="1"/>
  <c r="E340" i="1"/>
  <c r="L340" i="1" s="1"/>
  <c r="E341" i="1"/>
  <c r="L341" i="1" s="1"/>
  <c r="E342" i="1"/>
  <c r="L342" i="1" s="1"/>
  <c r="E343" i="1"/>
  <c r="L343" i="1" s="1"/>
  <c r="E344" i="1"/>
  <c r="L344" i="1" s="1"/>
  <c r="E345" i="1"/>
  <c r="L345" i="1" s="1"/>
  <c r="E346" i="1"/>
  <c r="L346" i="1" s="1"/>
  <c r="E347" i="1"/>
  <c r="L347" i="1" s="1"/>
  <c r="E348" i="1"/>
  <c r="L348" i="1" s="1"/>
  <c r="E349" i="1"/>
  <c r="L349" i="1" s="1"/>
  <c r="E350" i="1"/>
  <c r="L350" i="1" s="1"/>
  <c r="E351" i="1"/>
  <c r="L351" i="1" s="1"/>
  <c r="E352" i="1"/>
  <c r="L352" i="1" s="1"/>
  <c r="E353" i="1"/>
  <c r="L353" i="1" s="1"/>
  <c r="E354" i="1"/>
  <c r="L354" i="1" s="1"/>
  <c r="E355" i="1"/>
  <c r="L355" i="1" s="1"/>
  <c r="E356" i="1"/>
  <c r="L356" i="1" s="1"/>
  <c r="E357" i="1"/>
  <c r="L357" i="1" s="1"/>
  <c r="E358" i="1"/>
  <c r="L358" i="1" s="1"/>
  <c r="E359" i="1"/>
  <c r="L359" i="1" s="1"/>
  <c r="E360" i="1"/>
  <c r="L360" i="1" s="1"/>
  <c r="E361" i="1"/>
  <c r="L361" i="1" s="1"/>
  <c r="E362" i="1"/>
  <c r="L362" i="1" s="1"/>
  <c r="E363" i="1"/>
  <c r="L363" i="1" s="1"/>
  <c r="E364" i="1"/>
  <c r="L364" i="1" s="1"/>
  <c r="E365" i="1"/>
  <c r="L365" i="1" s="1"/>
  <c r="E366" i="1"/>
  <c r="L366" i="1" s="1"/>
  <c r="E367" i="1"/>
  <c r="L367" i="1" s="1"/>
  <c r="E368" i="1"/>
  <c r="L368" i="1" s="1"/>
  <c r="E369" i="1"/>
  <c r="L369" i="1" s="1"/>
  <c r="E370" i="1"/>
  <c r="L370" i="1" s="1"/>
  <c r="E371" i="1"/>
  <c r="L371" i="1" s="1"/>
  <c r="E372" i="1"/>
  <c r="L372" i="1" s="1"/>
  <c r="E373" i="1"/>
  <c r="L373" i="1" s="1"/>
  <c r="E374" i="1"/>
  <c r="L374" i="1" s="1"/>
  <c r="E375" i="1"/>
  <c r="L375" i="1" s="1"/>
  <c r="E376" i="1"/>
  <c r="L376" i="1" s="1"/>
  <c r="E377" i="1"/>
  <c r="L377" i="1" s="1"/>
  <c r="E378" i="1"/>
  <c r="L378" i="1" s="1"/>
  <c r="E379" i="1"/>
  <c r="L379" i="1" s="1"/>
  <c r="E380" i="1"/>
  <c r="L380" i="1" s="1"/>
  <c r="E381" i="1"/>
  <c r="L381" i="1" s="1"/>
  <c r="E382" i="1"/>
  <c r="L382" i="1" s="1"/>
  <c r="E383" i="1"/>
  <c r="L383" i="1" s="1"/>
  <c r="E384" i="1"/>
  <c r="L384" i="1" s="1"/>
  <c r="E385" i="1"/>
  <c r="L385" i="1" s="1"/>
  <c r="E386" i="1"/>
  <c r="L386" i="1" s="1"/>
  <c r="E387" i="1"/>
  <c r="L387" i="1" s="1"/>
  <c r="E388" i="1"/>
  <c r="L388" i="1" s="1"/>
  <c r="E389" i="1"/>
  <c r="L389" i="1" s="1"/>
  <c r="E390" i="1"/>
  <c r="L390" i="1" s="1"/>
  <c r="E391" i="1"/>
  <c r="L391" i="1" s="1"/>
  <c r="E392" i="1"/>
  <c r="L392" i="1" s="1"/>
  <c r="E393" i="1"/>
  <c r="L393" i="1" s="1"/>
  <c r="E394" i="1"/>
  <c r="L394" i="1" s="1"/>
  <c r="E395" i="1"/>
  <c r="L395" i="1" s="1"/>
  <c r="E396" i="1"/>
  <c r="L396" i="1" s="1"/>
  <c r="E397" i="1"/>
  <c r="L397" i="1" s="1"/>
  <c r="E398" i="1"/>
  <c r="L398" i="1" s="1"/>
  <c r="E399" i="1"/>
  <c r="L399" i="1" s="1"/>
  <c r="E400" i="1"/>
  <c r="L400" i="1" s="1"/>
  <c r="E401" i="1"/>
  <c r="L401" i="1" s="1"/>
  <c r="E402" i="1"/>
  <c r="L402" i="1" s="1"/>
  <c r="E403" i="1"/>
  <c r="L403" i="1" s="1"/>
  <c r="E404" i="1"/>
  <c r="L404" i="1" s="1"/>
  <c r="E405" i="1"/>
  <c r="L405" i="1" s="1"/>
  <c r="E406" i="1"/>
  <c r="L406" i="1" s="1"/>
  <c r="E407" i="1"/>
  <c r="L407" i="1" s="1"/>
  <c r="E408" i="1"/>
  <c r="L408" i="1" s="1"/>
  <c r="E409" i="1"/>
  <c r="L409" i="1" s="1"/>
  <c r="E410" i="1"/>
  <c r="L410" i="1" s="1"/>
  <c r="E411" i="1"/>
  <c r="L411" i="1" s="1"/>
  <c r="E412" i="1"/>
  <c r="L412" i="1" s="1"/>
  <c r="E413" i="1"/>
  <c r="L413" i="1" s="1"/>
  <c r="E414" i="1"/>
  <c r="L414" i="1" s="1"/>
  <c r="E415" i="1"/>
  <c r="L415" i="1" s="1"/>
  <c r="E416" i="1"/>
  <c r="L416" i="1" s="1"/>
  <c r="E417" i="1"/>
  <c r="L417" i="1" s="1"/>
  <c r="E418" i="1"/>
  <c r="L418" i="1" s="1"/>
  <c r="E419" i="1"/>
  <c r="L419" i="1" s="1"/>
  <c r="E420" i="1"/>
  <c r="L420" i="1" s="1"/>
  <c r="E421" i="1"/>
  <c r="L421" i="1" s="1"/>
  <c r="E422" i="1"/>
  <c r="L422" i="1" s="1"/>
  <c r="E423" i="1"/>
  <c r="L423" i="1" s="1"/>
  <c r="E424" i="1"/>
  <c r="L424" i="1" s="1"/>
  <c r="E425" i="1"/>
  <c r="L425" i="1" s="1"/>
  <c r="E426" i="1"/>
  <c r="L426" i="1" s="1"/>
  <c r="E427" i="1"/>
  <c r="L427" i="1" s="1"/>
  <c r="E428" i="1"/>
  <c r="L428" i="1" s="1"/>
  <c r="E429" i="1"/>
  <c r="L429" i="1" s="1"/>
  <c r="E430" i="1"/>
  <c r="L430" i="1" s="1"/>
  <c r="E431" i="1"/>
  <c r="L431" i="1" s="1"/>
  <c r="E432" i="1"/>
  <c r="L432" i="1" s="1"/>
  <c r="E433" i="1"/>
  <c r="L433" i="1" s="1"/>
  <c r="E434" i="1"/>
  <c r="L434" i="1" s="1"/>
  <c r="E435" i="1"/>
  <c r="L435" i="1" s="1"/>
  <c r="E436" i="1"/>
  <c r="L436" i="1" s="1"/>
  <c r="E437" i="1"/>
  <c r="L437" i="1" s="1"/>
  <c r="E438" i="1"/>
  <c r="L438" i="1" s="1"/>
  <c r="E439" i="1"/>
  <c r="L439" i="1" s="1"/>
  <c r="E440" i="1"/>
  <c r="L440" i="1" s="1"/>
  <c r="E441" i="1"/>
  <c r="L441" i="1" s="1"/>
  <c r="E442" i="1"/>
  <c r="L442" i="1" s="1"/>
  <c r="E443" i="1"/>
  <c r="L443" i="1" s="1"/>
  <c r="E444" i="1"/>
  <c r="L444" i="1" s="1"/>
  <c r="E445" i="1"/>
  <c r="L445" i="1" s="1"/>
  <c r="E446" i="1"/>
  <c r="L446" i="1" s="1"/>
  <c r="E447" i="1"/>
  <c r="L447" i="1" s="1"/>
  <c r="E448" i="1"/>
  <c r="L448" i="1" s="1"/>
  <c r="E449" i="1"/>
  <c r="L449" i="1" s="1"/>
  <c r="E450" i="1"/>
  <c r="L450" i="1" s="1"/>
  <c r="E451" i="1"/>
  <c r="L451" i="1" s="1"/>
  <c r="E452" i="1"/>
  <c r="L452" i="1" s="1"/>
  <c r="E453" i="1"/>
  <c r="L453" i="1" s="1"/>
  <c r="E454" i="1"/>
  <c r="L454" i="1" s="1"/>
  <c r="E455" i="1"/>
  <c r="L455" i="1" s="1"/>
  <c r="E456" i="1"/>
  <c r="L456" i="1" s="1"/>
  <c r="E457" i="1"/>
  <c r="L457" i="1" s="1"/>
  <c r="E458" i="1"/>
  <c r="L458" i="1" s="1"/>
  <c r="E459" i="1"/>
  <c r="L459" i="1" s="1"/>
  <c r="E460" i="1"/>
  <c r="L460" i="1" s="1"/>
  <c r="E461" i="1"/>
  <c r="L461" i="1" s="1"/>
  <c r="E462" i="1"/>
  <c r="L462" i="1" s="1"/>
  <c r="E463" i="1"/>
  <c r="L463" i="1" s="1"/>
  <c r="E464" i="1"/>
  <c r="L464" i="1" s="1"/>
  <c r="E465" i="1"/>
  <c r="L465" i="1" s="1"/>
  <c r="E466" i="1"/>
  <c r="L466" i="1" s="1"/>
  <c r="E467" i="1"/>
  <c r="L467" i="1" s="1"/>
  <c r="E468" i="1"/>
  <c r="L468" i="1" s="1"/>
  <c r="E469" i="1"/>
  <c r="L469" i="1" s="1"/>
  <c r="E470" i="1"/>
  <c r="L470" i="1" s="1"/>
  <c r="E471" i="1"/>
  <c r="L471" i="1" s="1"/>
  <c r="E472" i="1"/>
  <c r="L472" i="1" s="1"/>
  <c r="E473" i="1"/>
  <c r="L473" i="1" s="1"/>
  <c r="E474" i="1"/>
  <c r="L474" i="1" s="1"/>
  <c r="E475" i="1"/>
  <c r="L475" i="1" s="1"/>
  <c r="E476" i="1"/>
  <c r="L476" i="1" s="1"/>
  <c r="E477" i="1"/>
  <c r="L477" i="1" s="1"/>
  <c r="E478" i="1"/>
  <c r="L478" i="1" s="1"/>
  <c r="E479" i="1"/>
  <c r="L479" i="1" s="1"/>
  <c r="E480" i="1"/>
  <c r="L480" i="1" s="1"/>
  <c r="E481" i="1"/>
  <c r="L481" i="1" s="1"/>
  <c r="E482" i="1"/>
  <c r="L482" i="1" s="1"/>
  <c r="E483" i="1"/>
  <c r="L483" i="1" s="1"/>
  <c r="E484" i="1"/>
  <c r="L484" i="1" s="1"/>
  <c r="E485" i="1"/>
  <c r="L485" i="1" s="1"/>
  <c r="E486" i="1"/>
  <c r="L486" i="1" s="1"/>
  <c r="E487" i="1"/>
  <c r="L487" i="1" s="1"/>
  <c r="E488" i="1"/>
  <c r="L488" i="1" s="1"/>
  <c r="E489" i="1"/>
  <c r="L489" i="1" s="1"/>
  <c r="E490" i="1"/>
  <c r="L490" i="1" s="1"/>
  <c r="E491" i="1"/>
  <c r="L491" i="1" s="1"/>
  <c r="E492" i="1"/>
  <c r="L492" i="1" s="1"/>
  <c r="E493" i="1"/>
  <c r="L493" i="1" s="1"/>
  <c r="E494" i="1"/>
  <c r="L494" i="1" s="1"/>
  <c r="E495" i="1"/>
  <c r="L495" i="1" s="1"/>
  <c r="E496" i="1"/>
  <c r="L496" i="1" s="1"/>
  <c r="E497" i="1"/>
  <c r="L497" i="1" s="1"/>
  <c r="E498" i="1"/>
  <c r="L498" i="1" s="1"/>
  <c r="E499" i="1"/>
  <c r="L499" i="1" s="1"/>
  <c r="E500" i="1"/>
  <c r="L500" i="1" s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3" i="3"/>
  <c r="B2" i="3"/>
  <c r="D104" i="1" l="1"/>
  <c r="J17" i="1"/>
  <c r="B48" i="1"/>
  <c r="D56" i="1"/>
  <c r="D8" i="1"/>
  <c r="C107" i="1"/>
  <c r="C91" i="1"/>
  <c r="D40" i="1"/>
  <c r="B32" i="1"/>
  <c r="B144" i="1"/>
  <c r="B16" i="1"/>
  <c r="C75" i="1"/>
  <c r="D152" i="1"/>
  <c r="D24" i="1"/>
  <c r="B128" i="1"/>
  <c r="C59" i="1"/>
  <c r="D136" i="1"/>
  <c r="B112" i="1"/>
  <c r="C43" i="1"/>
  <c r="D120" i="1"/>
  <c r="B96" i="1"/>
  <c r="C27" i="1"/>
  <c r="B2" i="1"/>
  <c r="E3" i="1"/>
  <c r="E25" i="1"/>
  <c r="L25" i="1" s="1"/>
  <c r="E46" i="1"/>
  <c r="L46" i="1" s="1"/>
  <c r="E67" i="1"/>
  <c r="L67" i="1" s="1"/>
  <c r="E89" i="1"/>
  <c r="L89" i="1" s="1"/>
  <c r="E110" i="1"/>
  <c r="L110" i="1" s="1"/>
  <c r="E131" i="1"/>
  <c r="L131" i="1" s="1"/>
  <c r="E153" i="1"/>
  <c r="L153" i="1" s="1"/>
  <c r="D11" i="1"/>
  <c r="D27" i="1"/>
  <c r="D43" i="1"/>
  <c r="D59" i="1"/>
  <c r="D75" i="1"/>
  <c r="D91" i="1"/>
  <c r="D107" i="1"/>
  <c r="D123" i="1"/>
  <c r="D139" i="1"/>
  <c r="C12" i="1"/>
  <c r="C28" i="1"/>
  <c r="C44" i="1"/>
  <c r="C60" i="1"/>
  <c r="C76" i="1"/>
  <c r="C92" i="1"/>
  <c r="C108" i="1"/>
  <c r="C124" i="1"/>
  <c r="C140" i="1"/>
  <c r="B17" i="1"/>
  <c r="B33" i="1"/>
  <c r="B49" i="1"/>
  <c r="B65" i="1"/>
  <c r="B81" i="1"/>
  <c r="B97" i="1"/>
  <c r="B113" i="1"/>
  <c r="B129" i="1"/>
  <c r="B145" i="1"/>
  <c r="E6" i="1"/>
  <c r="E27" i="1"/>
  <c r="L27" i="1" s="1"/>
  <c r="E49" i="1"/>
  <c r="L49" i="1" s="1"/>
  <c r="E70" i="1"/>
  <c r="L70" i="1" s="1"/>
  <c r="E91" i="1"/>
  <c r="L91" i="1" s="1"/>
  <c r="E113" i="1"/>
  <c r="L113" i="1" s="1"/>
  <c r="E134" i="1"/>
  <c r="L134" i="1" s="1"/>
  <c r="D14" i="1"/>
  <c r="D30" i="1"/>
  <c r="D46" i="1"/>
  <c r="D62" i="1"/>
  <c r="D78" i="1"/>
  <c r="D94" i="1"/>
  <c r="D110" i="1"/>
  <c r="D126" i="1"/>
  <c r="D142" i="1"/>
  <c r="C13" i="1"/>
  <c r="C29" i="1"/>
  <c r="C45" i="1"/>
  <c r="C61" i="1"/>
  <c r="C77" i="1"/>
  <c r="C93" i="1"/>
  <c r="C109" i="1"/>
  <c r="C125" i="1"/>
  <c r="C141" i="1"/>
  <c r="B18" i="1"/>
  <c r="B34" i="1"/>
  <c r="B50" i="1"/>
  <c r="B66" i="1"/>
  <c r="B82" i="1"/>
  <c r="B98" i="1"/>
  <c r="B114" i="1"/>
  <c r="B130" i="1"/>
  <c r="B146" i="1"/>
  <c r="D19" i="1"/>
  <c r="D51" i="1"/>
  <c r="D83" i="1"/>
  <c r="D115" i="1"/>
  <c r="D147" i="1"/>
  <c r="C36" i="1"/>
  <c r="C84" i="1"/>
  <c r="C116" i="1"/>
  <c r="C148" i="1"/>
  <c r="B73" i="1"/>
  <c r="B137" i="1"/>
  <c r="E86" i="1"/>
  <c r="L86" i="1" s="1"/>
  <c r="E150" i="1"/>
  <c r="L150" i="1" s="1"/>
  <c r="E9" i="1"/>
  <c r="E30" i="1"/>
  <c r="L30" i="1" s="1"/>
  <c r="E51" i="1"/>
  <c r="L51" i="1" s="1"/>
  <c r="E73" i="1"/>
  <c r="L73" i="1" s="1"/>
  <c r="E94" i="1"/>
  <c r="L94" i="1" s="1"/>
  <c r="E115" i="1"/>
  <c r="L115" i="1" s="1"/>
  <c r="E137" i="1"/>
  <c r="L137" i="1" s="1"/>
  <c r="D15" i="1"/>
  <c r="D31" i="1"/>
  <c r="D47" i="1"/>
  <c r="D63" i="1"/>
  <c r="D79" i="1"/>
  <c r="D95" i="1"/>
  <c r="D111" i="1"/>
  <c r="D127" i="1"/>
  <c r="D143" i="1"/>
  <c r="C16" i="1"/>
  <c r="C32" i="1"/>
  <c r="C48" i="1"/>
  <c r="C64" i="1"/>
  <c r="C80" i="1"/>
  <c r="C96" i="1"/>
  <c r="C112" i="1"/>
  <c r="C128" i="1"/>
  <c r="C144" i="1"/>
  <c r="B5" i="1"/>
  <c r="B21" i="1"/>
  <c r="B37" i="1"/>
  <c r="B53" i="1"/>
  <c r="B69" i="1"/>
  <c r="B85" i="1"/>
  <c r="B101" i="1"/>
  <c r="B117" i="1"/>
  <c r="B133" i="1"/>
  <c r="B149" i="1"/>
  <c r="E14" i="1"/>
  <c r="E57" i="1"/>
  <c r="L57" i="1" s="1"/>
  <c r="E99" i="1"/>
  <c r="L99" i="1" s="1"/>
  <c r="E142" i="1"/>
  <c r="L142" i="1" s="1"/>
  <c r="D3" i="1"/>
  <c r="D35" i="1"/>
  <c r="D67" i="1"/>
  <c r="D99" i="1"/>
  <c r="D131" i="1"/>
  <c r="C4" i="1"/>
  <c r="C20" i="1"/>
  <c r="C52" i="1"/>
  <c r="C68" i="1"/>
  <c r="C100" i="1"/>
  <c r="C132" i="1"/>
  <c r="B9" i="1"/>
  <c r="B25" i="1"/>
  <c r="B41" i="1"/>
  <c r="B57" i="1"/>
  <c r="B89" i="1"/>
  <c r="B105" i="1"/>
  <c r="B121" i="1"/>
  <c r="B153" i="1"/>
  <c r="B13" i="1"/>
  <c r="B29" i="1"/>
  <c r="B45" i="1"/>
  <c r="B61" i="1"/>
  <c r="B77" i="1"/>
  <c r="B93" i="1"/>
  <c r="B109" i="1"/>
  <c r="B125" i="1"/>
  <c r="B141" i="1"/>
  <c r="E43" i="1"/>
  <c r="L43" i="1" s="1"/>
  <c r="E11" i="1"/>
  <c r="E33" i="1"/>
  <c r="L33" i="1" s="1"/>
  <c r="E54" i="1"/>
  <c r="L54" i="1" s="1"/>
  <c r="E75" i="1"/>
  <c r="L75" i="1" s="1"/>
  <c r="E97" i="1"/>
  <c r="L97" i="1" s="1"/>
  <c r="E118" i="1"/>
  <c r="L118" i="1" s="1"/>
  <c r="E139" i="1"/>
  <c r="L139" i="1" s="1"/>
  <c r="D16" i="1"/>
  <c r="D32" i="1"/>
  <c r="D48" i="1"/>
  <c r="D64" i="1"/>
  <c r="D80" i="1"/>
  <c r="D96" i="1"/>
  <c r="D112" i="1"/>
  <c r="D128" i="1"/>
  <c r="D144" i="1"/>
  <c r="C3" i="1"/>
  <c r="C19" i="1"/>
  <c r="C35" i="1"/>
  <c r="C51" i="1"/>
  <c r="C67" i="1"/>
  <c r="C83" i="1"/>
  <c r="C99" i="1"/>
  <c r="C115" i="1"/>
  <c r="C131" i="1"/>
  <c r="C147" i="1"/>
  <c r="B8" i="1"/>
  <c r="B24" i="1"/>
  <c r="B40" i="1"/>
  <c r="B56" i="1"/>
  <c r="B72" i="1"/>
  <c r="B88" i="1"/>
  <c r="B104" i="1"/>
  <c r="B120" i="1"/>
  <c r="B136" i="1"/>
  <c r="B152" i="1"/>
  <c r="E35" i="1"/>
  <c r="L35" i="1" s="1"/>
  <c r="E78" i="1"/>
  <c r="L78" i="1" s="1"/>
  <c r="E121" i="1"/>
  <c r="L121" i="1" s="1"/>
  <c r="E22" i="1"/>
  <c r="E17" i="1"/>
  <c r="E38" i="1"/>
  <c r="L38" i="1" s="1"/>
  <c r="E59" i="1"/>
  <c r="L59" i="1" s="1"/>
  <c r="E81" i="1"/>
  <c r="L81" i="1" s="1"/>
  <c r="E102" i="1"/>
  <c r="L102" i="1" s="1"/>
  <c r="E123" i="1"/>
  <c r="L123" i="1" s="1"/>
  <c r="E145" i="1"/>
  <c r="L145" i="1" s="1"/>
  <c r="D6" i="1"/>
  <c r="D22" i="1"/>
  <c r="D38" i="1"/>
  <c r="D54" i="1"/>
  <c r="D70" i="1"/>
  <c r="D86" i="1"/>
  <c r="D102" i="1"/>
  <c r="D118" i="1"/>
  <c r="D134" i="1"/>
  <c r="D150" i="1"/>
  <c r="C5" i="1"/>
  <c r="C21" i="1"/>
  <c r="C37" i="1"/>
  <c r="C53" i="1"/>
  <c r="C69" i="1"/>
  <c r="C85" i="1"/>
  <c r="C101" i="1"/>
  <c r="C117" i="1"/>
  <c r="C133" i="1"/>
  <c r="C149" i="1"/>
  <c r="B10" i="1"/>
  <c r="B26" i="1"/>
  <c r="B42" i="1"/>
  <c r="B58" i="1"/>
  <c r="B74" i="1"/>
  <c r="B90" i="1"/>
  <c r="B106" i="1"/>
  <c r="B122" i="1"/>
  <c r="B138" i="1"/>
  <c r="E19" i="1"/>
  <c r="E41" i="1"/>
  <c r="L41" i="1" s="1"/>
  <c r="E62" i="1"/>
  <c r="L62" i="1" s="1"/>
  <c r="E83" i="1"/>
  <c r="L83" i="1" s="1"/>
  <c r="E105" i="1"/>
  <c r="L105" i="1" s="1"/>
  <c r="E126" i="1"/>
  <c r="L126" i="1" s="1"/>
  <c r="E147" i="1"/>
  <c r="L147" i="1" s="1"/>
  <c r="D7" i="1"/>
  <c r="D23" i="1"/>
  <c r="D39" i="1"/>
  <c r="D55" i="1"/>
  <c r="D71" i="1"/>
  <c r="D87" i="1"/>
  <c r="D103" i="1"/>
  <c r="D119" i="1"/>
  <c r="D135" i="1"/>
  <c r="D151" i="1"/>
  <c r="C8" i="1"/>
  <c r="C24" i="1"/>
  <c r="C40" i="1"/>
  <c r="C56" i="1"/>
  <c r="C72" i="1"/>
  <c r="C88" i="1"/>
  <c r="C104" i="1"/>
  <c r="C120" i="1"/>
  <c r="C136" i="1"/>
  <c r="C152" i="1"/>
  <c r="E65" i="1"/>
  <c r="L65" i="1" s="1"/>
  <c r="E107" i="1"/>
  <c r="L107" i="1" s="1"/>
  <c r="B80" i="1"/>
  <c r="C139" i="1"/>
  <c r="C11" i="1"/>
  <c r="D88" i="1"/>
  <c r="B64" i="1"/>
  <c r="C123" i="1"/>
  <c r="D72" i="1"/>
  <c r="E129" i="1"/>
  <c r="L129" i="1" s="1"/>
  <c r="E2" i="1"/>
  <c r="D2" i="1"/>
  <c r="C2" i="1"/>
  <c r="B151" i="1"/>
  <c r="B143" i="1"/>
  <c r="B135" i="1"/>
  <c r="B127" i="1"/>
  <c r="B119" i="1"/>
  <c r="B111" i="1"/>
  <c r="B103" i="1"/>
  <c r="B95" i="1"/>
  <c r="B87" i="1"/>
  <c r="B79" i="1"/>
  <c r="B71" i="1"/>
  <c r="B63" i="1"/>
  <c r="B55" i="1"/>
  <c r="B47" i="1"/>
  <c r="B39" i="1"/>
  <c r="B31" i="1"/>
  <c r="B23" i="1"/>
  <c r="B15" i="1"/>
  <c r="B7" i="1"/>
  <c r="C146" i="1"/>
  <c r="C138" i="1"/>
  <c r="C130" i="1"/>
  <c r="C122" i="1"/>
  <c r="C114" i="1"/>
  <c r="C106" i="1"/>
  <c r="C98" i="1"/>
  <c r="C90" i="1"/>
  <c r="C82" i="1"/>
  <c r="C74" i="1"/>
  <c r="C66" i="1"/>
  <c r="C58" i="1"/>
  <c r="C50" i="1"/>
  <c r="C42" i="1"/>
  <c r="C34" i="1"/>
  <c r="C26" i="1"/>
  <c r="C18" i="1"/>
  <c r="C10" i="1"/>
  <c r="D149" i="1"/>
  <c r="D141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5" i="1"/>
  <c r="E152" i="1"/>
  <c r="L152" i="1" s="1"/>
  <c r="E144" i="1"/>
  <c r="L144" i="1" s="1"/>
  <c r="E136" i="1"/>
  <c r="L136" i="1" s="1"/>
  <c r="E128" i="1"/>
  <c r="L128" i="1" s="1"/>
  <c r="E120" i="1"/>
  <c r="L120" i="1" s="1"/>
  <c r="E112" i="1"/>
  <c r="L112" i="1" s="1"/>
  <c r="E104" i="1"/>
  <c r="L104" i="1" s="1"/>
  <c r="E96" i="1"/>
  <c r="L96" i="1" s="1"/>
  <c r="E88" i="1"/>
  <c r="L88" i="1" s="1"/>
  <c r="E80" i="1"/>
  <c r="L80" i="1" s="1"/>
  <c r="E72" i="1"/>
  <c r="L72" i="1" s="1"/>
  <c r="E64" i="1"/>
  <c r="L64" i="1" s="1"/>
  <c r="E56" i="1"/>
  <c r="L56" i="1" s="1"/>
  <c r="E48" i="1"/>
  <c r="L48" i="1" s="1"/>
  <c r="E40" i="1"/>
  <c r="L40" i="1" s="1"/>
  <c r="E32" i="1"/>
  <c r="L32" i="1" s="1"/>
  <c r="E24" i="1"/>
  <c r="L24" i="1" s="1"/>
  <c r="E16" i="1"/>
  <c r="E8" i="1"/>
  <c r="B150" i="1"/>
  <c r="B142" i="1"/>
  <c r="B134" i="1"/>
  <c r="B126" i="1"/>
  <c r="B118" i="1"/>
  <c r="B110" i="1"/>
  <c r="B102" i="1"/>
  <c r="B94" i="1"/>
  <c r="B86" i="1"/>
  <c r="B78" i="1"/>
  <c r="B70" i="1"/>
  <c r="B62" i="1"/>
  <c r="B54" i="1"/>
  <c r="B46" i="1"/>
  <c r="B38" i="1"/>
  <c r="B30" i="1"/>
  <c r="B22" i="1"/>
  <c r="B14" i="1"/>
  <c r="B6" i="1"/>
  <c r="C153" i="1"/>
  <c r="C145" i="1"/>
  <c r="C137" i="1"/>
  <c r="C129" i="1"/>
  <c r="C121" i="1"/>
  <c r="C113" i="1"/>
  <c r="C105" i="1"/>
  <c r="C97" i="1"/>
  <c r="C89" i="1"/>
  <c r="C81" i="1"/>
  <c r="C73" i="1"/>
  <c r="C65" i="1"/>
  <c r="C57" i="1"/>
  <c r="C49" i="1"/>
  <c r="C41" i="1"/>
  <c r="C33" i="1"/>
  <c r="C25" i="1"/>
  <c r="C17" i="1"/>
  <c r="C9" i="1"/>
  <c r="D148" i="1"/>
  <c r="D140" i="1"/>
  <c r="D132" i="1"/>
  <c r="D124" i="1"/>
  <c r="D116" i="1"/>
  <c r="D108" i="1"/>
  <c r="D100" i="1"/>
  <c r="D92" i="1"/>
  <c r="D84" i="1"/>
  <c r="D76" i="1"/>
  <c r="D68" i="1"/>
  <c r="D60" i="1"/>
  <c r="D52" i="1"/>
  <c r="D44" i="1"/>
  <c r="D36" i="1"/>
  <c r="D28" i="1"/>
  <c r="D20" i="1"/>
  <c r="D12" i="1"/>
  <c r="D4" i="1"/>
  <c r="E151" i="1"/>
  <c r="L151" i="1" s="1"/>
  <c r="E143" i="1"/>
  <c r="L143" i="1" s="1"/>
  <c r="E135" i="1"/>
  <c r="L135" i="1" s="1"/>
  <c r="E127" i="1"/>
  <c r="L127" i="1" s="1"/>
  <c r="E119" i="1"/>
  <c r="L119" i="1" s="1"/>
  <c r="E111" i="1"/>
  <c r="L111" i="1" s="1"/>
  <c r="E103" i="1"/>
  <c r="L103" i="1" s="1"/>
  <c r="E95" i="1"/>
  <c r="L95" i="1" s="1"/>
  <c r="E87" i="1"/>
  <c r="L87" i="1" s="1"/>
  <c r="E79" i="1"/>
  <c r="L79" i="1" s="1"/>
  <c r="E71" i="1"/>
  <c r="L71" i="1" s="1"/>
  <c r="E63" i="1"/>
  <c r="L63" i="1" s="1"/>
  <c r="E55" i="1"/>
  <c r="L55" i="1" s="1"/>
  <c r="E47" i="1"/>
  <c r="L47" i="1" s="1"/>
  <c r="E39" i="1"/>
  <c r="L39" i="1" s="1"/>
  <c r="E31" i="1"/>
  <c r="L31" i="1" s="1"/>
  <c r="E23" i="1"/>
  <c r="L23" i="1" s="1"/>
  <c r="E15" i="1"/>
  <c r="E7" i="1"/>
  <c r="B148" i="1"/>
  <c r="B140" i="1"/>
  <c r="B132" i="1"/>
  <c r="B124" i="1"/>
  <c r="B116" i="1"/>
  <c r="B108" i="1"/>
  <c r="B100" i="1"/>
  <c r="B92" i="1"/>
  <c r="B84" i="1"/>
  <c r="B76" i="1"/>
  <c r="B68" i="1"/>
  <c r="B60" i="1"/>
  <c r="B52" i="1"/>
  <c r="B44" i="1"/>
  <c r="B36" i="1"/>
  <c r="B28" i="1"/>
  <c r="B20" i="1"/>
  <c r="B12" i="1"/>
  <c r="B4" i="1"/>
  <c r="C151" i="1"/>
  <c r="C143" i="1"/>
  <c r="C135" i="1"/>
  <c r="C127" i="1"/>
  <c r="C119" i="1"/>
  <c r="C111" i="1"/>
  <c r="C103" i="1"/>
  <c r="C95" i="1"/>
  <c r="C87" i="1"/>
  <c r="C79" i="1"/>
  <c r="C71" i="1"/>
  <c r="C63" i="1"/>
  <c r="C55" i="1"/>
  <c r="C47" i="1"/>
  <c r="C39" i="1"/>
  <c r="C31" i="1"/>
  <c r="C23" i="1"/>
  <c r="C15" i="1"/>
  <c r="C7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E149" i="1"/>
  <c r="L149" i="1" s="1"/>
  <c r="E141" i="1"/>
  <c r="L141" i="1" s="1"/>
  <c r="E133" i="1"/>
  <c r="L133" i="1" s="1"/>
  <c r="E125" i="1"/>
  <c r="L125" i="1" s="1"/>
  <c r="E117" i="1"/>
  <c r="L117" i="1" s="1"/>
  <c r="E109" i="1"/>
  <c r="L109" i="1" s="1"/>
  <c r="E101" i="1"/>
  <c r="L101" i="1" s="1"/>
  <c r="E93" i="1"/>
  <c r="L93" i="1" s="1"/>
  <c r="E85" i="1"/>
  <c r="L85" i="1" s="1"/>
  <c r="E77" i="1"/>
  <c r="L77" i="1" s="1"/>
  <c r="E69" i="1"/>
  <c r="L69" i="1" s="1"/>
  <c r="E61" i="1"/>
  <c r="L61" i="1" s="1"/>
  <c r="E53" i="1"/>
  <c r="L53" i="1" s="1"/>
  <c r="E45" i="1"/>
  <c r="L45" i="1" s="1"/>
  <c r="E37" i="1"/>
  <c r="L37" i="1" s="1"/>
  <c r="E29" i="1"/>
  <c r="L29" i="1" s="1"/>
  <c r="E21" i="1"/>
  <c r="E13" i="1"/>
  <c r="E5" i="1"/>
  <c r="B147" i="1"/>
  <c r="B139" i="1"/>
  <c r="B131" i="1"/>
  <c r="B123" i="1"/>
  <c r="B115" i="1"/>
  <c r="B107" i="1"/>
  <c r="B99" i="1"/>
  <c r="B91" i="1"/>
  <c r="B83" i="1"/>
  <c r="B75" i="1"/>
  <c r="B67" i="1"/>
  <c r="B59" i="1"/>
  <c r="B51" i="1"/>
  <c r="B43" i="1"/>
  <c r="B35" i="1"/>
  <c r="B27" i="1"/>
  <c r="B19" i="1"/>
  <c r="B11" i="1"/>
  <c r="B3" i="1"/>
  <c r="C150" i="1"/>
  <c r="C142" i="1"/>
  <c r="C134" i="1"/>
  <c r="C126" i="1"/>
  <c r="C118" i="1"/>
  <c r="C110" i="1"/>
  <c r="C102" i="1"/>
  <c r="C94" i="1"/>
  <c r="C86" i="1"/>
  <c r="C78" i="1"/>
  <c r="C70" i="1"/>
  <c r="C62" i="1"/>
  <c r="C54" i="1"/>
  <c r="C46" i="1"/>
  <c r="C38" i="1"/>
  <c r="C30" i="1"/>
  <c r="C22" i="1"/>
  <c r="C14" i="1"/>
  <c r="C6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E148" i="1"/>
  <c r="L148" i="1" s="1"/>
  <c r="E140" i="1"/>
  <c r="L140" i="1" s="1"/>
  <c r="E132" i="1"/>
  <c r="L132" i="1" s="1"/>
  <c r="E124" i="1"/>
  <c r="L124" i="1" s="1"/>
  <c r="E116" i="1"/>
  <c r="L116" i="1" s="1"/>
  <c r="E108" i="1"/>
  <c r="L108" i="1" s="1"/>
  <c r="E100" i="1"/>
  <c r="L100" i="1" s="1"/>
  <c r="E92" i="1"/>
  <c r="L92" i="1" s="1"/>
  <c r="E84" i="1"/>
  <c r="L84" i="1" s="1"/>
  <c r="E76" i="1"/>
  <c r="L76" i="1" s="1"/>
  <c r="E68" i="1"/>
  <c r="L68" i="1" s="1"/>
  <c r="E60" i="1"/>
  <c r="L60" i="1" s="1"/>
  <c r="E52" i="1"/>
  <c r="L52" i="1" s="1"/>
  <c r="E44" i="1"/>
  <c r="L44" i="1" s="1"/>
  <c r="E36" i="1"/>
  <c r="L36" i="1" s="1"/>
  <c r="E28" i="1"/>
  <c r="L28" i="1" s="1"/>
  <c r="E20" i="1"/>
  <c r="E12" i="1"/>
  <c r="E4" i="1"/>
  <c r="E146" i="1"/>
  <c r="L146" i="1" s="1"/>
  <c r="E138" i="1"/>
  <c r="L138" i="1" s="1"/>
  <c r="E130" i="1"/>
  <c r="L130" i="1" s="1"/>
  <c r="E122" i="1"/>
  <c r="L122" i="1" s="1"/>
  <c r="E114" i="1"/>
  <c r="L114" i="1" s="1"/>
  <c r="E106" i="1"/>
  <c r="L106" i="1" s="1"/>
  <c r="E98" i="1"/>
  <c r="L98" i="1" s="1"/>
  <c r="E90" i="1"/>
  <c r="L90" i="1" s="1"/>
  <c r="E82" i="1"/>
  <c r="L82" i="1" s="1"/>
  <c r="E74" i="1"/>
  <c r="L74" i="1" s="1"/>
  <c r="E66" i="1"/>
  <c r="L66" i="1" s="1"/>
  <c r="E58" i="1"/>
  <c r="L58" i="1" s="1"/>
  <c r="E50" i="1"/>
  <c r="L50" i="1" s="1"/>
  <c r="E42" i="1"/>
  <c r="L42" i="1" s="1"/>
  <c r="E34" i="1"/>
  <c r="L34" i="1" s="1"/>
  <c r="E26" i="1"/>
  <c r="L26" i="1" s="1"/>
  <c r="E18" i="1"/>
  <c r="E10" i="1"/>
  <c r="J23" i="1" l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H23" i="1"/>
  <c r="M23" i="1" s="1"/>
  <c r="H24" i="1"/>
  <c r="M24" i="1" s="1"/>
  <c r="H25" i="1"/>
  <c r="M25" i="1" s="1"/>
  <c r="H26" i="1"/>
  <c r="M26" i="1" s="1"/>
  <c r="H27" i="1"/>
  <c r="M27" i="1" s="1"/>
  <c r="H28" i="1"/>
  <c r="M28" i="1" s="1"/>
  <c r="H29" i="1"/>
  <c r="M29" i="1" s="1"/>
  <c r="H30" i="1"/>
  <c r="M30" i="1" s="1"/>
  <c r="H31" i="1"/>
  <c r="M31" i="1" s="1"/>
  <c r="H32" i="1"/>
  <c r="M32" i="1" s="1"/>
  <c r="H33" i="1"/>
  <c r="M33" i="1" s="1"/>
  <c r="H34" i="1"/>
  <c r="M34" i="1" s="1"/>
  <c r="H35" i="1"/>
  <c r="M35" i="1" s="1"/>
  <c r="H36" i="1"/>
  <c r="M36" i="1" s="1"/>
  <c r="H37" i="1"/>
  <c r="M37" i="1" s="1"/>
  <c r="H38" i="1"/>
  <c r="M38" i="1" s="1"/>
  <c r="H39" i="1"/>
  <c r="M39" i="1" s="1"/>
  <c r="H40" i="1"/>
  <c r="M40" i="1" s="1"/>
  <c r="H41" i="1"/>
  <c r="M41" i="1" s="1"/>
  <c r="H42" i="1"/>
  <c r="M42" i="1" s="1"/>
  <c r="H43" i="1"/>
  <c r="M43" i="1" s="1"/>
  <c r="H44" i="1"/>
  <c r="M44" i="1" s="1"/>
  <c r="H45" i="1"/>
  <c r="M45" i="1" s="1"/>
  <c r="H46" i="1"/>
  <c r="M46" i="1" s="1"/>
  <c r="H47" i="1"/>
  <c r="M47" i="1" s="1"/>
  <c r="H48" i="1"/>
  <c r="M48" i="1" s="1"/>
  <c r="H49" i="1"/>
  <c r="M49" i="1" s="1"/>
  <c r="H50" i="1"/>
  <c r="M50" i="1" s="1"/>
  <c r="H51" i="1"/>
  <c r="M51" i="1" s="1"/>
  <c r="H52" i="1"/>
  <c r="M52" i="1" s="1"/>
  <c r="H53" i="1"/>
  <c r="M53" i="1" s="1"/>
  <c r="H54" i="1"/>
  <c r="M54" i="1" s="1"/>
  <c r="H55" i="1"/>
  <c r="M55" i="1" s="1"/>
  <c r="H56" i="1"/>
  <c r="M56" i="1" s="1"/>
  <c r="H57" i="1"/>
  <c r="M57" i="1" s="1"/>
  <c r="H58" i="1"/>
  <c r="M58" i="1" s="1"/>
  <c r="H59" i="1"/>
  <c r="M59" i="1" s="1"/>
  <c r="H60" i="1"/>
  <c r="M60" i="1" s="1"/>
  <c r="H61" i="1"/>
  <c r="M61" i="1" s="1"/>
  <c r="H62" i="1"/>
  <c r="M62" i="1" s="1"/>
  <c r="H63" i="1"/>
  <c r="M63" i="1" s="1"/>
  <c r="H64" i="1"/>
  <c r="M64" i="1" s="1"/>
  <c r="H65" i="1"/>
  <c r="M65" i="1" s="1"/>
  <c r="H66" i="1"/>
  <c r="M66" i="1" s="1"/>
  <c r="H67" i="1"/>
  <c r="M67" i="1" s="1"/>
  <c r="H68" i="1"/>
  <c r="M68" i="1" s="1"/>
  <c r="H69" i="1"/>
  <c r="M69" i="1" s="1"/>
  <c r="H70" i="1"/>
  <c r="M70" i="1" s="1"/>
  <c r="H71" i="1"/>
  <c r="M71" i="1" s="1"/>
  <c r="H72" i="1"/>
  <c r="M72" i="1" s="1"/>
  <c r="H73" i="1"/>
  <c r="M73" i="1" s="1"/>
  <c r="H74" i="1"/>
  <c r="M74" i="1" s="1"/>
  <c r="H75" i="1"/>
  <c r="M75" i="1" s="1"/>
  <c r="H76" i="1"/>
  <c r="M76" i="1" s="1"/>
  <c r="H77" i="1"/>
  <c r="M77" i="1" s="1"/>
  <c r="H78" i="1"/>
  <c r="M78" i="1" s="1"/>
  <c r="H79" i="1"/>
  <c r="M79" i="1" s="1"/>
  <c r="H80" i="1"/>
  <c r="M80" i="1" s="1"/>
  <c r="H81" i="1"/>
  <c r="M81" i="1" s="1"/>
  <c r="H82" i="1"/>
  <c r="M82" i="1" s="1"/>
  <c r="H83" i="1"/>
  <c r="M83" i="1" s="1"/>
  <c r="H84" i="1"/>
  <c r="M84" i="1" s="1"/>
  <c r="H85" i="1"/>
  <c r="M85" i="1" s="1"/>
  <c r="H86" i="1"/>
  <c r="M86" i="1" s="1"/>
  <c r="H87" i="1"/>
  <c r="M87" i="1" s="1"/>
  <c r="H88" i="1"/>
  <c r="M88" i="1" s="1"/>
  <c r="H89" i="1"/>
  <c r="M89" i="1" s="1"/>
  <c r="H90" i="1"/>
  <c r="M90" i="1" s="1"/>
  <c r="H91" i="1"/>
  <c r="M91" i="1" s="1"/>
  <c r="H92" i="1"/>
  <c r="M92" i="1" s="1"/>
  <c r="H93" i="1"/>
  <c r="M93" i="1" s="1"/>
  <c r="H94" i="1"/>
  <c r="M94" i="1" s="1"/>
  <c r="H95" i="1"/>
  <c r="M95" i="1" s="1"/>
  <c r="H96" i="1"/>
  <c r="M96" i="1" s="1"/>
  <c r="H97" i="1"/>
  <c r="M97" i="1" s="1"/>
  <c r="H98" i="1"/>
  <c r="M98" i="1" s="1"/>
  <c r="H99" i="1"/>
  <c r="M99" i="1" s="1"/>
  <c r="H100" i="1"/>
  <c r="M100" i="1" s="1"/>
  <c r="H101" i="1"/>
  <c r="M101" i="1" s="1"/>
  <c r="H102" i="1"/>
  <c r="M102" i="1" s="1"/>
  <c r="H103" i="1"/>
  <c r="M103" i="1" s="1"/>
  <c r="H104" i="1"/>
  <c r="M104" i="1" s="1"/>
  <c r="H105" i="1"/>
  <c r="M105" i="1" s="1"/>
  <c r="H106" i="1"/>
  <c r="M106" i="1" s="1"/>
  <c r="H107" i="1"/>
  <c r="M107" i="1" s="1"/>
  <c r="H108" i="1"/>
  <c r="M108" i="1" s="1"/>
  <c r="H109" i="1"/>
  <c r="M109" i="1" s="1"/>
  <c r="H110" i="1"/>
  <c r="M110" i="1" s="1"/>
  <c r="H111" i="1"/>
  <c r="M111" i="1" s="1"/>
  <c r="H112" i="1"/>
  <c r="M112" i="1" s="1"/>
  <c r="H113" i="1"/>
  <c r="M113" i="1" s="1"/>
  <c r="H114" i="1"/>
  <c r="M114" i="1" s="1"/>
  <c r="H115" i="1"/>
  <c r="M115" i="1" s="1"/>
  <c r="H116" i="1"/>
  <c r="M116" i="1" s="1"/>
  <c r="H117" i="1"/>
  <c r="M117" i="1" s="1"/>
  <c r="H118" i="1"/>
  <c r="M118" i="1" s="1"/>
  <c r="H119" i="1"/>
  <c r="M119" i="1" s="1"/>
  <c r="H120" i="1"/>
  <c r="M120" i="1" s="1"/>
  <c r="H121" i="1"/>
  <c r="M121" i="1" s="1"/>
  <c r="H122" i="1"/>
  <c r="M122" i="1" s="1"/>
  <c r="H123" i="1"/>
  <c r="M123" i="1" s="1"/>
  <c r="H124" i="1"/>
  <c r="M124" i="1" s="1"/>
  <c r="H125" i="1"/>
  <c r="M125" i="1" s="1"/>
  <c r="H126" i="1"/>
  <c r="M126" i="1" s="1"/>
  <c r="H127" i="1"/>
  <c r="M127" i="1" s="1"/>
  <c r="H128" i="1"/>
  <c r="M128" i="1" s="1"/>
  <c r="H129" i="1"/>
  <c r="M129" i="1" s="1"/>
  <c r="H130" i="1"/>
  <c r="M130" i="1" s="1"/>
  <c r="H131" i="1"/>
  <c r="M131" i="1" s="1"/>
  <c r="H132" i="1"/>
  <c r="M132" i="1" s="1"/>
  <c r="H133" i="1"/>
  <c r="M133" i="1" s="1"/>
  <c r="H134" i="1"/>
  <c r="M134" i="1" s="1"/>
  <c r="H135" i="1"/>
  <c r="M135" i="1" s="1"/>
  <c r="H136" i="1"/>
  <c r="M136" i="1" s="1"/>
  <c r="H137" i="1"/>
  <c r="M137" i="1" s="1"/>
  <c r="H138" i="1"/>
  <c r="M138" i="1" s="1"/>
  <c r="H139" i="1"/>
  <c r="M139" i="1" s="1"/>
  <c r="H140" i="1"/>
  <c r="M140" i="1" s="1"/>
  <c r="H141" i="1"/>
  <c r="M141" i="1" s="1"/>
  <c r="H142" i="1"/>
  <c r="M142" i="1" s="1"/>
  <c r="H143" i="1"/>
  <c r="M143" i="1" s="1"/>
  <c r="H144" i="1"/>
  <c r="M144" i="1" s="1"/>
  <c r="H145" i="1"/>
  <c r="M145" i="1" s="1"/>
  <c r="H146" i="1"/>
  <c r="M146" i="1" s="1"/>
  <c r="H147" i="1"/>
  <c r="M147" i="1" s="1"/>
  <c r="H148" i="1"/>
  <c r="M148" i="1" s="1"/>
  <c r="H149" i="1"/>
  <c r="M149" i="1" s="1"/>
  <c r="H150" i="1"/>
  <c r="M150" i="1" s="1"/>
  <c r="H151" i="1"/>
  <c r="M151" i="1" s="1"/>
  <c r="H152" i="1"/>
  <c r="M152" i="1" s="1"/>
  <c r="H153" i="1"/>
  <c r="M153" i="1" s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J20" i="1"/>
  <c r="K497" i="1" l="1"/>
  <c r="N497" i="1" s="1"/>
  <c r="K489" i="1"/>
  <c r="N489" i="1" s="1"/>
  <c r="K481" i="1"/>
  <c r="N481" i="1" s="1"/>
  <c r="K473" i="1"/>
  <c r="N473" i="1" s="1"/>
  <c r="K465" i="1"/>
  <c r="N465" i="1" s="1"/>
  <c r="K457" i="1"/>
  <c r="N457" i="1" s="1"/>
  <c r="K449" i="1"/>
  <c r="N449" i="1" s="1"/>
  <c r="K441" i="1"/>
  <c r="N441" i="1" s="1"/>
  <c r="K433" i="1"/>
  <c r="N433" i="1" s="1"/>
  <c r="K425" i="1"/>
  <c r="N425" i="1" s="1"/>
  <c r="K417" i="1"/>
  <c r="N417" i="1" s="1"/>
  <c r="K409" i="1"/>
  <c r="N409" i="1" s="1"/>
  <c r="K401" i="1"/>
  <c r="N401" i="1" s="1"/>
  <c r="K393" i="1"/>
  <c r="N393" i="1" s="1"/>
  <c r="K385" i="1"/>
  <c r="N385" i="1" s="1"/>
  <c r="K377" i="1"/>
  <c r="N377" i="1" s="1"/>
  <c r="K369" i="1"/>
  <c r="N369" i="1" s="1"/>
  <c r="K361" i="1"/>
  <c r="N361" i="1" s="1"/>
  <c r="K353" i="1"/>
  <c r="N353" i="1" s="1"/>
  <c r="K345" i="1"/>
  <c r="N345" i="1" s="1"/>
  <c r="K337" i="1"/>
  <c r="N337" i="1" s="1"/>
  <c r="K329" i="1"/>
  <c r="N329" i="1" s="1"/>
  <c r="K321" i="1"/>
  <c r="N321" i="1" s="1"/>
  <c r="K313" i="1"/>
  <c r="N313" i="1" s="1"/>
  <c r="K305" i="1"/>
  <c r="N305" i="1" s="1"/>
  <c r="K297" i="1"/>
  <c r="N297" i="1" s="1"/>
  <c r="K289" i="1"/>
  <c r="N289" i="1" s="1"/>
  <c r="K281" i="1"/>
  <c r="N281" i="1" s="1"/>
  <c r="K273" i="1"/>
  <c r="N273" i="1" s="1"/>
  <c r="K265" i="1"/>
  <c r="N265" i="1" s="1"/>
  <c r="K257" i="1"/>
  <c r="N257" i="1" s="1"/>
  <c r="K249" i="1"/>
  <c r="N249" i="1" s="1"/>
  <c r="K241" i="1"/>
  <c r="N241" i="1" s="1"/>
  <c r="K233" i="1"/>
  <c r="N233" i="1" s="1"/>
  <c r="K225" i="1"/>
  <c r="N225" i="1" s="1"/>
  <c r="K217" i="1"/>
  <c r="N217" i="1" s="1"/>
  <c r="K209" i="1"/>
  <c r="N209" i="1" s="1"/>
  <c r="K201" i="1"/>
  <c r="N201" i="1" s="1"/>
  <c r="K193" i="1"/>
  <c r="N193" i="1" s="1"/>
  <c r="K185" i="1"/>
  <c r="N185" i="1" s="1"/>
  <c r="K177" i="1"/>
  <c r="N177" i="1" s="1"/>
  <c r="K169" i="1"/>
  <c r="N169" i="1" s="1"/>
  <c r="K161" i="1"/>
  <c r="N161" i="1" s="1"/>
  <c r="K30" i="1"/>
  <c r="N30" i="1" s="1"/>
  <c r="K153" i="1"/>
  <c r="N153" i="1" s="1"/>
  <c r="K145" i="1"/>
  <c r="N145" i="1" s="1"/>
  <c r="K137" i="1"/>
  <c r="N137" i="1" s="1"/>
  <c r="K494" i="1"/>
  <c r="N494" i="1" s="1"/>
  <c r="K486" i="1"/>
  <c r="N486" i="1" s="1"/>
  <c r="K478" i="1"/>
  <c r="N478" i="1" s="1"/>
  <c r="K470" i="1"/>
  <c r="N470" i="1" s="1"/>
  <c r="K462" i="1"/>
  <c r="N462" i="1" s="1"/>
  <c r="K454" i="1"/>
  <c r="N454" i="1" s="1"/>
  <c r="K446" i="1"/>
  <c r="N446" i="1" s="1"/>
  <c r="K438" i="1"/>
  <c r="N438" i="1" s="1"/>
  <c r="K430" i="1"/>
  <c r="N430" i="1" s="1"/>
  <c r="K422" i="1"/>
  <c r="N422" i="1" s="1"/>
  <c r="K414" i="1"/>
  <c r="N414" i="1" s="1"/>
  <c r="K406" i="1"/>
  <c r="N406" i="1" s="1"/>
  <c r="K398" i="1"/>
  <c r="N398" i="1" s="1"/>
  <c r="K390" i="1"/>
  <c r="N390" i="1" s="1"/>
  <c r="K382" i="1"/>
  <c r="N382" i="1" s="1"/>
  <c r="K374" i="1"/>
  <c r="N374" i="1" s="1"/>
  <c r="K366" i="1"/>
  <c r="N366" i="1" s="1"/>
  <c r="K358" i="1"/>
  <c r="N358" i="1" s="1"/>
  <c r="K350" i="1"/>
  <c r="N350" i="1" s="1"/>
  <c r="K342" i="1"/>
  <c r="N342" i="1" s="1"/>
  <c r="K334" i="1"/>
  <c r="N334" i="1" s="1"/>
  <c r="K326" i="1"/>
  <c r="N326" i="1" s="1"/>
  <c r="K318" i="1"/>
  <c r="N318" i="1" s="1"/>
  <c r="K310" i="1"/>
  <c r="N310" i="1" s="1"/>
  <c r="K302" i="1"/>
  <c r="N302" i="1" s="1"/>
  <c r="K294" i="1"/>
  <c r="N294" i="1" s="1"/>
  <c r="K286" i="1"/>
  <c r="N286" i="1" s="1"/>
  <c r="K278" i="1"/>
  <c r="N278" i="1" s="1"/>
  <c r="K270" i="1"/>
  <c r="N270" i="1" s="1"/>
  <c r="K262" i="1"/>
  <c r="N262" i="1" s="1"/>
  <c r="K254" i="1"/>
  <c r="N254" i="1" s="1"/>
  <c r="K246" i="1"/>
  <c r="N246" i="1" s="1"/>
  <c r="K238" i="1"/>
  <c r="N238" i="1" s="1"/>
  <c r="K230" i="1"/>
  <c r="N230" i="1" s="1"/>
  <c r="K222" i="1"/>
  <c r="N222" i="1" s="1"/>
  <c r="K214" i="1"/>
  <c r="N214" i="1" s="1"/>
  <c r="K206" i="1"/>
  <c r="N206" i="1" s="1"/>
  <c r="K198" i="1"/>
  <c r="N198" i="1" s="1"/>
  <c r="K190" i="1"/>
  <c r="N190" i="1" s="1"/>
  <c r="K182" i="1"/>
  <c r="N182" i="1" s="1"/>
  <c r="K174" i="1"/>
  <c r="N174" i="1" s="1"/>
  <c r="K166" i="1"/>
  <c r="N166" i="1" s="1"/>
  <c r="K158" i="1"/>
  <c r="N158" i="1" s="1"/>
  <c r="K150" i="1"/>
  <c r="N150" i="1" s="1"/>
  <c r="K142" i="1"/>
  <c r="N142" i="1" s="1"/>
  <c r="K134" i="1"/>
  <c r="N134" i="1" s="1"/>
  <c r="K126" i="1"/>
  <c r="N126" i="1" s="1"/>
  <c r="K118" i="1"/>
  <c r="N118" i="1" s="1"/>
  <c r="K110" i="1"/>
  <c r="N110" i="1" s="1"/>
  <c r="K102" i="1"/>
  <c r="N102" i="1" s="1"/>
  <c r="K94" i="1"/>
  <c r="N94" i="1" s="1"/>
  <c r="K86" i="1"/>
  <c r="N86" i="1" s="1"/>
  <c r="K78" i="1"/>
  <c r="N78" i="1" s="1"/>
  <c r="K70" i="1"/>
  <c r="N70" i="1" s="1"/>
  <c r="K62" i="1"/>
  <c r="N62" i="1" s="1"/>
  <c r="K54" i="1"/>
  <c r="N54" i="1" s="1"/>
  <c r="K46" i="1"/>
  <c r="N46" i="1" s="1"/>
  <c r="K38" i="1"/>
  <c r="N38" i="1" s="1"/>
  <c r="K493" i="1"/>
  <c r="N493" i="1" s="1"/>
  <c r="K485" i="1"/>
  <c r="N485" i="1" s="1"/>
  <c r="K477" i="1"/>
  <c r="N477" i="1" s="1"/>
  <c r="K469" i="1"/>
  <c r="N469" i="1" s="1"/>
  <c r="K461" i="1"/>
  <c r="N461" i="1" s="1"/>
  <c r="K453" i="1"/>
  <c r="N453" i="1" s="1"/>
  <c r="K445" i="1"/>
  <c r="N445" i="1" s="1"/>
  <c r="K437" i="1"/>
  <c r="N437" i="1" s="1"/>
  <c r="K429" i="1"/>
  <c r="N429" i="1" s="1"/>
  <c r="K421" i="1"/>
  <c r="N421" i="1" s="1"/>
  <c r="K413" i="1"/>
  <c r="N413" i="1" s="1"/>
  <c r="K405" i="1"/>
  <c r="N405" i="1" s="1"/>
  <c r="K397" i="1"/>
  <c r="N397" i="1" s="1"/>
  <c r="K389" i="1"/>
  <c r="N389" i="1" s="1"/>
  <c r="K381" i="1"/>
  <c r="N381" i="1" s="1"/>
  <c r="K373" i="1"/>
  <c r="N373" i="1" s="1"/>
  <c r="K365" i="1"/>
  <c r="N365" i="1" s="1"/>
  <c r="K357" i="1"/>
  <c r="N357" i="1" s="1"/>
  <c r="K349" i="1"/>
  <c r="N349" i="1" s="1"/>
  <c r="K341" i="1"/>
  <c r="N341" i="1" s="1"/>
  <c r="K333" i="1"/>
  <c r="N333" i="1" s="1"/>
  <c r="K325" i="1"/>
  <c r="N325" i="1" s="1"/>
  <c r="K317" i="1"/>
  <c r="N317" i="1" s="1"/>
  <c r="K309" i="1"/>
  <c r="N309" i="1" s="1"/>
  <c r="K301" i="1"/>
  <c r="N301" i="1" s="1"/>
  <c r="K293" i="1"/>
  <c r="N293" i="1" s="1"/>
  <c r="K285" i="1"/>
  <c r="N285" i="1" s="1"/>
  <c r="K277" i="1"/>
  <c r="N277" i="1" s="1"/>
  <c r="K269" i="1"/>
  <c r="N269" i="1" s="1"/>
  <c r="K261" i="1"/>
  <c r="N261" i="1" s="1"/>
  <c r="K253" i="1"/>
  <c r="N253" i="1" s="1"/>
  <c r="K245" i="1"/>
  <c r="N245" i="1" s="1"/>
  <c r="K237" i="1"/>
  <c r="N237" i="1" s="1"/>
  <c r="K229" i="1"/>
  <c r="N229" i="1" s="1"/>
  <c r="K221" i="1"/>
  <c r="N221" i="1" s="1"/>
  <c r="K213" i="1"/>
  <c r="N213" i="1" s="1"/>
  <c r="K205" i="1"/>
  <c r="N205" i="1" s="1"/>
  <c r="K197" i="1"/>
  <c r="N197" i="1" s="1"/>
  <c r="K189" i="1"/>
  <c r="N189" i="1" s="1"/>
  <c r="K181" i="1"/>
  <c r="N181" i="1" s="1"/>
  <c r="K173" i="1"/>
  <c r="N173" i="1" s="1"/>
  <c r="K165" i="1"/>
  <c r="N165" i="1" s="1"/>
  <c r="K157" i="1"/>
  <c r="N157" i="1" s="1"/>
  <c r="K149" i="1"/>
  <c r="N149" i="1" s="1"/>
  <c r="K141" i="1"/>
  <c r="N141" i="1" s="1"/>
  <c r="K133" i="1"/>
  <c r="N133" i="1" s="1"/>
  <c r="K125" i="1"/>
  <c r="N125" i="1" s="1"/>
  <c r="K117" i="1"/>
  <c r="N117" i="1" s="1"/>
  <c r="K109" i="1"/>
  <c r="N109" i="1" s="1"/>
  <c r="K101" i="1"/>
  <c r="N101" i="1" s="1"/>
  <c r="K93" i="1"/>
  <c r="N93" i="1" s="1"/>
  <c r="K85" i="1"/>
  <c r="N85" i="1" s="1"/>
  <c r="K77" i="1"/>
  <c r="N77" i="1" s="1"/>
  <c r="K69" i="1"/>
  <c r="N69" i="1" s="1"/>
  <c r="K61" i="1"/>
  <c r="N61" i="1" s="1"/>
  <c r="K53" i="1"/>
  <c r="N53" i="1" s="1"/>
  <c r="K45" i="1"/>
  <c r="N45" i="1" s="1"/>
  <c r="K37" i="1"/>
  <c r="N37" i="1" s="1"/>
  <c r="K29" i="1"/>
  <c r="N29" i="1" s="1"/>
  <c r="K500" i="1"/>
  <c r="N500" i="1" s="1"/>
  <c r="K492" i="1"/>
  <c r="N492" i="1" s="1"/>
  <c r="K484" i="1"/>
  <c r="N484" i="1" s="1"/>
  <c r="K476" i="1"/>
  <c r="N476" i="1" s="1"/>
  <c r="K468" i="1"/>
  <c r="N468" i="1" s="1"/>
  <c r="K460" i="1"/>
  <c r="N460" i="1" s="1"/>
  <c r="K452" i="1"/>
  <c r="N452" i="1" s="1"/>
  <c r="K444" i="1"/>
  <c r="N444" i="1" s="1"/>
  <c r="K436" i="1"/>
  <c r="N436" i="1" s="1"/>
  <c r="K428" i="1"/>
  <c r="N428" i="1" s="1"/>
  <c r="K420" i="1"/>
  <c r="N420" i="1" s="1"/>
  <c r="K412" i="1"/>
  <c r="N412" i="1" s="1"/>
  <c r="K404" i="1"/>
  <c r="N404" i="1" s="1"/>
  <c r="K396" i="1"/>
  <c r="N396" i="1" s="1"/>
  <c r="K388" i="1"/>
  <c r="N388" i="1" s="1"/>
  <c r="K380" i="1"/>
  <c r="N380" i="1" s="1"/>
  <c r="K372" i="1"/>
  <c r="N372" i="1" s="1"/>
  <c r="K364" i="1"/>
  <c r="N364" i="1" s="1"/>
  <c r="K356" i="1"/>
  <c r="N356" i="1" s="1"/>
  <c r="K348" i="1"/>
  <c r="N348" i="1" s="1"/>
  <c r="K340" i="1"/>
  <c r="N340" i="1" s="1"/>
  <c r="K332" i="1"/>
  <c r="N332" i="1" s="1"/>
  <c r="K324" i="1"/>
  <c r="N324" i="1" s="1"/>
  <c r="K316" i="1"/>
  <c r="N316" i="1" s="1"/>
  <c r="K308" i="1"/>
  <c r="N308" i="1" s="1"/>
  <c r="K300" i="1"/>
  <c r="N300" i="1" s="1"/>
  <c r="K292" i="1"/>
  <c r="N292" i="1" s="1"/>
  <c r="K284" i="1"/>
  <c r="N284" i="1" s="1"/>
  <c r="K276" i="1"/>
  <c r="N276" i="1" s="1"/>
  <c r="K268" i="1"/>
  <c r="N268" i="1" s="1"/>
  <c r="K260" i="1"/>
  <c r="N260" i="1" s="1"/>
  <c r="K252" i="1"/>
  <c r="N252" i="1" s="1"/>
  <c r="K244" i="1"/>
  <c r="N244" i="1" s="1"/>
  <c r="K236" i="1"/>
  <c r="N236" i="1" s="1"/>
  <c r="K228" i="1"/>
  <c r="N228" i="1" s="1"/>
  <c r="K220" i="1"/>
  <c r="N220" i="1" s="1"/>
  <c r="K212" i="1"/>
  <c r="N212" i="1" s="1"/>
  <c r="K204" i="1"/>
  <c r="N204" i="1" s="1"/>
  <c r="K196" i="1"/>
  <c r="N196" i="1" s="1"/>
  <c r="K188" i="1"/>
  <c r="N188" i="1" s="1"/>
  <c r="K180" i="1"/>
  <c r="N180" i="1" s="1"/>
  <c r="K172" i="1"/>
  <c r="N172" i="1" s="1"/>
  <c r="K164" i="1"/>
  <c r="N164" i="1" s="1"/>
  <c r="K156" i="1"/>
  <c r="N156" i="1" s="1"/>
  <c r="K148" i="1"/>
  <c r="N148" i="1" s="1"/>
  <c r="K140" i="1"/>
  <c r="N140" i="1" s="1"/>
  <c r="K132" i="1"/>
  <c r="N132" i="1" s="1"/>
  <c r="K124" i="1"/>
  <c r="N124" i="1" s="1"/>
  <c r="K116" i="1"/>
  <c r="N116" i="1" s="1"/>
  <c r="K108" i="1"/>
  <c r="N108" i="1" s="1"/>
  <c r="K100" i="1"/>
  <c r="N100" i="1" s="1"/>
  <c r="K92" i="1"/>
  <c r="N92" i="1" s="1"/>
  <c r="K84" i="1"/>
  <c r="N84" i="1" s="1"/>
  <c r="K76" i="1"/>
  <c r="N76" i="1" s="1"/>
  <c r="K68" i="1"/>
  <c r="N68" i="1" s="1"/>
  <c r="K60" i="1"/>
  <c r="N60" i="1" s="1"/>
  <c r="K52" i="1"/>
  <c r="N52" i="1" s="1"/>
  <c r="K44" i="1"/>
  <c r="N44" i="1" s="1"/>
  <c r="K36" i="1"/>
  <c r="N36" i="1" s="1"/>
  <c r="K28" i="1"/>
  <c r="N28" i="1" s="1"/>
  <c r="K499" i="1"/>
  <c r="N499" i="1" s="1"/>
  <c r="K491" i="1"/>
  <c r="N491" i="1" s="1"/>
  <c r="K483" i="1"/>
  <c r="N483" i="1" s="1"/>
  <c r="K475" i="1"/>
  <c r="N475" i="1" s="1"/>
  <c r="K467" i="1"/>
  <c r="N467" i="1" s="1"/>
  <c r="K459" i="1"/>
  <c r="N459" i="1" s="1"/>
  <c r="K451" i="1"/>
  <c r="N451" i="1" s="1"/>
  <c r="K443" i="1"/>
  <c r="N443" i="1" s="1"/>
  <c r="K435" i="1"/>
  <c r="N435" i="1" s="1"/>
  <c r="K427" i="1"/>
  <c r="N427" i="1" s="1"/>
  <c r="K419" i="1"/>
  <c r="N419" i="1" s="1"/>
  <c r="K411" i="1"/>
  <c r="N411" i="1" s="1"/>
  <c r="K403" i="1"/>
  <c r="N403" i="1" s="1"/>
  <c r="K395" i="1"/>
  <c r="N395" i="1" s="1"/>
  <c r="K387" i="1"/>
  <c r="N387" i="1" s="1"/>
  <c r="K379" i="1"/>
  <c r="N379" i="1" s="1"/>
  <c r="K371" i="1"/>
  <c r="N371" i="1" s="1"/>
  <c r="K363" i="1"/>
  <c r="N363" i="1" s="1"/>
  <c r="K355" i="1"/>
  <c r="N355" i="1" s="1"/>
  <c r="K347" i="1"/>
  <c r="N347" i="1" s="1"/>
  <c r="K339" i="1"/>
  <c r="N339" i="1" s="1"/>
  <c r="K331" i="1"/>
  <c r="N331" i="1" s="1"/>
  <c r="K323" i="1"/>
  <c r="N323" i="1" s="1"/>
  <c r="K315" i="1"/>
  <c r="N315" i="1" s="1"/>
  <c r="K307" i="1"/>
  <c r="N307" i="1" s="1"/>
  <c r="K299" i="1"/>
  <c r="N299" i="1" s="1"/>
  <c r="K291" i="1"/>
  <c r="N291" i="1" s="1"/>
  <c r="K283" i="1"/>
  <c r="N283" i="1" s="1"/>
  <c r="K275" i="1"/>
  <c r="N275" i="1" s="1"/>
  <c r="K267" i="1"/>
  <c r="N267" i="1" s="1"/>
  <c r="K259" i="1"/>
  <c r="N259" i="1" s="1"/>
  <c r="K251" i="1"/>
  <c r="N251" i="1" s="1"/>
  <c r="K243" i="1"/>
  <c r="N243" i="1" s="1"/>
  <c r="K235" i="1"/>
  <c r="N235" i="1" s="1"/>
  <c r="K227" i="1"/>
  <c r="N227" i="1" s="1"/>
  <c r="K219" i="1"/>
  <c r="N219" i="1" s="1"/>
  <c r="K211" i="1"/>
  <c r="N211" i="1" s="1"/>
  <c r="K203" i="1"/>
  <c r="N203" i="1" s="1"/>
  <c r="K195" i="1"/>
  <c r="N195" i="1" s="1"/>
  <c r="K187" i="1"/>
  <c r="N187" i="1" s="1"/>
  <c r="K179" i="1"/>
  <c r="N179" i="1" s="1"/>
  <c r="K171" i="1"/>
  <c r="N171" i="1" s="1"/>
  <c r="K163" i="1"/>
  <c r="N163" i="1" s="1"/>
  <c r="K155" i="1"/>
  <c r="N155" i="1" s="1"/>
  <c r="K147" i="1"/>
  <c r="N147" i="1" s="1"/>
  <c r="K139" i="1"/>
  <c r="N139" i="1" s="1"/>
  <c r="K131" i="1"/>
  <c r="N131" i="1" s="1"/>
  <c r="K123" i="1"/>
  <c r="N123" i="1" s="1"/>
  <c r="K115" i="1"/>
  <c r="N115" i="1" s="1"/>
  <c r="K107" i="1"/>
  <c r="N107" i="1" s="1"/>
  <c r="K99" i="1"/>
  <c r="N99" i="1" s="1"/>
  <c r="K91" i="1"/>
  <c r="N91" i="1" s="1"/>
  <c r="K83" i="1"/>
  <c r="N83" i="1" s="1"/>
  <c r="K75" i="1"/>
  <c r="N75" i="1" s="1"/>
  <c r="K67" i="1"/>
  <c r="N67" i="1" s="1"/>
  <c r="K59" i="1"/>
  <c r="N59" i="1" s="1"/>
  <c r="K51" i="1"/>
  <c r="N51" i="1" s="1"/>
  <c r="K43" i="1"/>
  <c r="N43" i="1" s="1"/>
  <c r="K35" i="1"/>
  <c r="N35" i="1" s="1"/>
  <c r="K27" i="1"/>
  <c r="N27" i="1" s="1"/>
  <c r="K498" i="1"/>
  <c r="N498" i="1" s="1"/>
  <c r="K490" i="1"/>
  <c r="N490" i="1" s="1"/>
  <c r="K482" i="1"/>
  <c r="N482" i="1" s="1"/>
  <c r="K474" i="1"/>
  <c r="N474" i="1" s="1"/>
  <c r="K466" i="1"/>
  <c r="N466" i="1" s="1"/>
  <c r="K458" i="1"/>
  <c r="N458" i="1" s="1"/>
  <c r="K450" i="1"/>
  <c r="N450" i="1" s="1"/>
  <c r="K442" i="1"/>
  <c r="N442" i="1" s="1"/>
  <c r="K434" i="1"/>
  <c r="N434" i="1" s="1"/>
  <c r="K426" i="1"/>
  <c r="N426" i="1" s="1"/>
  <c r="K418" i="1"/>
  <c r="N418" i="1" s="1"/>
  <c r="K410" i="1"/>
  <c r="N410" i="1" s="1"/>
  <c r="K402" i="1"/>
  <c r="N402" i="1" s="1"/>
  <c r="K394" i="1"/>
  <c r="N394" i="1" s="1"/>
  <c r="K386" i="1"/>
  <c r="N386" i="1" s="1"/>
  <c r="K378" i="1"/>
  <c r="N378" i="1" s="1"/>
  <c r="K370" i="1"/>
  <c r="N370" i="1" s="1"/>
  <c r="K362" i="1"/>
  <c r="N362" i="1" s="1"/>
  <c r="K354" i="1"/>
  <c r="N354" i="1" s="1"/>
  <c r="K346" i="1"/>
  <c r="N346" i="1" s="1"/>
  <c r="K338" i="1"/>
  <c r="N338" i="1" s="1"/>
  <c r="K330" i="1"/>
  <c r="N330" i="1" s="1"/>
  <c r="K322" i="1"/>
  <c r="N322" i="1" s="1"/>
  <c r="K314" i="1"/>
  <c r="N314" i="1" s="1"/>
  <c r="K306" i="1"/>
  <c r="N306" i="1" s="1"/>
  <c r="K298" i="1"/>
  <c r="N298" i="1" s="1"/>
  <c r="K290" i="1"/>
  <c r="N290" i="1" s="1"/>
  <c r="K282" i="1"/>
  <c r="N282" i="1" s="1"/>
  <c r="K274" i="1"/>
  <c r="N274" i="1" s="1"/>
  <c r="K266" i="1"/>
  <c r="N266" i="1" s="1"/>
  <c r="K258" i="1"/>
  <c r="N258" i="1" s="1"/>
  <c r="K250" i="1"/>
  <c r="N250" i="1" s="1"/>
  <c r="K242" i="1"/>
  <c r="N242" i="1" s="1"/>
  <c r="K234" i="1"/>
  <c r="N234" i="1" s="1"/>
  <c r="K226" i="1"/>
  <c r="N226" i="1" s="1"/>
  <c r="K218" i="1"/>
  <c r="N218" i="1" s="1"/>
  <c r="K210" i="1"/>
  <c r="N210" i="1" s="1"/>
  <c r="K202" i="1"/>
  <c r="N202" i="1" s="1"/>
  <c r="K194" i="1"/>
  <c r="N194" i="1" s="1"/>
  <c r="K186" i="1"/>
  <c r="N186" i="1" s="1"/>
  <c r="K178" i="1"/>
  <c r="N178" i="1" s="1"/>
  <c r="K170" i="1"/>
  <c r="N170" i="1" s="1"/>
  <c r="K162" i="1"/>
  <c r="N162" i="1" s="1"/>
  <c r="K154" i="1"/>
  <c r="N154" i="1" s="1"/>
  <c r="K146" i="1"/>
  <c r="N146" i="1" s="1"/>
  <c r="K138" i="1"/>
  <c r="N138" i="1" s="1"/>
  <c r="K130" i="1"/>
  <c r="N130" i="1" s="1"/>
  <c r="K122" i="1"/>
  <c r="N122" i="1" s="1"/>
  <c r="K114" i="1"/>
  <c r="N114" i="1" s="1"/>
  <c r="K106" i="1"/>
  <c r="N106" i="1" s="1"/>
  <c r="K98" i="1"/>
  <c r="N98" i="1" s="1"/>
  <c r="K90" i="1"/>
  <c r="N90" i="1" s="1"/>
  <c r="K82" i="1"/>
  <c r="N82" i="1" s="1"/>
  <c r="K74" i="1"/>
  <c r="N74" i="1" s="1"/>
  <c r="K66" i="1"/>
  <c r="N66" i="1" s="1"/>
  <c r="K58" i="1"/>
  <c r="N58" i="1" s="1"/>
  <c r="K50" i="1"/>
  <c r="N50" i="1" s="1"/>
  <c r="K42" i="1"/>
  <c r="N42" i="1" s="1"/>
  <c r="K34" i="1"/>
  <c r="N34" i="1" s="1"/>
  <c r="K26" i="1"/>
  <c r="N26" i="1" s="1"/>
  <c r="K129" i="1"/>
  <c r="N129" i="1" s="1"/>
  <c r="K121" i="1"/>
  <c r="N121" i="1" s="1"/>
  <c r="K113" i="1"/>
  <c r="N113" i="1" s="1"/>
  <c r="K105" i="1"/>
  <c r="N105" i="1" s="1"/>
  <c r="K97" i="1"/>
  <c r="N97" i="1" s="1"/>
  <c r="K89" i="1"/>
  <c r="N89" i="1" s="1"/>
  <c r="K81" i="1"/>
  <c r="N81" i="1" s="1"/>
  <c r="K73" i="1"/>
  <c r="N73" i="1" s="1"/>
  <c r="K65" i="1"/>
  <c r="N65" i="1" s="1"/>
  <c r="K57" i="1"/>
  <c r="N57" i="1" s="1"/>
  <c r="K49" i="1"/>
  <c r="N49" i="1" s="1"/>
  <c r="K41" i="1"/>
  <c r="N41" i="1" s="1"/>
  <c r="K33" i="1"/>
  <c r="N33" i="1" s="1"/>
  <c r="K25" i="1"/>
  <c r="N25" i="1" s="1"/>
  <c r="K496" i="1"/>
  <c r="N496" i="1" s="1"/>
  <c r="K488" i="1"/>
  <c r="N488" i="1" s="1"/>
  <c r="K480" i="1"/>
  <c r="N480" i="1" s="1"/>
  <c r="K472" i="1"/>
  <c r="N472" i="1" s="1"/>
  <c r="K464" i="1"/>
  <c r="N464" i="1" s="1"/>
  <c r="K456" i="1"/>
  <c r="N456" i="1" s="1"/>
  <c r="K448" i="1"/>
  <c r="N448" i="1" s="1"/>
  <c r="K440" i="1"/>
  <c r="N440" i="1" s="1"/>
  <c r="K432" i="1"/>
  <c r="N432" i="1" s="1"/>
  <c r="K424" i="1"/>
  <c r="N424" i="1" s="1"/>
  <c r="K416" i="1"/>
  <c r="N416" i="1" s="1"/>
  <c r="K408" i="1"/>
  <c r="N408" i="1" s="1"/>
  <c r="K400" i="1"/>
  <c r="N400" i="1" s="1"/>
  <c r="K392" i="1"/>
  <c r="N392" i="1" s="1"/>
  <c r="K384" i="1"/>
  <c r="N384" i="1" s="1"/>
  <c r="K376" i="1"/>
  <c r="N376" i="1" s="1"/>
  <c r="K368" i="1"/>
  <c r="N368" i="1" s="1"/>
  <c r="K360" i="1"/>
  <c r="N360" i="1" s="1"/>
  <c r="K352" i="1"/>
  <c r="N352" i="1" s="1"/>
  <c r="K344" i="1"/>
  <c r="N344" i="1" s="1"/>
  <c r="K336" i="1"/>
  <c r="N336" i="1" s="1"/>
  <c r="K328" i="1"/>
  <c r="N328" i="1" s="1"/>
  <c r="K320" i="1"/>
  <c r="N320" i="1" s="1"/>
  <c r="K312" i="1"/>
  <c r="N312" i="1" s="1"/>
  <c r="K304" i="1"/>
  <c r="N304" i="1" s="1"/>
  <c r="K296" i="1"/>
  <c r="N296" i="1" s="1"/>
  <c r="K288" i="1"/>
  <c r="N288" i="1" s="1"/>
  <c r="K280" i="1"/>
  <c r="N280" i="1" s="1"/>
  <c r="K272" i="1"/>
  <c r="N272" i="1" s="1"/>
  <c r="K264" i="1"/>
  <c r="N264" i="1" s="1"/>
  <c r="K256" i="1"/>
  <c r="N256" i="1" s="1"/>
  <c r="K248" i="1"/>
  <c r="N248" i="1" s="1"/>
  <c r="K240" i="1"/>
  <c r="N240" i="1" s="1"/>
  <c r="K232" i="1"/>
  <c r="N232" i="1" s="1"/>
  <c r="K224" i="1"/>
  <c r="N224" i="1" s="1"/>
  <c r="K216" i="1"/>
  <c r="N216" i="1" s="1"/>
  <c r="K208" i="1"/>
  <c r="N208" i="1" s="1"/>
  <c r="K200" i="1"/>
  <c r="N200" i="1" s="1"/>
  <c r="K192" i="1"/>
  <c r="N192" i="1" s="1"/>
  <c r="K184" i="1"/>
  <c r="N184" i="1" s="1"/>
  <c r="K176" i="1"/>
  <c r="N176" i="1" s="1"/>
  <c r="K168" i="1"/>
  <c r="N168" i="1" s="1"/>
  <c r="K160" i="1"/>
  <c r="N160" i="1" s="1"/>
  <c r="K152" i="1"/>
  <c r="N152" i="1" s="1"/>
  <c r="K144" i="1"/>
  <c r="N144" i="1" s="1"/>
  <c r="K136" i="1"/>
  <c r="N136" i="1" s="1"/>
  <c r="K128" i="1"/>
  <c r="N128" i="1" s="1"/>
  <c r="K120" i="1"/>
  <c r="N120" i="1" s="1"/>
  <c r="K112" i="1"/>
  <c r="N112" i="1" s="1"/>
  <c r="K104" i="1"/>
  <c r="N104" i="1" s="1"/>
  <c r="K96" i="1"/>
  <c r="N96" i="1" s="1"/>
  <c r="K88" i="1"/>
  <c r="N88" i="1" s="1"/>
  <c r="K80" i="1"/>
  <c r="N80" i="1" s="1"/>
  <c r="K72" i="1"/>
  <c r="N72" i="1" s="1"/>
  <c r="K64" i="1"/>
  <c r="N64" i="1" s="1"/>
  <c r="K56" i="1"/>
  <c r="N56" i="1" s="1"/>
  <c r="K48" i="1"/>
  <c r="N48" i="1" s="1"/>
  <c r="K40" i="1"/>
  <c r="N40" i="1" s="1"/>
  <c r="K32" i="1"/>
  <c r="N32" i="1" s="1"/>
  <c r="K24" i="1"/>
  <c r="N24" i="1" s="1"/>
  <c r="K495" i="1"/>
  <c r="N495" i="1" s="1"/>
  <c r="K487" i="1"/>
  <c r="N487" i="1" s="1"/>
  <c r="K479" i="1"/>
  <c r="N479" i="1" s="1"/>
  <c r="K471" i="1"/>
  <c r="N471" i="1" s="1"/>
  <c r="K463" i="1"/>
  <c r="N463" i="1" s="1"/>
  <c r="K455" i="1"/>
  <c r="N455" i="1" s="1"/>
  <c r="K447" i="1"/>
  <c r="N447" i="1" s="1"/>
  <c r="K439" i="1"/>
  <c r="N439" i="1" s="1"/>
  <c r="K431" i="1"/>
  <c r="N431" i="1" s="1"/>
  <c r="K423" i="1"/>
  <c r="N423" i="1" s="1"/>
  <c r="K415" i="1"/>
  <c r="N415" i="1" s="1"/>
  <c r="K407" i="1"/>
  <c r="N407" i="1" s="1"/>
  <c r="K399" i="1"/>
  <c r="N399" i="1" s="1"/>
  <c r="K391" i="1"/>
  <c r="N391" i="1" s="1"/>
  <c r="K383" i="1"/>
  <c r="N383" i="1" s="1"/>
  <c r="K375" i="1"/>
  <c r="N375" i="1" s="1"/>
  <c r="K367" i="1"/>
  <c r="N367" i="1" s="1"/>
  <c r="K359" i="1"/>
  <c r="N359" i="1" s="1"/>
  <c r="K351" i="1"/>
  <c r="N351" i="1" s="1"/>
  <c r="K343" i="1"/>
  <c r="N343" i="1" s="1"/>
  <c r="K335" i="1"/>
  <c r="N335" i="1" s="1"/>
  <c r="K327" i="1"/>
  <c r="N327" i="1" s="1"/>
  <c r="K319" i="1"/>
  <c r="N319" i="1" s="1"/>
  <c r="K311" i="1"/>
  <c r="N311" i="1" s="1"/>
  <c r="K303" i="1"/>
  <c r="N303" i="1" s="1"/>
  <c r="K295" i="1"/>
  <c r="N295" i="1" s="1"/>
  <c r="K287" i="1"/>
  <c r="N287" i="1" s="1"/>
  <c r="K279" i="1"/>
  <c r="N279" i="1" s="1"/>
  <c r="K271" i="1"/>
  <c r="N271" i="1" s="1"/>
  <c r="K263" i="1"/>
  <c r="N263" i="1" s="1"/>
  <c r="K255" i="1"/>
  <c r="N255" i="1" s="1"/>
  <c r="K247" i="1"/>
  <c r="N247" i="1" s="1"/>
  <c r="K239" i="1"/>
  <c r="N239" i="1" s="1"/>
  <c r="K231" i="1"/>
  <c r="N231" i="1" s="1"/>
  <c r="K223" i="1"/>
  <c r="N223" i="1" s="1"/>
  <c r="K215" i="1"/>
  <c r="N215" i="1" s="1"/>
  <c r="K207" i="1"/>
  <c r="N207" i="1" s="1"/>
  <c r="K199" i="1"/>
  <c r="N199" i="1" s="1"/>
  <c r="K191" i="1"/>
  <c r="N191" i="1" s="1"/>
  <c r="K183" i="1"/>
  <c r="N183" i="1" s="1"/>
  <c r="K175" i="1"/>
  <c r="N175" i="1" s="1"/>
  <c r="K167" i="1"/>
  <c r="N167" i="1" s="1"/>
  <c r="K159" i="1"/>
  <c r="N159" i="1" s="1"/>
  <c r="K151" i="1"/>
  <c r="N151" i="1" s="1"/>
  <c r="K143" i="1"/>
  <c r="N143" i="1" s="1"/>
  <c r="K135" i="1"/>
  <c r="N135" i="1" s="1"/>
  <c r="K127" i="1"/>
  <c r="N127" i="1" s="1"/>
  <c r="K119" i="1"/>
  <c r="N119" i="1" s="1"/>
  <c r="K111" i="1"/>
  <c r="N111" i="1" s="1"/>
  <c r="K103" i="1"/>
  <c r="N103" i="1" s="1"/>
  <c r="K95" i="1"/>
  <c r="N95" i="1" s="1"/>
  <c r="K87" i="1"/>
  <c r="N87" i="1" s="1"/>
  <c r="K79" i="1"/>
  <c r="N79" i="1" s="1"/>
  <c r="K71" i="1"/>
  <c r="N71" i="1" s="1"/>
  <c r="K63" i="1"/>
  <c r="N63" i="1" s="1"/>
  <c r="K55" i="1"/>
  <c r="N55" i="1" s="1"/>
  <c r="K47" i="1"/>
  <c r="N47" i="1" s="1"/>
  <c r="K39" i="1"/>
  <c r="N39" i="1" s="1"/>
  <c r="K31" i="1"/>
  <c r="N31" i="1" s="1"/>
  <c r="K23" i="1"/>
  <c r="N23" i="1" s="1"/>
  <c r="F22" i="1"/>
  <c r="G22" i="1"/>
  <c r="F20" i="1"/>
  <c r="G21" i="1"/>
  <c r="H22" i="1"/>
  <c r="M22" i="1" s="1"/>
  <c r="G20" i="1"/>
  <c r="H21" i="1"/>
  <c r="M21" i="1" s="1"/>
  <c r="I22" i="1"/>
  <c r="H20" i="1"/>
  <c r="M20" i="1" s="1"/>
  <c r="I21" i="1"/>
  <c r="J22" i="1"/>
  <c r="I20" i="1"/>
  <c r="K20" i="1" s="1"/>
  <c r="N20" i="1" s="1"/>
  <c r="J21" i="1"/>
  <c r="F21" i="1"/>
  <c r="L20" i="1"/>
  <c r="L21" i="1"/>
  <c r="L22" i="1"/>
  <c r="L8" i="1"/>
  <c r="L16" i="1"/>
  <c r="L9" i="1"/>
  <c r="L17" i="1"/>
  <c r="L10" i="1"/>
  <c r="L18" i="1"/>
  <c r="L3" i="1"/>
  <c r="L11" i="1"/>
  <c r="L19" i="1"/>
  <c r="L7" i="1"/>
  <c r="L4" i="1"/>
  <c r="L12" i="1"/>
  <c r="L15" i="1"/>
  <c r="L5" i="1"/>
  <c r="L13" i="1"/>
  <c r="L6" i="1"/>
  <c r="L14" i="1"/>
  <c r="J9" i="1"/>
  <c r="I7" i="1"/>
  <c r="I15" i="1"/>
  <c r="H5" i="1"/>
  <c r="M5" i="1" s="1"/>
  <c r="H13" i="1"/>
  <c r="M13" i="1" s="1"/>
  <c r="G3" i="1"/>
  <c r="G11" i="1"/>
  <c r="G19" i="1"/>
  <c r="F9" i="1"/>
  <c r="F17" i="1"/>
  <c r="J16" i="1"/>
  <c r="F8" i="1"/>
  <c r="J10" i="1"/>
  <c r="J18" i="1"/>
  <c r="I8" i="1"/>
  <c r="I16" i="1"/>
  <c r="H6" i="1"/>
  <c r="M6" i="1" s="1"/>
  <c r="H14" i="1"/>
  <c r="M14" i="1" s="1"/>
  <c r="G4" i="1"/>
  <c r="G12" i="1"/>
  <c r="F10" i="1"/>
  <c r="F18" i="1"/>
  <c r="H12" i="1"/>
  <c r="M12" i="1" s="1"/>
  <c r="G18" i="1"/>
  <c r="J3" i="1"/>
  <c r="J11" i="1"/>
  <c r="J19" i="1"/>
  <c r="I9" i="1"/>
  <c r="I17" i="1"/>
  <c r="H7" i="1"/>
  <c r="M7" i="1" s="1"/>
  <c r="H15" i="1"/>
  <c r="M15" i="1" s="1"/>
  <c r="G5" i="1"/>
  <c r="G13" i="1"/>
  <c r="F3" i="1"/>
  <c r="F11" i="1"/>
  <c r="F19" i="1"/>
  <c r="J8" i="1"/>
  <c r="G10" i="1"/>
  <c r="F16" i="1"/>
  <c r="J4" i="1"/>
  <c r="J12" i="1"/>
  <c r="I10" i="1"/>
  <c r="I18" i="1"/>
  <c r="H8" i="1"/>
  <c r="M8" i="1" s="1"/>
  <c r="H16" i="1"/>
  <c r="M16" i="1" s="1"/>
  <c r="G6" i="1"/>
  <c r="G14" i="1"/>
  <c r="F4" i="1"/>
  <c r="F12" i="1"/>
  <c r="I13" i="1"/>
  <c r="H11" i="1"/>
  <c r="M11" i="1" s="1"/>
  <c r="F15" i="1"/>
  <c r="I14" i="1"/>
  <c r="J5" i="1"/>
  <c r="J13" i="1"/>
  <c r="I3" i="1"/>
  <c r="I11" i="1"/>
  <c r="I19" i="1"/>
  <c r="H9" i="1"/>
  <c r="M9" i="1" s="1"/>
  <c r="H17" i="1"/>
  <c r="M17" i="1" s="1"/>
  <c r="G7" i="1"/>
  <c r="G15" i="1"/>
  <c r="F5" i="1"/>
  <c r="F13" i="1"/>
  <c r="J7" i="1"/>
  <c r="I5" i="1"/>
  <c r="H3" i="1"/>
  <c r="M3" i="1" s="1"/>
  <c r="G9" i="1"/>
  <c r="F7" i="1"/>
  <c r="H4" i="1"/>
  <c r="M4" i="1" s="1"/>
  <c r="I6" i="1"/>
  <c r="G17" i="1"/>
  <c r="H19" i="1"/>
  <c r="M19" i="1" s="1"/>
  <c r="J15" i="1"/>
  <c r="F14" i="1"/>
  <c r="F6" i="1"/>
  <c r="G16" i="1"/>
  <c r="G8" i="1"/>
  <c r="H18" i="1"/>
  <c r="M18" i="1" s="1"/>
  <c r="H10" i="1"/>
  <c r="M10" i="1" s="1"/>
  <c r="I12" i="1"/>
  <c r="I4" i="1"/>
  <c r="J14" i="1"/>
  <c r="J6" i="1"/>
  <c r="K15" i="1" l="1"/>
  <c r="N15" i="1" s="1"/>
  <c r="K8" i="1"/>
  <c r="N8" i="1" s="1"/>
  <c r="K7" i="1"/>
  <c r="N7" i="1" s="1"/>
  <c r="K22" i="1"/>
  <c r="N22" i="1" s="1"/>
  <c r="K5" i="1"/>
  <c r="N5" i="1" s="1"/>
  <c r="K21" i="1"/>
  <c r="N21" i="1" s="1"/>
  <c r="K10" i="1"/>
  <c r="N10" i="1" s="1"/>
  <c r="K12" i="1"/>
  <c r="N12" i="1" s="1"/>
  <c r="K4" i="1"/>
  <c r="N4" i="1" s="1"/>
  <c r="K17" i="1"/>
  <c r="N17" i="1" s="1"/>
  <c r="K9" i="1"/>
  <c r="N9" i="1" s="1"/>
  <c r="K16" i="1"/>
  <c r="N16" i="1" s="1"/>
  <c r="K19" i="1"/>
  <c r="N19" i="1" s="1"/>
  <c r="K6" i="1"/>
  <c r="N6" i="1" s="1"/>
  <c r="K11" i="1"/>
  <c r="N11" i="1" s="1"/>
  <c r="K14" i="1"/>
  <c r="N14" i="1" s="1"/>
  <c r="K13" i="1"/>
  <c r="N13" i="1" s="1"/>
  <c r="K3" i="1"/>
  <c r="N3" i="1" s="1"/>
  <c r="K18" i="1"/>
  <c r="N18" i="1" s="1"/>
  <c r="L2" i="1"/>
  <c r="H2" i="1"/>
  <c r="M2" i="1" s="1"/>
  <c r="G2" i="1"/>
  <c r="J2" i="1"/>
  <c r="I2" i="1"/>
  <c r="B3" i="2"/>
  <c r="B3" i="5"/>
  <c r="B2" i="2"/>
  <c r="B2" i="5"/>
  <c r="K2" i="1" l="1"/>
  <c r="N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<sst xmlns="http://schemas.openxmlformats.org/spreadsheetml/2006/main" count="43177" uniqueCount="3623">
  <si>
    <t>Order</t>
  </si>
  <si>
    <t>Component</t>
  </si>
  <si>
    <t>Component Description</t>
  </si>
  <si>
    <t>WHS</t>
  </si>
  <si>
    <t>Component Item Rev</t>
  </si>
  <si>
    <t>Seq</t>
  </si>
  <si>
    <t>Std Cost</t>
  </si>
  <si>
    <t>Act Cost</t>
  </si>
  <si>
    <t>Act Completion Date</t>
  </si>
  <si>
    <t>Act Start Date</t>
  </si>
  <si>
    <t>Last Activity Date</t>
  </si>
  <si>
    <t xml:space="preserve">    </t>
  </si>
  <si>
    <t>0000</t>
  </si>
  <si>
    <t>0001</t>
  </si>
  <si>
    <t>2976</t>
  </si>
  <si>
    <t>SAVI</t>
  </si>
  <si>
    <t xml:space="preserve">121 </t>
  </si>
  <si>
    <t>0002</t>
  </si>
  <si>
    <t>0003</t>
  </si>
  <si>
    <t>0005</t>
  </si>
  <si>
    <t>0004</t>
  </si>
  <si>
    <t>0010</t>
  </si>
  <si>
    <t>.000</t>
  </si>
  <si>
    <t>0020</t>
  </si>
  <si>
    <t>0040</t>
  </si>
  <si>
    <t>0050</t>
  </si>
  <si>
    <t>0030</t>
  </si>
  <si>
    <t>0100</t>
  </si>
  <si>
    <t>Parameter</t>
  </si>
  <si>
    <t>Value</t>
  </si>
  <si>
    <t>Last Activity Date To</t>
  </si>
  <si>
    <t>Last Activity Date From</t>
  </si>
  <si>
    <t>yyyymmdd</t>
  </si>
  <si>
    <t>Item</t>
  </si>
  <si>
    <t>Item Description</t>
  </si>
  <si>
    <t>Dept</t>
  </si>
  <si>
    <t>Order Status</t>
  </si>
  <si>
    <t>Order Qty</t>
  </si>
  <si>
    <t>Qty Received to Stock</t>
  </si>
  <si>
    <t>Cost Variance</t>
  </si>
  <si>
    <t>Act Matl and Pur Cost</t>
  </si>
  <si>
    <t>Std Matl Cost</t>
  </si>
  <si>
    <t>Std Matl Curr Prim Item Process</t>
  </si>
  <si>
    <t>Tot Act Machine Hrs</t>
  </si>
  <si>
    <t>Tot Est Labor Hrs</t>
  </si>
  <si>
    <t>Tot Est Machine Hrs</t>
  </si>
  <si>
    <t>Actual Completion Date To</t>
  </si>
  <si>
    <t>Actual Completion Date From</t>
  </si>
  <si>
    <t>Tot Act Labor Hrs</t>
  </si>
  <si>
    <t>ORDER</t>
  </si>
  <si>
    <t>OPSEQ</t>
  </si>
  <si>
    <t>Description</t>
  </si>
  <si>
    <t>Status</t>
  </si>
  <si>
    <t>Total Cost Variance</t>
  </si>
  <si>
    <t>Completed Qty</t>
  </si>
  <si>
    <t>Facility</t>
  </si>
  <si>
    <t>Standard Labor Hrs</t>
  </si>
  <si>
    <t>Total Act Labor Hrs</t>
  </si>
  <si>
    <t>Act Scrap Qty</t>
  </si>
  <si>
    <t>Actual Completed Date</t>
  </si>
  <si>
    <t>yyymmdd</t>
  </si>
  <si>
    <t>MO</t>
  </si>
  <si>
    <t>PN</t>
  </si>
  <si>
    <t>MO Dept</t>
  </si>
  <si>
    <t>MO Complete Date</t>
  </si>
  <si>
    <t>MO Cost Variance</t>
  </si>
  <si>
    <t>OP Std Labor Hrs</t>
  </si>
  <si>
    <t>OP Actual Labor Hours</t>
  </si>
  <si>
    <t>Labor Cost Var</t>
  </si>
  <si>
    <t>Matl Std Cost</t>
  </si>
  <si>
    <t>Matl Act Cost</t>
  </si>
  <si>
    <t>Matl Cost Variance</t>
  </si>
  <si>
    <t>Goal: Be at $0 Material Variance.</t>
  </si>
  <si>
    <t>PERFORMANCE TREND</t>
  </si>
  <si>
    <t>PDCA</t>
  </si>
  <si>
    <t>Incident Description</t>
  </si>
  <si>
    <t>Action Items</t>
  </si>
  <si>
    <t>Responsible</t>
  </si>
  <si>
    <t>Due</t>
  </si>
  <si>
    <t>Results</t>
  </si>
  <si>
    <t>Status Key:</t>
  </si>
  <si>
    <t>[1] No Plan or Late</t>
  </si>
  <si>
    <t>[2] Action in Progress</t>
  </si>
  <si>
    <t>[3] Action Completed</t>
  </si>
  <si>
    <t>Metric Definition:</t>
  </si>
  <si>
    <t>Values &gt; $0 means we used more material than planned. Vice-versa for &lt; $0.</t>
  </si>
  <si>
    <t>Row Labels</t>
  </si>
  <si>
    <t>Grand Total</t>
  </si>
  <si>
    <t>Sum of MO Cost Variance</t>
  </si>
  <si>
    <t>Top 5 Positive Variance</t>
  </si>
  <si>
    <t>Top 5 Negative Variance</t>
  </si>
  <si>
    <t>Positive Variance = Costs higher than expected</t>
  </si>
  <si>
    <t>Negative Variance = Costs lower than expected</t>
  </si>
  <si>
    <t>Sum of Matl Cost Variance</t>
  </si>
  <si>
    <t>Sum of Labor Cost Var</t>
  </si>
  <si>
    <t>Goal: Be at $0 Variance.</t>
  </si>
  <si>
    <t>Sign Total Var</t>
  </si>
  <si>
    <t>Sign Labor Var</t>
  </si>
  <si>
    <t>Sign Matl Var</t>
  </si>
  <si>
    <t>Positive</t>
  </si>
  <si>
    <t>Negative</t>
  </si>
  <si>
    <t>PR22</t>
  </si>
  <si>
    <t>HRP6</t>
  </si>
  <si>
    <t>(All)</t>
  </si>
  <si>
    <t>MO10000</t>
  </si>
  <si>
    <t>MO10010</t>
  </si>
  <si>
    <t>MO10020</t>
  </si>
  <si>
    <t>MO10030</t>
  </si>
  <si>
    <t>MO10040</t>
  </si>
  <si>
    <t>MO10050</t>
  </si>
  <si>
    <t>MO10060</t>
  </si>
  <si>
    <t>MO10070</t>
  </si>
  <si>
    <t>MO10080</t>
  </si>
  <si>
    <t>MO10090</t>
  </si>
  <si>
    <t>MO10100</t>
  </si>
  <si>
    <t>MO10110</t>
  </si>
  <si>
    <t>MO10120</t>
  </si>
  <si>
    <t>MO10130</t>
  </si>
  <si>
    <t>MO10140</t>
  </si>
  <si>
    <t>MO10150</t>
  </si>
  <si>
    <t>MO10160</t>
  </si>
  <si>
    <t>MO10170</t>
  </si>
  <si>
    <t>MO10180</t>
  </si>
  <si>
    <t>MO10190</t>
  </si>
  <si>
    <t>MO10200</t>
  </si>
  <si>
    <t>MO10210</t>
  </si>
  <si>
    <t>MO10220</t>
  </si>
  <si>
    <t>MO10230</t>
  </si>
  <si>
    <t>MO10240</t>
  </si>
  <si>
    <t>MO10250</t>
  </si>
  <si>
    <t>MO10260</t>
  </si>
  <si>
    <t>MO10270</t>
  </si>
  <si>
    <t>MO10280</t>
  </si>
  <si>
    <t>MO10290</t>
  </si>
  <si>
    <t>MO10300</t>
  </si>
  <si>
    <t>MO10310</t>
  </si>
  <si>
    <t>MO10320</t>
  </si>
  <si>
    <t>MO10330</t>
  </si>
  <si>
    <t>MO10340</t>
  </si>
  <si>
    <t>MO10350</t>
  </si>
  <si>
    <t>MO10360</t>
  </si>
  <si>
    <t>MO10370</t>
  </si>
  <si>
    <t>MO10380</t>
  </si>
  <si>
    <t>MO10390</t>
  </si>
  <si>
    <t>MO10400</t>
  </si>
  <si>
    <t>MO10410</t>
  </si>
  <si>
    <t>MO10420</t>
  </si>
  <si>
    <t>MO10430</t>
  </si>
  <si>
    <t>MO10440</t>
  </si>
  <si>
    <t>MO10450</t>
  </si>
  <si>
    <t>MO10460</t>
  </si>
  <si>
    <t>MO10470</t>
  </si>
  <si>
    <t>MO10480</t>
  </si>
  <si>
    <t>MO10490</t>
  </si>
  <si>
    <t>MO10500</t>
  </si>
  <si>
    <t>MO10510</t>
  </si>
  <si>
    <t>MO10520</t>
  </si>
  <si>
    <t>MO10530</t>
  </si>
  <si>
    <t>MO10540</t>
  </si>
  <si>
    <t>MO10550</t>
  </si>
  <si>
    <t>MO10560</t>
  </si>
  <si>
    <t>MO10570</t>
  </si>
  <si>
    <t>MO10580</t>
  </si>
  <si>
    <t>MO10590</t>
  </si>
  <si>
    <t>MO10600</t>
  </si>
  <si>
    <t>MO10610</t>
  </si>
  <si>
    <t>MO10620</t>
  </si>
  <si>
    <t>MO10630</t>
  </si>
  <si>
    <t>MO10640</t>
  </si>
  <si>
    <t>MO10650</t>
  </si>
  <si>
    <t>MO10660</t>
  </si>
  <si>
    <t>MO10670</t>
  </si>
  <si>
    <t>MO10680</t>
  </si>
  <si>
    <t>MO10690</t>
  </si>
  <si>
    <t>MO10700</t>
  </si>
  <si>
    <t>MO10710</t>
  </si>
  <si>
    <t>MO10720</t>
  </si>
  <si>
    <t>MO10730</t>
  </si>
  <si>
    <t>MO10740</t>
  </si>
  <si>
    <t>MO10750</t>
  </si>
  <si>
    <t>MO10760</t>
  </si>
  <si>
    <t>MO10770</t>
  </si>
  <si>
    <t>MO10780</t>
  </si>
  <si>
    <t>MO10790</t>
  </si>
  <si>
    <t>MO10800</t>
  </si>
  <si>
    <t>MO10810</t>
  </si>
  <si>
    <t>MO10820</t>
  </si>
  <si>
    <t>MO10830</t>
  </si>
  <si>
    <t>MO10840</t>
  </si>
  <si>
    <t>MO10850</t>
  </si>
  <si>
    <t>MO10860</t>
  </si>
  <si>
    <t>MO10870</t>
  </si>
  <si>
    <t>MO10880</t>
  </si>
  <si>
    <t>MO10890</t>
  </si>
  <si>
    <t>MO10900</t>
  </si>
  <si>
    <t>MO10910</t>
  </si>
  <si>
    <t>MO10920</t>
  </si>
  <si>
    <t>MO10930</t>
  </si>
  <si>
    <t>MO10940</t>
  </si>
  <si>
    <t>MO10950</t>
  </si>
  <si>
    <t>MO10960</t>
  </si>
  <si>
    <t>MO10970</t>
  </si>
  <si>
    <t>MO10980</t>
  </si>
  <si>
    <t>MO10990</t>
  </si>
  <si>
    <t>MO11000</t>
  </si>
  <si>
    <t>MO11010</t>
  </si>
  <si>
    <t>MO11020</t>
  </si>
  <si>
    <t>MO11030</t>
  </si>
  <si>
    <t>MO11040</t>
  </si>
  <si>
    <t>MO11050</t>
  </si>
  <si>
    <t>MO11060</t>
  </si>
  <si>
    <t>MO11070</t>
  </si>
  <si>
    <t>MO11080</t>
  </si>
  <si>
    <t>MO11090</t>
  </si>
  <si>
    <t>MO11100</t>
  </si>
  <si>
    <t>MO11110</t>
  </si>
  <si>
    <t>MO11120</t>
  </si>
  <si>
    <t>MO11130</t>
  </si>
  <si>
    <t>MO11140</t>
  </si>
  <si>
    <t>MO11150</t>
  </si>
  <si>
    <t>MO11160</t>
  </si>
  <si>
    <t>MO11170</t>
  </si>
  <si>
    <t>MO11180</t>
  </si>
  <si>
    <t>MO11190</t>
  </si>
  <si>
    <t>MO11200</t>
  </si>
  <si>
    <t>MO11210</t>
  </si>
  <si>
    <t>MO11220</t>
  </si>
  <si>
    <t>MO11230</t>
  </si>
  <si>
    <t>MO11240</t>
  </si>
  <si>
    <t>MO11250</t>
  </si>
  <si>
    <t>MO11260</t>
  </si>
  <si>
    <t>MO11270</t>
  </si>
  <si>
    <t>MO11280</t>
  </si>
  <si>
    <t>MO11290</t>
  </si>
  <si>
    <t>MO11300</t>
  </si>
  <si>
    <t>MO11310</t>
  </si>
  <si>
    <t>MO11320</t>
  </si>
  <si>
    <t>MO11330</t>
  </si>
  <si>
    <t>MO11340</t>
  </si>
  <si>
    <t>MO11350</t>
  </si>
  <si>
    <t>MO11360</t>
  </si>
  <si>
    <t>MO11370</t>
  </si>
  <si>
    <t>MO11380</t>
  </si>
  <si>
    <t>MO11390</t>
  </si>
  <si>
    <t>MO11400</t>
  </si>
  <si>
    <t>MO11410</t>
  </si>
  <si>
    <t>MO11420</t>
  </si>
  <si>
    <t>MO11430</t>
  </si>
  <si>
    <t>MO11440</t>
  </si>
  <si>
    <t>MO11450</t>
  </si>
  <si>
    <t>MO11460</t>
  </si>
  <si>
    <t>MO11470</t>
  </si>
  <si>
    <t>MO11480</t>
  </si>
  <si>
    <t>MO11490</t>
  </si>
  <si>
    <t>MO11500</t>
  </si>
  <si>
    <t>MO11510</t>
  </si>
  <si>
    <t>MO11520</t>
  </si>
  <si>
    <t>MO11530</t>
  </si>
  <si>
    <t>MO11540</t>
  </si>
  <si>
    <t>MO11550</t>
  </si>
  <si>
    <t>MO11560</t>
  </si>
  <si>
    <t>MO11570</t>
  </si>
  <si>
    <t>MO11580</t>
  </si>
  <si>
    <t>MO11590</t>
  </si>
  <si>
    <t>MO11600</t>
  </si>
  <si>
    <t>MO11610</t>
  </si>
  <si>
    <t>MO11620</t>
  </si>
  <si>
    <t>MO11630</t>
  </si>
  <si>
    <t>MO11640</t>
  </si>
  <si>
    <t>MO11650</t>
  </si>
  <si>
    <t>MO11660</t>
  </si>
  <si>
    <t>MO11670</t>
  </si>
  <si>
    <t>MO11680</t>
  </si>
  <si>
    <t>MO11690</t>
  </si>
  <si>
    <t>MO11700</t>
  </si>
  <si>
    <t>MO11710</t>
  </si>
  <si>
    <t>MO11720</t>
  </si>
  <si>
    <t>MO11730</t>
  </si>
  <si>
    <t>MO11740</t>
  </si>
  <si>
    <t>MO11750</t>
  </si>
  <si>
    <t>MO11760</t>
  </si>
  <si>
    <t>MO11770</t>
  </si>
  <si>
    <t>MO11780</t>
  </si>
  <si>
    <t>MO11790</t>
  </si>
  <si>
    <t>MO11800</t>
  </si>
  <si>
    <t>MO11810</t>
  </si>
  <si>
    <t>MO11820</t>
  </si>
  <si>
    <t>MO11830</t>
  </si>
  <si>
    <t>MO11840</t>
  </si>
  <si>
    <t>MO11850</t>
  </si>
  <si>
    <t>MO11860</t>
  </si>
  <si>
    <t>MO11870</t>
  </si>
  <si>
    <t>MO11880</t>
  </si>
  <si>
    <t>MO11890</t>
  </si>
  <si>
    <t>MO11900</t>
  </si>
  <si>
    <t>MO11910</t>
  </si>
  <si>
    <t>MO11920</t>
  </si>
  <si>
    <t>MO11930</t>
  </si>
  <si>
    <t>MO11940</t>
  </si>
  <si>
    <t>MO11950</t>
  </si>
  <si>
    <t>MO11960</t>
  </si>
  <si>
    <t>MO11970</t>
  </si>
  <si>
    <t>MO11980</t>
  </si>
  <si>
    <t>MO11990</t>
  </si>
  <si>
    <t>MO12000</t>
  </si>
  <si>
    <t>MO12010</t>
  </si>
  <si>
    <t>MO12020</t>
  </si>
  <si>
    <t>MO12030</t>
  </si>
  <si>
    <t>MO12040</t>
  </si>
  <si>
    <t>MO12050</t>
  </si>
  <si>
    <t>MO12060</t>
  </si>
  <si>
    <t>MO12070</t>
  </si>
  <si>
    <t>MO12080</t>
  </si>
  <si>
    <t>MO12090</t>
  </si>
  <si>
    <t>MO12100</t>
  </si>
  <si>
    <t>MO12110</t>
  </si>
  <si>
    <t>MO12120</t>
  </si>
  <si>
    <t>MO12130</t>
  </si>
  <si>
    <t>MO12140</t>
  </si>
  <si>
    <t>MO12150</t>
  </si>
  <si>
    <t>MO12160</t>
  </si>
  <si>
    <t>MO12170</t>
  </si>
  <si>
    <t>MO12180</t>
  </si>
  <si>
    <t>MO12190</t>
  </si>
  <si>
    <t>MO12200</t>
  </si>
  <si>
    <t>MO12210</t>
  </si>
  <si>
    <t>MO12220</t>
  </si>
  <si>
    <t>MO12230</t>
  </si>
  <si>
    <t>MO12240</t>
  </si>
  <si>
    <t>MO12250</t>
  </si>
  <si>
    <t>MO12260</t>
  </si>
  <si>
    <t>MO12270</t>
  </si>
  <si>
    <t>MO12280</t>
  </si>
  <si>
    <t>MO12290</t>
  </si>
  <si>
    <t>MO12300</t>
  </si>
  <si>
    <t>MO12310</t>
  </si>
  <si>
    <t>MO12320</t>
  </si>
  <si>
    <t>MO12330</t>
  </si>
  <si>
    <t>MO12340</t>
  </si>
  <si>
    <t>MO12350</t>
  </si>
  <si>
    <t>MO12360</t>
  </si>
  <si>
    <t>MO12370</t>
  </si>
  <si>
    <t>MO12380</t>
  </si>
  <si>
    <t>MO12390</t>
  </si>
  <si>
    <t>MO12400</t>
  </si>
  <si>
    <t>MO12410</t>
  </si>
  <si>
    <t>MO12420</t>
  </si>
  <si>
    <t>MO12430</t>
  </si>
  <si>
    <t>MO12440</t>
  </si>
  <si>
    <t>MO12450</t>
  </si>
  <si>
    <t>MO12460</t>
  </si>
  <si>
    <t>MO12470</t>
  </si>
  <si>
    <t>MO12480</t>
  </si>
  <si>
    <t>MO12490</t>
  </si>
  <si>
    <t>MO12500</t>
  </si>
  <si>
    <t>MO12510</t>
  </si>
  <si>
    <t>MO12520</t>
  </si>
  <si>
    <t>MO12530</t>
  </si>
  <si>
    <t>MO12540</t>
  </si>
  <si>
    <t>MO12550</t>
  </si>
  <si>
    <t>MO12560</t>
  </si>
  <si>
    <t>MO12570</t>
  </si>
  <si>
    <t>MO12580</t>
  </si>
  <si>
    <t>MO12590</t>
  </si>
  <si>
    <t>MO12600</t>
  </si>
  <si>
    <t>MO12610</t>
  </si>
  <si>
    <t>MO12620</t>
  </si>
  <si>
    <t>MO12630</t>
  </si>
  <si>
    <t>MO12640</t>
  </si>
  <si>
    <t>MO12650</t>
  </si>
  <si>
    <t>MO12660</t>
  </si>
  <si>
    <t>MO12670</t>
  </si>
  <si>
    <t>MO12680</t>
  </si>
  <si>
    <t>MO12690</t>
  </si>
  <si>
    <t>MO12700</t>
  </si>
  <si>
    <t>MO12710</t>
  </si>
  <si>
    <t>MO12720</t>
  </si>
  <si>
    <t>MO12730</t>
  </si>
  <si>
    <t>MO12740</t>
  </si>
  <si>
    <t>MO12750</t>
  </si>
  <si>
    <t>MO12760</t>
  </si>
  <si>
    <t>MO12770</t>
  </si>
  <si>
    <t>MO12780</t>
  </si>
  <si>
    <t>MO12790</t>
  </si>
  <si>
    <t>MO12800</t>
  </si>
  <si>
    <t>MO12810</t>
  </si>
  <si>
    <t>MO12820</t>
  </si>
  <si>
    <t>MO12830</t>
  </si>
  <si>
    <t>MO12840</t>
  </si>
  <si>
    <t>MO12850</t>
  </si>
  <si>
    <t>MO12860</t>
  </si>
  <si>
    <t>MO12870</t>
  </si>
  <si>
    <t>MO12880</t>
  </si>
  <si>
    <t>MO12890</t>
  </si>
  <si>
    <t>MO12900</t>
  </si>
  <si>
    <t>MO12910</t>
  </si>
  <si>
    <t>MO12920</t>
  </si>
  <si>
    <t>MO12930</t>
  </si>
  <si>
    <t>MO12940</t>
  </si>
  <si>
    <t>MO12950</t>
  </si>
  <si>
    <t>MO12960</t>
  </si>
  <si>
    <t>MO12970</t>
  </si>
  <si>
    <t>MO12980</t>
  </si>
  <si>
    <t>MO12990</t>
  </si>
  <si>
    <t>MO13000</t>
  </si>
  <si>
    <t>MO13010</t>
  </si>
  <si>
    <t>MO13020</t>
  </si>
  <si>
    <t>MO13030</t>
  </si>
  <si>
    <t>MO13040</t>
  </si>
  <si>
    <t>MO13050</t>
  </si>
  <si>
    <t>MO13060</t>
  </si>
  <si>
    <t>MO13070</t>
  </si>
  <si>
    <t>MO13080</t>
  </si>
  <si>
    <t>MO13090</t>
  </si>
  <si>
    <t>MO13100</t>
  </si>
  <si>
    <t>MO13110</t>
  </si>
  <si>
    <t>MO13120</t>
  </si>
  <si>
    <t>MO13130</t>
  </si>
  <si>
    <t>MO13140</t>
  </si>
  <si>
    <t>MO13150</t>
  </si>
  <si>
    <t>MO13160</t>
  </si>
  <si>
    <t>MO13170</t>
  </si>
  <si>
    <t>MO13180</t>
  </si>
  <si>
    <t>MO13190</t>
  </si>
  <si>
    <t>MO13200</t>
  </si>
  <si>
    <t>MO13210</t>
  </si>
  <si>
    <t>MO13220</t>
  </si>
  <si>
    <t>MO13230</t>
  </si>
  <si>
    <t>MO13240</t>
  </si>
  <si>
    <t>MO13250</t>
  </si>
  <si>
    <t>MO13260</t>
  </si>
  <si>
    <t>MO13270</t>
  </si>
  <si>
    <t>MO13280</t>
  </si>
  <si>
    <t>MO13290</t>
  </si>
  <si>
    <t>MO13300</t>
  </si>
  <si>
    <t>MO13310</t>
  </si>
  <si>
    <t>MO13320</t>
  </si>
  <si>
    <t>MO13330</t>
  </si>
  <si>
    <t>MO13340</t>
  </si>
  <si>
    <t>MO13350</t>
  </si>
  <si>
    <t>MO13360</t>
  </si>
  <si>
    <t>MO13370</t>
  </si>
  <si>
    <t>MO13380</t>
  </si>
  <si>
    <t>MO13390</t>
  </si>
  <si>
    <t>MO13400</t>
  </si>
  <si>
    <t>MO13410</t>
  </si>
  <si>
    <t>MO13420</t>
  </si>
  <si>
    <t>MO13430</t>
  </si>
  <si>
    <t>MO13440</t>
  </si>
  <si>
    <t>MO13450</t>
  </si>
  <si>
    <t>MO13460</t>
  </si>
  <si>
    <t>MO13470</t>
  </si>
  <si>
    <t>MO13480</t>
  </si>
  <si>
    <t>MO13490</t>
  </si>
  <si>
    <t>MO13500</t>
  </si>
  <si>
    <t>MO13510</t>
  </si>
  <si>
    <t>MO13520</t>
  </si>
  <si>
    <t>MO13530</t>
  </si>
  <si>
    <t>MO13540</t>
  </si>
  <si>
    <t>MO13550</t>
  </si>
  <si>
    <t>MO13560</t>
  </si>
  <si>
    <t>MO13570</t>
  </si>
  <si>
    <t>MO13580</t>
  </si>
  <si>
    <t>MO13590</t>
  </si>
  <si>
    <t>MO13600</t>
  </si>
  <si>
    <t>MO13610</t>
  </si>
  <si>
    <t>MO13620</t>
  </si>
  <si>
    <t>MO13630</t>
  </si>
  <si>
    <t>MO13640</t>
  </si>
  <si>
    <t>MO13650</t>
  </si>
  <si>
    <t>MO13660</t>
  </si>
  <si>
    <t>MO13670</t>
  </si>
  <si>
    <t>MO13680</t>
  </si>
  <si>
    <t>MO13690</t>
  </si>
  <si>
    <t>MO13700</t>
  </si>
  <si>
    <t>MO13710</t>
  </si>
  <si>
    <t>MO13720</t>
  </si>
  <si>
    <t>MO13730</t>
  </si>
  <si>
    <t>MO13740</t>
  </si>
  <si>
    <t>MO13750</t>
  </si>
  <si>
    <t>MO13760</t>
  </si>
  <si>
    <t>MO13770</t>
  </si>
  <si>
    <t>MO13780</t>
  </si>
  <si>
    <t>MO13790</t>
  </si>
  <si>
    <t>MO13800</t>
  </si>
  <si>
    <t>MO13810</t>
  </si>
  <si>
    <t>MO13820</t>
  </si>
  <si>
    <t>MO13830</t>
  </si>
  <si>
    <t>MO13840</t>
  </si>
  <si>
    <t>MO13850</t>
  </si>
  <si>
    <t>MO13860</t>
  </si>
  <si>
    <t>MO13870</t>
  </si>
  <si>
    <t>MO13880</t>
  </si>
  <si>
    <t>MO13890</t>
  </si>
  <si>
    <t>MO13900</t>
  </si>
  <si>
    <t>MO13910</t>
  </si>
  <si>
    <t>MO13920</t>
  </si>
  <si>
    <t>MO13930</t>
  </si>
  <si>
    <t>MO13940</t>
  </si>
  <si>
    <t>MO13950</t>
  </si>
  <si>
    <t>MO13960</t>
  </si>
  <si>
    <t>MO13970</t>
  </si>
  <si>
    <t>MO13980</t>
  </si>
  <si>
    <t>MO13990</t>
  </si>
  <si>
    <t>MO14000</t>
  </si>
  <si>
    <t>MO14010</t>
  </si>
  <si>
    <t>MO14020</t>
  </si>
  <si>
    <t>MO14030</t>
  </si>
  <si>
    <t>MO14040</t>
  </si>
  <si>
    <t>MO14050</t>
  </si>
  <si>
    <t>MO14060</t>
  </si>
  <si>
    <t>MO14070</t>
  </si>
  <si>
    <t>MO14080</t>
  </si>
  <si>
    <t>MO14090</t>
  </si>
  <si>
    <t>MO14100</t>
  </si>
  <si>
    <t>MO14110</t>
  </si>
  <si>
    <t>MO14120</t>
  </si>
  <si>
    <t>MO14130</t>
  </si>
  <si>
    <t>MO14140</t>
  </si>
  <si>
    <t>MO14150</t>
  </si>
  <si>
    <t>MO14160</t>
  </si>
  <si>
    <t>MO14170</t>
  </si>
  <si>
    <t>MO14180</t>
  </si>
  <si>
    <t>MO14190</t>
  </si>
  <si>
    <t>MO14200</t>
  </si>
  <si>
    <t>MO14210</t>
  </si>
  <si>
    <t>MO14220</t>
  </si>
  <si>
    <t>MO14230</t>
  </si>
  <si>
    <t>MO14240</t>
  </si>
  <si>
    <t>MO14250</t>
  </si>
  <si>
    <t>MO14260</t>
  </si>
  <si>
    <t>MO14270</t>
  </si>
  <si>
    <t>MO14280</t>
  </si>
  <si>
    <t>MO14290</t>
  </si>
  <si>
    <t>MO14300</t>
  </si>
  <si>
    <t>MO14310</t>
  </si>
  <si>
    <t>MO14320</t>
  </si>
  <si>
    <t>MO14330</t>
  </si>
  <si>
    <t>MO14340</t>
  </si>
  <si>
    <t>MO14350</t>
  </si>
  <si>
    <t>MO14360</t>
  </si>
  <si>
    <t>MO14370</t>
  </si>
  <si>
    <t>MO14380</t>
  </si>
  <si>
    <t>MO14390</t>
  </si>
  <si>
    <t>MO14400</t>
  </si>
  <si>
    <t>MO14410</t>
  </si>
  <si>
    <t>MO14420</t>
  </si>
  <si>
    <t>MO14430</t>
  </si>
  <si>
    <t>MO14440</t>
  </si>
  <si>
    <t>MO14450</t>
  </si>
  <si>
    <t>MO14460</t>
  </si>
  <si>
    <t>MO14470</t>
  </si>
  <si>
    <t>MO14480</t>
  </si>
  <si>
    <t>MO14490</t>
  </si>
  <si>
    <t>MO14500</t>
  </si>
  <si>
    <t>MO14510</t>
  </si>
  <si>
    <t>MO14520</t>
  </si>
  <si>
    <t>MO14530</t>
  </si>
  <si>
    <t>MO14540</t>
  </si>
  <si>
    <t>MO14550</t>
  </si>
  <si>
    <t>MO14560</t>
  </si>
  <si>
    <t>MO14570</t>
  </si>
  <si>
    <t>MO14580</t>
  </si>
  <si>
    <t>MO14590</t>
  </si>
  <si>
    <t>MO14600</t>
  </si>
  <si>
    <t>MO14610</t>
  </si>
  <si>
    <t>MO14620</t>
  </si>
  <si>
    <t>MO14630</t>
  </si>
  <si>
    <t>MO14640</t>
  </si>
  <si>
    <t>MO14650</t>
  </si>
  <si>
    <t>MO14660</t>
  </si>
  <si>
    <t>MO14670</t>
  </si>
  <si>
    <t>MO14680</t>
  </si>
  <si>
    <t>MO14690</t>
  </si>
  <si>
    <t>MO14700</t>
  </si>
  <si>
    <t>MO14710</t>
  </si>
  <si>
    <t>MO14720</t>
  </si>
  <si>
    <t>MO14730</t>
  </si>
  <si>
    <t>MO14740</t>
  </si>
  <si>
    <t>MO14750</t>
  </si>
  <si>
    <t>MO14760</t>
  </si>
  <si>
    <t>MO14770</t>
  </si>
  <si>
    <t>MO14780</t>
  </si>
  <si>
    <t>MO14790</t>
  </si>
  <si>
    <t>MO14800</t>
  </si>
  <si>
    <t>MO14810</t>
  </si>
  <si>
    <t>MO14820</t>
  </si>
  <si>
    <t>MO14830</t>
  </si>
  <si>
    <t>MO14840</t>
  </si>
  <si>
    <t>MO14850</t>
  </si>
  <si>
    <t>MO14860</t>
  </si>
  <si>
    <t>MO14870</t>
  </si>
  <si>
    <t>MO14880</t>
  </si>
  <si>
    <t>MO14890</t>
  </si>
  <si>
    <t>MO14900</t>
  </si>
  <si>
    <t>MO14910</t>
  </si>
  <si>
    <t>MO14920</t>
  </si>
  <si>
    <t>MO14930</t>
  </si>
  <si>
    <t>MO14940</t>
  </si>
  <si>
    <t>MO14950</t>
  </si>
  <si>
    <t>MO14960</t>
  </si>
  <si>
    <t>MO14970</t>
  </si>
  <si>
    <t>MO14980</t>
  </si>
  <si>
    <t>MO14990</t>
  </si>
  <si>
    <t>MO15000</t>
  </si>
  <si>
    <t>MO15010</t>
  </si>
  <si>
    <t>MO15020</t>
  </si>
  <si>
    <t>MO15030</t>
  </si>
  <si>
    <t>MO15040</t>
  </si>
  <si>
    <t>MO15050</t>
  </si>
  <si>
    <t>MO15060</t>
  </si>
  <si>
    <t>MO15070</t>
  </si>
  <si>
    <t>MO15080</t>
  </si>
  <si>
    <t>MO15090</t>
  </si>
  <si>
    <t>MO15100</t>
  </si>
  <si>
    <t>MO15110</t>
  </si>
  <si>
    <t>MO15120</t>
  </si>
  <si>
    <t>MO15130</t>
  </si>
  <si>
    <t>MO15140</t>
  </si>
  <si>
    <t>MO15150</t>
  </si>
  <si>
    <t>MO15160</t>
  </si>
  <si>
    <t>MO15170</t>
  </si>
  <si>
    <t>MO15180</t>
  </si>
  <si>
    <t>MO15190</t>
  </si>
  <si>
    <t>MO15200</t>
  </si>
  <si>
    <t>MO15210</t>
  </si>
  <si>
    <t>MO15220</t>
  </si>
  <si>
    <t>MO15230</t>
  </si>
  <si>
    <t>MO15240</t>
  </si>
  <si>
    <t>MO15250</t>
  </si>
  <si>
    <t>MO15260</t>
  </si>
  <si>
    <t>MO15270</t>
  </si>
  <si>
    <t>MO15280</t>
  </si>
  <si>
    <t>MO15290</t>
  </si>
  <si>
    <t>MO15300</t>
  </si>
  <si>
    <t>MO15310</t>
  </si>
  <si>
    <t>MO15320</t>
  </si>
  <si>
    <t>MO15330</t>
  </si>
  <si>
    <t>MO15340</t>
  </si>
  <si>
    <t>MO15350</t>
  </si>
  <si>
    <t>MO15360</t>
  </si>
  <si>
    <t>MO15370</t>
  </si>
  <si>
    <t>MO15380</t>
  </si>
  <si>
    <t>MO15390</t>
  </si>
  <si>
    <t>MO15400</t>
  </si>
  <si>
    <t>MO15410</t>
  </si>
  <si>
    <t>MO15420</t>
  </si>
  <si>
    <t>MO15430</t>
  </si>
  <si>
    <t>MO15440</t>
  </si>
  <si>
    <t>MO15450</t>
  </si>
  <si>
    <t>MO15460</t>
  </si>
  <si>
    <t>MO15470</t>
  </si>
  <si>
    <t>MO15480</t>
  </si>
  <si>
    <t>MO15490</t>
  </si>
  <si>
    <t>MO15500</t>
  </si>
  <si>
    <t>MO15510</t>
  </si>
  <si>
    <t>MO15520</t>
  </si>
  <si>
    <t>MO15530</t>
  </si>
  <si>
    <t>MO15540</t>
  </si>
  <si>
    <t>MO15550</t>
  </si>
  <si>
    <t>MO15560</t>
  </si>
  <si>
    <t>MO15570</t>
  </si>
  <si>
    <t>MO15580</t>
  </si>
  <si>
    <t>MO15590</t>
  </si>
  <si>
    <t>MO15600</t>
  </si>
  <si>
    <t>MO15610</t>
  </si>
  <si>
    <t>MO15620</t>
  </si>
  <si>
    <t>MO15630</t>
  </si>
  <si>
    <t>MO15640</t>
  </si>
  <si>
    <t>MO15650</t>
  </si>
  <si>
    <t>MO15660</t>
  </si>
  <si>
    <t>MO15670</t>
  </si>
  <si>
    <t>MO15680</t>
  </si>
  <si>
    <t>MO15690</t>
  </si>
  <si>
    <t>MO15700</t>
  </si>
  <si>
    <t>MO15710</t>
  </si>
  <si>
    <t>MO15720</t>
  </si>
  <si>
    <t>MO15730</t>
  </si>
  <si>
    <t>MO15740</t>
  </si>
  <si>
    <t>MO15750</t>
  </si>
  <si>
    <t>MO15760</t>
  </si>
  <si>
    <t>MO15770</t>
  </si>
  <si>
    <t>MO15780</t>
  </si>
  <si>
    <t>MO15790</t>
  </si>
  <si>
    <t>MO15800</t>
  </si>
  <si>
    <t>MO15810</t>
  </si>
  <si>
    <t>MO15820</t>
  </si>
  <si>
    <t>MO15830</t>
  </si>
  <si>
    <t>MO15840</t>
  </si>
  <si>
    <t>MO15850</t>
  </si>
  <si>
    <t>MO15860</t>
  </si>
  <si>
    <t>MO15870</t>
  </si>
  <si>
    <t>MO15880</t>
  </si>
  <si>
    <t>MO15890</t>
  </si>
  <si>
    <t>MO15900</t>
  </si>
  <si>
    <t>MO15910</t>
  </si>
  <si>
    <t>MO15920</t>
  </si>
  <si>
    <t>MO15930</t>
  </si>
  <si>
    <t>MO15940</t>
  </si>
  <si>
    <t>MO15950</t>
  </si>
  <si>
    <t>MO15960</t>
  </si>
  <si>
    <t>MO15970</t>
  </si>
  <si>
    <t>MO15980</t>
  </si>
  <si>
    <t>MO15990</t>
  </si>
  <si>
    <t>MO16000</t>
  </si>
  <si>
    <t>MO16010</t>
  </si>
  <si>
    <t>MO16020</t>
  </si>
  <si>
    <t>MO16030</t>
  </si>
  <si>
    <t>MO16040</t>
  </si>
  <si>
    <t>MO16050</t>
  </si>
  <si>
    <t>MO16060</t>
  </si>
  <si>
    <t>MO16070</t>
  </si>
  <si>
    <t>MO16080</t>
  </si>
  <si>
    <t>MO16090</t>
  </si>
  <si>
    <t>MO16100</t>
  </si>
  <si>
    <t>MO16110</t>
  </si>
  <si>
    <t>MO16120</t>
  </si>
  <si>
    <t>MO16130</t>
  </si>
  <si>
    <t>MO16140</t>
  </si>
  <si>
    <t>MO16150</t>
  </si>
  <si>
    <t>MO16160</t>
  </si>
  <si>
    <t>MO16170</t>
  </si>
  <si>
    <t>MO16180</t>
  </si>
  <si>
    <t>MO16190</t>
  </si>
  <si>
    <t>MO16200</t>
  </si>
  <si>
    <t>MO16210</t>
  </si>
  <si>
    <t>MO16220</t>
  </si>
  <si>
    <t>MO16230</t>
  </si>
  <si>
    <t>MO16240</t>
  </si>
  <si>
    <t>MO16250</t>
  </si>
  <si>
    <t>MO16260</t>
  </si>
  <si>
    <t>MO16270</t>
  </si>
  <si>
    <t>MO16280</t>
  </si>
  <si>
    <t>MO16290</t>
  </si>
  <si>
    <t>MO16300</t>
  </si>
  <si>
    <t>MO16310</t>
  </si>
  <si>
    <t>MO16320</t>
  </si>
  <si>
    <t>MO16330</t>
  </si>
  <si>
    <t>MO16340</t>
  </si>
  <si>
    <t>MO16350</t>
  </si>
  <si>
    <t>MO16360</t>
  </si>
  <si>
    <t>MO16370</t>
  </si>
  <si>
    <t>MO16380</t>
  </si>
  <si>
    <t>MO16390</t>
  </si>
  <si>
    <t>MO16400</t>
  </si>
  <si>
    <t>MO16410</t>
  </si>
  <si>
    <t>MO16420</t>
  </si>
  <si>
    <t>MO16430</t>
  </si>
  <si>
    <t>MO16440</t>
  </si>
  <si>
    <t>MO16450</t>
  </si>
  <si>
    <t>MO16460</t>
  </si>
  <si>
    <t>MO16470</t>
  </si>
  <si>
    <t>MO16480</t>
  </si>
  <si>
    <t>MO16490</t>
  </si>
  <si>
    <t>MO16500</t>
  </si>
  <si>
    <t>MO16510</t>
  </si>
  <si>
    <t>MO16520</t>
  </si>
  <si>
    <t>MO16530</t>
  </si>
  <si>
    <t>MO16540</t>
  </si>
  <si>
    <t>MO16550</t>
  </si>
  <si>
    <t>MO16560</t>
  </si>
  <si>
    <t>MO16570</t>
  </si>
  <si>
    <t>MO16580</t>
  </si>
  <si>
    <t>MO16590</t>
  </si>
  <si>
    <t>MO16600</t>
  </si>
  <si>
    <t>MO16610</t>
  </si>
  <si>
    <t>MO16620</t>
  </si>
  <si>
    <t>MO16630</t>
  </si>
  <si>
    <t>MO16640</t>
  </si>
  <si>
    <t>MO16650</t>
  </si>
  <si>
    <t>MO16660</t>
  </si>
  <si>
    <t>MO16670</t>
  </si>
  <si>
    <t>MO16680</t>
  </si>
  <si>
    <t>MO16690</t>
  </si>
  <si>
    <t>MO16700</t>
  </si>
  <si>
    <t>MO16710</t>
  </si>
  <si>
    <t>MO16720</t>
  </si>
  <si>
    <t>MO16730</t>
  </si>
  <si>
    <t>MO16740</t>
  </si>
  <si>
    <t>MO16750</t>
  </si>
  <si>
    <t>MO16760</t>
  </si>
  <si>
    <t>MO16770</t>
  </si>
  <si>
    <t>MO16780</t>
  </si>
  <si>
    <t>MO16790</t>
  </si>
  <si>
    <t>MO16800</t>
  </si>
  <si>
    <t>MO16810</t>
  </si>
  <si>
    <t>MO16820</t>
  </si>
  <si>
    <t>MO16830</t>
  </si>
  <si>
    <t>MO16840</t>
  </si>
  <si>
    <t>MO16850</t>
  </si>
  <si>
    <t>MO16860</t>
  </si>
  <si>
    <t>MO16870</t>
  </si>
  <si>
    <t>MO16880</t>
  </si>
  <si>
    <t>MO16890</t>
  </si>
  <si>
    <t>MO16900</t>
  </si>
  <si>
    <t>MO16910</t>
  </si>
  <si>
    <t>MO16920</t>
  </si>
  <si>
    <t>MO16930</t>
  </si>
  <si>
    <t>MO16940</t>
  </si>
  <si>
    <t>MO16950</t>
  </si>
  <si>
    <t>MO16960</t>
  </si>
  <si>
    <t>MO16970</t>
  </si>
  <si>
    <t>MO16980</t>
  </si>
  <si>
    <t>MO16990</t>
  </si>
  <si>
    <t>MO17000</t>
  </si>
  <si>
    <t>MO17010</t>
  </si>
  <si>
    <t>MO17020</t>
  </si>
  <si>
    <t>MO17030</t>
  </si>
  <si>
    <t>MO17040</t>
  </si>
  <si>
    <t>MO17050</t>
  </si>
  <si>
    <t>MO17060</t>
  </si>
  <si>
    <t>MO17070</t>
  </si>
  <si>
    <t>MO17080</t>
  </si>
  <si>
    <t>MO17090</t>
  </si>
  <si>
    <t>MO17100</t>
  </si>
  <si>
    <t>MO17110</t>
  </si>
  <si>
    <t>MO17120</t>
  </si>
  <si>
    <t>MO17130</t>
  </si>
  <si>
    <t>MO17140</t>
  </si>
  <si>
    <t>MO17150</t>
  </si>
  <si>
    <t>MO17160</t>
  </si>
  <si>
    <t>MO17170</t>
  </si>
  <si>
    <t>MO17180</t>
  </si>
  <si>
    <t>MO17190</t>
  </si>
  <si>
    <t>MO17200</t>
  </si>
  <si>
    <t>MO17210</t>
  </si>
  <si>
    <t>MO17220</t>
  </si>
  <si>
    <t>MO17230</t>
  </si>
  <si>
    <t>MO17240</t>
  </si>
  <si>
    <t>MO17250</t>
  </si>
  <si>
    <t>MO17260</t>
  </si>
  <si>
    <t>MO17270</t>
  </si>
  <si>
    <t>MO17280</t>
  </si>
  <si>
    <t>MO17290</t>
  </si>
  <si>
    <t>MO17300</t>
  </si>
  <si>
    <t>MO17310</t>
  </si>
  <si>
    <t>MO17320</t>
  </si>
  <si>
    <t>MO17330</t>
  </si>
  <si>
    <t>MO17340</t>
  </si>
  <si>
    <t>MO17350</t>
  </si>
  <si>
    <t>MO17360</t>
  </si>
  <si>
    <t>MO17370</t>
  </si>
  <si>
    <t>MO17380</t>
  </si>
  <si>
    <t>MO17390</t>
  </si>
  <si>
    <t>MO17400</t>
  </si>
  <si>
    <t>MO17410</t>
  </si>
  <si>
    <t>MO17420</t>
  </si>
  <si>
    <t>MO17430</t>
  </si>
  <si>
    <t>MO17440</t>
  </si>
  <si>
    <t>MO17450</t>
  </si>
  <si>
    <t>MO17460</t>
  </si>
  <si>
    <t>MO17470</t>
  </si>
  <si>
    <t>MO17480</t>
  </si>
  <si>
    <t>MO17490</t>
  </si>
  <si>
    <t>MO17500</t>
  </si>
  <si>
    <t>MO17510</t>
  </si>
  <si>
    <t>MO17520</t>
  </si>
  <si>
    <t>MO17530</t>
  </si>
  <si>
    <t>MO17540</t>
  </si>
  <si>
    <t>MO17550</t>
  </si>
  <si>
    <t>MO17560</t>
  </si>
  <si>
    <t>MO17570</t>
  </si>
  <si>
    <t>MO17580</t>
  </si>
  <si>
    <t>MO17590</t>
  </si>
  <si>
    <t>MO17600</t>
  </si>
  <si>
    <t>MO17610</t>
  </si>
  <si>
    <t>MO17620</t>
  </si>
  <si>
    <t>MO17630</t>
  </si>
  <si>
    <t>MO17640</t>
  </si>
  <si>
    <t>MO17650</t>
  </si>
  <si>
    <t>MO17660</t>
  </si>
  <si>
    <t>MO17670</t>
  </si>
  <si>
    <t>MO17680</t>
  </si>
  <si>
    <t>MO17690</t>
  </si>
  <si>
    <t>MO17700</t>
  </si>
  <si>
    <t>MO17710</t>
  </si>
  <si>
    <t>MO17720</t>
  </si>
  <si>
    <t>MO17730</t>
  </si>
  <si>
    <t>MO17740</t>
  </si>
  <si>
    <t>MO17750</t>
  </si>
  <si>
    <t>MO17760</t>
  </si>
  <si>
    <t>MO17770</t>
  </si>
  <si>
    <t>MO17780</t>
  </si>
  <si>
    <t>MO17790</t>
  </si>
  <si>
    <t>MO17800</t>
  </si>
  <si>
    <t>MO17810</t>
  </si>
  <si>
    <t>MO17820</t>
  </si>
  <si>
    <t>MO17830</t>
  </si>
  <si>
    <t>MO17840</t>
  </si>
  <si>
    <t>MO17850</t>
  </si>
  <si>
    <t>MO17860</t>
  </si>
  <si>
    <t>MO17870</t>
  </si>
  <si>
    <t>MO17880</t>
  </si>
  <si>
    <t>MO17890</t>
  </si>
  <si>
    <t>MO17900</t>
  </si>
  <si>
    <t>MO17910</t>
  </si>
  <si>
    <t>MO17920</t>
  </si>
  <si>
    <t>MO17930</t>
  </si>
  <si>
    <t>MO17940</t>
  </si>
  <si>
    <t>MO17950</t>
  </si>
  <si>
    <t>MO17960</t>
  </si>
  <si>
    <t>MO17970</t>
  </si>
  <si>
    <t>MO17980</t>
  </si>
  <si>
    <t>MO17990</t>
  </si>
  <si>
    <t>MO18000</t>
  </si>
  <si>
    <t>MO18010</t>
  </si>
  <si>
    <t>MO18020</t>
  </si>
  <si>
    <t>MO18030</t>
  </si>
  <si>
    <t>MO18040</t>
  </si>
  <si>
    <t>MO18050</t>
  </si>
  <si>
    <t>MO18060</t>
  </si>
  <si>
    <t>MO18070</t>
  </si>
  <si>
    <t>MO18080</t>
  </si>
  <si>
    <t>MO18090</t>
  </si>
  <si>
    <t>MO18100</t>
  </si>
  <si>
    <t>MO18110</t>
  </si>
  <si>
    <t>MO18120</t>
  </si>
  <si>
    <t>MO18130</t>
  </si>
  <si>
    <t>MO18140</t>
  </si>
  <si>
    <t>MO18150</t>
  </si>
  <si>
    <t>MO18160</t>
  </si>
  <si>
    <t>MO18170</t>
  </si>
  <si>
    <t>MO18180</t>
  </si>
  <si>
    <t>MO18190</t>
  </si>
  <si>
    <t>MO18200</t>
  </si>
  <si>
    <t>MO18210</t>
  </si>
  <si>
    <t>MO18220</t>
  </si>
  <si>
    <t>MO18230</t>
  </si>
  <si>
    <t>MO18240</t>
  </si>
  <si>
    <t>MO18250</t>
  </si>
  <si>
    <t>MO18260</t>
  </si>
  <si>
    <t>MO18270</t>
  </si>
  <si>
    <t>MO18280</t>
  </si>
  <si>
    <t>MO18290</t>
  </si>
  <si>
    <t>MO18300</t>
  </si>
  <si>
    <t>MO18310</t>
  </si>
  <si>
    <t>MO18320</t>
  </si>
  <si>
    <t>MO18330</t>
  </si>
  <si>
    <t>MO18340</t>
  </si>
  <si>
    <t>MO18350</t>
  </si>
  <si>
    <t>MO18360</t>
  </si>
  <si>
    <t>MO18370</t>
  </si>
  <si>
    <t>MO18380</t>
  </si>
  <si>
    <t>MO18390</t>
  </si>
  <si>
    <t>MO18400</t>
  </si>
  <si>
    <t>MO18410</t>
  </si>
  <si>
    <t>MO18420</t>
  </si>
  <si>
    <t>MO18430</t>
  </si>
  <si>
    <t>MO18440</t>
  </si>
  <si>
    <t>MO18450</t>
  </si>
  <si>
    <t>MO18460</t>
  </si>
  <si>
    <t>MO18470</t>
  </si>
  <si>
    <t>MO18480</t>
  </si>
  <si>
    <t>MO18490</t>
  </si>
  <si>
    <t>MO18500</t>
  </si>
  <si>
    <t>MO18510</t>
  </si>
  <si>
    <t>MO18520</t>
  </si>
  <si>
    <t>MO18530</t>
  </si>
  <si>
    <t>MO18540</t>
  </si>
  <si>
    <t>MO18550</t>
  </si>
  <si>
    <t>MO18560</t>
  </si>
  <si>
    <t>MO18570</t>
  </si>
  <si>
    <t>MO18580</t>
  </si>
  <si>
    <t>MO18590</t>
  </si>
  <si>
    <t>MO18600</t>
  </si>
  <si>
    <t>MO18610</t>
  </si>
  <si>
    <t>MO18620</t>
  </si>
  <si>
    <t>MO18630</t>
  </si>
  <si>
    <t>MO18640</t>
  </si>
  <si>
    <t>MO18650</t>
  </si>
  <si>
    <t>MO18660</t>
  </si>
  <si>
    <t>MO18670</t>
  </si>
  <si>
    <t>MO18680</t>
  </si>
  <si>
    <t>MO18690</t>
  </si>
  <si>
    <t>MO18700</t>
  </si>
  <si>
    <t>MO18710</t>
  </si>
  <si>
    <t>MO18720</t>
  </si>
  <si>
    <t>MO18730</t>
  </si>
  <si>
    <t>MO18740</t>
  </si>
  <si>
    <t>MO18750</t>
  </si>
  <si>
    <t>MO18760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</si>
  <si>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</si>
  <si>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</si>
  <si>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</si>
  <si>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</si>
  <si>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</si>
  <si>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</si>
  <si>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</si>
  <si>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</si>
  <si>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</si>
  <si>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</si>
  <si>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</si>
  <si>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</si>
  <si>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</si>
  <si>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</si>
  <si>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</si>
  <si>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</si>
  <si>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</si>
  <si>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</si>
  <si>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</si>
  <si>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</si>
  <si>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</si>
  <si>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</si>
  <si>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</si>
  <si>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</si>
  <si>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</si>
  <si>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</si>
  <si>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</si>
  <si>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</si>
  <si>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</si>
  <si>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</si>
  <si>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</si>
  <si>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</si>
  <si>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</si>
  <si>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</si>
  <si>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</si>
  <si>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</si>
  <si>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</si>
  <si>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</si>
  <si>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</si>
  <si>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Item40</t>
  </si>
  <si>
    <t>Item41</t>
  </si>
  <si>
    <t>Item42</t>
  </si>
  <si>
    <t>Item43</t>
  </si>
  <si>
    <t>Item44</t>
  </si>
  <si>
    <t>Item45</t>
  </si>
  <si>
    <t>Item46</t>
  </si>
  <si>
    <t>Item47</t>
  </si>
  <si>
    <t>Item48</t>
  </si>
  <si>
    <t>Item49</t>
  </si>
  <si>
    <t>Item50</t>
  </si>
  <si>
    <t>Item51</t>
  </si>
  <si>
    <t>Item52</t>
  </si>
  <si>
    <t>Item53</t>
  </si>
  <si>
    <t>Item54</t>
  </si>
  <si>
    <t>Item55</t>
  </si>
  <si>
    <t>Item56</t>
  </si>
  <si>
    <t>Item57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</si>
  <si>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</si>
  <si>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</si>
  <si>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</si>
  <si>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</si>
  <si>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</si>
  <si>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</si>
  <si>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</si>
  <si>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</si>
  <si>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Item66</t>
  </si>
  <si>
    <t>Item67</t>
  </si>
  <si>
    <t>Item68</t>
  </si>
  <si>
    <t>Item69</t>
  </si>
  <si>
    <t>Item70</t>
  </si>
  <si>
    <t>Item71</t>
  </si>
  <si>
    <t>Item72</t>
  </si>
  <si>
    <t>Item73</t>
  </si>
  <si>
    <t>Item74</t>
  </si>
  <si>
    <t>Item75</t>
  </si>
  <si>
    <t>Item76</t>
  </si>
  <si>
    <t>Item77</t>
  </si>
  <si>
    <t>Item78</t>
  </si>
  <si>
    <t>Item79</t>
  </si>
  <si>
    <t>Item80</t>
  </si>
  <si>
    <t>Item81</t>
  </si>
  <si>
    <t>Item82</t>
  </si>
  <si>
    <t>Item83</t>
  </si>
  <si>
    <t>Item84</t>
  </si>
  <si>
    <t>Item85</t>
  </si>
  <si>
    <t>Item86</t>
  </si>
  <si>
    <t>Item87</t>
  </si>
  <si>
    <t>Item88</t>
  </si>
  <si>
    <t>Item89</t>
  </si>
  <si>
    <t>Item90</t>
  </si>
  <si>
    <t>Item91</t>
  </si>
  <si>
    <t>Item92</t>
  </si>
  <si>
    <t>Item93</t>
  </si>
  <si>
    <t>Item94</t>
  </si>
  <si>
    <t>Item95</t>
  </si>
  <si>
    <t>Item96</t>
  </si>
  <si>
    <t>Item97</t>
  </si>
  <si>
    <t>Item98</t>
  </si>
  <si>
    <t>Item99</t>
  </si>
  <si>
    <t>Item100</t>
  </si>
  <si>
    <t>Item101</t>
  </si>
  <si>
    <t>Item102</t>
  </si>
  <si>
    <t>Item103</t>
  </si>
  <si>
    <t>Item104</t>
  </si>
  <si>
    <t>Item105</t>
  </si>
  <si>
    <t>Item106</t>
  </si>
  <si>
    <t>Item107</t>
  </si>
  <si>
    <t>Item108</t>
  </si>
  <si>
    <t>Item109</t>
  </si>
  <si>
    <t>Item110</t>
  </si>
  <si>
    <t>Item111</t>
  </si>
  <si>
    <t>Item112</t>
  </si>
  <si>
    <t>Item113</t>
  </si>
  <si>
    <t>Item114</t>
  </si>
  <si>
    <t>Item115</t>
  </si>
  <si>
    <t>Item116</t>
  </si>
  <si>
    <t>Item117</t>
  </si>
  <si>
    <t>Item118</t>
  </si>
  <si>
    <t>Item119</t>
  </si>
  <si>
    <t>Item120</t>
  </si>
  <si>
    <t>Item121</t>
  </si>
  <si>
    <t>Item122</t>
  </si>
  <si>
    <t>Item123</t>
  </si>
  <si>
    <t>Item124</t>
  </si>
  <si>
    <t>Item125</t>
  </si>
  <si>
    <t>Item126</t>
  </si>
  <si>
    <t>Item127</t>
  </si>
  <si>
    <t>Item128</t>
  </si>
  <si>
    <t>Item129</t>
  </si>
  <si>
    <t>Item130</t>
  </si>
  <si>
    <t>Item131</t>
  </si>
  <si>
    <t>Item132</t>
  </si>
  <si>
    <t>Item133</t>
  </si>
  <si>
    <t>Item134</t>
  </si>
  <si>
    <t>Item135</t>
  </si>
  <si>
    <t>Item136</t>
  </si>
  <si>
    <t>Item137</t>
  </si>
  <si>
    <t>Item138</t>
  </si>
  <si>
    <t>Item139</t>
  </si>
  <si>
    <t>Item140</t>
  </si>
  <si>
    <t>Item141</t>
  </si>
  <si>
    <t>Item142</t>
  </si>
  <si>
    <t>Item143</t>
  </si>
  <si>
    <t>Item144</t>
  </si>
  <si>
    <t>Item145</t>
  </si>
  <si>
    <t>Item146</t>
  </si>
  <si>
    <t>Item147</t>
  </si>
  <si>
    <t>Item148</t>
  </si>
  <si>
    <t>Item149</t>
  </si>
  <si>
    <t>Item150</t>
  </si>
  <si>
    <t>Item151</t>
  </si>
  <si>
    <t>Item152</t>
  </si>
  <si>
    <t>Item153</t>
  </si>
  <si>
    <t>Item154</t>
  </si>
  <si>
    <t>Item155</t>
  </si>
  <si>
    <t>Item156</t>
  </si>
  <si>
    <t>Item157</t>
  </si>
  <si>
    <t>Item158</t>
  </si>
  <si>
    <t>Item159</t>
  </si>
  <si>
    <t>Item160</t>
  </si>
  <si>
    <t>Item161</t>
  </si>
  <si>
    <t>Item162</t>
  </si>
  <si>
    <t>Item163</t>
  </si>
  <si>
    <t>Item164</t>
  </si>
  <si>
    <t>Item165</t>
  </si>
  <si>
    <t>Item166</t>
  </si>
  <si>
    <t>Item167</t>
  </si>
  <si>
    <t>Item168</t>
  </si>
  <si>
    <t>Item169</t>
  </si>
  <si>
    <t>Item170</t>
  </si>
  <si>
    <t>Item171</t>
  </si>
  <si>
    <t>Item172</t>
  </si>
  <si>
    <t>Item173</t>
  </si>
  <si>
    <t>Item174</t>
  </si>
  <si>
    <t>Item175</t>
  </si>
  <si>
    <t>Item176</t>
  </si>
  <si>
    <t>Item177</t>
  </si>
  <si>
    <t>Item178</t>
  </si>
  <si>
    <t>Item179</t>
  </si>
  <si>
    <t>Item180</t>
  </si>
  <si>
    <t>Item181</t>
  </si>
  <si>
    <t>Item182</t>
  </si>
  <si>
    <t>Item183</t>
  </si>
  <si>
    <t>Item184</t>
  </si>
  <si>
    <t>Item185</t>
  </si>
  <si>
    <t>Item186</t>
  </si>
  <si>
    <t>Item187</t>
  </si>
  <si>
    <t>Item188</t>
  </si>
  <si>
    <t>Item189</t>
  </si>
  <si>
    <t>Item190</t>
  </si>
  <si>
    <t>Item191</t>
  </si>
  <si>
    <t>Item192</t>
  </si>
  <si>
    <t>Item193</t>
  </si>
  <si>
    <t>Item194</t>
  </si>
  <si>
    <t>Item195</t>
  </si>
  <si>
    <t>Item196</t>
  </si>
  <si>
    <t>Item197</t>
  </si>
  <si>
    <t>Item198</t>
  </si>
  <si>
    <t>Item199</t>
  </si>
  <si>
    <t>Item200</t>
  </si>
  <si>
    <t>Item201</t>
  </si>
  <si>
    <t>Item202</t>
  </si>
  <si>
    <t>Item203</t>
  </si>
  <si>
    <t>Item204</t>
  </si>
  <si>
    <t>Item205</t>
  </si>
  <si>
    <t>Item206</t>
  </si>
  <si>
    <t>Item207</t>
  </si>
  <si>
    <t>Item208</t>
  </si>
  <si>
    <t>Item209</t>
  </si>
  <si>
    <t>Item210</t>
  </si>
  <si>
    <t>Item211</t>
  </si>
  <si>
    <t>Item212</t>
  </si>
  <si>
    <t>Item213</t>
  </si>
  <si>
    <t>Item214</t>
  </si>
  <si>
    <t>Item215</t>
  </si>
  <si>
    <t>Item216</t>
  </si>
  <si>
    <t>Item217</t>
  </si>
  <si>
    <t>Item218</t>
  </si>
  <si>
    <t>Item219</t>
  </si>
  <si>
    <t>Item220</t>
  </si>
  <si>
    <t>Item221</t>
  </si>
  <si>
    <t>Item222</t>
  </si>
  <si>
    <t>Item223</t>
  </si>
  <si>
    <t>Item224</t>
  </si>
  <si>
    <t>Item225</t>
  </si>
  <si>
    <t>Item226</t>
  </si>
  <si>
    <t>Item227</t>
  </si>
  <si>
    <t>Item228</t>
  </si>
  <si>
    <t>Item229</t>
  </si>
  <si>
    <t>Item230</t>
  </si>
  <si>
    <t>Item231</t>
  </si>
  <si>
    <t>Item232</t>
  </si>
  <si>
    <t>Item233</t>
  </si>
  <si>
    <t>Item234</t>
  </si>
  <si>
    <t>Item235</t>
  </si>
  <si>
    <t>Item236</t>
  </si>
  <si>
    <t>Item237</t>
  </si>
  <si>
    <t>Item238</t>
  </si>
  <si>
    <t>Item239</t>
  </si>
  <si>
    <t>Item240</t>
  </si>
  <si>
    <t>Item241</t>
  </si>
  <si>
    <t>Item242</t>
  </si>
  <si>
    <t>Item243</t>
  </si>
  <si>
    <t>Item244</t>
  </si>
  <si>
    <t>Item245</t>
  </si>
  <si>
    <t>Item246</t>
  </si>
  <si>
    <t>Item247</t>
  </si>
  <si>
    <t>Item248</t>
  </si>
  <si>
    <t>Item249</t>
  </si>
  <si>
    <t>Item250</t>
  </si>
  <si>
    <t>Item251</t>
  </si>
  <si>
    <t>Item252</t>
  </si>
  <si>
    <t>Item253</t>
  </si>
  <si>
    <t>Item254</t>
  </si>
  <si>
    <t>Item255</t>
  </si>
  <si>
    <t>Item256</t>
  </si>
  <si>
    <t>Item257</t>
  </si>
  <si>
    <t>Item258</t>
  </si>
  <si>
    <t>Item259</t>
  </si>
  <si>
    <t>Item260</t>
  </si>
  <si>
    <t>Item261</t>
  </si>
  <si>
    <t>Item262</t>
  </si>
  <si>
    <t>Item263</t>
  </si>
  <si>
    <t>Item264</t>
  </si>
  <si>
    <t>Item265</t>
  </si>
  <si>
    <t>Item266</t>
  </si>
  <si>
    <t>Item267</t>
  </si>
  <si>
    <t>Item268</t>
  </si>
  <si>
    <t>Item269</t>
  </si>
  <si>
    <t>Item270</t>
  </si>
  <si>
    <t>Item271</t>
  </si>
  <si>
    <t>Item272</t>
  </si>
  <si>
    <t>Item273</t>
  </si>
  <si>
    <t>Item274</t>
  </si>
  <si>
    <t>Item275</t>
  </si>
  <si>
    <t>Item276</t>
  </si>
  <si>
    <t>Item277</t>
  </si>
  <si>
    <t>Item278</t>
  </si>
  <si>
    <t>Item279</t>
  </si>
  <si>
    <t>Item280</t>
  </si>
  <si>
    <t>Item281</t>
  </si>
  <si>
    <t>Item282</t>
  </si>
  <si>
    <t>Item283</t>
  </si>
  <si>
    <t>Item284</t>
  </si>
  <si>
    <t>Item285</t>
  </si>
  <si>
    <t>Item286</t>
  </si>
  <si>
    <t>Item287</t>
  </si>
  <si>
    <t>Item288</t>
  </si>
  <si>
    <t>Item289</t>
  </si>
  <si>
    <t>Item290</t>
  </si>
  <si>
    <t>Item291</t>
  </si>
  <si>
    <t>Item292</t>
  </si>
  <si>
    <t>Item293</t>
  </si>
  <si>
    <t>Item294</t>
  </si>
  <si>
    <t>Item295</t>
  </si>
  <si>
    <t>Item296</t>
  </si>
  <si>
    <t>Item297</t>
  </si>
  <si>
    <t>Item298</t>
  </si>
  <si>
    <t>Item299</t>
  </si>
  <si>
    <t>Item300</t>
  </si>
  <si>
    <t>Item301</t>
  </si>
  <si>
    <t>Item302</t>
  </si>
  <si>
    <t>Item303</t>
  </si>
  <si>
    <t>Item304</t>
  </si>
  <si>
    <t>Item305</t>
  </si>
  <si>
    <t>Item306</t>
  </si>
  <si>
    <t>Item307</t>
  </si>
  <si>
    <t>Item308</t>
  </si>
  <si>
    <t>Item309</t>
  </si>
  <si>
    <t>Item310</t>
  </si>
  <si>
    <t>Item311</t>
  </si>
  <si>
    <t>Item312</t>
  </si>
  <si>
    <t>Item313</t>
  </si>
  <si>
    <t>Item314</t>
  </si>
  <si>
    <t>Item315</t>
  </si>
  <si>
    <t>Item316</t>
  </si>
  <si>
    <t>Item317</t>
  </si>
  <si>
    <t>Item318</t>
  </si>
  <si>
    <t>Item319</t>
  </si>
  <si>
    <t>Item320</t>
  </si>
  <si>
    <t>Item321</t>
  </si>
  <si>
    <t>Item322</t>
  </si>
  <si>
    <t>Item323</t>
  </si>
  <si>
    <t>Item324</t>
  </si>
  <si>
    <t>Item325</t>
  </si>
  <si>
    <t>Item326</t>
  </si>
  <si>
    <t>Item327</t>
  </si>
  <si>
    <t>Item328</t>
  </si>
  <si>
    <t>Item329</t>
  </si>
  <si>
    <t>Item330</t>
  </si>
  <si>
    <t>Item331</t>
  </si>
  <si>
    <t>Item332</t>
  </si>
  <si>
    <t>Item333</t>
  </si>
  <si>
    <t>Item334</t>
  </si>
  <si>
    <t>Item335</t>
  </si>
  <si>
    <t>Item336</t>
  </si>
  <si>
    <t>Item337</t>
  </si>
  <si>
    <t>Item338</t>
  </si>
  <si>
    <t>Item339</t>
  </si>
  <si>
    <t>Item340</t>
  </si>
  <si>
    <t>Item341</t>
  </si>
  <si>
    <t>Item342</t>
  </si>
  <si>
    <t>Item343</t>
  </si>
  <si>
    <t>Item344</t>
  </si>
  <si>
    <t>Item345</t>
  </si>
  <si>
    <t>Item346</t>
  </si>
  <si>
    <t>Item347</t>
  </si>
  <si>
    <t>Item348</t>
  </si>
  <si>
    <t>Item349</t>
  </si>
  <si>
    <t>Item350</t>
  </si>
  <si>
    <t>Item351</t>
  </si>
  <si>
    <t>Item352</t>
  </si>
  <si>
    <t>Item353</t>
  </si>
  <si>
    <t>Item354</t>
  </si>
  <si>
    <t>Item355</t>
  </si>
  <si>
    <t>Item356</t>
  </si>
  <si>
    <t>Item357</t>
  </si>
  <si>
    <t>Item358</t>
  </si>
  <si>
    <t>Item359</t>
  </si>
  <si>
    <t>Item360</t>
  </si>
  <si>
    <t>Item361</t>
  </si>
  <si>
    <t>Item362</t>
  </si>
  <si>
    <t>Item363</t>
  </si>
  <si>
    <t>Item364</t>
  </si>
  <si>
    <t>Item365</t>
  </si>
  <si>
    <t>Item366</t>
  </si>
  <si>
    <t>Item367</t>
  </si>
  <si>
    <t>Item368</t>
  </si>
  <si>
    <t>Item369</t>
  </si>
  <si>
    <t>Item370</t>
  </si>
  <si>
    <t>Item371</t>
  </si>
  <si>
    <t>Item372</t>
  </si>
  <si>
    <t>Item373</t>
  </si>
  <si>
    <t>Item374</t>
  </si>
  <si>
    <t>Item375</t>
  </si>
  <si>
    <t>Item376</t>
  </si>
  <si>
    <t>Item377</t>
  </si>
  <si>
    <t>Item378</t>
  </si>
  <si>
    <t>Item379</t>
  </si>
  <si>
    <t>Item380</t>
  </si>
  <si>
    <t>Item381</t>
  </si>
  <si>
    <t>Item382</t>
  </si>
  <si>
    <t>Item383</t>
  </si>
  <si>
    <t>Item384</t>
  </si>
  <si>
    <t>Item385</t>
  </si>
  <si>
    <t>Item386</t>
  </si>
  <si>
    <t>Item387</t>
  </si>
  <si>
    <t>Item388</t>
  </si>
  <si>
    <t>Item389</t>
  </si>
  <si>
    <t>Item390</t>
  </si>
  <si>
    <t>Item391</t>
  </si>
  <si>
    <t>Item392</t>
  </si>
  <si>
    <t>Item393</t>
  </si>
  <si>
    <t>Item394</t>
  </si>
  <si>
    <t>Item395</t>
  </si>
  <si>
    <t>Item396</t>
  </si>
  <si>
    <t>Item397</t>
  </si>
  <si>
    <t>Item398</t>
  </si>
  <si>
    <t>Item399</t>
  </si>
  <si>
    <t>Item400</t>
  </si>
  <si>
    <t>Item401</t>
  </si>
  <si>
    <t>Item402</t>
  </si>
  <si>
    <t>Item403</t>
  </si>
  <si>
    <t>Item404</t>
  </si>
  <si>
    <t>Item405</t>
  </si>
  <si>
    <t>Item406</t>
  </si>
  <si>
    <t>Item407</t>
  </si>
  <si>
    <t>Item408</t>
  </si>
  <si>
    <t>Item409</t>
  </si>
  <si>
    <t>Item410</t>
  </si>
  <si>
    <t>Item411</t>
  </si>
  <si>
    <t>Item412</t>
  </si>
  <si>
    <t>Item413</t>
  </si>
  <si>
    <t>Item414</t>
  </si>
  <si>
    <t>Item415</t>
  </si>
  <si>
    <t>Item416</t>
  </si>
  <si>
    <t>Item417</t>
  </si>
  <si>
    <t>Item418</t>
  </si>
  <si>
    <t>Item419</t>
  </si>
  <si>
    <t>Item420</t>
  </si>
  <si>
    <t>Item421</t>
  </si>
  <si>
    <t>Item422</t>
  </si>
  <si>
    <t>Item423</t>
  </si>
  <si>
    <t>Item424</t>
  </si>
  <si>
    <t>Item425</t>
  </si>
  <si>
    <t>Item426</t>
  </si>
  <si>
    <t>Item427</t>
  </si>
  <si>
    <t>Item428</t>
  </si>
  <si>
    <t>Item429</t>
  </si>
  <si>
    <t>Item430</t>
  </si>
  <si>
    <t>Item431</t>
  </si>
  <si>
    <t>Item432</t>
  </si>
  <si>
    <t>Item433</t>
  </si>
  <si>
    <t>Item434</t>
  </si>
  <si>
    <t>Item435</t>
  </si>
  <si>
    <t>Item436</t>
  </si>
  <si>
    <t>Item437</t>
  </si>
  <si>
    <t>Item438</t>
  </si>
  <si>
    <t>Item439</t>
  </si>
  <si>
    <t>Item440</t>
  </si>
  <si>
    <t>Item441</t>
  </si>
  <si>
    <t>Item442</t>
  </si>
  <si>
    <t>Item443</t>
  </si>
  <si>
    <t>Item444</t>
  </si>
  <si>
    <t>Item445</t>
  </si>
  <si>
    <t>Item446</t>
  </si>
  <si>
    <t>Item447</t>
  </si>
  <si>
    <t>Item448</t>
  </si>
  <si>
    <t>Item449</t>
  </si>
  <si>
    <t>Item450</t>
  </si>
  <si>
    <t>Item451</t>
  </si>
  <si>
    <t>Item452</t>
  </si>
  <si>
    <t>Item453</t>
  </si>
  <si>
    <t>Item454</t>
  </si>
  <si>
    <t>Item455</t>
  </si>
  <si>
    <t>Item456</t>
  </si>
  <si>
    <t>Item457</t>
  </si>
  <si>
    <t>Item458</t>
  </si>
  <si>
    <t>Item459</t>
  </si>
  <si>
    <t>Item460</t>
  </si>
  <si>
    <t>Item461</t>
  </si>
  <si>
    <t>Item462</t>
  </si>
  <si>
    <t>Item463</t>
  </si>
  <si>
    <t>Item464</t>
  </si>
  <si>
    <t>Item465</t>
  </si>
  <si>
    <t>Item466</t>
  </si>
  <si>
    <t>Item467</t>
  </si>
  <si>
    <t>Item468</t>
  </si>
  <si>
    <t>Item469</t>
  </si>
  <si>
    <t>Item470</t>
  </si>
  <si>
    <t>Item471</t>
  </si>
  <si>
    <t>Item472</t>
  </si>
  <si>
    <t>Item473</t>
  </si>
  <si>
    <t>Item474</t>
  </si>
  <si>
    <t>Item475</t>
  </si>
  <si>
    <t>Item476</t>
  </si>
  <si>
    <t>Item477</t>
  </si>
  <si>
    <t>Item478</t>
  </si>
  <si>
    <t>Item479</t>
  </si>
  <si>
    <t>Item480</t>
  </si>
  <si>
    <t>Item481</t>
  </si>
  <si>
    <t>Item482</t>
  </si>
  <si>
    <t>Item483</t>
  </si>
  <si>
    <t>Item484</t>
  </si>
  <si>
    <t>Item485</t>
  </si>
  <si>
    <t>Item486</t>
  </si>
  <si>
    <t>Item487</t>
  </si>
  <si>
    <t>Item488</t>
  </si>
  <si>
    <t>Item489</t>
  </si>
  <si>
    <t>Item490</t>
  </si>
  <si>
    <t>Item491</t>
  </si>
  <si>
    <t>Item492</t>
  </si>
  <si>
    <t>Item493</t>
  </si>
  <si>
    <t>Item494</t>
  </si>
  <si>
    <t>Item495</t>
  </si>
  <si>
    <t>Item496</t>
  </si>
  <si>
    <t>Item497</t>
  </si>
  <si>
    <t>Item498</t>
  </si>
  <si>
    <t>Item499</t>
  </si>
  <si>
    <t>Item500</t>
  </si>
  <si>
    <t>Item501</t>
  </si>
  <si>
    <t>Item502</t>
  </si>
  <si>
    <t>Item503</t>
  </si>
  <si>
    <t>Item504</t>
  </si>
  <si>
    <t>Item505</t>
  </si>
  <si>
    <t>Item506</t>
  </si>
  <si>
    <t>Item507</t>
  </si>
  <si>
    <t>Item508</t>
  </si>
  <si>
    <t>Item509</t>
  </si>
  <si>
    <t>Item510</t>
  </si>
  <si>
    <t>Item511</t>
  </si>
  <si>
    <t>Item512</t>
  </si>
  <si>
    <t>Item513</t>
  </si>
  <si>
    <t>Item514</t>
  </si>
  <si>
    <t>Item515</t>
  </si>
  <si>
    <t>Item516</t>
  </si>
  <si>
    <t>Item517</t>
  </si>
  <si>
    <t>Item518</t>
  </si>
  <si>
    <t>Item519</t>
  </si>
  <si>
    <t>Item520</t>
  </si>
  <si>
    <t>Item521</t>
  </si>
  <si>
    <t>Item522</t>
  </si>
  <si>
    <t>Item523</t>
  </si>
  <si>
    <t>Item524</t>
  </si>
  <si>
    <t>Item525</t>
  </si>
  <si>
    <t>Item526</t>
  </si>
  <si>
    <t>Item527</t>
  </si>
  <si>
    <t>Item528</t>
  </si>
  <si>
    <t>Item529</t>
  </si>
  <si>
    <t>Item530</t>
  </si>
  <si>
    <t>Item531</t>
  </si>
  <si>
    <t>Item532</t>
  </si>
  <si>
    <t>Item533</t>
  </si>
  <si>
    <t>Item534</t>
  </si>
  <si>
    <t>Item535</t>
  </si>
  <si>
    <t>Item536</t>
  </si>
  <si>
    <t>Item537</t>
  </si>
  <si>
    <t>Item538</t>
  </si>
  <si>
    <t>Item539</t>
  </si>
  <si>
    <t>Item540</t>
  </si>
  <si>
    <t>Item541</t>
  </si>
  <si>
    <t>Item542</t>
  </si>
  <si>
    <t>Item543</t>
  </si>
  <si>
    <t>Item544</t>
  </si>
  <si>
    <t>Item545</t>
  </si>
  <si>
    <t>Item546</t>
  </si>
  <si>
    <t>Item547</t>
  </si>
  <si>
    <t>Item548</t>
  </si>
  <si>
    <t>Item549</t>
  </si>
  <si>
    <t>Item550</t>
  </si>
  <si>
    <t>Item551</t>
  </si>
  <si>
    <t>Item552</t>
  </si>
  <si>
    <t>Item553</t>
  </si>
  <si>
    <t>Item554</t>
  </si>
  <si>
    <t>Item555</t>
  </si>
  <si>
    <t>Item556</t>
  </si>
  <si>
    <t>Item557</t>
  </si>
  <si>
    <t>Item558</t>
  </si>
  <si>
    <t>Item559</t>
  </si>
  <si>
    <t>Item560</t>
  </si>
  <si>
    <t>Item561</t>
  </si>
  <si>
    <t>Item562</t>
  </si>
  <si>
    <t>Item563</t>
  </si>
  <si>
    <t>Item564</t>
  </si>
  <si>
    <t>Item565</t>
  </si>
  <si>
    <t>Item566</t>
  </si>
  <si>
    <t>Item567</t>
  </si>
  <si>
    <t>Item568</t>
  </si>
  <si>
    <t>Item569</t>
  </si>
  <si>
    <t>Item570</t>
  </si>
  <si>
    <t>Item571</t>
  </si>
  <si>
    <t>Item572</t>
  </si>
  <si>
    <t>Item573</t>
  </si>
  <si>
    <t>Item574</t>
  </si>
  <si>
    <t>Item575</t>
  </si>
  <si>
    <t>Item576</t>
  </si>
  <si>
    <t>Item577</t>
  </si>
  <si>
    <t>Item578</t>
  </si>
  <si>
    <t>Item579</t>
  </si>
  <si>
    <t>Item580</t>
  </si>
  <si>
    <t>Item581</t>
  </si>
  <si>
    <t>Item582</t>
  </si>
  <si>
    <t>Item583</t>
  </si>
  <si>
    <t>Item584</t>
  </si>
  <si>
    <t>Item585</t>
  </si>
  <si>
    <t>Item586</t>
  </si>
  <si>
    <t>Item587</t>
  </si>
  <si>
    <t>Item588</t>
  </si>
  <si>
    <t>Item589</t>
  </si>
  <si>
    <t>Item590</t>
  </si>
  <si>
    <t>Item591</t>
  </si>
  <si>
    <t>Item592</t>
  </si>
  <si>
    <t>Item593</t>
  </si>
  <si>
    <t>Item594</t>
  </si>
  <si>
    <t>Item595</t>
  </si>
  <si>
    <t>Item596</t>
  </si>
  <si>
    <t>Item597</t>
  </si>
  <si>
    <t>Item598</t>
  </si>
  <si>
    <t>Item599</t>
  </si>
  <si>
    <t>Item600</t>
  </si>
  <si>
    <t>Item601</t>
  </si>
  <si>
    <t>Item602</t>
  </si>
  <si>
    <t>Item603</t>
  </si>
  <si>
    <t>Item604</t>
  </si>
  <si>
    <t>Item605</t>
  </si>
  <si>
    <t>Item606</t>
  </si>
  <si>
    <t>Item607</t>
  </si>
  <si>
    <t>Item608</t>
  </si>
  <si>
    <t>Item609</t>
  </si>
  <si>
    <t>Item610</t>
  </si>
  <si>
    <t>Item611</t>
  </si>
  <si>
    <t>Item612</t>
  </si>
  <si>
    <t>Item613</t>
  </si>
  <si>
    <t>Item614</t>
  </si>
  <si>
    <t>Item615</t>
  </si>
  <si>
    <t>Item616</t>
  </si>
  <si>
    <t>Item617</t>
  </si>
  <si>
    <t>Item618</t>
  </si>
  <si>
    <t>Item619</t>
  </si>
  <si>
    <t>Item620</t>
  </si>
  <si>
    <t>Item621</t>
  </si>
  <si>
    <t>Item622</t>
  </si>
  <si>
    <t>Item623</t>
  </si>
  <si>
    <t>Item624</t>
  </si>
  <si>
    <t>Item625</t>
  </si>
  <si>
    <t>Item626</t>
  </si>
  <si>
    <t>Item627</t>
  </si>
  <si>
    <t>Item628</t>
  </si>
  <si>
    <t>Item629</t>
  </si>
  <si>
    <t>Item630</t>
  </si>
  <si>
    <t>Item631</t>
  </si>
  <si>
    <t>Item632</t>
  </si>
  <si>
    <t>Item633</t>
  </si>
  <si>
    <t>Item634</t>
  </si>
  <si>
    <t>Item635</t>
  </si>
  <si>
    <t>Item636</t>
  </si>
  <si>
    <t>Item637</t>
  </si>
  <si>
    <t>Item638</t>
  </si>
  <si>
    <t>Item639</t>
  </si>
  <si>
    <t>Item640</t>
  </si>
  <si>
    <t>Item641</t>
  </si>
  <si>
    <t>Item642</t>
  </si>
  <si>
    <t>Item643</t>
  </si>
  <si>
    <t>Item644</t>
  </si>
  <si>
    <t>Item645</t>
  </si>
  <si>
    <t>Item646</t>
  </si>
  <si>
    <t>Item647</t>
  </si>
  <si>
    <t>Item648</t>
  </si>
  <si>
    <t>Item649</t>
  </si>
  <si>
    <t>Item650</t>
  </si>
  <si>
    <t>Item651</t>
  </si>
  <si>
    <t>Item652</t>
  </si>
  <si>
    <t>Item653</t>
  </si>
  <si>
    <t>Item654</t>
  </si>
  <si>
    <t>Item655</t>
  </si>
  <si>
    <t>Item656</t>
  </si>
  <si>
    <t>Item657</t>
  </si>
  <si>
    <t>Item658</t>
  </si>
  <si>
    <t>Item659</t>
  </si>
  <si>
    <t>Item660</t>
  </si>
  <si>
    <t>Item661</t>
  </si>
  <si>
    <t>Item662</t>
  </si>
  <si>
    <t>Item663</t>
  </si>
  <si>
    <t>Item664</t>
  </si>
  <si>
    <t>Item665</t>
  </si>
  <si>
    <t>Item666</t>
  </si>
  <si>
    <t>Item667</t>
  </si>
  <si>
    <t>Item668</t>
  </si>
  <si>
    <t>Item669</t>
  </si>
  <si>
    <t>Item670</t>
  </si>
  <si>
    <t>Item671</t>
  </si>
  <si>
    <t>Item672</t>
  </si>
  <si>
    <t>Item673</t>
  </si>
  <si>
    <t>Item674</t>
  </si>
  <si>
    <t>Item675</t>
  </si>
  <si>
    <t>Item676</t>
  </si>
  <si>
    <t>Item677</t>
  </si>
  <si>
    <t>Item678</t>
  </si>
  <si>
    <t>Item679</t>
  </si>
  <si>
    <t>Item680</t>
  </si>
  <si>
    <t>Item681</t>
  </si>
  <si>
    <t>Item682</t>
  </si>
  <si>
    <t>Item683</t>
  </si>
  <si>
    <t>Item684</t>
  </si>
  <si>
    <t>Item685</t>
  </si>
  <si>
    <t>Item686</t>
  </si>
  <si>
    <t>Item687</t>
  </si>
  <si>
    <t>Item688</t>
  </si>
  <si>
    <t>Item689</t>
  </si>
  <si>
    <t>Item690</t>
  </si>
  <si>
    <t>Item691</t>
  </si>
  <si>
    <t>Item692</t>
  </si>
  <si>
    <t>Item693</t>
  </si>
  <si>
    <t>Item694</t>
  </si>
  <si>
    <t>Item695</t>
  </si>
  <si>
    <t>Item696</t>
  </si>
  <si>
    <t>Item697</t>
  </si>
  <si>
    <t>Item698</t>
  </si>
  <si>
    <t>Item699</t>
  </si>
  <si>
    <t>Item700</t>
  </si>
  <si>
    <t>Item701</t>
  </si>
  <si>
    <t>Item702</t>
  </si>
  <si>
    <t>Item703</t>
  </si>
  <si>
    <t>Item704</t>
  </si>
  <si>
    <t>Item705</t>
  </si>
  <si>
    <t>Item706</t>
  </si>
  <si>
    <t>Item707</t>
  </si>
  <si>
    <t>Item708</t>
  </si>
  <si>
    <t>Item709</t>
  </si>
  <si>
    <t>Item710</t>
  </si>
  <si>
    <t>Item711</t>
  </si>
  <si>
    <t>Item712</t>
  </si>
  <si>
    <t>Item713</t>
  </si>
  <si>
    <t>Item714</t>
  </si>
  <si>
    <t>Item715</t>
  </si>
  <si>
    <t>Item716</t>
  </si>
  <si>
    <t>Item717</t>
  </si>
  <si>
    <t>Item718</t>
  </si>
  <si>
    <t>Item719</t>
  </si>
  <si>
    <t>Item720</t>
  </si>
  <si>
    <t>Item721</t>
  </si>
  <si>
    <t>Item722</t>
  </si>
  <si>
    <t>Item723</t>
  </si>
  <si>
    <t>Item724</t>
  </si>
  <si>
    <t>Item725</t>
  </si>
  <si>
    <t>Item726</t>
  </si>
  <si>
    <t>Item727</t>
  </si>
  <si>
    <t>Item728</t>
  </si>
  <si>
    <t>Item729</t>
  </si>
  <si>
    <t>Item730</t>
  </si>
  <si>
    <t>Item731</t>
  </si>
  <si>
    <t>Item732</t>
  </si>
  <si>
    <t>Item733</t>
  </si>
  <si>
    <t>Item734</t>
  </si>
  <si>
    <t>Item735</t>
  </si>
  <si>
    <t>Item736</t>
  </si>
  <si>
    <t>Item737</t>
  </si>
  <si>
    <t>Item738</t>
  </si>
  <si>
    <t>Item739</t>
  </si>
  <si>
    <t>Item740</t>
  </si>
  <si>
    <t>Item741</t>
  </si>
  <si>
    <t>Item742</t>
  </si>
  <si>
    <t>Item743</t>
  </si>
  <si>
    <t>Item744</t>
  </si>
  <si>
    <t>Item745</t>
  </si>
  <si>
    <t>Item746</t>
  </si>
  <si>
    <t>Item747</t>
  </si>
  <si>
    <t>Item748</t>
  </si>
  <si>
    <t>Item749</t>
  </si>
  <si>
    <t>Item750</t>
  </si>
  <si>
    <t>Item751</t>
  </si>
  <si>
    <t>Item752</t>
  </si>
  <si>
    <t>Item753</t>
  </si>
  <si>
    <t>Item754</t>
  </si>
  <si>
    <t>Item755</t>
  </si>
  <si>
    <t>Item756</t>
  </si>
  <si>
    <t>Item757</t>
  </si>
  <si>
    <t>Item758</t>
  </si>
  <si>
    <t>Item759</t>
  </si>
  <si>
    <t>Item760</t>
  </si>
  <si>
    <t>Item761</t>
  </si>
  <si>
    <t>Item762</t>
  </si>
  <si>
    <t>Item763</t>
  </si>
  <si>
    <t>Item764</t>
  </si>
  <si>
    <t>Item765</t>
  </si>
  <si>
    <t>Item766</t>
  </si>
  <si>
    <t>Item767</t>
  </si>
  <si>
    <t>Item768</t>
  </si>
  <si>
    <t>Item769</t>
  </si>
  <si>
    <t>Item770</t>
  </si>
  <si>
    <t>Item771</t>
  </si>
  <si>
    <t>Item772</t>
  </si>
  <si>
    <t>Item773</t>
  </si>
  <si>
    <t>Item774</t>
  </si>
  <si>
    <t>Item775</t>
  </si>
  <si>
    <t>Item776</t>
  </si>
  <si>
    <t>Item777</t>
  </si>
  <si>
    <t>Item778</t>
  </si>
  <si>
    <t>Item779</t>
  </si>
  <si>
    <t>Item780</t>
  </si>
  <si>
    <t>Item781</t>
  </si>
  <si>
    <t>Item782</t>
  </si>
  <si>
    <t>Item783</t>
  </si>
  <si>
    <t>Item784</t>
  </si>
  <si>
    <t>Item785</t>
  </si>
  <si>
    <t>Item786</t>
  </si>
  <si>
    <t>Item787</t>
  </si>
  <si>
    <t>Item788</t>
  </si>
  <si>
    <t>Item789</t>
  </si>
  <si>
    <t>Item790</t>
  </si>
  <si>
    <t>Item791</t>
  </si>
  <si>
    <t>Item792</t>
  </si>
  <si>
    <t>Item793</t>
  </si>
  <si>
    <t>Item794</t>
  </si>
  <si>
    <t>Item795</t>
  </si>
  <si>
    <t>Item796</t>
  </si>
  <si>
    <t>Item797</t>
  </si>
  <si>
    <t>Item798</t>
  </si>
  <si>
    <t>Item799</t>
  </si>
  <si>
    <t>Item800</t>
  </si>
  <si>
    <t>Item801</t>
  </si>
  <si>
    <t>Item802</t>
  </si>
  <si>
    <t>Item803</t>
  </si>
  <si>
    <t>Item804</t>
  </si>
  <si>
    <t>Item805</t>
  </si>
  <si>
    <t>Item806</t>
  </si>
  <si>
    <t>Item807</t>
  </si>
  <si>
    <t>Item808</t>
  </si>
  <si>
    <t>Item809</t>
  </si>
  <si>
    <t>Item810</t>
  </si>
  <si>
    <t>Item811</t>
  </si>
  <si>
    <t>Item812</t>
  </si>
  <si>
    <t>Item813</t>
  </si>
  <si>
    <t>Item814</t>
  </si>
  <si>
    <t>Item815</t>
  </si>
  <si>
    <t>Item816</t>
  </si>
  <si>
    <t>Item817</t>
  </si>
  <si>
    <t>Item818</t>
  </si>
  <si>
    <t>Item819</t>
  </si>
  <si>
    <t>Item820</t>
  </si>
  <si>
    <t>Item821</t>
  </si>
  <si>
    <t>Item822</t>
  </si>
  <si>
    <t>Item823</t>
  </si>
  <si>
    <t>Item824</t>
  </si>
  <si>
    <t>Item825</t>
  </si>
  <si>
    <t>Item826</t>
  </si>
  <si>
    <t>Item827</t>
  </si>
  <si>
    <t>Item828</t>
  </si>
  <si>
    <t>Item829</t>
  </si>
  <si>
    <t>Item830</t>
  </si>
  <si>
    <t>Item831</t>
  </si>
  <si>
    <t>Item832</t>
  </si>
  <si>
    <t>Item833</t>
  </si>
  <si>
    <t>Item834</t>
  </si>
  <si>
    <t>Item835</t>
  </si>
  <si>
    <t>Item836</t>
  </si>
  <si>
    <t>Item837</t>
  </si>
  <si>
    <t>Item838</t>
  </si>
  <si>
    <t>Item839</t>
  </si>
  <si>
    <t>Item840</t>
  </si>
  <si>
    <t>Item841</t>
  </si>
  <si>
    <t>Item842</t>
  </si>
  <si>
    <t>Item843</t>
  </si>
  <si>
    <t>Item844</t>
  </si>
  <si>
    <t>Item845</t>
  </si>
  <si>
    <t>Item846</t>
  </si>
  <si>
    <t>Item847</t>
  </si>
  <si>
    <t>Item848</t>
  </si>
  <si>
    <t>Item849</t>
  </si>
  <si>
    <t>Item850</t>
  </si>
  <si>
    <t>Item851</t>
  </si>
  <si>
    <t>Item852</t>
  </si>
  <si>
    <t>Item853</t>
  </si>
  <si>
    <t>Item854</t>
  </si>
  <si>
    <t>Item855</t>
  </si>
  <si>
    <t>Item856</t>
  </si>
  <si>
    <t>Item857</t>
  </si>
  <si>
    <t>Item858</t>
  </si>
  <si>
    <t>Item859</t>
  </si>
  <si>
    <t>Item860</t>
  </si>
  <si>
    <t>Item861</t>
  </si>
  <si>
    <t>Item862</t>
  </si>
  <si>
    <t>Item863</t>
  </si>
  <si>
    <t>Item864</t>
  </si>
  <si>
    <t>Item865</t>
  </si>
  <si>
    <t>Item866</t>
  </si>
  <si>
    <t>Item867</t>
  </si>
  <si>
    <t>Item868</t>
  </si>
  <si>
    <t>Item869</t>
  </si>
  <si>
    <t>Item870</t>
  </si>
  <si>
    <t>Item871</t>
  </si>
  <si>
    <t>Item872</t>
  </si>
  <si>
    <t>Item873</t>
  </si>
  <si>
    <t>Item874</t>
  </si>
  <si>
    <t>Item875</t>
  </si>
  <si>
    <t>Item876</t>
  </si>
  <si>
    <t>Item877</t>
  </si>
  <si>
    <t>Item878</t>
  </si>
  <si>
    <t>Item879</t>
  </si>
  <si>
    <t>Item880</t>
  </si>
  <si>
    <t>Item881</t>
  </si>
  <si>
    <t>Item882</t>
  </si>
  <si>
    <t>Item883</t>
  </si>
  <si>
    <t>Item884</t>
  </si>
  <si>
    <t>Item885</t>
  </si>
  <si>
    <t>Item886</t>
  </si>
  <si>
    <t>Item887</t>
  </si>
  <si>
    <t>Item888</t>
  </si>
  <si>
    <t>Item889</t>
  </si>
  <si>
    <t>Item890</t>
  </si>
  <si>
    <t>Item891</t>
  </si>
  <si>
    <t>Item892</t>
  </si>
  <si>
    <t>Item893</t>
  </si>
  <si>
    <t>Item894</t>
  </si>
  <si>
    <t>Item895</t>
  </si>
  <si>
    <t>Item896</t>
  </si>
  <si>
    <t>Item897</t>
  </si>
  <si>
    <t>Item898</t>
  </si>
  <si>
    <t>Item899</t>
  </si>
  <si>
    <t>Item900</t>
  </si>
  <si>
    <t>Item901</t>
  </si>
  <si>
    <t>Item902</t>
  </si>
  <si>
    <t>Item903</t>
  </si>
  <si>
    <t>Item904</t>
  </si>
  <si>
    <t>Item905</t>
  </si>
  <si>
    <t>Item906</t>
  </si>
  <si>
    <t>Item907</t>
  </si>
  <si>
    <t>Item908</t>
  </si>
  <si>
    <t>Item909</t>
  </si>
  <si>
    <t>Item910</t>
  </si>
  <si>
    <t>Item911</t>
  </si>
  <si>
    <t>Item912</t>
  </si>
  <si>
    <t>Item913</t>
  </si>
  <si>
    <t>Item914</t>
  </si>
  <si>
    <t>Item915</t>
  </si>
  <si>
    <t>Item916</t>
  </si>
  <si>
    <t>Item917</t>
  </si>
  <si>
    <t>Item918</t>
  </si>
  <si>
    <t>Item919</t>
  </si>
  <si>
    <t>Item920</t>
  </si>
  <si>
    <t>Item921</t>
  </si>
  <si>
    <t>Item922</t>
  </si>
  <si>
    <t>Item923</t>
  </si>
  <si>
    <t>Item924</t>
  </si>
  <si>
    <t>Item925</t>
  </si>
  <si>
    <t>Item926</t>
  </si>
  <si>
    <t>Item927</t>
  </si>
  <si>
    <t>Item928</t>
  </si>
  <si>
    <t>Item929</t>
  </si>
  <si>
    <t>Item930</t>
  </si>
  <si>
    <t>Item931</t>
  </si>
  <si>
    <t>Item932</t>
  </si>
  <si>
    <t>Item933</t>
  </si>
  <si>
    <t>Item934</t>
  </si>
  <si>
    <t>Item935</t>
  </si>
  <si>
    <t>Item936</t>
  </si>
  <si>
    <t>Item937</t>
  </si>
  <si>
    <t>Item938</t>
  </si>
  <si>
    <t>Item939</t>
  </si>
  <si>
    <t>Item940</t>
  </si>
  <si>
    <t>Item941</t>
  </si>
  <si>
    <t>Item942</t>
  </si>
  <si>
    <t>Item943</t>
  </si>
  <si>
    <t>Item944</t>
  </si>
  <si>
    <t>Item945</t>
  </si>
  <si>
    <t>Item946</t>
  </si>
  <si>
    <t>Item947</t>
  </si>
  <si>
    <t>Item948</t>
  </si>
  <si>
    <t>Item949</t>
  </si>
  <si>
    <t>Item950</t>
  </si>
  <si>
    <t>Item951</t>
  </si>
  <si>
    <t>Item952</t>
  </si>
  <si>
    <t>Item953</t>
  </si>
  <si>
    <t>Item954</t>
  </si>
  <si>
    <t>Item955</t>
  </si>
  <si>
    <t>Item956</t>
  </si>
  <si>
    <t>Item957</t>
  </si>
  <si>
    <t>Item958</t>
  </si>
  <si>
    <t>Item959</t>
  </si>
  <si>
    <t>Item960</t>
  </si>
  <si>
    <t>Item961</t>
  </si>
  <si>
    <t>Item962</t>
  </si>
  <si>
    <t>Item963</t>
  </si>
  <si>
    <t>Item964</t>
  </si>
  <si>
    <t>Item965</t>
  </si>
  <si>
    <t>Item966</t>
  </si>
  <si>
    <t>Item967</t>
  </si>
  <si>
    <t>Item968</t>
  </si>
  <si>
    <t>Item969</t>
  </si>
  <si>
    <t>Item970</t>
  </si>
  <si>
    <t>Item971</t>
  </si>
  <si>
    <t>Item972</t>
  </si>
  <si>
    <t>Item973</t>
  </si>
  <si>
    <t>Item974</t>
  </si>
  <si>
    <t>Item975</t>
  </si>
  <si>
    <t>Item976</t>
  </si>
  <si>
    <t>Item977</t>
  </si>
  <si>
    <t>Item978</t>
  </si>
  <si>
    <t>Item979</t>
  </si>
  <si>
    <t>Item980</t>
  </si>
  <si>
    <t>Item981</t>
  </si>
  <si>
    <t>Item982</t>
  </si>
  <si>
    <t>Item983</t>
  </si>
  <si>
    <t>Item984</t>
  </si>
  <si>
    <t>Item985</t>
  </si>
  <si>
    <t>Item986</t>
  </si>
  <si>
    <t>Item987</t>
  </si>
  <si>
    <t>Item988</t>
  </si>
  <si>
    <t>Item989</t>
  </si>
  <si>
    <t>Item990</t>
  </si>
  <si>
    <t>Item991</t>
  </si>
  <si>
    <t>Item992</t>
  </si>
  <si>
    <t>Item993</t>
  </si>
  <si>
    <t>Item994</t>
  </si>
  <si>
    <t>Item995</t>
  </si>
  <si>
    <t>Item996</t>
  </si>
  <si>
    <t>Item997</t>
  </si>
  <si>
    <t>Item998</t>
  </si>
  <si>
    <t>Item999</t>
  </si>
  <si>
    <t>Item1000</t>
  </si>
  <si>
    <t>Item1001</t>
  </si>
  <si>
    <t>Item1002</t>
  </si>
  <si>
    <t>Item1003</t>
  </si>
  <si>
    <t>Item1004</t>
  </si>
  <si>
    <t>Item1005</t>
  </si>
  <si>
    <t>Item1006</t>
  </si>
  <si>
    <t>Item1007</t>
  </si>
  <si>
    <t>Item1008</t>
  </si>
  <si>
    <t>Item1009</t>
  </si>
  <si>
    <t>Item1010</t>
  </si>
  <si>
    <t>Item1011</t>
  </si>
  <si>
    <t>Item1012</t>
  </si>
  <si>
    <t>Item1013</t>
  </si>
  <si>
    <t>Item1014</t>
  </si>
  <si>
    <t>Item1015</t>
  </si>
  <si>
    <t>Item1016</t>
  </si>
  <si>
    <t>Item1017</t>
  </si>
  <si>
    <t>X</t>
  </si>
  <si>
    <t>Desc1</t>
  </si>
  <si>
    <t>Desc2</t>
  </si>
  <si>
    <t>Desc3</t>
  </si>
  <si>
    <t>Desc4</t>
  </si>
  <si>
    <t>Desc5</t>
  </si>
  <si>
    <t>Desc6</t>
  </si>
  <si>
    <t>Desc7</t>
  </si>
  <si>
    <t>Desc8</t>
  </si>
  <si>
    <t>Desc9</t>
  </si>
  <si>
    <t>Desc10</t>
  </si>
  <si>
    <t>Desc11</t>
  </si>
  <si>
    <t>Desc12</t>
  </si>
  <si>
    <t>Desc13</t>
  </si>
  <si>
    <t>Desc14</t>
  </si>
  <si>
    <t>Desc15</t>
  </si>
  <si>
    <t>Desc16</t>
  </si>
  <si>
    <t>Desc17</t>
  </si>
  <si>
    <t>Desc18</t>
  </si>
  <si>
    <t>Desc19</t>
  </si>
  <si>
    <t>Desc20</t>
  </si>
  <si>
    <t>Desc21</t>
  </si>
  <si>
    <t>Desc22</t>
  </si>
  <si>
    <t>Desc23</t>
  </si>
  <si>
    <t>Desc24</t>
  </si>
  <si>
    <t>Desc25</t>
  </si>
  <si>
    <t>Desc26</t>
  </si>
  <si>
    <t>Desc27</t>
  </si>
  <si>
    <t>Desc28</t>
  </si>
  <si>
    <t>Desc29</t>
  </si>
  <si>
    <t>Desc30</t>
  </si>
  <si>
    <t>Desc31</t>
  </si>
  <si>
    <t>Desc32</t>
  </si>
  <si>
    <t>Desc33</t>
  </si>
  <si>
    <t>Desc34</t>
  </si>
  <si>
    <t>Desc35</t>
  </si>
  <si>
    <t>Desc36</t>
  </si>
  <si>
    <t>Desc37</t>
  </si>
  <si>
    <t>Desc38</t>
  </si>
  <si>
    <t>Desc39</t>
  </si>
  <si>
    <t>Desc40</t>
  </si>
  <si>
    <t>Desc41</t>
  </si>
  <si>
    <t>Desc42</t>
  </si>
  <si>
    <t>Desc43</t>
  </si>
  <si>
    <t>Desc44</t>
  </si>
  <si>
    <t>Desc45</t>
  </si>
  <si>
    <t>Desc46</t>
  </si>
  <si>
    <t>Desc47</t>
  </si>
  <si>
    <t>Desc48</t>
  </si>
  <si>
    <t>Desc49</t>
  </si>
  <si>
    <t>Desc50</t>
  </si>
  <si>
    <t>Desc51</t>
  </si>
  <si>
    <t>Desc52</t>
  </si>
  <si>
    <t>Desc53</t>
  </si>
  <si>
    <t>Desc54</t>
  </si>
  <si>
    <t>Desc55</t>
  </si>
  <si>
    <t>Desc56</t>
  </si>
  <si>
    <t>Desc57</t>
  </si>
  <si>
    <t>Desc58</t>
  </si>
  <si>
    <t>Desc59</t>
  </si>
  <si>
    <t>Desc60</t>
  </si>
  <si>
    <t>Desc61</t>
  </si>
  <si>
    <t>Desc62</t>
  </si>
  <si>
    <t>Desc63</t>
  </si>
  <si>
    <t>Desc64</t>
  </si>
  <si>
    <t>Desc65</t>
  </si>
  <si>
    <t>Desc66</t>
  </si>
  <si>
    <t>Desc67</t>
  </si>
  <si>
    <t>Desc68</t>
  </si>
  <si>
    <t>Desc69</t>
  </si>
  <si>
    <t>Desc70</t>
  </si>
  <si>
    <t>Desc71</t>
  </si>
  <si>
    <t>Desc72</t>
  </si>
  <si>
    <t>Desc73</t>
  </si>
  <si>
    <t>Desc74</t>
  </si>
  <si>
    <t>Desc75</t>
  </si>
  <si>
    <t>Desc76</t>
  </si>
  <si>
    <t>Desc77</t>
  </si>
  <si>
    <t>Desc78</t>
  </si>
  <si>
    <t>Desc79</t>
  </si>
  <si>
    <t>Desc80</t>
  </si>
  <si>
    <t>Desc81</t>
  </si>
  <si>
    <t>Desc82</t>
  </si>
  <si>
    <t>Desc83</t>
  </si>
  <si>
    <t>Desc84</t>
  </si>
  <si>
    <t>Desc85</t>
  </si>
  <si>
    <t>Desc86</t>
  </si>
  <si>
    <t>Desc87</t>
  </si>
  <si>
    <t>Desc88</t>
  </si>
  <si>
    <t>Desc89</t>
  </si>
  <si>
    <t>Desc90</t>
  </si>
  <si>
    <t>Desc91</t>
  </si>
  <si>
    <t>Desc92</t>
  </si>
  <si>
    <t>Desc93</t>
  </si>
  <si>
    <t>Desc94</t>
  </si>
  <si>
    <t>Desc95</t>
  </si>
  <si>
    <t>Desc96</t>
  </si>
  <si>
    <t>Desc97</t>
  </si>
  <si>
    <t>Desc98</t>
  </si>
  <si>
    <t>Desc99</t>
  </si>
  <si>
    <t>Desc100</t>
  </si>
  <si>
    <t>Desc101</t>
  </si>
  <si>
    <t>Desc102</t>
  </si>
  <si>
    <t>Desc103</t>
  </si>
  <si>
    <t>Desc104</t>
  </si>
  <si>
    <t>Desc105</t>
  </si>
  <si>
    <t>Desc106</t>
  </si>
  <si>
    <t>Desc107</t>
  </si>
  <si>
    <t>Desc108</t>
  </si>
  <si>
    <t>Desc109</t>
  </si>
  <si>
    <t>Desc110</t>
  </si>
  <si>
    <t>Desc111</t>
  </si>
  <si>
    <t>Desc112</t>
  </si>
  <si>
    <t>Desc113</t>
  </si>
  <si>
    <t>Desc114</t>
  </si>
  <si>
    <t>Desc115</t>
  </si>
  <si>
    <t>Desc116</t>
  </si>
  <si>
    <t>Desc117</t>
  </si>
  <si>
    <t>Desc118</t>
  </si>
  <si>
    <t>Desc119</t>
  </si>
  <si>
    <t>Desc120</t>
  </si>
  <si>
    <t>Desc121</t>
  </si>
  <si>
    <t>Desc122</t>
  </si>
  <si>
    <t>Desc123</t>
  </si>
  <si>
    <t>Desc124</t>
  </si>
  <si>
    <t>Desc125</t>
  </si>
  <si>
    <t>Desc126</t>
  </si>
  <si>
    <t>Desc127</t>
  </si>
  <si>
    <t>Desc128</t>
  </si>
  <si>
    <t>Desc129</t>
  </si>
  <si>
    <t>Desc130</t>
  </si>
  <si>
    <t>Desc131</t>
  </si>
  <si>
    <t>Desc132</t>
  </si>
  <si>
    <t>Desc133</t>
  </si>
  <si>
    <t>Desc134</t>
  </si>
  <si>
    <t>Desc135</t>
  </si>
  <si>
    <t>Desc136</t>
  </si>
  <si>
    <t>Desc137</t>
  </si>
  <si>
    <t>Desc138</t>
  </si>
  <si>
    <t>Desc139</t>
  </si>
  <si>
    <t>Desc140</t>
  </si>
  <si>
    <t>Desc141</t>
  </si>
  <si>
    <t>Desc142</t>
  </si>
  <si>
    <t>Desc143</t>
  </si>
  <si>
    <t>Desc144</t>
  </si>
  <si>
    <t>Desc145</t>
  </si>
  <si>
    <t>Desc146</t>
  </si>
  <si>
    <t>Desc147</t>
  </si>
  <si>
    <t>Desc148</t>
  </si>
  <si>
    <t>Desc149</t>
  </si>
  <si>
    <t>Desc150</t>
  </si>
  <si>
    <t>Desc151</t>
  </si>
  <si>
    <t>Desc152</t>
  </si>
  <si>
    <t>Desc153</t>
  </si>
  <si>
    <t>Desc154</t>
  </si>
  <si>
    <t>Desc155</t>
  </si>
  <si>
    <t>Desc156</t>
  </si>
  <si>
    <t>Desc157</t>
  </si>
  <si>
    <t>Desc158</t>
  </si>
  <si>
    <t>Desc159</t>
  </si>
  <si>
    <t>Desc160</t>
  </si>
  <si>
    <t>Desc161</t>
  </si>
  <si>
    <t>Desc162</t>
  </si>
  <si>
    <t>Desc163</t>
  </si>
  <si>
    <t>Desc164</t>
  </si>
  <si>
    <t>Desc165</t>
  </si>
  <si>
    <t>Desc166</t>
  </si>
  <si>
    <t>Desc167</t>
  </si>
  <si>
    <t>Desc168</t>
  </si>
  <si>
    <t>Desc169</t>
  </si>
  <si>
    <t>Desc170</t>
  </si>
  <si>
    <t>Desc171</t>
  </si>
  <si>
    <t>Desc172</t>
  </si>
  <si>
    <t>Desc173</t>
  </si>
  <si>
    <t>Desc174</t>
  </si>
  <si>
    <t>Desc175</t>
  </si>
  <si>
    <t>Desc176</t>
  </si>
  <si>
    <t>Desc177</t>
  </si>
  <si>
    <t>Desc178</t>
  </si>
  <si>
    <t>Desc179</t>
  </si>
  <si>
    <t>Desc180</t>
  </si>
  <si>
    <t>Desc181</t>
  </si>
  <si>
    <t>Desc182</t>
  </si>
  <si>
    <t>Desc183</t>
  </si>
  <si>
    <t>Desc184</t>
  </si>
  <si>
    <t>Desc185</t>
  </si>
  <si>
    <t>Desc186</t>
  </si>
  <si>
    <t>Desc187</t>
  </si>
  <si>
    <t>Desc188</t>
  </si>
  <si>
    <t>Desc189</t>
  </si>
  <si>
    <t>Desc190</t>
  </si>
  <si>
    <t>Desc191</t>
  </si>
  <si>
    <t>Desc192</t>
  </si>
  <si>
    <t>Desc193</t>
  </si>
  <si>
    <t>Desc194</t>
  </si>
  <si>
    <t>Desc195</t>
  </si>
  <si>
    <t>Desc196</t>
  </si>
  <si>
    <t>Desc197</t>
  </si>
  <si>
    <t>Desc198</t>
  </si>
  <si>
    <t>Desc199</t>
  </si>
  <si>
    <t>Desc200</t>
  </si>
  <si>
    <t>Desc201</t>
  </si>
  <si>
    <t>Desc202</t>
  </si>
  <si>
    <t>Desc203</t>
  </si>
  <si>
    <t>Desc204</t>
  </si>
  <si>
    <t>Desc205</t>
  </si>
  <si>
    <t>Desc206</t>
  </si>
  <si>
    <t>Desc207</t>
  </si>
  <si>
    <t>Desc208</t>
  </si>
  <si>
    <t>Desc209</t>
  </si>
  <si>
    <t>Desc210</t>
  </si>
  <si>
    <t>Desc211</t>
  </si>
  <si>
    <t>Desc212</t>
  </si>
  <si>
    <t>Desc213</t>
  </si>
  <si>
    <t>Desc214</t>
  </si>
  <si>
    <t>Desc215</t>
  </si>
  <si>
    <t>Desc216</t>
  </si>
  <si>
    <t>Desc217</t>
  </si>
  <si>
    <t>Desc218</t>
  </si>
  <si>
    <t>Desc219</t>
  </si>
  <si>
    <t>Desc220</t>
  </si>
  <si>
    <t>Desc221</t>
  </si>
  <si>
    <t>Desc222</t>
  </si>
  <si>
    <t>Desc223</t>
  </si>
  <si>
    <t>Desc224</t>
  </si>
  <si>
    <t>Desc225</t>
  </si>
  <si>
    <t>Desc226</t>
  </si>
  <si>
    <t>Desc227</t>
  </si>
  <si>
    <t>Desc228</t>
  </si>
  <si>
    <t>Desc229</t>
  </si>
  <si>
    <t>Desc230</t>
  </si>
  <si>
    <t>Desc231</t>
  </si>
  <si>
    <t>Desc232</t>
  </si>
  <si>
    <t>Desc233</t>
  </si>
  <si>
    <t>Desc234</t>
  </si>
  <si>
    <t>Desc235</t>
  </si>
  <si>
    <t>Desc236</t>
  </si>
  <si>
    <t>Desc237</t>
  </si>
  <si>
    <t>Desc238</t>
  </si>
  <si>
    <t>Desc239</t>
  </si>
  <si>
    <t>Desc240</t>
  </si>
  <si>
    <t>Desc241</t>
  </si>
  <si>
    <t>Desc242</t>
  </si>
  <si>
    <t>Desc243</t>
  </si>
  <si>
    <t>Desc244</t>
  </si>
  <si>
    <t>Desc245</t>
  </si>
  <si>
    <t>Desc246</t>
  </si>
  <si>
    <t>Desc247</t>
  </si>
  <si>
    <t>Desc248</t>
  </si>
  <si>
    <t>Desc249</t>
  </si>
  <si>
    <t>Desc250</t>
  </si>
  <si>
    <t>Desc251</t>
  </si>
  <si>
    <t>Desc252</t>
  </si>
  <si>
    <t>Desc253</t>
  </si>
  <si>
    <t>Desc254</t>
  </si>
  <si>
    <t>Desc255</t>
  </si>
  <si>
    <t>Desc256</t>
  </si>
  <si>
    <t>Desc257</t>
  </si>
  <si>
    <t>Desc258</t>
  </si>
  <si>
    <t>Desc259</t>
  </si>
  <si>
    <t>Desc260</t>
  </si>
  <si>
    <t>Desc261</t>
  </si>
  <si>
    <t>Desc262</t>
  </si>
  <si>
    <t>Desc263</t>
  </si>
  <si>
    <t>Desc264</t>
  </si>
  <si>
    <t>Desc265</t>
  </si>
  <si>
    <t>Desc266</t>
  </si>
  <si>
    <t>Desc267</t>
  </si>
  <si>
    <t>Desc268</t>
  </si>
  <si>
    <t>Desc269</t>
  </si>
  <si>
    <t>Desc270</t>
  </si>
  <si>
    <t>Desc271</t>
  </si>
  <si>
    <t>Desc272</t>
  </si>
  <si>
    <t>Desc273</t>
  </si>
  <si>
    <t>Desc274</t>
  </si>
  <si>
    <t>Desc275</t>
  </si>
  <si>
    <t>Desc276</t>
  </si>
  <si>
    <t>Desc277</t>
  </si>
  <si>
    <t>Desc278</t>
  </si>
  <si>
    <t>Desc279</t>
  </si>
  <si>
    <t>Desc280</t>
  </si>
  <si>
    <t>Desc281</t>
  </si>
  <si>
    <t>Desc282</t>
  </si>
  <si>
    <t>Desc283</t>
  </si>
  <si>
    <t>Desc284</t>
  </si>
  <si>
    <t>Desc285</t>
  </si>
  <si>
    <t>Desc286</t>
  </si>
  <si>
    <t>Desc287</t>
  </si>
  <si>
    <t>Desc288</t>
  </si>
  <si>
    <t>Desc289</t>
  </si>
  <si>
    <t>Desc290</t>
  </si>
  <si>
    <t>Desc291</t>
  </si>
  <si>
    <t>Desc292</t>
  </si>
  <si>
    <t>Desc293</t>
  </si>
  <si>
    <t>Desc294</t>
  </si>
  <si>
    <t>Desc295</t>
  </si>
  <si>
    <t>Desc296</t>
  </si>
  <si>
    <t>Desc297</t>
  </si>
  <si>
    <t>Desc298</t>
  </si>
  <si>
    <t>Desc299</t>
  </si>
  <si>
    <t>Desc300</t>
  </si>
  <si>
    <t>Desc301</t>
  </si>
  <si>
    <t>Desc302</t>
  </si>
  <si>
    <t>Desc303</t>
  </si>
  <si>
    <t>Desc304</t>
  </si>
  <si>
    <t>Desc305</t>
  </si>
  <si>
    <t>Desc306</t>
  </si>
  <si>
    <t>Desc307</t>
  </si>
  <si>
    <t>Desc308</t>
  </si>
  <si>
    <t>Desc309</t>
  </si>
  <si>
    <t>Desc310</t>
  </si>
  <si>
    <t>Desc311</t>
  </si>
  <si>
    <t>Desc312</t>
  </si>
  <si>
    <t>Desc313</t>
  </si>
  <si>
    <t>Desc314</t>
  </si>
  <si>
    <t>Desc315</t>
  </si>
  <si>
    <t>Desc316</t>
  </si>
  <si>
    <t>Desc317</t>
  </si>
  <si>
    <t>Desc318</t>
  </si>
  <si>
    <t>Desc319</t>
  </si>
  <si>
    <t>Desc320</t>
  </si>
  <si>
    <t>Desc321</t>
  </si>
  <si>
    <t>Desc322</t>
  </si>
  <si>
    <t>Desc323</t>
  </si>
  <si>
    <t>Desc324</t>
  </si>
  <si>
    <t>Desc325</t>
  </si>
  <si>
    <t>Desc326</t>
  </si>
  <si>
    <t>Desc327</t>
  </si>
  <si>
    <t>Desc328</t>
  </si>
  <si>
    <t>Desc329</t>
  </si>
  <si>
    <t>Desc330</t>
  </si>
  <si>
    <t>Desc331</t>
  </si>
  <si>
    <t>Desc332</t>
  </si>
  <si>
    <t>Desc333</t>
  </si>
  <si>
    <t>Desc334</t>
  </si>
  <si>
    <t>Desc335</t>
  </si>
  <si>
    <t>Desc336</t>
  </si>
  <si>
    <t>Desc337</t>
  </si>
  <si>
    <t>Desc338</t>
  </si>
  <si>
    <t>Desc339</t>
  </si>
  <si>
    <t>Desc340</t>
  </si>
  <si>
    <t>Desc341</t>
  </si>
  <si>
    <t>Desc342</t>
  </si>
  <si>
    <t>Desc343</t>
  </si>
  <si>
    <t>Desc344</t>
  </si>
  <si>
    <t>Desc345</t>
  </si>
  <si>
    <t>Desc346</t>
  </si>
  <si>
    <t>Desc347</t>
  </si>
  <si>
    <t>Desc348</t>
  </si>
  <si>
    <t>Desc349</t>
  </si>
  <si>
    <t>Desc350</t>
  </si>
  <si>
    <t>Desc351</t>
  </si>
  <si>
    <t>Desc352</t>
  </si>
  <si>
    <t>Desc353</t>
  </si>
  <si>
    <t>Desc354</t>
  </si>
  <si>
    <t>Desc355</t>
  </si>
  <si>
    <t>Desc356</t>
  </si>
  <si>
    <t>Desc357</t>
  </si>
  <si>
    <t>Desc358</t>
  </si>
  <si>
    <t>Desc359</t>
  </si>
  <si>
    <t>Desc360</t>
  </si>
  <si>
    <t>Desc361</t>
  </si>
  <si>
    <t>Desc362</t>
  </si>
  <si>
    <t>Desc363</t>
  </si>
  <si>
    <t>Desc364</t>
  </si>
  <si>
    <t>Desc365</t>
  </si>
  <si>
    <t>Desc366</t>
  </si>
  <si>
    <t>Desc367</t>
  </si>
  <si>
    <t>Desc368</t>
  </si>
  <si>
    <t>Desc369</t>
  </si>
  <si>
    <t>Desc370</t>
  </si>
  <si>
    <t>Desc371</t>
  </si>
  <si>
    <t>Desc372</t>
  </si>
  <si>
    <t>Desc373</t>
  </si>
  <si>
    <t>Desc374</t>
  </si>
  <si>
    <t>Desc375</t>
  </si>
  <si>
    <t>Desc376</t>
  </si>
  <si>
    <t>Desc377</t>
  </si>
  <si>
    <t>Desc378</t>
  </si>
  <si>
    <t>Desc379</t>
  </si>
  <si>
    <t>Desc380</t>
  </si>
  <si>
    <t>Desc381</t>
  </si>
  <si>
    <t>Desc382</t>
  </si>
  <si>
    <t>Desc383</t>
  </si>
  <si>
    <t>Desc384</t>
  </si>
  <si>
    <t>Desc385</t>
  </si>
  <si>
    <t>Desc386</t>
  </si>
  <si>
    <t>Desc387</t>
  </si>
  <si>
    <t>Desc388</t>
  </si>
  <si>
    <t>Desc389</t>
  </si>
  <si>
    <t>Desc390</t>
  </si>
  <si>
    <t>Desc391</t>
  </si>
  <si>
    <t>Desc392</t>
  </si>
  <si>
    <t>Desc393</t>
  </si>
  <si>
    <t>Desc394</t>
  </si>
  <si>
    <t>Desc395</t>
  </si>
  <si>
    <t>Desc396</t>
  </si>
  <si>
    <t>Desc397</t>
  </si>
  <si>
    <t>Desc398</t>
  </si>
  <si>
    <t>Desc399</t>
  </si>
  <si>
    <t>Desc400</t>
  </si>
  <si>
    <t>Desc401</t>
  </si>
  <si>
    <t>Desc402</t>
  </si>
  <si>
    <t>Desc403</t>
  </si>
  <si>
    <t>Desc404</t>
  </si>
  <si>
    <t>Desc405</t>
  </si>
  <si>
    <t>Desc406</t>
  </si>
  <si>
    <t>Desc407</t>
  </si>
  <si>
    <t>Desc408</t>
  </si>
  <si>
    <t>Desc409</t>
  </si>
  <si>
    <t>Desc410</t>
  </si>
  <si>
    <t>Desc411</t>
  </si>
  <si>
    <t>Desc412</t>
  </si>
  <si>
    <t>Desc413</t>
  </si>
  <si>
    <t>Desc414</t>
  </si>
  <si>
    <t>Desc415</t>
  </si>
  <si>
    <t>Desc416</t>
  </si>
  <si>
    <t>Desc417</t>
  </si>
  <si>
    <t>Desc418</t>
  </si>
  <si>
    <t>Desc419</t>
  </si>
  <si>
    <t>Desc420</t>
  </si>
  <si>
    <t>Desc421</t>
  </si>
  <si>
    <t>Desc422</t>
  </si>
  <si>
    <t>Desc423</t>
  </si>
  <si>
    <t>Desc424</t>
  </si>
  <si>
    <t>Desc425</t>
  </si>
  <si>
    <t>Desc426</t>
  </si>
  <si>
    <t>Desc427</t>
  </si>
  <si>
    <t>Desc428</t>
  </si>
  <si>
    <t>Desc429</t>
  </si>
  <si>
    <t>Desc430</t>
  </si>
  <si>
    <t>Desc431</t>
  </si>
  <si>
    <t>Desc432</t>
  </si>
  <si>
    <t>Desc433</t>
  </si>
  <si>
    <t>Desc434</t>
  </si>
  <si>
    <t>Desc435</t>
  </si>
  <si>
    <t>Desc436</t>
  </si>
  <si>
    <t>Desc437</t>
  </si>
  <si>
    <t>Desc438</t>
  </si>
  <si>
    <t>Desc439</t>
  </si>
  <si>
    <t>Desc440</t>
  </si>
  <si>
    <t>Desc441</t>
  </si>
  <si>
    <t>Desc442</t>
  </si>
  <si>
    <t>Desc443</t>
  </si>
  <si>
    <t>Desc444</t>
  </si>
  <si>
    <t>Desc445</t>
  </si>
  <si>
    <t>Desc446</t>
  </si>
  <si>
    <t>Desc447</t>
  </si>
  <si>
    <t>Desc448</t>
  </si>
  <si>
    <t>Desc449</t>
  </si>
  <si>
    <t>Desc450</t>
  </si>
  <si>
    <t>Desc451</t>
  </si>
  <si>
    <t>Desc452</t>
  </si>
  <si>
    <t>Desc453</t>
  </si>
  <si>
    <t>Desc454</t>
  </si>
  <si>
    <t>Desc455</t>
  </si>
  <si>
    <t>Desc456</t>
  </si>
  <si>
    <t>Desc457</t>
  </si>
  <si>
    <t>Desc458</t>
  </si>
  <si>
    <t>Desc459</t>
  </si>
  <si>
    <t>Desc460</t>
  </si>
  <si>
    <t>Desc461</t>
  </si>
  <si>
    <t>Desc462</t>
  </si>
  <si>
    <t>Desc463</t>
  </si>
  <si>
    <t>Desc464</t>
  </si>
  <si>
    <t>Desc465</t>
  </si>
  <si>
    <t>Desc466</t>
  </si>
  <si>
    <t>Desc467</t>
  </si>
  <si>
    <t>Desc468</t>
  </si>
  <si>
    <t>Desc469</t>
  </si>
  <si>
    <t>Desc470</t>
  </si>
  <si>
    <t>Desc471</t>
  </si>
  <si>
    <t>Desc472</t>
  </si>
  <si>
    <t>Desc473</t>
  </si>
  <si>
    <t>Desc474</t>
  </si>
  <si>
    <t>Desc475</t>
  </si>
  <si>
    <t>Desc476</t>
  </si>
  <si>
    <t>Desc477</t>
  </si>
  <si>
    <t>Desc478</t>
  </si>
  <si>
    <t>Desc479</t>
  </si>
  <si>
    <t>Desc480</t>
  </si>
  <si>
    <t>Desc481</t>
  </si>
  <si>
    <t>Desc482</t>
  </si>
  <si>
    <t>Desc483</t>
  </si>
  <si>
    <t>Desc484</t>
  </si>
  <si>
    <t>Desc485</t>
  </si>
  <si>
    <t>Desc486</t>
  </si>
  <si>
    <t>Desc487</t>
  </si>
  <si>
    <t>Desc488</t>
  </si>
  <si>
    <t>Desc489</t>
  </si>
  <si>
    <t>Desc490</t>
  </si>
  <si>
    <t>Desc491</t>
  </si>
  <si>
    <t>Desc492</t>
  </si>
  <si>
    <t>Desc493</t>
  </si>
  <si>
    <t>Desc494</t>
  </si>
  <si>
    <t>Desc495</t>
  </si>
  <si>
    <t>Desc496</t>
  </si>
  <si>
    <t>Desc497</t>
  </si>
  <si>
    <t>Desc498</t>
  </si>
  <si>
    <t>Desc499</t>
  </si>
  <si>
    <t>Desc500</t>
  </si>
  <si>
    <t>Desc501</t>
  </si>
  <si>
    <t>Desc502</t>
  </si>
  <si>
    <t>Desc503</t>
  </si>
  <si>
    <t>Desc504</t>
  </si>
  <si>
    <t>Desc505</t>
  </si>
  <si>
    <t>Desc506</t>
  </si>
  <si>
    <t>Desc507</t>
  </si>
  <si>
    <t>Desc508</t>
  </si>
  <si>
    <t>Desc509</t>
  </si>
  <si>
    <t>Desc510</t>
  </si>
  <si>
    <t>Desc511</t>
  </si>
  <si>
    <t>Desc512</t>
  </si>
  <si>
    <t>Desc513</t>
  </si>
  <si>
    <t>Desc514</t>
  </si>
  <si>
    <t>Desc515</t>
  </si>
  <si>
    <t>Desc516</t>
  </si>
  <si>
    <t>Desc517</t>
  </si>
  <si>
    <t>Desc518</t>
  </si>
  <si>
    <t>Desc519</t>
  </si>
  <si>
    <t>Desc520</t>
  </si>
  <si>
    <t>Desc521</t>
  </si>
  <si>
    <t>Desc522</t>
  </si>
  <si>
    <t>Desc523</t>
  </si>
  <si>
    <t>Desc524</t>
  </si>
  <si>
    <t>Desc525</t>
  </si>
  <si>
    <t>Desc526</t>
  </si>
  <si>
    <t>Desc527</t>
  </si>
  <si>
    <t>Desc528</t>
  </si>
  <si>
    <t>Desc529</t>
  </si>
  <si>
    <t>Desc530</t>
  </si>
  <si>
    <t>Desc531</t>
  </si>
  <si>
    <t>Desc532</t>
  </si>
  <si>
    <t>Desc533</t>
  </si>
  <si>
    <t>Desc534</t>
  </si>
  <si>
    <t>Desc535</t>
  </si>
  <si>
    <t>Desc536</t>
  </si>
  <si>
    <t>Desc537</t>
  </si>
  <si>
    <t>Desc538</t>
  </si>
  <si>
    <t>Desc539</t>
  </si>
  <si>
    <t>Desc540</t>
  </si>
  <si>
    <t>Desc541</t>
  </si>
  <si>
    <t>Desc542</t>
  </si>
  <si>
    <t>Desc543</t>
  </si>
  <si>
    <t>Desc544</t>
  </si>
  <si>
    <t>Desc545</t>
  </si>
  <si>
    <t>Desc546</t>
  </si>
  <si>
    <t>Desc547</t>
  </si>
  <si>
    <t>Desc548</t>
  </si>
  <si>
    <t>Desc549</t>
  </si>
  <si>
    <t>Desc550</t>
  </si>
  <si>
    <t>Desc551</t>
  </si>
  <si>
    <t>Desc552</t>
  </si>
  <si>
    <t>Desc553</t>
  </si>
  <si>
    <t>Desc554</t>
  </si>
  <si>
    <t>Desc555</t>
  </si>
  <si>
    <t>Desc556</t>
  </si>
  <si>
    <t>Desc557</t>
  </si>
  <si>
    <t>Desc558</t>
  </si>
  <si>
    <t>Desc559</t>
  </si>
  <si>
    <t>Desc560</t>
  </si>
  <si>
    <t>Desc561</t>
  </si>
  <si>
    <t>Desc562</t>
  </si>
  <si>
    <t>Desc563</t>
  </si>
  <si>
    <t>Desc564</t>
  </si>
  <si>
    <t>Desc565</t>
  </si>
  <si>
    <t>Desc566</t>
  </si>
  <si>
    <t>Desc567</t>
  </si>
  <si>
    <t>Desc568</t>
  </si>
  <si>
    <t>Desc569</t>
  </si>
  <si>
    <t>Desc570</t>
  </si>
  <si>
    <t>Desc571</t>
  </si>
  <si>
    <t>Desc572</t>
  </si>
  <si>
    <t>Desc573</t>
  </si>
  <si>
    <t>Desc574</t>
  </si>
  <si>
    <t>Desc575</t>
  </si>
  <si>
    <t>Desc576</t>
  </si>
  <si>
    <t>Desc577</t>
  </si>
  <si>
    <t>Desc578</t>
  </si>
  <si>
    <t>Desc579</t>
  </si>
  <si>
    <t>Desc580</t>
  </si>
  <si>
    <t>Desc581</t>
  </si>
  <si>
    <t>Desc582</t>
  </si>
  <si>
    <t>Desc583</t>
  </si>
  <si>
    <t>Desc584</t>
  </si>
  <si>
    <t>Desc585</t>
  </si>
  <si>
    <t>Desc586</t>
  </si>
  <si>
    <t>Desc587</t>
  </si>
  <si>
    <t>Desc588</t>
  </si>
  <si>
    <t>Desc589</t>
  </si>
  <si>
    <t>Desc590</t>
  </si>
  <si>
    <t>Desc591</t>
  </si>
  <si>
    <t>Desc592</t>
  </si>
  <si>
    <t>Desc593</t>
  </si>
  <si>
    <t>Desc594</t>
  </si>
  <si>
    <t>Desc595</t>
  </si>
  <si>
    <t>Desc596</t>
  </si>
  <si>
    <t>Desc597</t>
  </si>
  <si>
    <t>Desc598</t>
  </si>
  <si>
    <t>Desc599</t>
  </si>
  <si>
    <t>Desc600</t>
  </si>
  <si>
    <t>Desc601</t>
  </si>
  <si>
    <t>Desc602</t>
  </si>
  <si>
    <t>Desc603</t>
  </si>
  <si>
    <t>Desc604</t>
  </si>
  <si>
    <t>Desc605</t>
  </si>
  <si>
    <t>Desc606</t>
  </si>
  <si>
    <t>Desc607</t>
  </si>
  <si>
    <t>Desc608</t>
  </si>
  <si>
    <t>Desc609</t>
  </si>
  <si>
    <t>Desc610</t>
  </si>
  <si>
    <t>Desc611</t>
  </si>
  <si>
    <t>Desc612</t>
  </si>
  <si>
    <t>Desc613</t>
  </si>
  <si>
    <t>Desc614</t>
  </si>
  <si>
    <t>Desc615</t>
  </si>
  <si>
    <t>Desc616</t>
  </si>
  <si>
    <t>Desc617</t>
  </si>
  <si>
    <t>Desc618</t>
  </si>
  <si>
    <t>Desc619</t>
  </si>
  <si>
    <t>Desc620</t>
  </si>
  <si>
    <t>Desc621</t>
  </si>
  <si>
    <t>Desc622</t>
  </si>
  <si>
    <t>Desc623</t>
  </si>
  <si>
    <t>Desc624</t>
  </si>
  <si>
    <t>Desc625</t>
  </si>
  <si>
    <t>Desc626</t>
  </si>
  <si>
    <t>Desc627</t>
  </si>
  <si>
    <t>Desc628</t>
  </si>
  <si>
    <t>Desc629</t>
  </si>
  <si>
    <t>Desc630</t>
  </si>
  <si>
    <t>Desc631</t>
  </si>
  <si>
    <t>Desc632</t>
  </si>
  <si>
    <t>Desc633</t>
  </si>
  <si>
    <t>Desc634</t>
  </si>
  <si>
    <t>Desc635</t>
  </si>
  <si>
    <t>Desc636</t>
  </si>
  <si>
    <t>Desc637</t>
  </si>
  <si>
    <t>Desc638</t>
  </si>
  <si>
    <t>Desc639</t>
  </si>
  <si>
    <t>Desc640</t>
  </si>
  <si>
    <t>Desc641</t>
  </si>
  <si>
    <t>Desc642</t>
  </si>
  <si>
    <t>Desc643</t>
  </si>
  <si>
    <t>Desc644</t>
  </si>
  <si>
    <t>Desc645</t>
  </si>
  <si>
    <t>Desc646</t>
  </si>
  <si>
    <t>Desc647</t>
  </si>
  <si>
    <t>Desc648</t>
  </si>
  <si>
    <t>Desc649</t>
  </si>
  <si>
    <t>Desc650</t>
  </si>
  <si>
    <t>Desc651</t>
  </si>
  <si>
    <t>Desc652</t>
  </si>
  <si>
    <t>Desc653</t>
  </si>
  <si>
    <t>Desc654</t>
  </si>
  <si>
    <t>Desc655</t>
  </si>
  <si>
    <t>Desc656</t>
  </si>
  <si>
    <t>Desc657</t>
  </si>
  <si>
    <t>Desc658</t>
  </si>
  <si>
    <t>Desc659</t>
  </si>
  <si>
    <t>Desc660</t>
  </si>
  <si>
    <t>Desc661</t>
  </si>
  <si>
    <t>Desc662</t>
  </si>
  <si>
    <t>Desc663</t>
  </si>
  <si>
    <t>Desc664</t>
  </si>
  <si>
    <t>Desc665</t>
  </si>
  <si>
    <t>Desc666</t>
  </si>
  <si>
    <t>Desc667</t>
  </si>
  <si>
    <t>Desc668</t>
  </si>
  <si>
    <t>Desc669</t>
  </si>
  <si>
    <t>Desc670</t>
  </si>
  <si>
    <t>Desc671</t>
  </si>
  <si>
    <t>Desc672</t>
  </si>
  <si>
    <t>Desc673</t>
  </si>
  <si>
    <t>Desc674</t>
  </si>
  <si>
    <t>Desc675</t>
  </si>
  <si>
    <t>Desc676</t>
  </si>
  <si>
    <t>Desc677</t>
  </si>
  <si>
    <t>Desc678</t>
  </si>
  <si>
    <t>Desc679</t>
  </si>
  <si>
    <t>Desc680</t>
  </si>
  <si>
    <t>Desc681</t>
  </si>
  <si>
    <t>Desc682</t>
  </si>
  <si>
    <t>Desc683</t>
  </si>
  <si>
    <t>Desc684</t>
  </si>
  <si>
    <t>Desc685</t>
  </si>
  <si>
    <t>Desc686</t>
  </si>
  <si>
    <t>Desc687</t>
  </si>
  <si>
    <t>Desc688</t>
  </si>
  <si>
    <t>Desc689</t>
  </si>
  <si>
    <t>Desc690</t>
  </si>
  <si>
    <t>Desc691</t>
  </si>
  <si>
    <t>Desc692</t>
  </si>
  <si>
    <t>Desc693</t>
  </si>
  <si>
    <t>Desc694</t>
  </si>
  <si>
    <t>Desc695</t>
  </si>
  <si>
    <t>Desc696</t>
  </si>
  <si>
    <t>Desc697</t>
  </si>
  <si>
    <t>Desc698</t>
  </si>
  <si>
    <t>Desc699</t>
  </si>
  <si>
    <t>Desc700</t>
  </si>
  <si>
    <t>Desc701</t>
  </si>
  <si>
    <t>Desc702</t>
  </si>
  <si>
    <t>Desc703</t>
  </si>
  <si>
    <t>Desc704</t>
  </si>
  <si>
    <t>Desc705</t>
  </si>
  <si>
    <t>Desc706</t>
  </si>
  <si>
    <t>Desc707</t>
  </si>
  <si>
    <t>Desc708</t>
  </si>
  <si>
    <t>Desc709</t>
  </si>
  <si>
    <t>Desc710</t>
  </si>
  <si>
    <t>Desc711</t>
  </si>
  <si>
    <t>Desc712</t>
  </si>
  <si>
    <t>Desc713</t>
  </si>
  <si>
    <t>Desc714</t>
  </si>
  <si>
    <t>Desc715</t>
  </si>
  <si>
    <t>Desc716</t>
  </si>
  <si>
    <t>Desc717</t>
  </si>
  <si>
    <t>Desc718</t>
  </si>
  <si>
    <t>Desc719</t>
  </si>
  <si>
    <t>Desc720</t>
  </si>
  <si>
    <t>Desc721</t>
  </si>
  <si>
    <t>Desc722</t>
  </si>
  <si>
    <t>Desc723</t>
  </si>
  <si>
    <t>Desc724</t>
  </si>
  <si>
    <t>Desc725</t>
  </si>
  <si>
    <t>Desc726</t>
  </si>
  <si>
    <t>Desc727</t>
  </si>
  <si>
    <t>Desc728</t>
  </si>
  <si>
    <t>Desc729</t>
  </si>
  <si>
    <t>Desc730</t>
  </si>
  <si>
    <t>Desc731</t>
  </si>
  <si>
    <t>Desc732</t>
  </si>
  <si>
    <t>Desc733</t>
  </si>
  <si>
    <t>Desc734</t>
  </si>
  <si>
    <t>Desc735</t>
  </si>
  <si>
    <t>Desc736</t>
  </si>
  <si>
    <t>Desc737</t>
  </si>
  <si>
    <t>Desc738</t>
  </si>
  <si>
    <t>Desc739</t>
  </si>
  <si>
    <t>Desc740</t>
  </si>
  <si>
    <t>Desc741</t>
  </si>
  <si>
    <t>Desc742</t>
  </si>
  <si>
    <t>Desc743</t>
  </si>
  <si>
    <t>Desc744</t>
  </si>
  <si>
    <t>Desc745</t>
  </si>
  <si>
    <t>Desc746</t>
  </si>
  <si>
    <t>Desc747</t>
  </si>
  <si>
    <t>Desc748</t>
  </si>
  <si>
    <t>Desc749</t>
  </si>
  <si>
    <t>Desc750</t>
  </si>
  <si>
    <t>Desc751</t>
  </si>
  <si>
    <t>Desc752</t>
  </si>
  <si>
    <t>Desc753</t>
  </si>
  <si>
    <t>Desc754</t>
  </si>
  <si>
    <t>Desc755</t>
  </si>
  <si>
    <t>Desc756</t>
  </si>
  <si>
    <t>Desc757</t>
  </si>
  <si>
    <t>Desc758</t>
  </si>
  <si>
    <t>Desc759</t>
  </si>
  <si>
    <t>Desc760</t>
  </si>
  <si>
    <t>Desc761</t>
  </si>
  <si>
    <t>Desc762</t>
  </si>
  <si>
    <t>Desc763</t>
  </si>
  <si>
    <t>Desc764</t>
  </si>
  <si>
    <t>Desc765</t>
  </si>
  <si>
    <t>Desc766</t>
  </si>
  <si>
    <t>Desc767</t>
  </si>
  <si>
    <t>Desc768</t>
  </si>
  <si>
    <t>Desc769</t>
  </si>
  <si>
    <t>Desc770</t>
  </si>
  <si>
    <t>Desc771</t>
  </si>
  <si>
    <t>Desc772</t>
  </si>
  <si>
    <t>Desc773</t>
  </si>
  <si>
    <t>Desc774</t>
  </si>
  <si>
    <t>Desc775</t>
  </si>
  <si>
    <t>Desc776</t>
  </si>
  <si>
    <t>Desc777</t>
  </si>
  <si>
    <t>Desc778</t>
  </si>
  <si>
    <t>Desc779</t>
  </si>
  <si>
    <t>Desc780</t>
  </si>
  <si>
    <t>Desc781</t>
  </si>
  <si>
    <t>Desc782</t>
  </si>
  <si>
    <t>Desc783</t>
  </si>
  <si>
    <t>Desc784</t>
  </si>
  <si>
    <t>Desc785</t>
  </si>
  <si>
    <t>Desc786</t>
  </si>
  <si>
    <t>Desc787</t>
  </si>
  <si>
    <t>Desc788</t>
  </si>
  <si>
    <t>Desc789</t>
  </si>
  <si>
    <t>Desc790</t>
  </si>
  <si>
    <t>Desc791</t>
  </si>
  <si>
    <t>Desc792</t>
  </si>
  <si>
    <t>Desc793</t>
  </si>
  <si>
    <t>Desc794</t>
  </si>
  <si>
    <t>Desc795</t>
  </si>
  <si>
    <t>Desc796</t>
  </si>
  <si>
    <t>Desc797</t>
  </si>
  <si>
    <t>Desc798</t>
  </si>
  <si>
    <t>Desc799</t>
  </si>
  <si>
    <t>Desc800</t>
  </si>
  <si>
    <t>Desc801</t>
  </si>
  <si>
    <t>Desc802</t>
  </si>
  <si>
    <t>Desc803</t>
  </si>
  <si>
    <t>Desc804</t>
  </si>
  <si>
    <t>Desc805</t>
  </si>
  <si>
    <t>Desc806</t>
  </si>
  <si>
    <t>Desc807</t>
  </si>
  <si>
    <t>Desc808</t>
  </si>
  <si>
    <t>Desc809</t>
  </si>
  <si>
    <t>OpDesc1</t>
  </si>
  <si>
    <t>OpDesc2</t>
  </si>
  <si>
    <t>OpDesc3</t>
  </si>
  <si>
    <t>OpDesc4</t>
  </si>
  <si>
    <t>OpDesc5</t>
  </si>
  <si>
    <t>OpDesc6</t>
  </si>
  <si>
    <t>OpDesc7</t>
  </si>
  <si>
    <t>OpDesc8</t>
  </si>
  <si>
    <t>OpDesc9</t>
  </si>
  <si>
    <t>OpDesc10</t>
  </si>
  <si>
    <t>OpDesc11</t>
  </si>
  <si>
    <t>OpDesc12</t>
  </si>
  <si>
    <t>OpDesc13</t>
  </si>
  <si>
    <t>OpDesc14</t>
  </si>
  <si>
    <t>OpDesc15</t>
  </si>
  <si>
    <t>OpDesc16</t>
  </si>
  <si>
    <t>OpDesc17</t>
  </si>
  <si>
    <t>OpDesc18</t>
  </si>
  <si>
    <t>OpDesc19</t>
  </si>
  <si>
    <t>OpDesc20</t>
  </si>
  <si>
    <t>OpDesc21</t>
  </si>
  <si>
    <t>OpDesc22</t>
  </si>
  <si>
    <t>OpDesc23</t>
  </si>
  <si>
    <t>OpDesc24</t>
  </si>
  <si>
    <t>OpDesc25</t>
  </si>
  <si>
    <t>OpDesc26</t>
  </si>
  <si>
    <t>OpDesc27</t>
  </si>
  <si>
    <t>OpDesc28</t>
  </si>
  <si>
    <t>OpDesc29</t>
  </si>
  <si>
    <t>OpDesc30</t>
  </si>
  <si>
    <t>OpDesc31</t>
  </si>
  <si>
    <t>OpDesc32</t>
  </si>
  <si>
    <t>OpDesc33</t>
  </si>
  <si>
    <t>OpDesc34</t>
  </si>
  <si>
    <t>OpDesc35</t>
  </si>
  <si>
    <t>OpDesc36</t>
  </si>
  <si>
    <t>OpDesc37</t>
  </si>
  <si>
    <t>OpDesc38</t>
  </si>
  <si>
    <t>OpDesc39</t>
  </si>
  <si>
    <t>OpDesc40</t>
  </si>
  <si>
    <t>OpDesc41</t>
  </si>
  <si>
    <t>OpDesc42</t>
  </si>
  <si>
    <t>OpDesc43</t>
  </si>
  <si>
    <t>OpDesc44</t>
  </si>
  <si>
    <t>OpDesc45</t>
  </si>
  <si>
    <t>OpDesc46</t>
  </si>
  <si>
    <t>OpDesc47</t>
  </si>
  <si>
    <t>OpDesc48</t>
  </si>
  <si>
    <t>OpDesc49</t>
  </si>
  <si>
    <t>OpDesc50</t>
  </si>
  <si>
    <t>OpDesc51</t>
  </si>
  <si>
    <t>OpDesc52</t>
  </si>
  <si>
    <t>OpDesc53</t>
  </si>
  <si>
    <t>OpDesc54</t>
  </si>
  <si>
    <t>OpDesc55</t>
  </si>
  <si>
    <t>OpDesc56</t>
  </si>
  <si>
    <t>OpDesc57</t>
  </si>
  <si>
    <t>OpDesc58</t>
  </si>
  <si>
    <t>OpDesc59</t>
  </si>
  <si>
    <t>OpDesc60</t>
  </si>
  <si>
    <t>OpDesc61</t>
  </si>
  <si>
    <t>OpDesc62</t>
  </si>
  <si>
    <t>OpDesc63</t>
  </si>
  <si>
    <t>OpDesc64</t>
  </si>
  <si>
    <t>OpDesc65</t>
  </si>
  <si>
    <t>OpDesc66</t>
  </si>
  <si>
    <t>OpDesc67</t>
  </si>
  <si>
    <t>OpDesc68</t>
  </si>
  <si>
    <t>OpDesc69</t>
  </si>
  <si>
    <t>OpDesc70</t>
  </si>
  <si>
    <t>OpDesc71</t>
  </si>
  <si>
    <t>OpDesc72</t>
  </si>
  <si>
    <t>OpDesc73</t>
  </si>
  <si>
    <t>OpDesc74</t>
  </si>
  <si>
    <t>OpDesc75</t>
  </si>
  <si>
    <t>OpDesc76</t>
  </si>
  <si>
    <t>OpDesc77</t>
  </si>
  <si>
    <t>OpDesc78</t>
  </si>
  <si>
    <t>OpDesc79</t>
  </si>
  <si>
    <t>OpDesc80</t>
  </si>
  <si>
    <t>OpDesc81</t>
  </si>
  <si>
    <t>OpDesc82</t>
  </si>
  <si>
    <t>OpDesc83</t>
  </si>
  <si>
    <t>OpDesc84</t>
  </si>
  <si>
    <t>OpDesc85</t>
  </si>
  <si>
    <t>OpDesc86</t>
  </si>
  <si>
    <t>OpDesc87</t>
  </si>
  <si>
    <t>OpDesc88</t>
  </si>
  <si>
    <t>OpDesc89</t>
  </si>
  <si>
    <t>OpDesc90</t>
  </si>
  <si>
    <t>OpDesc91</t>
  </si>
  <si>
    <t>OpDesc92</t>
  </si>
  <si>
    <t>OpDesc93</t>
  </si>
  <si>
    <t>OpDesc94</t>
  </si>
  <si>
    <t>OpDesc95</t>
  </si>
  <si>
    <t>OpDesc96</t>
  </si>
  <si>
    <t>OpDesc97</t>
  </si>
  <si>
    <t>OpDesc98</t>
  </si>
  <si>
    <t>OpDesc99</t>
  </si>
  <si>
    <t>OpDesc100</t>
  </si>
  <si>
    <t>OpDesc101</t>
  </si>
  <si>
    <t>OpDesc102</t>
  </si>
  <si>
    <t>OpDesc103</t>
  </si>
  <si>
    <t>OpDesc104</t>
  </si>
  <si>
    <t>OpDesc105</t>
  </si>
  <si>
    <t>OpDesc106</t>
  </si>
  <si>
    <t>OpDesc107</t>
  </si>
  <si>
    <t>OpDesc108</t>
  </si>
  <si>
    <t>OpDesc109</t>
  </si>
  <si>
    <t>OpDesc110</t>
  </si>
  <si>
    <t>OpDesc111</t>
  </si>
  <si>
    <t>OpDesc112</t>
  </si>
  <si>
    <t>OpDesc113</t>
  </si>
  <si>
    <t>OpDesc114</t>
  </si>
  <si>
    <t>OpDesc115</t>
  </si>
  <si>
    <t>OpDesc116</t>
  </si>
  <si>
    <t>OpDesc117</t>
  </si>
  <si>
    <t>OpDesc118</t>
  </si>
  <si>
    <t>OpDesc119</t>
  </si>
  <si>
    <t>OpDesc120</t>
  </si>
  <si>
    <t>OpDesc121</t>
  </si>
  <si>
    <t>OpDesc122</t>
  </si>
  <si>
    <t>OpDesc123</t>
  </si>
  <si>
    <t>OpDesc124</t>
  </si>
  <si>
    <t>OpDesc125</t>
  </si>
  <si>
    <t>OpDesc126</t>
  </si>
  <si>
    <t>OpDesc127</t>
  </si>
  <si>
    <t>OpDesc128</t>
  </si>
  <si>
    <t>OpDesc129</t>
  </si>
  <si>
    <t>OpDesc130</t>
  </si>
  <si>
    <t>OpDesc131</t>
  </si>
  <si>
    <t>OpDesc132</t>
  </si>
  <si>
    <t>OpDesc133</t>
  </si>
  <si>
    <t>OpDesc134</t>
  </si>
  <si>
    <t>OpDesc135</t>
  </si>
  <si>
    <t>OpDesc136</t>
  </si>
  <si>
    <t>OpDesc137</t>
  </si>
  <si>
    <t>OpDesc138</t>
  </si>
  <si>
    <t>OpDesc139</t>
  </si>
  <si>
    <t>OpDesc140</t>
  </si>
  <si>
    <t>OpDesc141</t>
  </si>
  <si>
    <t>OpDesc142</t>
  </si>
  <si>
    <t>OpDesc143</t>
  </si>
  <si>
    <t>OpDesc144</t>
  </si>
  <si>
    <t>OpDesc145</t>
  </si>
  <si>
    <t>OpDesc146</t>
  </si>
  <si>
    <t>OpDesc147</t>
  </si>
  <si>
    <t>OpDesc148</t>
  </si>
  <si>
    <t>OpDesc149</t>
  </si>
  <si>
    <t>OpDesc150</t>
  </si>
  <si>
    <t>OpDesc151</t>
  </si>
  <si>
    <t>OpDesc152</t>
  </si>
  <si>
    <t>OpDesc153</t>
  </si>
  <si>
    <t>OpDesc154</t>
  </si>
  <si>
    <t>OpDesc155</t>
  </si>
  <si>
    <t>OpDesc156</t>
  </si>
  <si>
    <t>OpDesc157</t>
  </si>
  <si>
    <t>OpDesc158</t>
  </si>
  <si>
    <t>OpDesc159</t>
  </si>
  <si>
    <t>OpDesc160</t>
  </si>
  <si>
    <t>OpDesc161</t>
  </si>
  <si>
    <t>OpDesc162</t>
  </si>
  <si>
    <t>OpDesc163</t>
  </si>
  <si>
    <t>OpDesc164</t>
  </si>
  <si>
    <t>OpDesc165</t>
  </si>
  <si>
    <t>OpDesc166</t>
  </si>
  <si>
    <t>OpDesc167</t>
  </si>
  <si>
    <t>OpDesc168</t>
  </si>
  <si>
    <t>OpDesc169</t>
  </si>
  <si>
    <t>OpDesc170</t>
  </si>
  <si>
    <t>OpDesc171</t>
  </si>
  <si>
    <t>OpDesc172</t>
  </si>
  <si>
    <t>OpDesc173</t>
  </si>
  <si>
    <t>OpDesc174</t>
  </si>
  <si>
    <t>OpDesc175</t>
  </si>
  <si>
    <t>OpDesc176</t>
  </si>
  <si>
    <t>OpDesc177</t>
  </si>
  <si>
    <t>OpDesc178</t>
  </si>
  <si>
    <t>OpDesc179</t>
  </si>
  <si>
    <t>OpDesc180</t>
  </si>
  <si>
    <t>OpDesc181</t>
  </si>
  <si>
    <t>OpDesc182</t>
  </si>
  <si>
    <t>OpDesc183</t>
  </si>
  <si>
    <t>OpDesc184</t>
  </si>
  <si>
    <t>OpDesc185</t>
  </si>
  <si>
    <t>OpDesc186</t>
  </si>
  <si>
    <t>OpDesc187</t>
  </si>
  <si>
    <t>OpDesc188</t>
  </si>
  <si>
    <t>OpDesc189</t>
  </si>
  <si>
    <t>OpDesc190</t>
  </si>
  <si>
    <t>OpDesc191</t>
  </si>
  <si>
    <t>OpDesc192</t>
  </si>
  <si>
    <t>OpDesc193</t>
  </si>
  <si>
    <t>OpDesc194</t>
  </si>
  <si>
    <t>OpDesc195</t>
  </si>
  <si>
    <t>OpDesc196</t>
  </si>
  <si>
    <t>OpDesc197</t>
  </si>
  <si>
    <t>OpDesc198</t>
  </si>
  <si>
    <t>OpDesc199</t>
  </si>
  <si>
    <t>OpDesc200</t>
  </si>
  <si>
    <t>OpDesc201</t>
  </si>
  <si>
    <t>OpDesc202</t>
  </si>
  <si>
    <t>OpDesc203</t>
  </si>
  <si>
    <t>OpDesc204</t>
  </si>
  <si>
    <t>OpDesc205</t>
  </si>
  <si>
    <t>OpDesc206</t>
  </si>
  <si>
    <t>OpDesc207</t>
  </si>
  <si>
    <t>OpDesc208</t>
  </si>
  <si>
    <t>OpDesc209</t>
  </si>
  <si>
    <t>OpDesc210</t>
  </si>
  <si>
    <t>OpDesc211</t>
  </si>
  <si>
    <t>OpDesc212</t>
  </si>
  <si>
    <t>OpDesc213</t>
  </si>
  <si>
    <t>OpDesc214</t>
  </si>
  <si>
    <t>OpDesc215</t>
  </si>
  <si>
    <t>OpDesc216</t>
  </si>
  <si>
    <t>OpDesc217</t>
  </si>
  <si>
    <t>OpDesc218</t>
  </si>
  <si>
    <t>OpDesc219</t>
  </si>
  <si>
    <t>OpDesc220</t>
  </si>
  <si>
    <t>OpDesc221</t>
  </si>
  <si>
    <t>OpDesc222</t>
  </si>
  <si>
    <t>OpDesc223</t>
  </si>
  <si>
    <t>OpDesc224</t>
  </si>
  <si>
    <t>OpDesc225</t>
  </si>
  <si>
    <t>OpDesc226</t>
  </si>
  <si>
    <t>OpDesc227</t>
  </si>
  <si>
    <t>OpDesc228</t>
  </si>
  <si>
    <t>OpDesc229</t>
  </si>
  <si>
    <t>OpDesc230</t>
  </si>
  <si>
    <t>OpDesc231</t>
  </si>
  <si>
    <t>OpDesc232</t>
  </si>
  <si>
    <t>OpDesc233</t>
  </si>
  <si>
    <t>OpDesc234</t>
  </si>
  <si>
    <t>OpDesc235</t>
  </si>
  <si>
    <t>OpDesc236</t>
  </si>
  <si>
    <t>OpDesc237</t>
  </si>
  <si>
    <t>OpDesc238</t>
  </si>
  <si>
    <t>OpDesc239</t>
  </si>
  <si>
    <t>OpDesc240</t>
  </si>
  <si>
    <t>OpDesc241</t>
  </si>
  <si>
    <t>OpDesc242</t>
  </si>
  <si>
    <t>OpDesc243</t>
  </si>
  <si>
    <t>OpDesc244</t>
  </si>
  <si>
    <t>OpDesc245</t>
  </si>
  <si>
    <t>OpDesc246</t>
  </si>
  <si>
    <t>OpDesc247</t>
  </si>
  <si>
    <t>OpDesc248</t>
  </si>
  <si>
    <t>OpDesc249</t>
  </si>
  <si>
    <t>OpDesc250</t>
  </si>
  <si>
    <t>OpDesc251</t>
  </si>
  <si>
    <t>OpDesc252</t>
  </si>
  <si>
    <t>OpDesc253</t>
  </si>
  <si>
    <t>OpDesc254</t>
  </si>
  <si>
    <t>OpDesc255</t>
  </si>
  <si>
    <t>OpDesc256</t>
  </si>
  <si>
    <t>OpDesc257</t>
  </si>
  <si>
    <t>OpDesc258</t>
  </si>
  <si>
    <t>OpDesc259</t>
  </si>
  <si>
    <t>OpDesc260</t>
  </si>
  <si>
    <t>OpDesc261</t>
  </si>
  <si>
    <t>OpDesc262</t>
  </si>
  <si>
    <t>OpDesc263</t>
  </si>
  <si>
    <t>OpDesc264</t>
  </si>
  <si>
    <t>OpDesc265</t>
  </si>
  <si>
    <t>OpDesc266</t>
  </si>
  <si>
    <t>OpDesc267</t>
  </si>
  <si>
    <t>OpDesc268</t>
  </si>
  <si>
    <t>OpDesc269</t>
  </si>
  <si>
    <t>OpDesc270</t>
  </si>
  <si>
    <t>OpDesc271</t>
  </si>
  <si>
    <t>OpDesc272</t>
  </si>
  <si>
    <t>OpDesc273</t>
  </si>
  <si>
    <t>OpDesc274</t>
  </si>
  <si>
    <t>OpDesc275</t>
  </si>
  <si>
    <t>OpDesc276</t>
  </si>
  <si>
    <t>OpDesc277</t>
  </si>
  <si>
    <t>OpDesc278</t>
  </si>
  <si>
    <t>OpDesc279</t>
  </si>
  <si>
    <t>OpDesc280</t>
  </si>
  <si>
    <t>OpDesc281</t>
  </si>
  <si>
    <t>OpDesc282</t>
  </si>
  <si>
    <t>OpDesc283</t>
  </si>
  <si>
    <t>OpDesc284</t>
  </si>
  <si>
    <t>OpDesc285</t>
  </si>
  <si>
    <t>OpDesc286</t>
  </si>
  <si>
    <t>OpDesc287</t>
  </si>
  <si>
    <t>OpDesc288</t>
  </si>
  <si>
    <t>OpDesc289</t>
  </si>
  <si>
    <t>OpDesc290</t>
  </si>
  <si>
    <t>OpDesc291</t>
  </si>
  <si>
    <t>OpDesc292</t>
  </si>
  <si>
    <t>OpDesc293</t>
  </si>
  <si>
    <t>OpDesc294</t>
  </si>
  <si>
    <t>OpDesc295</t>
  </si>
  <si>
    <t>OpDesc296</t>
  </si>
  <si>
    <t>OpDesc297</t>
  </si>
  <si>
    <t>OpDesc298</t>
  </si>
  <si>
    <t>OpDesc299</t>
  </si>
  <si>
    <t>OpDesc300</t>
  </si>
  <si>
    <t>OpDesc301</t>
  </si>
  <si>
    <t>OpDesc302</t>
  </si>
  <si>
    <t>OpDesc303</t>
  </si>
  <si>
    <t>OpDesc304</t>
  </si>
  <si>
    <t>OpDesc305</t>
  </si>
  <si>
    <t>OpDesc306</t>
  </si>
  <si>
    <t>OpDesc307</t>
  </si>
  <si>
    <t>OpDesc308</t>
  </si>
  <si>
    <t>OpDesc309</t>
  </si>
  <si>
    <t>OpDesc310</t>
  </si>
  <si>
    <t>OpDesc311</t>
  </si>
  <si>
    <t>OpDesc312</t>
  </si>
  <si>
    <t>OpDesc313</t>
  </si>
  <si>
    <t>OpDesc314</t>
  </si>
  <si>
    <t>OpDesc315</t>
  </si>
  <si>
    <t>OpDesc316</t>
  </si>
  <si>
    <t>OpDesc317</t>
  </si>
  <si>
    <t>OpDesc318</t>
  </si>
  <si>
    <t>OpDesc319</t>
  </si>
  <si>
    <t>OpDesc320</t>
  </si>
  <si>
    <t>OpDesc321</t>
  </si>
  <si>
    <t>OpDesc322</t>
  </si>
  <si>
    <t>OpDesc323</t>
  </si>
  <si>
    <t>OpDesc324</t>
  </si>
  <si>
    <t>OpDesc325</t>
  </si>
  <si>
    <t>OpDesc326</t>
  </si>
  <si>
    <t>OpDesc327</t>
  </si>
  <si>
    <t>OpDesc328</t>
  </si>
  <si>
    <t>OpDesc329</t>
  </si>
  <si>
    <t>OpDesc330</t>
  </si>
  <si>
    <t>OpDesc331</t>
  </si>
  <si>
    <t>OpDesc332</t>
  </si>
  <si>
    <t>OpDesc333</t>
  </si>
  <si>
    <t>OpDesc334</t>
  </si>
  <si>
    <t>OpDesc335</t>
  </si>
  <si>
    <t>OpDesc336</t>
  </si>
  <si>
    <t>OpDesc337</t>
  </si>
  <si>
    <t>OpDesc338</t>
  </si>
  <si>
    <t>OpDesc339</t>
  </si>
  <si>
    <t>OpDesc340</t>
  </si>
  <si>
    <t>OpDesc341</t>
  </si>
  <si>
    <t>OpDesc342</t>
  </si>
  <si>
    <t>OpDesc343</t>
  </si>
  <si>
    <t>OpDesc344</t>
  </si>
  <si>
    <t>OpDesc345</t>
  </si>
  <si>
    <t>OpDesc346</t>
  </si>
  <si>
    <t>OpDesc347</t>
  </si>
  <si>
    <t>OpDesc348</t>
  </si>
  <si>
    <t>OpDesc349</t>
  </si>
  <si>
    <t>OpDesc350</t>
  </si>
  <si>
    <t>OpDesc351</t>
  </si>
  <si>
    <t>OpDesc352</t>
  </si>
  <si>
    <t>OpDesc353</t>
  </si>
  <si>
    <t>OpDesc354</t>
  </si>
  <si>
    <t>OpDesc355</t>
  </si>
  <si>
    <t>OpDesc356</t>
  </si>
  <si>
    <t>OpDesc357</t>
  </si>
  <si>
    <t>OpDesc358</t>
  </si>
  <si>
    <t>OpDesc359</t>
  </si>
  <si>
    <t>OpDesc360</t>
  </si>
  <si>
    <t>OpDesc361</t>
  </si>
  <si>
    <t>OpDesc362</t>
  </si>
  <si>
    <t>OpDesc363</t>
  </si>
  <si>
    <t>OpDesc364</t>
  </si>
  <si>
    <t>OpDesc365</t>
  </si>
  <si>
    <t>OpDesc366</t>
  </si>
  <si>
    <t>OpDesc367</t>
  </si>
  <si>
    <t>OpDesc368</t>
  </si>
  <si>
    <t>OpDesc369</t>
  </si>
  <si>
    <t>OpDesc370</t>
  </si>
  <si>
    <t>OpDesc371</t>
  </si>
  <si>
    <t>OpDesc372</t>
  </si>
  <si>
    <t>OpDesc373</t>
  </si>
  <si>
    <t>OpDesc374</t>
  </si>
  <si>
    <t>OpDesc375</t>
  </si>
  <si>
    <t>OpDesc376</t>
  </si>
  <si>
    <t>OpDesc377</t>
  </si>
  <si>
    <t>OpDesc378</t>
  </si>
  <si>
    <t>OpDesc379</t>
  </si>
  <si>
    <t>OpDesc380</t>
  </si>
  <si>
    <t>OpDesc381</t>
  </si>
  <si>
    <t>OpDesc382</t>
  </si>
  <si>
    <t>OpDesc383</t>
  </si>
  <si>
    <t>OpDesc384</t>
  </si>
  <si>
    <t>OpDesc385</t>
  </si>
  <si>
    <t>OpDesc386</t>
  </si>
  <si>
    <t>OpDesc387</t>
  </si>
  <si>
    <t>OpDesc388</t>
  </si>
  <si>
    <t>OpDesc389</t>
  </si>
  <si>
    <t>OpDesc390</t>
  </si>
  <si>
    <t>OpDesc391</t>
  </si>
  <si>
    <t>OpDesc392</t>
  </si>
  <si>
    <t>OpDesc393</t>
  </si>
  <si>
    <t>OpDesc394</t>
  </si>
  <si>
    <t>OpDesc395</t>
  </si>
  <si>
    <t>OpDesc396</t>
  </si>
  <si>
    <t>OpDesc397</t>
  </si>
  <si>
    <t>OpDesc398</t>
  </si>
  <si>
    <t>OpDesc399</t>
  </si>
  <si>
    <t>OpDesc400</t>
  </si>
  <si>
    <t>OpDesc401</t>
  </si>
  <si>
    <t>OpDesc402</t>
  </si>
  <si>
    <t>OpDesc403</t>
  </si>
  <si>
    <t>OpDesc404</t>
  </si>
  <si>
    <t>OpDesc405</t>
  </si>
  <si>
    <t>OpDesc406</t>
  </si>
  <si>
    <t>OpDesc407</t>
  </si>
  <si>
    <t>OpDesc408</t>
  </si>
  <si>
    <t>OpDesc409</t>
  </si>
  <si>
    <t>OpDesc410</t>
  </si>
  <si>
    <t>OpDesc411</t>
  </si>
  <si>
    <t>OpDesc412</t>
  </si>
  <si>
    <t>OpDesc413</t>
  </si>
  <si>
    <t>OpDesc414</t>
  </si>
  <si>
    <t>OpDesc415</t>
  </si>
  <si>
    <t>OpDesc416</t>
  </si>
  <si>
    <t>OpDesc417</t>
  </si>
  <si>
    <t>OpDesc418</t>
  </si>
  <si>
    <t>OpDesc419</t>
  </si>
  <si>
    <t>OpDesc420</t>
  </si>
  <si>
    <t>OpDesc421</t>
  </si>
  <si>
    <t>OpDesc422</t>
  </si>
  <si>
    <t>OpDesc423</t>
  </si>
  <si>
    <t>OpDesc424</t>
  </si>
  <si>
    <t>OpDesc425</t>
  </si>
  <si>
    <t>OpDesc426</t>
  </si>
  <si>
    <t>OpDesc427</t>
  </si>
  <si>
    <t>OpDesc428</t>
  </si>
  <si>
    <t>OpDesc429</t>
  </si>
  <si>
    <t>OpDesc430</t>
  </si>
  <si>
    <t>OpDesc431</t>
  </si>
  <si>
    <t>OpDesc432</t>
  </si>
  <si>
    <t>OpDesc433</t>
  </si>
  <si>
    <t>OpDesc434</t>
  </si>
  <si>
    <t>OpDesc435</t>
  </si>
  <si>
    <t>OpDesc436</t>
  </si>
  <si>
    <t>OpDesc437</t>
  </si>
  <si>
    <t>OpDesc438</t>
  </si>
  <si>
    <t>OpDesc439</t>
  </si>
  <si>
    <t>OpDesc440</t>
  </si>
  <si>
    <t>OpDesc441</t>
  </si>
  <si>
    <t>OpDesc442</t>
  </si>
  <si>
    <t>OpDesc443</t>
  </si>
  <si>
    <t>OpDesc444</t>
  </si>
  <si>
    <t>OpDesc445</t>
  </si>
  <si>
    <t>OpDesc446</t>
  </si>
  <si>
    <t>OpDesc447</t>
  </si>
  <si>
    <t>OpDesc448</t>
  </si>
  <si>
    <t>OpDesc449</t>
  </si>
  <si>
    <t>OpDesc450</t>
  </si>
  <si>
    <t>OpDesc451</t>
  </si>
  <si>
    <t>OpDesc452</t>
  </si>
  <si>
    <t>OpDesc453</t>
  </si>
  <si>
    <t>OpDesc454</t>
  </si>
  <si>
    <t>OpDesc455</t>
  </si>
  <si>
    <t>OpDesc456</t>
  </si>
  <si>
    <t>OpDesc457</t>
  </si>
  <si>
    <t>OpDesc458</t>
  </si>
  <si>
    <t>OpDesc459</t>
  </si>
  <si>
    <t>OpDesc460</t>
  </si>
  <si>
    <t>OpDesc461</t>
  </si>
  <si>
    <t>OpDesc462</t>
  </si>
  <si>
    <t>OpDesc463</t>
  </si>
  <si>
    <t>OpDesc464</t>
  </si>
  <si>
    <t>OpDesc465</t>
  </si>
  <si>
    <t>OpDesc466</t>
  </si>
  <si>
    <t>OpDesc467</t>
  </si>
  <si>
    <t>OpDesc468</t>
  </si>
  <si>
    <t>OpDesc469</t>
  </si>
  <si>
    <t>OpDesc470</t>
  </si>
  <si>
    <t>OpDesc471</t>
  </si>
  <si>
    <t>OpDesc472</t>
  </si>
  <si>
    <t>OpDesc473</t>
  </si>
  <si>
    <t>OpDesc474</t>
  </si>
  <si>
    <t>OpDesc475</t>
  </si>
  <si>
    <t>OpDesc476</t>
  </si>
  <si>
    <t>OpDesc477</t>
  </si>
  <si>
    <t>OpDesc478</t>
  </si>
  <si>
    <t>OpDesc479</t>
  </si>
  <si>
    <t>OpDesc480</t>
  </si>
  <si>
    <t>OpDesc481</t>
  </si>
  <si>
    <t>OpDesc482</t>
  </si>
  <si>
    <t>OpDesc483</t>
  </si>
  <si>
    <t>OpDesc484</t>
  </si>
  <si>
    <t>OpDesc485</t>
  </si>
  <si>
    <t>OpDesc486</t>
  </si>
  <si>
    <t>OpDesc487</t>
  </si>
  <si>
    <t>OpDesc488</t>
  </si>
  <si>
    <t>OpDesc489</t>
  </si>
  <si>
    <t>OpDesc490</t>
  </si>
  <si>
    <t>OpDesc491</t>
  </si>
  <si>
    <t>OpDesc492</t>
  </si>
  <si>
    <t>OpDesc493</t>
  </si>
  <si>
    <t>OpDesc494</t>
  </si>
  <si>
    <t>OpDesc495</t>
  </si>
  <si>
    <t>OpDesc496</t>
  </si>
  <si>
    <t>OpDesc497</t>
  </si>
  <si>
    <t>OpDesc498</t>
  </si>
  <si>
    <t>OpDesc499</t>
  </si>
  <si>
    <t>OpDesc500</t>
  </si>
  <si>
    <t>OpDesc501</t>
  </si>
  <si>
    <t>OpDesc502</t>
  </si>
  <si>
    <t>OpDesc503</t>
  </si>
  <si>
    <t>OpDesc504</t>
  </si>
  <si>
    <t>OpDesc505</t>
  </si>
  <si>
    <t>OpDesc506</t>
  </si>
  <si>
    <t>OpDesc507</t>
  </si>
  <si>
    <t>OpDesc508</t>
  </si>
  <si>
    <t>OpDesc509</t>
  </si>
  <si>
    <t>OpDesc510</t>
  </si>
  <si>
    <t>OpDesc511</t>
  </si>
  <si>
    <t>OpDesc512</t>
  </si>
  <si>
    <t>OpDesc513</t>
  </si>
  <si>
    <t>OpDesc514</t>
  </si>
  <si>
    <t>OpDesc515</t>
  </si>
  <si>
    <t>OpDesc516</t>
  </si>
  <si>
    <t>OpDesc517</t>
  </si>
  <si>
    <t>OpDesc518</t>
  </si>
  <si>
    <t>OpDesc519</t>
  </si>
  <si>
    <t>OpDesc520</t>
  </si>
  <si>
    <t>OpDesc521</t>
  </si>
  <si>
    <t>OpDesc522</t>
  </si>
  <si>
    <t>OpDesc523</t>
  </si>
  <si>
    <t>OpDesc524</t>
  </si>
  <si>
    <t>OpDesc525</t>
  </si>
  <si>
    <t>OpDesc526</t>
  </si>
  <si>
    <t>OpDesc527</t>
  </si>
  <si>
    <t>OpDesc528</t>
  </si>
  <si>
    <t>OpDesc529</t>
  </si>
  <si>
    <t>OpDesc530</t>
  </si>
  <si>
    <t>OpDesc531</t>
  </si>
  <si>
    <t>OpDesc532</t>
  </si>
  <si>
    <t>OpDesc533</t>
  </si>
  <si>
    <t>OpDesc534</t>
  </si>
  <si>
    <t>OpDesc535</t>
  </si>
  <si>
    <t>OpDesc536</t>
  </si>
  <si>
    <t>OpDesc537</t>
  </si>
  <si>
    <t>OpDesc538</t>
  </si>
  <si>
    <t>OpDesc539</t>
  </si>
  <si>
    <t>OpDesc540</t>
  </si>
  <si>
    <t>OpDesc541</t>
  </si>
  <si>
    <t>OpDesc542</t>
  </si>
  <si>
    <t>OpDesc543</t>
  </si>
  <si>
    <t>OpDesc544</t>
  </si>
  <si>
    <t>OpDesc545</t>
  </si>
  <si>
    <t>OpDesc546</t>
  </si>
  <si>
    <t>OpDesc547</t>
  </si>
  <si>
    <t>OpDesc548</t>
  </si>
  <si>
    <t>OpDesc549</t>
  </si>
  <si>
    <t>OpDesc550</t>
  </si>
  <si>
    <t>OpDesc551</t>
  </si>
  <si>
    <t>OpDesc552</t>
  </si>
  <si>
    <t>OpDesc553</t>
  </si>
  <si>
    <t>OpDesc554</t>
  </si>
  <si>
    <t>OpDesc555</t>
  </si>
  <si>
    <t>OpDesc556</t>
  </si>
  <si>
    <t>OpDesc557</t>
  </si>
  <si>
    <t>OpDesc558</t>
  </si>
  <si>
    <t>OpDesc559</t>
  </si>
  <si>
    <t>OpDesc560</t>
  </si>
  <si>
    <t>OpDesc561</t>
  </si>
  <si>
    <t>OpDesc562</t>
  </si>
  <si>
    <t>Facility1</t>
  </si>
  <si>
    <t>Facility2</t>
  </si>
  <si>
    <t>Facility3</t>
  </si>
  <si>
    <t>Facility4</t>
  </si>
  <si>
    <t>Facility5</t>
  </si>
  <si>
    <t>Facility6</t>
  </si>
  <si>
    <t>Facility7</t>
  </si>
  <si>
    <t>Facility8</t>
  </si>
  <si>
    <t>Facility9</t>
  </si>
  <si>
    <t>Facility10</t>
  </si>
  <si>
    <t>Facility11</t>
  </si>
  <si>
    <t>Facility12</t>
  </si>
  <si>
    <t>Facility13</t>
  </si>
  <si>
    <t>Facility14</t>
  </si>
  <si>
    <t>Facility15</t>
  </si>
  <si>
    <t>Facility16</t>
  </si>
  <si>
    <t>Facility17</t>
  </si>
  <si>
    <t>Facility18</t>
  </si>
  <si>
    <t>Facility19</t>
  </si>
  <si>
    <t>Facility20</t>
  </si>
  <si>
    <t>Facility21</t>
  </si>
  <si>
    <t>Facility22</t>
  </si>
  <si>
    <t>Facility23</t>
  </si>
  <si>
    <t>Facility24</t>
  </si>
  <si>
    <t>Facility25</t>
  </si>
  <si>
    <t>Facility26</t>
  </si>
  <si>
    <t>Facility27</t>
  </si>
  <si>
    <t>Facility28</t>
  </si>
  <si>
    <t>Facility29</t>
  </si>
  <si>
    <t>Facility30</t>
  </si>
  <si>
    <t>Facility31</t>
  </si>
  <si>
    <t>Facility32</t>
  </si>
  <si>
    <t>Facility33</t>
  </si>
  <si>
    <t>Facility34</t>
  </si>
  <si>
    <t>Facility35</t>
  </si>
  <si>
    <t>Facility36</t>
  </si>
  <si>
    <t>Facility37</t>
  </si>
  <si>
    <t>Facility38</t>
  </si>
  <si>
    <t>Facility39</t>
  </si>
  <si>
    <t>Facility40</t>
  </si>
  <si>
    <t>Facility41</t>
  </si>
  <si>
    <t>Facility42</t>
  </si>
  <si>
    <t>Facility43</t>
  </si>
  <si>
    <t>Facility44</t>
  </si>
  <si>
    <t>Facility45</t>
  </si>
  <si>
    <t>Facility46</t>
  </si>
  <si>
    <t>Facility47</t>
  </si>
  <si>
    <t>Facility48</t>
  </si>
  <si>
    <t>Facility49</t>
  </si>
  <si>
    <t>Facility50</t>
  </si>
  <si>
    <t>Facility51</t>
  </si>
  <si>
    <t>Facility52</t>
  </si>
  <si>
    <t>Facility53</t>
  </si>
  <si>
    <t>Facility54</t>
  </si>
  <si>
    <t>Facility55</t>
  </si>
  <si>
    <t>Facility56</t>
  </si>
  <si>
    <t>Facility57</t>
  </si>
  <si>
    <t>Facility58</t>
  </si>
  <si>
    <t>Facility59</t>
  </si>
  <si>
    <t>Facility60</t>
  </si>
  <si>
    <t>Facility61</t>
  </si>
  <si>
    <t>Facility62</t>
  </si>
  <si>
    <t>Facility63</t>
  </si>
  <si>
    <t>Facility64</t>
  </si>
  <si>
    <t>Facility65</t>
  </si>
  <si>
    <t>Facility66</t>
  </si>
  <si>
    <t>Facility67</t>
  </si>
  <si>
    <t>Facility68</t>
  </si>
  <si>
    <t>Facility69</t>
  </si>
  <si>
    <t>Facility70</t>
  </si>
  <si>
    <t>Facility71</t>
  </si>
  <si>
    <t>Facility72</t>
  </si>
  <si>
    <t>Facility73</t>
  </si>
  <si>
    <t>Facility74</t>
  </si>
  <si>
    <t>Facility75</t>
  </si>
  <si>
    <t>Facility76</t>
  </si>
  <si>
    <t>Facility77</t>
  </si>
  <si>
    <t>Facility78</t>
  </si>
  <si>
    <t>Facility79</t>
  </si>
  <si>
    <t>Facility80</t>
  </si>
  <si>
    <t>Facility81</t>
  </si>
  <si>
    <t>Facility82</t>
  </si>
  <si>
    <t>Facility83</t>
  </si>
  <si>
    <t>Facility84</t>
  </si>
  <si>
    <t>Facility85</t>
  </si>
  <si>
    <t>Facility86</t>
  </si>
  <si>
    <t>Facility87</t>
  </si>
  <si>
    <t>Facility88</t>
  </si>
  <si>
    <t>Facility89</t>
  </si>
  <si>
    <t>Facility90</t>
  </si>
  <si>
    <t>Facility91</t>
  </si>
  <si>
    <t>Facility92</t>
  </si>
  <si>
    <t>Facility93</t>
  </si>
  <si>
    <t>Facility94</t>
  </si>
  <si>
    <t>Facility95</t>
  </si>
  <si>
    <t>Facility96</t>
  </si>
  <si>
    <t>Facility97</t>
  </si>
  <si>
    <t>Facility98</t>
  </si>
  <si>
    <t>Facility99</t>
  </si>
  <si>
    <t>Facility100</t>
  </si>
  <si>
    <t>Facility101</t>
  </si>
  <si>
    <t>Facility102</t>
  </si>
  <si>
    <t>Facility103</t>
  </si>
  <si>
    <t>Facility104</t>
  </si>
  <si>
    <t>Facility105</t>
  </si>
  <si>
    <t>Facility106</t>
  </si>
  <si>
    <t>Facility107</t>
  </si>
  <si>
    <t>Facility108</t>
  </si>
  <si>
    <t>Facility109</t>
  </si>
  <si>
    <t>Facility110</t>
  </si>
  <si>
    <t>Facility111</t>
  </si>
  <si>
    <t>Facility112</t>
  </si>
  <si>
    <t>Facility113</t>
  </si>
  <si>
    <t>Facility114</t>
  </si>
  <si>
    <t>Facility115</t>
  </si>
  <si>
    <t>Facility116</t>
  </si>
  <si>
    <t>Facility117</t>
  </si>
  <si>
    <t>Facility118</t>
  </si>
  <si>
    <t>Facility119</t>
  </si>
  <si>
    <t>Facility120</t>
  </si>
  <si>
    <t>Facility121</t>
  </si>
  <si>
    <t>Facility122</t>
  </si>
  <si>
    <t>Facility123</t>
  </si>
  <si>
    <t>Facility124</t>
  </si>
  <si>
    <t>Facility125</t>
  </si>
  <si>
    <t>Facility126</t>
  </si>
  <si>
    <t>Facility127</t>
  </si>
  <si>
    <t>Facility128</t>
  </si>
  <si>
    <t>Facility129</t>
  </si>
  <si>
    <t>Facility130</t>
  </si>
  <si>
    <t>Facility131</t>
  </si>
  <si>
    <t>Facility132</t>
  </si>
  <si>
    <t>Facility133</t>
  </si>
  <si>
    <t>Item1126</t>
  </si>
  <si>
    <t>Item1127</t>
  </si>
  <si>
    <t>Item1128</t>
  </si>
  <si>
    <t>Item1129</t>
  </si>
  <si>
    <t>Item1130</t>
  </si>
  <si>
    <t>Item1131</t>
  </si>
  <si>
    <t>Item1132</t>
  </si>
  <si>
    <t>Item1133</t>
  </si>
  <si>
    <t>Item1134</t>
  </si>
  <si>
    <t>Item1135</t>
  </si>
  <si>
    <t>Item1136</t>
  </si>
  <si>
    <t>Item1137</t>
  </si>
  <si>
    <t>Item1138</t>
  </si>
  <si>
    <t>Item1139</t>
  </si>
  <si>
    <t>Item1140</t>
  </si>
  <si>
    <t>Item1141</t>
  </si>
  <si>
    <t>Item1142</t>
  </si>
  <si>
    <t>Item1143</t>
  </si>
  <si>
    <t>Item1144</t>
  </si>
  <si>
    <t>Item1145</t>
  </si>
  <si>
    <t>Item1146</t>
  </si>
  <si>
    <t>Item1147</t>
  </si>
  <si>
    <t>Item1148</t>
  </si>
  <si>
    <t>Item1149</t>
  </si>
  <si>
    <t>Item1150</t>
  </si>
  <si>
    <t>Item1151</t>
  </si>
  <si>
    <t>Item1152</t>
  </si>
  <si>
    <t>Item1153</t>
  </si>
  <si>
    <t>Item1154</t>
  </si>
  <si>
    <t>Item1155</t>
  </si>
  <si>
    <t>Item1156</t>
  </si>
  <si>
    <t>Item1157</t>
  </si>
  <si>
    <t>Item1158</t>
  </si>
  <si>
    <t>Item1159</t>
  </si>
  <si>
    <t>Item1160</t>
  </si>
  <si>
    <t>Item1161</t>
  </si>
  <si>
    <t>Item1162</t>
  </si>
  <si>
    <t>Item1163</t>
  </si>
  <si>
    <t>Item1164</t>
  </si>
  <si>
    <t>Item1165</t>
  </si>
  <si>
    <t>Item1166</t>
  </si>
  <si>
    <t>Item1167</t>
  </si>
  <si>
    <t>Item1168</t>
  </si>
  <si>
    <t>Item1169</t>
  </si>
  <si>
    <t>Item1170</t>
  </si>
  <si>
    <t>Item1171</t>
  </si>
  <si>
    <t>Item1172</t>
  </si>
  <si>
    <t>Item1173</t>
  </si>
  <si>
    <t>Item1174</t>
  </si>
  <si>
    <t>Item1175</t>
  </si>
  <si>
    <t>Item1176</t>
  </si>
  <si>
    <t>Item1177</t>
  </si>
  <si>
    <t>Item1178</t>
  </si>
  <si>
    <t>Item1179</t>
  </si>
  <si>
    <t>Item1180</t>
  </si>
  <si>
    <t>Item1181</t>
  </si>
  <si>
    <t>Item1182</t>
  </si>
  <si>
    <t>Item1183</t>
  </si>
  <si>
    <t>Item1184</t>
  </si>
  <si>
    <t>Item1185</t>
  </si>
  <si>
    <t>OpDesc563</t>
  </si>
  <si>
    <t>OpDesc564</t>
  </si>
  <si>
    <t>OpDesc565</t>
  </si>
  <si>
    <t>OpDesc566</t>
  </si>
  <si>
    <t>OpDesc568</t>
  </si>
  <si>
    <t>OpDesc569</t>
  </si>
  <si>
    <t>OpDesc570</t>
  </si>
  <si>
    <t>OpDesc571</t>
  </si>
  <si>
    <t>OpDesc572</t>
  </si>
  <si>
    <t>OpDesc574</t>
  </si>
  <si>
    <t>OpDesc576</t>
  </si>
  <si>
    <t>OpDesc577</t>
  </si>
  <si>
    <t>OpDesc578</t>
  </si>
  <si>
    <t>OpDesc579</t>
  </si>
  <si>
    <t>OpDesc580</t>
  </si>
  <si>
    <t>OpDesc581</t>
  </si>
  <si>
    <t>OpDesc583</t>
  </si>
  <si>
    <t>OpDesc584</t>
  </si>
  <si>
    <t>OpDesc585</t>
  </si>
  <si>
    <t>OpDesc587</t>
  </si>
  <si>
    <t>OpDesc588</t>
  </si>
  <si>
    <t>OpDesc589</t>
  </si>
  <si>
    <t>OpDesc591</t>
  </si>
  <si>
    <t>OpDesc593</t>
  </si>
  <si>
    <t>OpDesc595</t>
  </si>
  <si>
    <t>OpDesc596</t>
  </si>
  <si>
    <t>OpDesc597</t>
  </si>
  <si>
    <t>OpDesc599</t>
  </si>
  <si>
    <t>OpDesc600</t>
  </si>
  <si>
    <t>OpDesc601</t>
  </si>
  <si>
    <t>OpDesc602</t>
  </si>
  <si>
    <t>OpDesc603</t>
  </si>
  <si>
    <t>OpDesc604</t>
  </si>
  <si>
    <t>OpDesc605</t>
  </si>
  <si>
    <t>OpDesc606</t>
  </si>
  <si>
    <t>OpDesc607</t>
  </si>
  <si>
    <t>OpDesc609</t>
  </si>
  <si>
    <t>OpDesc611</t>
  </si>
  <si>
    <t>OpDesc612</t>
  </si>
  <si>
    <t>OpDesc613</t>
  </si>
  <si>
    <t>OpDesc614</t>
  </si>
  <si>
    <t>OpDesc615</t>
  </si>
  <si>
    <t>OpDesc616</t>
  </si>
  <si>
    <t>OpDesc617</t>
  </si>
  <si>
    <t>OpDesc618</t>
  </si>
  <si>
    <t>OpDesc619</t>
  </si>
  <si>
    <t>OpDesc620</t>
  </si>
  <si>
    <t>OpDesc621</t>
  </si>
  <si>
    <t>OpDesc623</t>
  </si>
  <si>
    <t>OpDesc625</t>
  </si>
  <si>
    <t>OpDesc627</t>
  </si>
  <si>
    <t>OpDesc628</t>
  </si>
  <si>
    <t>OpDesc629</t>
  </si>
  <si>
    <t>OpDesc630</t>
  </si>
  <si>
    <t>OpDesc632</t>
  </si>
  <si>
    <t>DeptA</t>
  </si>
  <si>
    <t>DeptB</t>
  </si>
  <si>
    <t>DeptC</t>
  </si>
  <si>
    <t>DeptD</t>
  </si>
  <si>
    <t>DeptE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</si>
</sst>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 0;\-0;;@"/>
    <numFmt numFmtId="165" formatCode="&quot;$&quot;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000000"/>
      <name val="Arial"/>
      <family val="2"/>
    </font>
    <font>
      <sz val="12"/>
      <color theme="1"/>
      <name val="Arial Narrow"/>
      <family val="2"/>
    </font>
    <font>
      <b/>
      <sz val="8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2" borderId="1" xfId="0" applyFont="1" applyFill="1" applyBorder="1"/>
    <xf numFmtId="14" fontId="3" fillId="2" borderId="1" xfId="0" applyNumberFormat="1" applyFont="1" applyFill="1" applyBorder="1"/>
    <xf numFmtId="0" fontId="0" fillId="2" borderId="1" xfId="0" applyFill="1" applyBorder="1"/>
    <xf numFmtId="14" fontId="0" fillId="2" borderId="1" xfId="0" applyNumberFormat="1" applyFill="1" applyBorder="1"/>
    <xf numFmtId="2" fontId="0" fillId="2" borderId="1" xfId="0" applyNumberFormat="1" applyFill="1" applyBorder="1"/>
    <xf numFmtId="164" fontId="3" fillId="3" borderId="1" xfId="0" applyNumberFormat="1" applyFont="1" applyFill="1" applyBorder="1"/>
    <xf numFmtId="164" fontId="3" fillId="4" borderId="1" xfId="0" applyNumberFormat="1" applyFont="1" applyFill="1" applyBorder="1"/>
    <xf numFmtId="164" fontId="0" fillId="3" borderId="1" xfId="0" applyNumberFormat="1" applyFill="1" applyBorder="1"/>
    <xf numFmtId="164" fontId="0" fillId="4" borderId="1" xfId="0" applyNumberFormat="1" applyFill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0" xfId="0" applyFont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6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7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14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64" fontId="3" fillId="0" borderId="21" xfId="0" applyNumberFormat="1" applyFont="1" applyFill="1" applyBorder="1"/>
    <xf numFmtId="0" fontId="4" fillId="0" borderId="1" xfId="0" applyFont="1" applyBorder="1" applyAlignment="1">
      <alignment horizontal="center" wrapText="1"/>
    </xf>
    <xf numFmtId="0" fontId="4" fillId="0" borderId="0" xfId="0" applyFont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14" fontId="4" fillId="0" borderId="1" xfId="0" applyNumberFormat="1" applyFont="1" applyBorder="1" applyAlignment="1">
      <alignment horizontal="center" wrapText="1"/>
    </xf>
    <xf numFmtId="0" fontId="4" fillId="5" borderId="1" xfId="0" applyFont="1" applyFill="1" applyBorder="1" applyAlignment="1">
      <alignment horizontal="center" wrapText="1"/>
    </xf>
    <xf numFmtId="0" fontId="4" fillId="0" borderId="1" xfId="0" quotePrefix="1" applyFont="1" applyBorder="1" applyAlignment="1">
      <alignment horizontal="center" wrapText="1"/>
    </xf>
    <xf numFmtId="0" fontId="4" fillId="7" borderId="1" xfId="0" applyFont="1" applyFill="1" applyBorder="1" applyAlignment="1">
      <alignment horizontal="center" wrapText="1"/>
    </xf>
    <xf numFmtId="0" fontId="4" fillId="0" borderId="15" xfId="0" applyFont="1" applyBorder="1" applyAlignment="1">
      <alignment horizontal="left"/>
    </xf>
    <xf numFmtId="0" fontId="4" fillId="0" borderId="16" xfId="0" applyFont="1" applyBorder="1" applyAlignment="1">
      <alignment horizontal="left"/>
    </xf>
    <xf numFmtId="0" fontId="4" fillId="0" borderId="17" xfId="0" applyFont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0"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- Variance.xlsm]Total Pivot!PivotTable13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Top 5 Negative Total Variance Last 60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Pivot'!$F$7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'Total Pivot'!$E$8:$E$18</c:f>
              <c:multiLvlStrCache>
                <c:ptCount val="5"/>
                <c:lvl>
                  <c:pt idx="0">
                    <c:v>Item1175</c:v>
                  </c:pt>
                  <c:pt idx="1">
                    <c:v>Item1148</c:v>
                  </c:pt>
                  <c:pt idx="2">
                    <c:v>Item1153</c:v>
                  </c:pt>
                  <c:pt idx="3">
                    <c:v>Item1172</c:v>
                  </c:pt>
                  <c:pt idx="4">
                    <c:v>Item124</c:v>
                  </c:pt>
                </c:lvl>
                <c:lvl>
                  <c:pt idx="0">
                    <c:v>MO16160</c:v>
                  </c:pt>
                  <c:pt idx="1">
                    <c:v>MO14890</c:v>
                  </c:pt>
                  <c:pt idx="2">
                    <c:v>MO15290</c:v>
                  </c:pt>
                  <c:pt idx="3">
                    <c:v>MO16420</c:v>
                  </c:pt>
                  <c:pt idx="4">
                    <c:v>MO16080</c:v>
                  </c:pt>
                </c:lvl>
              </c:multiLvlStrCache>
            </c:multiLvlStrRef>
          </c:cat>
          <c:val>
            <c:numRef>
              <c:f>'Total Pivot'!$F$8:$F$18</c:f>
              <c:numCache>
                <c:formatCode>"$"#,##0.00</c:formatCode>
                <c:ptCount val="5"/>
                <c:pt idx="0">
                  <c:v>-2635</c:v>
                </c:pt>
                <c:pt idx="1">
                  <c:v>-2190</c:v>
                </c:pt>
                <c:pt idx="2">
                  <c:v>-1790</c:v>
                </c:pt>
                <c:pt idx="3">
                  <c:v>-1620</c:v>
                </c:pt>
                <c:pt idx="4">
                  <c:v>-990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0-45BA-935A-BAF7E5882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53559"/>
        <c:axId val="75856799"/>
      </c:barChart>
      <c:catAx>
        <c:axId val="75853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56799"/>
        <c:crosses val="autoZero"/>
        <c:auto val="1"/>
        <c:lblAlgn val="ctr"/>
        <c:lblOffset val="100"/>
        <c:noMultiLvlLbl val="0"/>
      </c:catAx>
      <c:valAx>
        <c:axId val="758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53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- Variance.xlsm]Total Pivot!PivotTable10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Top 5 Positive Total Variance Last 60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Pivot'!$B$7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'Total Pivot'!$A$8:$A$18</c:f>
              <c:multiLvlStrCache>
                <c:ptCount val="5"/>
                <c:lvl>
                  <c:pt idx="0">
                    <c:v>Item1130</c:v>
                  </c:pt>
                  <c:pt idx="1">
                    <c:v>Item1131</c:v>
                  </c:pt>
                  <c:pt idx="2">
                    <c:v>Item1132</c:v>
                  </c:pt>
                  <c:pt idx="3">
                    <c:v>Item1160</c:v>
                  </c:pt>
                  <c:pt idx="4">
                    <c:v>Item1165</c:v>
                  </c:pt>
                </c:lvl>
                <c:lvl>
                  <c:pt idx="0">
                    <c:v>MO10710</c:v>
                  </c:pt>
                  <c:pt idx="1">
                    <c:v>MO11390</c:v>
                  </c:pt>
                  <c:pt idx="2">
                    <c:v>MO12550</c:v>
                  </c:pt>
                  <c:pt idx="3">
                    <c:v>MO15440</c:v>
                  </c:pt>
                  <c:pt idx="4">
                    <c:v>MO15840</c:v>
                  </c:pt>
                </c:lvl>
              </c:multiLvlStrCache>
            </c:multiLvlStrRef>
          </c:cat>
          <c:val>
            <c:numRef>
              <c:f>'Total Pivot'!$B$8:$B$18</c:f>
              <c:numCache>
                <c:formatCode>"$"#,##0.00</c:formatCode>
                <c:ptCount val="5"/>
                <c:pt idx="0">
                  <c:v>17310</c:v>
                </c:pt>
                <c:pt idx="1">
                  <c:v>5505</c:v>
                </c:pt>
                <c:pt idx="2">
                  <c:v>1080</c:v>
                </c:pt>
                <c:pt idx="3">
                  <c:v>1075</c:v>
                </c:pt>
                <c:pt idx="4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A-4D81-819D-5468121D6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36639"/>
        <c:axId val="75828719"/>
      </c:barChart>
      <c:catAx>
        <c:axId val="7583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8719"/>
        <c:crosses val="autoZero"/>
        <c:auto val="1"/>
        <c:lblAlgn val="ctr"/>
        <c:lblOffset val="100"/>
        <c:noMultiLvlLbl val="0"/>
      </c:catAx>
      <c:valAx>
        <c:axId val="758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3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- Variance.xlsm]Matl Pivot!PivotTable7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Top 5 Positive Matl Variance Last 60 Days</a:t>
            </a:r>
          </a:p>
        </c:rich>
      </c:tx>
      <c:layout>
        <c:manualLayout>
          <c:xMode val="edge"/>
          <c:yMode val="edge"/>
          <c:x val="0.17759002768132465"/>
          <c:y val="0.134069798188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'Matl Pivot'!$B$7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'Matl Pivot'!$A$8:$A$18</c:f>
              <c:multiLvlStrCache>
                <c:ptCount val="5"/>
                <c:lvl>
                  <c:pt idx="0">
                    <c:v>Item1131</c:v>
                  </c:pt>
                  <c:pt idx="1">
                    <c:v>Item1160</c:v>
                  </c:pt>
                  <c:pt idx="2">
                    <c:v>Item1130</c:v>
                  </c:pt>
                  <c:pt idx="3">
                    <c:v>Item1172</c:v>
                  </c:pt>
                  <c:pt idx="4">
                    <c:v>Item501</c:v>
                  </c:pt>
                </c:lvl>
                <c:lvl>
                  <c:pt idx="0">
                    <c:v>MO11390</c:v>
                  </c:pt>
                  <c:pt idx="1">
                    <c:v>MO15440</c:v>
                  </c:pt>
                  <c:pt idx="2">
                    <c:v>MO10710</c:v>
                  </c:pt>
                  <c:pt idx="3">
                    <c:v>MO16420</c:v>
                  </c:pt>
                  <c:pt idx="4">
                    <c:v>MO14670</c:v>
                  </c:pt>
                </c:lvl>
              </c:multiLvlStrCache>
            </c:multiLvlStrRef>
          </c:cat>
          <c:val>
            <c:numRef>
              <c:f>'Matl Pivot'!$B$8:$B$18</c:f>
              <c:numCache>
                <c:formatCode>"$"#,##0.00</c:formatCode>
                <c:ptCount val="5"/>
                <c:pt idx="0">
                  <c:v>837</c:v>
                </c:pt>
                <c:pt idx="1">
                  <c:v>515</c:v>
                </c:pt>
                <c:pt idx="2">
                  <c:v>90</c:v>
                </c:pt>
                <c:pt idx="3">
                  <c:v>80</c:v>
                </c:pt>
                <c:pt idx="4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56-4DA3-976F-8D4EFE34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53919"/>
        <c:axId val="75851399"/>
      </c:barChart>
      <c:catAx>
        <c:axId val="7585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51399"/>
        <c:crosses val="autoZero"/>
        <c:auto val="1"/>
        <c:lblAlgn val="ctr"/>
        <c:lblOffset val="100"/>
        <c:noMultiLvlLbl val="0"/>
      </c:catAx>
      <c:valAx>
        <c:axId val="75851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53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- Variance.xlsm]Matl Pivot!PivotTable8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Top 5 Negative Matl Variance Last 60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'Matl Pivot'!$H$7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'Matl Pivot'!$G$8:$G$16</c:f>
              <c:multiLvlStrCache>
                <c:ptCount val="4"/>
                <c:lvl>
                  <c:pt idx="0">
                    <c:v>Item1134</c:v>
                  </c:pt>
                  <c:pt idx="1">
                    <c:v>Item1183</c:v>
                  </c:pt>
                  <c:pt idx="2">
                    <c:v>Item720</c:v>
                  </c:pt>
                  <c:pt idx="3">
                    <c:v>Item1176</c:v>
                  </c:pt>
                </c:lvl>
                <c:lvl>
                  <c:pt idx="0">
                    <c:v>MO13240</c:v>
                  </c:pt>
                  <c:pt idx="1">
                    <c:v>MO16950</c:v>
                  </c:pt>
                  <c:pt idx="2">
                    <c:v>MO13630</c:v>
                  </c:pt>
                  <c:pt idx="3">
                    <c:v>MO16170</c:v>
                  </c:pt>
                </c:lvl>
              </c:multiLvlStrCache>
            </c:multiLvlStrRef>
          </c:cat>
          <c:val>
            <c:numRef>
              <c:f>'Matl Pivot'!$H$8:$H$16</c:f>
              <c:numCache>
                <c:formatCode>"$"#,##0.00</c:formatCode>
                <c:ptCount val="4"/>
                <c:pt idx="0">
                  <c:v>-115</c:v>
                </c:pt>
                <c:pt idx="1">
                  <c:v>-25</c:v>
                </c:pt>
                <c:pt idx="2">
                  <c:v>-16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2-4342-85CA-55DE6911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3974183"/>
        <c:axId val="343972023"/>
      </c:barChart>
      <c:catAx>
        <c:axId val="343974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72023"/>
        <c:crosses val="autoZero"/>
        <c:auto val="1"/>
        <c:lblAlgn val="ctr"/>
        <c:lblOffset val="100"/>
        <c:noMultiLvlLbl val="0"/>
      </c:catAx>
      <c:valAx>
        <c:axId val="343972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74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- Variance.xlsm]Labor Pivot!PivotTable4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Top 5 Positive Labor Variance Last 60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'Labor Pivot'!$B$7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'Labor Pivot'!$A$8:$A$18</c:f>
              <c:multiLvlStrCache>
                <c:ptCount val="5"/>
                <c:lvl>
                  <c:pt idx="0">
                    <c:v>Item837</c:v>
                  </c:pt>
                  <c:pt idx="1">
                    <c:v>Item1131</c:v>
                  </c:pt>
                  <c:pt idx="2">
                    <c:v>Item837</c:v>
                  </c:pt>
                  <c:pt idx="3">
                    <c:v>Item837</c:v>
                  </c:pt>
                  <c:pt idx="4">
                    <c:v>Item1177</c:v>
                  </c:pt>
                </c:lvl>
                <c:lvl>
                  <c:pt idx="0">
                    <c:v>MO13050</c:v>
                  </c:pt>
                  <c:pt idx="1">
                    <c:v>MO11390</c:v>
                  </c:pt>
                  <c:pt idx="2">
                    <c:v>MO13040</c:v>
                  </c:pt>
                  <c:pt idx="3">
                    <c:v>MO15480</c:v>
                  </c:pt>
                  <c:pt idx="4">
                    <c:v>MO16190</c:v>
                  </c:pt>
                </c:lvl>
              </c:multiLvlStrCache>
            </c:multiLvlStrRef>
          </c:cat>
          <c:val>
            <c:numRef>
              <c:f>'Labor Pivot'!$B$8:$B$18</c:f>
              <c:numCache>
                <c:formatCode>"$"#,##0.00</c:formatCode>
                <c:ptCount val="5"/>
                <c:pt idx="0">
                  <c:v>1805</c:v>
                </c:pt>
                <c:pt idx="1">
                  <c:v>1740</c:v>
                </c:pt>
                <c:pt idx="2">
                  <c:v>1670</c:v>
                </c:pt>
                <c:pt idx="3">
                  <c:v>1285</c:v>
                </c:pt>
                <c:pt idx="4">
                  <c:v>1220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2-4109-86E2-9D4692E78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714800"/>
        <c:axId val="445703640"/>
      </c:barChart>
      <c:catAx>
        <c:axId val="44571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03640"/>
        <c:crosses val="autoZero"/>
        <c:auto val="1"/>
        <c:lblAlgn val="ctr"/>
        <c:lblOffset val="100"/>
        <c:noMultiLvlLbl val="0"/>
      </c:catAx>
      <c:valAx>
        <c:axId val="44570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- Variance.xlsm]Labor Pivot!PivotTable6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Top 5 Negative Labor Variance Last 60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'Labor Pivot'!$F$7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'Labor Pivot'!$E$8:$E$20</c:f>
              <c:multiLvlStrCache>
                <c:ptCount val="6"/>
                <c:lvl>
                  <c:pt idx="0">
                    <c:v>Item1155</c:v>
                  </c:pt>
                  <c:pt idx="1">
                    <c:v>Item1174</c:v>
                  </c:pt>
                  <c:pt idx="2">
                    <c:v>Item1167</c:v>
                  </c:pt>
                  <c:pt idx="3">
                    <c:v>Item882</c:v>
                  </c:pt>
                  <c:pt idx="4">
                    <c:v>Item840</c:v>
                  </c:pt>
                  <c:pt idx="5">
                    <c:v>Item1165</c:v>
                  </c:pt>
                </c:lvl>
                <c:lvl>
                  <c:pt idx="0">
                    <c:v>MO15330</c:v>
                  </c:pt>
                  <c:pt idx="1">
                    <c:v>MO18050</c:v>
                  </c:pt>
                  <c:pt idx="2">
                    <c:v>MO15800</c:v>
                  </c:pt>
                  <c:pt idx="3">
                    <c:v>MO15760</c:v>
                  </c:pt>
                  <c:pt idx="4">
                    <c:v>MO15190</c:v>
                  </c:pt>
                  <c:pt idx="5">
                    <c:v>MO15780</c:v>
                  </c:pt>
                </c:lvl>
              </c:multiLvlStrCache>
            </c:multiLvlStrRef>
          </c:cat>
          <c:val>
            <c:numRef>
              <c:f>'Labor Pivot'!$F$8:$F$20</c:f>
              <c:numCache>
                <c:formatCode>"$"#,##0.00</c:formatCode>
                <c:ptCount val="6"/>
                <c:pt idx="0">
                  <c:v>-15</c:v>
                </c:pt>
                <c:pt idx="1">
                  <c:v>-15</c:v>
                </c:pt>
                <c:pt idx="2">
                  <c:v>-15</c:v>
                </c:pt>
                <c:pt idx="3">
                  <c:v>-10</c:v>
                </c:pt>
                <c:pt idx="4">
                  <c:v>-10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A-484B-949A-323BEE1A0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471136"/>
        <c:axId val="962637384"/>
      </c:barChart>
      <c:catAx>
        <c:axId val="57747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637384"/>
        <c:crosses val="autoZero"/>
        <c:auto val="1"/>
        <c:lblAlgn val="ctr"/>
        <c:lblOffset val="100"/>
        <c:noMultiLvlLbl val="0"/>
      </c:catAx>
      <c:valAx>
        <c:axId val="96263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7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587374</xdr:colOff>
      <xdr:row>3</xdr:row>
      <xdr:rowOff>7936</xdr:rowOff>
    </xdr:from>
    <xdr:to>
      <xdr:col>15</xdr:col>
      <xdr:colOff>55561</xdr:colOff>
      <xdr:row>25</xdr:row>
      <xdr:rowOff>7936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2D5FA-064E-46A9-8B0E-D98B950D6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198437</xdr:rowOff>
    </xdr:from>
    <xdr:to>
      <xdr:col>7</xdr:col>
      <xdr:colOff>579438</xdr:colOff>
      <xdr:row>24</xdr:row>
      <xdr:rowOff>198437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66284-427E-4AC1-99DE-1D23017FD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17318</xdr:colOff>
      <xdr:row>3</xdr:row>
      <xdr:rowOff>8659</xdr:rowOff>
    </xdr:from>
    <xdr:to>
      <xdr:col>8</xdr:col>
      <xdr:colOff>34637</xdr:colOff>
      <xdr:row>24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D0F610-F405-4A82-91F1-5C5F93F8E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51955</xdr:colOff>
      <xdr:row>2</xdr:row>
      <xdr:rowOff>199158</xdr:rowOff>
    </xdr:from>
    <xdr:to>
      <xdr:col>14</xdr:col>
      <xdr:colOff>562841</xdr:colOff>
      <xdr:row>24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AC87BA-0CD3-4FE1-9F0F-AD8A79B6C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8</xdr:col>
      <xdr:colOff>25978</xdr:colOff>
      <xdr:row>24</xdr:row>
      <xdr:rowOff>181841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6D6877-D634-407C-96D8-7CBF78576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77932</xdr:colOff>
      <xdr:row>2</xdr:row>
      <xdr:rowOff>173181</xdr:rowOff>
    </xdr:from>
    <xdr:to>
      <xdr:col>14</xdr:col>
      <xdr:colOff>588818</xdr:colOff>
      <xdr:row>25</xdr:row>
      <xdr:rowOff>17317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BAF8FF-F981-43FA-B597-DCE8C8CE5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ie Vella" refreshedDate="45895.677489930553" createdVersion="8" refreshedVersion="8" minRefreshableVersion="3" recordCount="695" xr:uid="{81BB4107-161D-4668-82BA-240FF9DFE338}">
  <cacheSource type="worksheet">
    <worksheetSource ref="A1:N1048576" sheet="Calculations"/>
  </cacheSource>
  <cacheFields count="14">
    <cacheField name="MO" numFmtId="0">
      <sharedItems containsBlank="1" count="317">
        <s v="MO10600"/>
        <s v="MO10630"/>
        <s v="MO10670"/>
        <s v="MO10690"/>
        <s v="MO10710"/>
        <s v="MO11390"/>
        <s v="MO11600"/>
        <s v="MO11610"/>
        <s v="MO11620"/>
        <s v="MO11630"/>
        <s v="MO11640"/>
        <s v="MO11820"/>
        <s v="MO11840"/>
        <s v="MO11850"/>
        <s v="MO11860"/>
        <s v="MO12270"/>
        <s v="MO12550"/>
        <s v="MO12570"/>
        <s v="MO12580"/>
        <s v="MO12590"/>
        <s v="MO12600"/>
        <s v="MO12650"/>
        <s v="MO12680"/>
        <s v="MO13040"/>
        <s v="MO13050"/>
        <s v="MO13060"/>
        <s v="MO13240"/>
        <s v="MO13250"/>
        <s v="MO13320"/>
        <s v="MO13530"/>
        <s v="MO10570"/>
        <s v="MO13620"/>
        <s v="MO13630"/>
        <s v="MO13750"/>
        <s v="MO13950"/>
        <s v="MO10530"/>
        <s v="MO14120"/>
        <s v="MO14200"/>
        <s v="MO14230"/>
        <s v="MO10510"/>
        <s v="MO14470"/>
        <s v="MO14670"/>
        <s v="MO14800"/>
        <s v="MO14830"/>
        <s v="MO14850"/>
        <s v="MO14860"/>
        <s v="MO14880"/>
        <s v="MO14890"/>
        <s v="MO14910"/>
        <s v="MO15110"/>
        <s v="MO15120"/>
        <s v="MO15130"/>
        <s v="MO15140"/>
        <s v="MO15150"/>
        <s v="MO15160"/>
        <s v="MO15170"/>
        <s v="MO15180"/>
        <s v="MO15190"/>
        <s v="MO15200"/>
        <s v="MO15210"/>
        <s v="MO15220"/>
        <s v="MO15270"/>
        <s v="MO15290"/>
        <s v="MO15310"/>
        <s v="MO15330"/>
        <s v="MO15340"/>
        <s v="MO15350"/>
        <s v="MO15370"/>
        <s v="MO15380"/>
        <s v="MO15390"/>
        <s v="MO15410"/>
        <s v="MO15430"/>
        <s v="MO15440"/>
        <s v="MO15460"/>
        <s v="MO15470"/>
        <s v="MO15480"/>
        <s v="MO15510"/>
        <s v="MO15520"/>
        <s v="MO15530"/>
        <s v="MO15540"/>
        <s v="MO15550"/>
        <s v="MO15560"/>
        <s v="MO15570"/>
        <s v="MO15580"/>
        <s v="MO15630"/>
        <s v="MO15640"/>
        <s v="MO15650"/>
        <s v="MO15660"/>
        <s v="MO15670"/>
        <s v="MO15720"/>
        <s v="MO15760"/>
        <s v="MO15770"/>
        <s v="MO15780"/>
        <s v="MO15790"/>
        <s v="MO15800"/>
        <s v="MO15840"/>
        <s v="MO15850"/>
        <s v="MO15950"/>
        <s v="MO16010"/>
        <s v="MO10470"/>
        <s v="MO16040"/>
        <s v="MO16050"/>
        <s v="MO16070"/>
        <s v="MO10560"/>
        <s v="MO16080"/>
        <s v="MO16090"/>
        <s v="MO16100"/>
        <s v="MO16130"/>
        <s v="MO16160"/>
        <s v="MO16170"/>
        <s v="MO10460"/>
        <s v="MO16190"/>
        <s v="MO16200"/>
        <s v="MO16210"/>
        <s v="MO16320"/>
        <s v="MO16360"/>
        <s v="MO16380"/>
        <s v="MO16390"/>
        <s v="MO16400"/>
        <s v="MO16410"/>
        <s v="MO16420"/>
        <s v="MO16680"/>
        <s v="MO16690"/>
        <s v="MO16700"/>
        <s v="MO16710"/>
        <s v="MO16730"/>
        <s v="MO16820"/>
        <s v="MO16830"/>
        <s v="MO16840"/>
        <s v="MO16870"/>
        <s v="MO16880"/>
        <s v="MO16930"/>
        <s v="MO16940"/>
        <s v="MO16950"/>
        <s v="MO16970"/>
        <s v="MO16990"/>
        <s v="MO17240"/>
        <s v="MO17250"/>
        <s v="MO17260"/>
        <s v="MO17270"/>
        <s v="MO17450"/>
        <s v="MO17490"/>
        <s v="MO17500"/>
        <s v="MO17510"/>
        <s v="MO17520"/>
        <s v="MO17530"/>
        <s v="MO17540"/>
        <s v="MO17550"/>
        <s v="MO17560"/>
        <s v="MO18050"/>
        <s v="MO18100"/>
        <s v="MO18230"/>
        <m/>
        <s v="M116300" u="1"/>
        <s v="M247040" u="1"/>
        <s v="M334540" u="1"/>
        <s v="M368020" u="1"/>
        <s v="M382060" u="1"/>
        <s v="M497170" u="1"/>
        <s v="M501500" u="1"/>
        <s v="M501510" u="1"/>
        <s v="M501520" u="1"/>
        <s v="M501530" u="1"/>
        <s v="M501540" u="1"/>
        <s v="M505450" u="1"/>
        <s v="M505470" u="1"/>
        <s v="M505480" u="1"/>
        <s v="M505490" u="1"/>
        <s v="M509170" u="1"/>
        <s v="M511370" u="1"/>
        <s v="M511810" u="1"/>
        <s v="M511820" u="1"/>
        <s v="M511830" u="1"/>
        <s v="M511840" u="1"/>
        <s v="M512670" u="1"/>
        <s v="M512930" u="1"/>
        <s v="M515230" u="1"/>
        <s v="M515240" u="1"/>
        <s v="M515250" u="1"/>
        <s v="M516100" u="1"/>
        <s v="M516120" u="1"/>
        <s v="M517100" u="1"/>
        <s v="M518850" u="1"/>
        <s v="MSP9600" u="1"/>
        <s v="M519390" u="1"/>
        <s v="M520000" u="1"/>
        <s v="M520930" u="1"/>
        <s v="M521990" u="1"/>
        <s v="MRWK880" u="1"/>
        <s v="M523640" u="1"/>
        <s v="M524680" u="1"/>
        <s v="M524710" u="1"/>
        <s v="MRWK690" u="1"/>
        <s v="M525700" u="1"/>
        <s v="M526010" u="1"/>
        <s v="M526970" u="1"/>
        <s v="M527010" u="1"/>
        <s v="M527090" u="1"/>
        <s v="M527110" u="1"/>
        <s v="M527310" u="1"/>
        <s v="M527320" u="1"/>
        <s v="M527350" u="1"/>
        <s v="M528080" u="1"/>
        <s v="M528090" u="1"/>
        <s v="M528100" u="1"/>
        <s v="M528110" u="1"/>
        <s v="M528270" u="1"/>
        <s v="M528280" u="1"/>
        <s v="M528290" u="1"/>
        <s v="M528300" u="1"/>
        <s v="M528310" u="1"/>
        <s v="M528320" u="1"/>
        <s v="M528330" u="1"/>
        <s v="M528340" u="1"/>
        <s v="M528390" u="1"/>
        <s v="M528410" u="1"/>
        <s v="M528430" u="1"/>
        <s v="M529020" u="1"/>
        <s v="M529040" u="1"/>
        <s v="M529070" u="1"/>
        <s v="M529140" u="1"/>
        <s v="M529150" u="1"/>
        <s v="M529160" u="1"/>
        <s v="M529180" u="1"/>
        <s v="M529270" u="1"/>
        <s v="M529290" u="1"/>
        <s v="M529310" u="1"/>
        <s v="M529380" u="1"/>
        <s v="M529570" u="1"/>
        <s v="M529600" u="1"/>
        <s v="M529620" u="1"/>
        <s v="M529740" u="1"/>
        <s v="M529750" u="1"/>
        <s v="M529760" u="1"/>
        <s v="M529770" u="1"/>
        <s v="M529840" u="1"/>
        <s v="M529850" u="1"/>
        <s v="M529950" u="1"/>
        <s v="M529960" u="1"/>
        <s v="M530090" u="1"/>
        <s v="M530100" u="1"/>
        <s v="M530130" u="1"/>
        <s v="M530340" u="1"/>
        <s v="M530390" u="1"/>
        <s v="M530400" u="1"/>
        <s v="M530410" u="1"/>
        <s v="M530420" u="1"/>
        <s v="M530430" u="1"/>
        <s v="M530480" u="1"/>
        <s v="M530490" u="1"/>
        <s v="M530900" u="1"/>
        <s v="M531060" u="1"/>
        <s v="MRWK390" u="1"/>
        <s v="M531470" u="1"/>
        <s v="M531480" u="1"/>
        <s v="M531510" u="1"/>
        <s v="MRWK980" u="1"/>
        <s v="M531950" u="1"/>
        <s v="M531960" u="1"/>
        <s v="M531980" u="1"/>
        <s v="M532100" u="1"/>
        <s v="M532590" u="1"/>
        <s v="M532600" u="1"/>
        <s v="MRWK210" u="1"/>
        <s v="M532670" u="1"/>
        <s v="M532980" u="1"/>
        <s v="M532990" u="1"/>
        <s v="M533110" u="1"/>
        <s v="M533170" u="1"/>
        <s v="M533190" u="1"/>
        <s v="M533210" u="1"/>
        <s v="M533230" u="1"/>
        <s v="M533240" u="1"/>
        <s v="M533250" u="1"/>
        <s v="M534350" u="1"/>
        <s v="M534360" u="1"/>
        <s v="M534370" u="1"/>
        <s v="M534380" u="1"/>
        <s v="M534480" u="1"/>
        <s v="M534740" u="1"/>
        <s v="M534790" u="1"/>
        <s v="M534800" u="1"/>
        <s v="M534960" u="1"/>
        <s v="M534970" u="1"/>
        <s v="M535140" u="1"/>
        <s v="M535150" u="1"/>
        <s v="M535160" u="1"/>
        <s v="M535180" u="1"/>
        <s v="M535480" u="1"/>
        <s v="M536380" u="1"/>
        <s v="M536400" u="1"/>
        <s v="M536410" u="1"/>
        <s v="M536430" u="1"/>
        <s v="M536870" u="1"/>
        <s v="M536910" u="1"/>
        <s v="M536920" u="1"/>
        <s v="M536930" u="1"/>
        <s v="M536940" u="1"/>
        <s v="M536950" u="1"/>
        <s v="M536960" u="1"/>
        <s v="M536970" u="1"/>
        <s v="M536980" u="1"/>
        <s v="M538430" u="1"/>
        <s v="M538920" u="1"/>
        <s v="M539660" u="1"/>
        <s v="M312640" u="1"/>
        <s v="M473890" u="1"/>
        <s v="M476920" u="1"/>
        <s v="M485580" u="1"/>
        <s v="M503270" u="1"/>
        <s v="M508090" u="1"/>
        <s v="M516040" u="1"/>
        <s v="M516860" u="1"/>
        <s v="M520890" u="1"/>
        <s v="M525860" u="1"/>
        <s v="M526960" u="1"/>
        <s v="M529320" u="1"/>
      </sharedItems>
    </cacheField>
    <cacheField name="PN" numFmtId="0">
      <sharedItems containsBlank="1" count="188">
        <s v="Item1126"/>
        <s v="Item1127"/>
        <s v="Item1128"/>
        <s v="Item1129"/>
        <s v="Item1130"/>
        <s v="Item1131"/>
        <s v="Item712"/>
        <s v="Item713"/>
        <s v="Item714"/>
        <s v="Item711"/>
        <s v="Item715"/>
        <s v="Item1132"/>
        <s v="Item1133"/>
        <s v="Item624"/>
        <s v="Item837"/>
        <s v="Item1134"/>
        <s v="Item1135"/>
        <s v="Item1136"/>
        <s v="Item1137"/>
        <s v="Item1138"/>
        <s v="Item595"/>
        <s v="Item720"/>
        <s v="Item1139"/>
        <s v="Item1140"/>
        <s v="Item120"/>
        <s v="Item1141"/>
        <s v="Item1142"/>
        <s v="Item1143"/>
        <s v="Item118"/>
        <s v="Item673"/>
        <s v="Item501"/>
        <s v="Item1144"/>
        <s v="Item365"/>
        <s v="Item1145"/>
        <s v="Item1146"/>
        <s v="Item1147"/>
        <s v="Item1148"/>
        <s v="Item1149"/>
        <s v="Item124"/>
        <s v="Item1150"/>
        <s v="Item1151"/>
        <s v="Item840"/>
        <s v="Item1152"/>
        <s v="Item1153"/>
        <s v="Item1154"/>
        <s v="Item1155"/>
        <s v="Item1156"/>
        <s v="Item1157"/>
        <s v="Item1158"/>
        <s v="Item1159"/>
        <s v="Item1160"/>
        <s v="Item1161"/>
        <s v="Item490"/>
        <s v="Item858"/>
        <s v="Item220"/>
        <s v="Item841"/>
        <s v="Item1162"/>
        <s v="Item1163"/>
        <s v="Item882"/>
        <s v="Item1164"/>
        <s v="Item1165"/>
        <s v="Item1166"/>
        <s v="Item1167"/>
        <s v="Item1168"/>
        <s v="Item1169"/>
        <s v="Item115"/>
        <s v="Item1170"/>
        <s v="Item1171"/>
        <s v="Item1172"/>
        <s v="Item1173"/>
        <s v="Item1174"/>
        <s v="Item1175"/>
        <s v="Item1176"/>
        <s v="Item114"/>
        <s v="Item1177"/>
        <s v="Item568"/>
        <s v="Item1178"/>
        <s v="Item1179"/>
        <s v="Item361"/>
        <s v="Item1180"/>
        <s v="Item1181"/>
        <s v="Item1182"/>
        <s v="Item1183"/>
        <s v="Item1184"/>
        <s v="Item1185"/>
        <s v="Item769"/>
        <s v="Item167"/>
        <s v="Item857"/>
        <s v=""/>
        <m/>
        <s v="TEST25814-2    " u="1"/>
        <s v="B44-EB-1/04    " u="1"/>
        <s v="R20652-1       " u="1"/>
        <s v="6041/06        " u="1"/>
        <s v="100918-01000/1 " u="1"/>
        <s v="101275-01000/1 " u="1"/>
        <s v="104418-01000CS " u="1"/>
        <s v="104493-01000CS " u="1"/>
        <s v="104494-01000CS " u="1"/>
        <s v="104417-01000CS " u="1"/>
        <s v="32116-1CS      " u="1"/>
        <s v="880749-02804   " u="1"/>
        <s v="UC2020-T6/06   " u="1"/>
        <s v="1010071-01/2   " u="1"/>
        <s v="104464-01000   " u="1"/>
        <s v="23457-2/04     " u="1"/>
        <s v="9910082-01000/2" u="1"/>
        <s v="NC2090-T6/66   " u="1"/>
        <s v="T44-AB-10      " u="1"/>
        <s v="33407-4        " u="1"/>
        <s v="57CP1159       " u="1"/>
        <s v="570EC545F      " u="1"/>
        <s v="104895-01000   " u="1"/>
        <s v="989724-01708/2 " u="1"/>
        <s v="2K2-BA-90      " u="1"/>
        <s v="UC1015-T4      " u="1"/>
        <s v="B43-CB-10      " u="1"/>
        <s v="23971-1A/02    " u="1"/>
        <s v="2010106-019534 " u="1"/>
        <s v="101308-02000/1 " u="1"/>
        <s v="57CP1001       " u="1"/>
        <s v="26467-2/05     " u="1"/>
        <s v="57CP7267       " u="1"/>
        <s v="T22-AB-1       " u="1"/>
        <s v="26467-1/02     " u="1"/>
        <s v="N6550-6/65     " u="1"/>
        <s v="196469-00708/2 " u="1"/>
        <s v="32715-1CS      " u="1"/>
        <s v="N5220/66       " u="1"/>
        <s v="190401-01808/2 " u="1"/>
        <s v="T22-AB-5       " u="1"/>
        <s v="6313295-019526 " u="1"/>
        <s v="M515230" u="1"/>
        <s v="H44-AA-3       " u="1"/>
        <s v="T44-X82/01     " u="1"/>
        <s v="L64-BA-10      " u="1"/>
        <s v="L64-BA-12      " u="1"/>
        <s v="NC2040-T6/66   " u="1"/>
        <s v="32471-1        " u="1"/>
        <s v="L64-BA-40      " u="1"/>
        <s v="5220-N         " u="1"/>
        <s v="E21-03-50/66   " u="1"/>
        <s v="57CP5025-BD    " u="1"/>
        <s v="4410462-019526 " u="1"/>
        <s v="57CP6007       " u="1"/>
        <s v="6313304-019526 " u="1"/>
        <s v="S64-BA-20.0    " u="1"/>
        <s v="UC1050-4       " u="1"/>
        <s v="57CP6131       " u="1"/>
        <s v="L21-BA-4.0     " u="1"/>
        <s v="L22-BA-2.0/06  " u="1"/>
        <s v="L22-BA-4.0     " u="1"/>
        <s v="L22-BA-2.0     " u="1"/>
        <s v="32325-4        " u="1"/>
        <s v="5210           " u="1"/>
        <s v="2K2-BA-40      " u="1"/>
        <s v="23914-2/01     " u="1"/>
        <s v="23914-H5/01    " u="1"/>
        <s v="E21-03-60/66   " u="1"/>
        <s v="27748-1/01     " u="1"/>
        <s v="32060-2        " u="1"/>
        <s v="32804-1        " u="1"/>
        <s v="32060-1        " u="1"/>
        <s v="32307-1        " u="1"/>
        <s v="N6300-2TAP     " u="1"/>
        <s v="STD4500-56     " u="1"/>
        <s v="E21-X076       " u="1"/>
        <s v="H44-BA-2       " u="1"/>
        <s v="57CP6003       " u="1"/>
        <s v="H44-BA-4       " u="1"/>
        <s v="L44-BA-5       " u="1"/>
        <s v="T64-AB-35      " u="1"/>
        <s v="5205-N/66      " u="1"/>
        <s v="809-13/01      " u="1"/>
        <s v="T22-AB-2       " u="1"/>
        <s v="57CP5025-MB    " u="1"/>
        <s v="49.198.68.     " u="1"/>
        <s v="104977-01000   " u="1"/>
        <s v="95818-3/01     " u="1"/>
        <s v="32175-1        " u="1"/>
        <s v="104902-01000   " u="1"/>
        <s v="32657-1        " u="1"/>
        <s v="32661-1        " u="1"/>
        <s v="544197-00      " u="1"/>
        <s v="0412-01808/2   " u="1"/>
        <s v="28828-1/01     " u="1"/>
        <s v="33311-1        " u="1"/>
        <s v="GBE21-03-40    " u="1"/>
      </sharedItems>
    </cacheField>
    <cacheField name="MO Dept" numFmtId="0">
      <sharedItems containsBlank="1" count="14">
        <s v="DeptA"/>
        <s v="DeptB"/>
        <s v="DeptC"/>
        <s v="DeptD"/>
        <s v="DeptE"/>
        <s v=""/>
        <m/>
        <s v="121 " u="1"/>
        <s v="113 " u="1"/>
        <s v="124 " u="1"/>
        <s v="106 " u="1"/>
        <s v="114 " u="1"/>
        <s v="116 " u="1"/>
        <s v="118 " u="1"/>
      </sharedItems>
    </cacheField>
    <cacheField name="MO Complete Date" numFmtId="14">
      <sharedItems containsDate="1" containsBlank="1" containsMixedTypes="1" minDate="2025-04-21T00:00:00" maxDate="2025-05-13T00:00:00"/>
    </cacheField>
    <cacheField name="MO Cost Variance" numFmtId="0">
      <sharedItems containsBlank="1" containsMixedTypes="1" containsNumber="1" containsInteger="1" minValue="-2635" maxValue="17310"/>
    </cacheField>
    <cacheField name="OP Std Labor Hrs" numFmtId="164">
      <sharedItems containsString="0" containsBlank="1" containsNumber="1" minValue="0" maxValue="78.800000000000011"/>
    </cacheField>
    <cacheField name="OP Actual Labor Hours" numFmtId="164">
      <sharedItems containsString="0" containsBlank="1" containsNumber="1" minValue="0" maxValue="142.5"/>
    </cacheField>
    <cacheField name="Labor Cost Var" numFmtId="164">
      <sharedItems containsString="0" containsBlank="1" containsNumber="1" containsInteger="1" minValue="-2090" maxValue="1805"/>
    </cacheField>
    <cacheField name="Matl Std Cost" numFmtId="164">
      <sharedItems containsString="0" containsBlank="1" containsNumber="1" containsInteger="1" minValue="0" maxValue="153730"/>
    </cacheField>
    <cacheField name="Matl Act Cost" numFmtId="164">
      <sharedItems containsString="0" containsBlank="1" containsNumber="1" containsInteger="1" minValue="0" maxValue="153820"/>
    </cacheField>
    <cacheField name="Matl Cost Variance" numFmtId="164">
      <sharedItems containsString="0" containsBlank="1" containsNumber="1" containsInteger="1" minValue="-115" maxValue="837"/>
    </cacheField>
    <cacheField name="Sign Total Var" numFmtId="0">
      <sharedItems containsBlank="1" count="4">
        <s v="Positive"/>
        <s v="Negative"/>
        <s v=""/>
        <m/>
      </sharedItems>
    </cacheField>
    <cacheField name="Sign Labor Var" numFmtId="0">
      <sharedItems containsBlank="1" count="4">
        <s v=""/>
        <s v="Negative"/>
        <s v="Positive"/>
        <m/>
      </sharedItems>
    </cacheField>
    <cacheField name="Sign Matl Var" numFmtId="0">
      <sharedItems containsBlank="1" count="4">
        <s v=""/>
        <s v="Positive"/>
        <s v="Negativ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5">
  <r>
    <x v="0"/>
    <x v="0"/>
    <x v="0"/>
    <d v="2025-05-05T00:00:00"/>
    <n v="410"/>
    <n v="0"/>
    <n v="0"/>
    <n v="0"/>
    <n v="1810"/>
    <n v="1810"/>
    <n v="0"/>
    <x v="0"/>
    <x v="0"/>
    <x v="0"/>
  </r>
  <r>
    <x v="1"/>
    <x v="1"/>
    <x v="0"/>
    <d v="2025-05-05T00:00:00"/>
    <n v="20"/>
    <n v="1.1000000000000001"/>
    <n v="0"/>
    <n v="-55"/>
    <n v="13"/>
    <n v="13"/>
    <n v="0"/>
    <x v="0"/>
    <x v="1"/>
    <x v="0"/>
  </r>
  <r>
    <x v="2"/>
    <x v="2"/>
    <x v="0"/>
    <d v="2025-05-05T00:00:00"/>
    <n v="15"/>
    <n v="4"/>
    <n v="0"/>
    <n v="-210"/>
    <n v="5"/>
    <n v="5"/>
    <n v="0"/>
    <x v="0"/>
    <x v="1"/>
    <x v="0"/>
  </r>
  <r>
    <x v="3"/>
    <x v="3"/>
    <x v="0"/>
    <d v="2025-05-05T00:00:00"/>
    <n v="470"/>
    <n v="3.9"/>
    <n v="0"/>
    <n v="145"/>
    <n v="4266"/>
    <n v="4266"/>
    <n v="0"/>
    <x v="0"/>
    <x v="2"/>
    <x v="0"/>
  </r>
  <r>
    <x v="4"/>
    <x v="4"/>
    <x v="1"/>
    <d v="2025-04-21T00:00:00"/>
    <n v="17310"/>
    <n v="0"/>
    <n v="0"/>
    <n v="0"/>
    <n v="153730"/>
    <n v="153820"/>
    <n v="90"/>
    <x v="0"/>
    <x v="0"/>
    <x v="1"/>
  </r>
  <r>
    <x v="5"/>
    <x v="5"/>
    <x v="1"/>
    <d v="2025-05-06T00:00:00"/>
    <n v="5505"/>
    <n v="78.800000000000011"/>
    <n v="142.5"/>
    <n v="1740"/>
    <n v="36398"/>
    <n v="37235"/>
    <n v="837"/>
    <x v="0"/>
    <x v="2"/>
    <x v="1"/>
  </r>
  <r>
    <x v="6"/>
    <x v="6"/>
    <x v="2"/>
    <d v="2025-05-06T00:00:00"/>
    <n v="110"/>
    <n v="12.700000000000001"/>
    <n v="11.5"/>
    <n v="-80"/>
    <n v="2215"/>
    <n v="2215"/>
    <n v="0"/>
    <x v="0"/>
    <x v="1"/>
    <x v="0"/>
  </r>
  <r>
    <x v="7"/>
    <x v="7"/>
    <x v="2"/>
    <d v="2025-05-06T00:00:00"/>
    <n v="-210"/>
    <n v="12.700000000000001"/>
    <n v="5.3"/>
    <n v="-405"/>
    <n v="2075"/>
    <n v="2075"/>
    <n v="0"/>
    <x v="1"/>
    <x v="1"/>
    <x v="0"/>
  </r>
  <r>
    <x v="8"/>
    <x v="8"/>
    <x v="2"/>
    <d v="2025-05-06T00:00:00"/>
    <n v="-170"/>
    <n v="12.700000000000001"/>
    <n v="6.1999999999999993"/>
    <n v="-365"/>
    <n v="2215"/>
    <n v="2215"/>
    <n v="0"/>
    <x v="1"/>
    <x v="1"/>
    <x v="0"/>
  </r>
  <r>
    <x v="9"/>
    <x v="9"/>
    <x v="2"/>
    <d v="2025-05-06T00:00:00"/>
    <n v="0"/>
    <n v="12.200000000000001"/>
    <n v="9.1999999999999993"/>
    <n v="-175"/>
    <n v="2240"/>
    <n v="2240"/>
    <n v="0"/>
    <x v="1"/>
    <x v="1"/>
    <x v="0"/>
  </r>
  <r>
    <x v="10"/>
    <x v="10"/>
    <x v="2"/>
    <d v="2025-05-06T00:00:00"/>
    <n v="600"/>
    <n v="19.5"/>
    <n v="27.2"/>
    <n v="405"/>
    <n v="8667"/>
    <n v="8667"/>
    <n v="0"/>
    <x v="0"/>
    <x v="2"/>
    <x v="0"/>
  </r>
  <r>
    <x v="11"/>
    <x v="6"/>
    <x v="2"/>
    <d v="2025-05-06T00:00:00"/>
    <n v="210"/>
    <n v="12.700000000000001"/>
    <n v="13.300000000000002"/>
    <n v="20"/>
    <n v="2215"/>
    <n v="2215"/>
    <n v="0"/>
    <x v="0"/>
    <x v="2"/>
    <x v="0"/>
  </r>
  <r>
    <x v="12"/>
    <x v="7"/>
    <x v="2"/>
    <d v="2025-05-06T00:00:00"/>
    <n v="-165"/>
    <n v="12.700000000000001"/>
    <n v="6.5"/>
    <n v="-365"/>
    <n v="2075"/>
    <n v="2075"/>
    <n v="0"/>
    <x v="1"/>
    <x v="1"/>
    <x v="0"/>
  </r>
  <r>
    <x v="13"/>
    <x v="8"/>
    <x v="2"/>
    <d v="2025-05-06T00:00:00"/>
    <n v="-80"/>
    <n v="12.700000000000001"/>
    <n v="7.8999999999999995"/>
    <n v="-275"/>
    <n v="2215"/>
    <n v="2215"/>
    <n v="0"/>
    <x v="1"/>
    <x v="1"/>
    <x v="0"/>
  </r>
  <r>
    <x v="14"/>
    <x v="10"/>
    <x v="2"/>
    <d v="2025-05-06T00:00:00"/>
    <n v="760"/>
    <n v="19.5"/>
    <n v="29.900000000000002"/>
    <n v="555"/>
    <n v="8667"/>
    <n v="8677"/>
    <n v="10"/>
    <x v="0"/>
    <x v="2"/>
    <x v="1"/>
  </r>
  <r>
    <x v="15"/>
    <x v="9"/>
    <x v="2"/>
    <d v="2025-05-06T00:00:00"/>
    <n v="-130"/>
    <n v="12.200000000000001"/>
    <n v="6.6999999999999993"/>
    <n v="-305"/>
    <n v="2240"/>
    <n v="2240"/>
    <n v="0"/>
    <x v="1"/>
    <x v="1"/>
    <x v="0"/>
  </r>
  <r>
    <x v="16"/>
    <x v="11"/>
    <x v="0"/>
    <d v="2025-05-07T00:00:00"/>
    <n v="1080"/>
    <n v="0"/>
    <n v="0"/>
    <n v="1060"/>
    <n v="1830"/>
    <n v="1830"/>
    <n v="0"/>
    <x v="0"/>
    <x v="2"/>
    <x v="0"/>
  </r>
  <r>
    <x v="17"/>
    <x v="6"/>
    <x v="2"/>
    <d v="2025-05-06T00:00:00"/>
    <n v="20"/>
    <n v="12.700000000000001"/>
    <n v="9.6999999999999993"/>
    <n v="-170"/>
    <n v="2215"/>
    <n v="2215"/>
    <n v="0"/>
    <x v="0"/>
    <x v="1"/>
    <x v="0"/>
  </r>
  <r>
    <x v="18"/>
    <x v="7"/>
    <x v="2"/>
    <d v="2025-05-06T00:00:00"/>
    <n v="-175"/>
    <n v="12.700000000000001"/>
    <n v="6.1"/>
    <n v="-370"/>
    <n v="2075"/>
    <n v="2075"/>
    <n v="0"/>
    <x v="1"/>
    <x v="1"/>
    <x v="0"/>
  </r>
  <r>
    <x v="19"/>
    <x v="8"/>
    <x v="2"/>
    <d v="2025-05-06T00:00:00"/>
    <n v="-215"/>
    <n v="12.700000000000001"/>
    <n v="5.5"/>
    <n v="-410"/>
    <n v="2215"/>
    <n v="2215"/>
    <n v="0"/>
    <x v="1"/>
    <x v="1"/>
    <x v="0"/>
  </r>
  <r>
    <x v="20"/>
    <x v="10"/>
    <x v="2"/>
    <d v="2025-05-06T00:00:00"/>
    <n v="530"/>
    <n v="19.5"/>
    <n v="26.099999999999998"/>
    <n v="335"/>
    <n v="8667"/>
    <n v="8667"/>
    <n v="0"/>
    <x v="0"/>
    <x v="2"/>
    <x v="0"/>
  </r>
  <r>
    <x v="21"/>
    <x v="12"/>
    <x v="0"/>
    <d v="2025-05-05T00:00:00"/>
    <n v="210"/>
    <n v="6.5"/>
    <n v="10.1"/>
    <n v="165"/>
    <n v="2020"/>
    <n v="2020"/>
    <n v="0"/>
    <x v="0"/>
    <x v="2"/>
    <x v="0"/>
  </r>
  <r>
    <x v="22"/>
    <x v="13"/>
    <x v="0"/>
    <d v="2025-05-05T00:00:00"/>
    <n v="-155"/>
    <n v="13.100000000000001"/>
    <n v="8.2000000000000011"/>
    <n v="-255"/>
    <n v="70"/>
    <n v="70"/>
    <n v="0"/>
    <x v="1"/>
    <x v="1"/>
    <x v="0"/>
  </r>
  <r>
    <x v="23"/>
    <x v="14"/>
    <x v="3"/>
    <d v="2025-05-10T00:00:00"/>
    <n v="550"/>
    <n v="4.9000000000000004"/>
    <n v="32.099999999999994"/>
    <n v="1670"/>
    <n v="10974"/>
    <n v="10974"/>
    <n v="0"/>
    <x v="0"/>
    <x v="2"/>
    <x v="0"/>
  </r>
  <r>
    <x v="24"/>
    <x v="14"/>
    <x v="3"/>
    <d v="2025-05-10T00:00:00"/>
    <n v="680"/>
    <n v="4.9000000000000004"/>
    <n v="34.299999999999997"/>
    <n v="1805"/>
    <n v="10974"/>
    <n v="10974"/>
    <n v="0"/>
    <x v="0"/>
    <x v="2"/>
    <x v="0"/>
  </r>
  <r>
    <x v="25"/>
    <x v="14"/>
    <x v="3"/>
    <d v="2025-04-25T00:00:00"/>
    <n v="-85"/>
    <n v="4.9000000000000004"/>
    <n v="22.099999999999994"/>
    <n v="1035"/>
    <n v="10974"/>
    <n v="10974"/>
    <n v="0"/>
    <x v="1"/>
    <x v="2"/>
    <x v="0"/>
  </r>
  <r>
    <x v="26"/>
    <x v="15"/>
    <x v="0"/>
    <d v="2025-04-28T00:00:00"/>
    <n v="-75"/>
    <n v="34.699999999999996"/>
    <n v="24.3"/>
    <n v="-390"/>
    <n v="2890"/>
    <n v="2775"/>
    <n v="-115"/>
    <x v="1"/>
    <x v="1"/>
    <x v="2"/>
  </r>
  <r>
    <x v="27"/>
    <x v="16"/>
    <x v="0"/>
    <d v="2025-05-05T00:00:00"/>
    <n v="245"/>
    <n v="7.8"/>
    <n v="13.5"/>
    <n v="270"/>
    <n v="50"/>
    <n v="50"/>
    <n v="0"/>
    <x v="0"/>
    <x v="2"/>
    <x v="0"/>
  </r>
  <r>
    <x v="28"/>
    <x v="17"/>
    <x v="0"/>
    <d v="2025-05-05T00:00:00"/>
    <n v="-410"/>
    <n v="34.700000000000003"/>
    <n v="27.7"/>
    <n v="-340"/>
    <n v="9775"/>
    <n v="9775"/>
    <n v="0"/>
    <x v="1"/>
    <x v="1"/>
    <x v="0"/>
  </r>
  <r>
    <x v="29"/>
    <x v="18"/>
    <x v="0"/>
    <d v="2025-05-05T00:00:00"/>
    <n v="-180"/>
    <n v="25.8"/>
    <n v="17.599999999999998"/>
    <n v="-410"/>
    <n v="5340"/>
    <n v="5340"/>
    <n v="0"/>
    <x v="1"/>
    <x v="1"/>
    <x v="0"/>
  </r>
  <r>
    <x v="30"/>
    <x v="19"/>
    <x v="0"/>
    <d v="2025-04-28T00:00:00"/>
    <n v="150"/>
    <n v="0.1"/>
    <n v="1"/>
    <n v="55"/>
    <n v="70"/>
    <n v="70"/>
    <n v="0"/>
    <x v="0"/>
    <x v="2"/>
    <x v="0"/>
  </r>
  <r>
    <x v="31"/>
    <x v="20"/>
    <x v="4"/>
    <d v="2025-05-05T00:00:00"/>
    <n v="535"/>
    <n v="0.2"/>
    <n v="10.799999999999999"/>
    <n v="460"/>
    <n v="32"/>
    <n v="47"/>
    <n v="15"/>
    <x v="0"/>
    <x v="2"/>
    <x v="1"/>
  </r>
  <r>
    <x v="32"/>
    <x v="21"/>
    <x v="1"/>
    <d v="2025-05-06T00:00:00"/>
    <n v="10"/>
    <n v="1.5"/>
    <n v="2.0999999999999996"/>
    <n v="-20"/>
    <n v="1352"/>
    <n v="1336"/>
    <n v="-16"/>
    <x v="0"/>
    <x v="1"/>
    <x v="2"/>
  </r>
  <r>
    <x v="33"/>
    <x v="22"/>
    <x v="0"/>
    <d v="2025-05-07T00:00:00"/>
    <n v="285"/>
    <n v="5"/>
    <n v="4.3"/>
    <n v="-35"/>
    <n v="7"/>
    <n v="7"/>
    <n v="0"/>
    <x v="0"/>
    <x v="1"/>
    <x v="0"/>
  </r>
  <r>
    <x v="34"/>
    <x v="23"/>
    <x v="0"/>
    <d v="2025-05-12T00:00:00"/>
    <n v="-340"/>
    <n v="1.7"/>
    <n v="0"/>
    <n v="-305"/>
    <n v="10"/>
    <n v="10"/>
    <n v="0"/>
    <x v="1"/>
    <x v="1"/>
    <x v="0"/>
  </r>
  <r>
    <x v="35"/>
    <x v="24"/>
    <x v="0"/>
    <d v="2025-04-21T00:00:00"/>
    <n v="55"/>
    <n v="0.6"/>
    <n v="0.7"/>
    <n v="0"/>
    <n v="120"/>
    <n v="120"/>
    <n v="0"/>
    <x v="0"/>
    <x v="0"/>
    <x v="0"/>
  </r>
  <r>
    <x v="36"/>
    <x v="25"/>
    <x v="0"/>
    <d v="2025-05-07T00:00:00"/>
    <n v="55"/>
    <n v="9.0000000000000018"/>
    <n v="9.7000000000000011"/>
    <n v="30"/>
    <n v="2305"/>
    <n v="2305"/>
    <n v="0"/>
    <x v="0"/>
    <x v="2"/>
    <x v="0"/>
  </r>
  <r>
    <x v="37"/>
    <x v="26"/>
    <x v="0"/>
    <d v="2025-05-05T00:00:00"/>
    <n v="155"/>
    <n v="4.3"/>
    <n v="7"/>
    <n v="130"/>
    <n v="1630"/>
    <n v="1630"/>
    <n v="0"/>
    <x v="0"/>
    <x v="2"/>
    <x v="0"/>
  </r>
  <r>
    <x v="38"/>
    <x v="27"/>
    <x v="0"/>
    <d v="2025-05-12T00:00:00"/>
    <n v="-125"/>
    <n v="16.5"/>
    <n v="15.6"/>
    <n v="-55"/>
    <n v="6985"/>
    <n v="6985"/>
    <n v="0"/>
    <x v="1"/>
    <x v="1"/>
    <x v="0"/>
  </r>
  <r>
    <x v="39"/>
    <x v="28"/>
    <x v="0"/>
    <d v="2025-04-21T00:00:00"/>
    <n v="275"/>
    <n v="0"/>
    <n v="5.3"/>
    <n v="255"/>
    <n v="27870"/>
    <n v="27870"/>
    <n v="0"/>
    <x v="0"/>
    <x v="2"/>
    <x v="0"/>
  </r>
  <r>
    <x v="40"/>
    <x v="29"/>
    <x v="2"/>
    <d v="2025-05-06T00:00:00"/>
    <n v="380"/>
    <n v="5"/>
    <n v="9.7000000000000011"/>
    <n v="470"/>
    <n v="17577"/>
    <n v="17577"/>
    <n v="0"/>
    <x v="0"/>
    <x v="2"/>
    <x v="0"/>
  </r>
  <r>
    <x v="41"/>
    <x v="30"/>
    <x v="4"/>
    <d v="2025-05-08T00:00:00"/>
    <n v="600"/>
    <n v="1"/>
    <n v="15"/>
    <n v="575"/>
    <n v="267"/>
    <n v="331"/>
    <n v="64"/>
    <x v="0"/>
    <x v="2"/>
    <x v="1"/>
  </r>
  <r>
    <x v="42"/>
    <x v="31"/>
    <x v="0"/>
    <d v="2025-05-05T00:00:00"/>
    <n v="-665"/>
    <n v="20.6"/>
    <n v="6.2"/>
    <n v="-715"/>
    <n v="3315"/>
    <n v="3315"/>
    <n v="0"/>
    <x v="1"/>
    <x v="1"/>
    <x v="0"/>
  </r>
  <r>
    <x v="43"/>
    <x v="32"/>
    <x v="4"/>
    <d v="2025-05-05T00:00:00"/>
    <n v="-90"/>
    <n v="3.3"/>
    <n v="6.2"/>
    <n v="-25"/>
    <n v="103"/>
    <n v="147"/>
    <n v="44"/>
    <x v="1"/>
    <x v="1"/>
    <x v="1"/>
  </r>
  <r>
    <x v="44"/>
    <x v="33"/>
    <x v="0"/>
    <d v="2025-05-05T00:00:00"/>
    <n v="-880"/>
    <n v="20.8"/>
    <n v="9.1000000000000014"/>
    <n v="-580"/>
    <n v="3215"/>
    <n v="3215"/>
    <n v="0"/>
    <x v="1"/>
    <x v="1"/>
    <x v="0"/>
  </r>
  <r>
    <x v="45"/>
    <x v="34"/>
    <x v="0"/>
    <d v="2025-05-05T00:00:00"/>
    <n v="-30"/>
    <n v="4.5"/>
    <n v="2.7"/>
    <n v="-95"/>
    <n v="2635"/>
    <n v="2635"/>
    <n v="0"/>
    <x v="1"/>
    <x v="1"/>
    <x v="0"/>
  </r>
  <r>
    <x v="46"/>
    <x v="35"/>
    <x v="0"/>
    <d v="2025-05-05T00:00:00"/>
    <n v="-210"/>
    <n v="11.700000000000001"/>
    <n v="11.1"/>
    <n v="-35"/>
    <n v="1242"/>
    <n v="1242"/>
    <n v="0"/>
    <x v="1"/>
    <x v="1"/>
    <x v="0"/>
  </r>
  <r>
    <x v="47"/>
    <x v="36"/>
    <x v="0"/>
    <d v="2025-05-08T00:00:00"/>
    <n v="-2190"/>
    <n v="1.3"/>
    <n v="0"/>
    <n v="-2090"/>
    <n v="125"/>
    <n v="125"/>
    <n v="0"/>
    <x v="1"/>
    <x v="1"/>
    <x v="0"/>
  </r>
  <r>
    <x v="48"/>
    <x v="37"/>
    <x v="2"/>
    <d v="2025-05-06T00:00:00"/>
    <n v="-220"/>
    <n v="4.5"/>
    <n v="0.1"/>
    <n v="-245"/>
    <n v="20395"/>
    <n v="20395"/>
    <n v="0"/>
    <x v="1"/>
    <x v="1"/>
    <x v="0"/>
  </r>
  <r>
    <x v="49"/>
    <x v="38"/>
    <x v="0"/>
    <d v="2025-05-05T00:00:00"/>
    <n v="-900"/>
    <n v="35.599999999999994"/>
    <n v="19.400000000000002"/>
    <n v="-810"/>
    <n v="4045"/>
    <n v="4045"/>
    <n v="0"/>
    <x v="1"/>
    <x v="1"/>
    <x v="0"/>
  </r>
  <r>
    <x v="50"/>
    <x v="39"/>
    <x v="0"/>
    <d v="2025-05-05T00:00:00"/>
    <n v="90"/>
    <n v="0.6"/>
    <n v="0"/>
    <n v="70"/>
    <n v="55"/>
    <n v="55"/>
    <n v="0"/>
    <x v="0"/>
    <x v="2"/>
    <x v="0"/>
  </r>
  <r>
    <x v="51"/>
    <x v="40"/>
    <x v="0"/>
    <d v="2025-05-05T00:00:00"/>
    <n v="-605"/>
    <n v="20.8"/>
    <n v="10.199999999999999"/>
    <n v="-520"/>
    <n v="2955"/>
    <n v="2955"/>
    <n v="0"/>
    <x v="1"/>
    <x v="1"/>
    <x v="0"/>
  </r>
  <r>
    <x v="52"/>
    <x v="40"/>
    <x v="0"/>
    <d v="2025-05-05T00:00:00"/>
    <n v="-805"/>
    <n v="20.8"/>
    <n v="6.8000000000000007"/>
    <n v="-690"/>
    <n v="2930"/>
    <n v="2930"/>
    <n v="0"/>
    <x v="1"/>
    <x v="1"/>
    <x v="0"/>
  </r>
  <r>
    <x v="53"/>
    <x v="41"/>
    <x v="3"/>
    <d v="2025-05-03T00:00:00"/>
    <n v="-95"/>
    <n v="4.5999999999999996"/>
    <n v="3.3999999999999995"/>
    <n v="-90"/>
    <n v="1794"/>
    <n v="1794"/>
    <n v="0"/>
    <x v="1"/>
    <x v="1"/>
    <x v="0"/>
  </r>
  <r>
    <x v="54"/>
    <x v="42"/>
    <x v="3"/>
    <d v="2025-05-03T00:00:00"/>
    <n v="-105"/>
    <n v="4.5999999999999996"/>
    <n v="3.2999999999999994"/>
    <n v="-95"/>
    <n v="1794"/>
    <n v="1794"/>
    <n v="0"/>
    <x v="1"/>
    <x v="1"/>
    <x v="0"/>
  </r>
  <r>
    <x v="55"/>
    <x v="41"/>
    <x v="3"/>
    <d v="2025-05-03T00:00:00"/>
    <n v="-105"/>
    <n v="4.5999999999999996"/>
    <n v="3.3"/>
    <n v="-100"/>
    <n v="1794"/>
    <n v="1794"/>
    <n v="0"/>
    <x v="1"/>
    <x v="1"/>
    <x v="0"/>
  </r>
  <r>
    <x v="56"/>
    <x v="41"/>
    <x v="3"/>
    <d v="2025-05-03T00:00:00"/>
    <n v="-100"/>
    <n v="4.5999999999999996"/>
    <n v="3.3"/>
    <n v="-95"/>
    <n v="1794"/>
    <n v="1794"/>
    <n v="0"/>
    <x v="1"/>
    <x v="1"/>
    <x v="0"/>
  </r>
  <r>
    <x v="57"/>
    <x v="41"/>
    <x v="3"/>
    <d v="2025-05-03T00:00:00"/>
    <n v="-5"/>
    <n v="4.5999999999999996"/>
    <n v="4.8000000000000007"/>
    <n v="-10"/>
    <n v="1794"/>
    <n v="1802"/>
    <n v="8"/>
    <x v="1"/>
    <x v="1"/>
    <x v="1"/>
  </r>
  <r>
    <x v="58"/>
    <x v="41"/>
    <x v="3"/>
    <d v="2025-05-03T00:00:00"/>
    <n v="-45"/>
    <n v="4.5999999999999996"/>
    <n v="4.1000000000000005"/>
    <n v="-50"/>
    <n v="1794"/>
    <n v="1802"/>
    <n v="8"/>
    <x v="1"/>
    <x v="1"/>
    <x v="1"/>
  </r>
  <r>
    <x v="59"/>
    <x v="41"/>
    <x v="3"/>
    <d v="2025-05-03T00:00:00"/>
    <n v="-170"/>
    <n v="4.5999999999999996"/>
    <n v="2.3000000000000003"/>
    <n v="-170"/>
    <n v="1794"/>
    <n v="1794"/>
    <n v="0"/>
    <x v="1"/>
    <x v="1"/>
    <x v="0"/>
  </r>
  <r>
    <x v="60"/>
    <x v="41"/>
    <x v="3"/>
    <d v="2025-05-03T00:00:00"/>
    <n v="-210"/>
    <n v="4.5999999999999996"/>
    <n v="1.7"/>
    <n v="-210"/>
    <n v="1794"/>
    <n v="1794"/>
    <n v="0"/>
    <x v="1"/>
    <x v="1"/>
    <x v="0"/>
  </r>
  <r>
    <x v="61"/>
    <x v="40"/>
    <x v="0"/>
    <d v="2025-05-05T00:00:00"/>
    <n v="-765"/>
    <n v="20.8"/>
    <n v="7.1"/>
    <n v="-670"/>
    <n v="2955"/>
    <n v="2955"/>
    <n v="0"/>
    <x v="1"/>
    <x v="1"/>
    <x v="0"/>
  </r>
  <r>
    <x v="62"/>
    <x v="43"/>
    <x v="0"/>
    <d v="2025-05-05T00:00:00"/>
    <n v="-1790"/>
    <n v="16.700000000000003"/>
    <n v="16.2"/>
    <n v="-30"/>
    <n v="6242"/>
    <n v="6242"/>
    <n v="0"/>
    <x v="1"/>
    <x v="1"/>
    <x v="0"/>
  </r>
  <r>
    <x v="63"/>
    <x v="44"/>
    <x v="0"/>
    <d v="2025-05-07T00:00:00"/>
    <n v="-100"/>
    <n v="11.899999999999999"/>
    <n v="21.5"/>
    <n v="450"/>
    <n v="5546"/>
    <n v="5546"/>
    <n v="0"/>
    <x v="1"/>
    <x v="2"/>
    <x v="0"/>
  </r>
  <r>
    <x v="64"/>
    <x v="45"/>
    <x v="0"/>
    <d v="2025-05-05T00:00:00"/>
    <n v="35"/>
    <n v="2"/>
    <n v="1.8"/>
    <n v="-15"/>
    <n v="465"/>
    <n v="465"/>
    <n v="0"/>
    <x v="0"/>
    <x v="1"/>
    <x v="0"/>
  </r>
  <r>
    <x v="65"/>
    <x v="46"/>
    <x v="0"/>
    <d v="2025-05-05T00:00:00"/>
    <n v="60"/>
    <n v="4.8"/>
    <n v="6.6000000000000005"/>
    <n v="85"/>
    <n v="2085"/>
    <n v="2085"/>
    <n v="0"/>
    <x v="0"/>
    <x v="2"/>
    <x v="0"/>
  </r>
  <r>
    <x v="66"/>
    <x v="47"/>
    <x v="0"/>
    <d v="2025-05-05T00:00:00"/>
    <n v="-305"/>
    <n v="13.600000000000001"/>
    <n v="24.799999999999997"/>
    <n v="540"/>
    <n v="12015"/>
    <n v="12015"/>
    <n v="0"/>
    <x v="1"/>
    <x v="2"/>
    <x v="0"/>
  </r>
  <r>
    <x v="67"/>
    <x v="48"/>
    <x v="0"/>
    <d v="2025-05-07T00:00:00"/>
    <n v="-505"/>
    <n v="13.1"/>
    <n v="11.5"/>
    <n v="-85"/>
    <n v="9800"/>
    <n v="9800"/>
    <n v="0"/>
    <x v="1"/>
    <x v="1"/>
    <x v="0"/>
  </r>
  <r>
    <x v="68"/>
    <x v="40"/>
    <x v="0"/>
    <d v="2025-05-05T00:00:00"/>
    <n v="-755"/>
    <n v="20.8"/>
    <n v="7.8000000000000007"/>
    <n v="-635"/>
    <n v="2931"/>
    <n v="2931"/>
    <n v="0"/>
    <x v="1"/>
    <x v="1"/>
    <x v="0"/>
  </r>
  <r>
    <x v="69"/>
    <x v="49"/>
    <x v="0"/>
    <d v="2025-05-05T00:00:00"/>
    <n v="40"/>
    <n v="2"/>
    <n v="1.7"/>
    <n v="-20"/>
    <n v="506"/>
    <n v="506"/>
    <n v="0"/>
    <x v="0"/>
    <x v="1"/>
    <x v="0"/>
  </r>
  <r>
    <x v="70"/>
    <x v="45"/>
    <x v="0"/>
    <d v="2025-05-05T00:00:00"/>
    <n v="165"/>
    <n v="3.3"/>
    <n v="6.2"/>
    <n v="135"/>
    <n v="1125"/>
    <n v="1125"/>
    <n v="0"/>
    <x v="0"/>
    <x v="2"/>
    <x v="0"/>
  </r>
  <r>
    <x v="71"/>
    <x v="18"/>
    <x v="0"/>
    <d v="2025-05-08T00:00:00"/>
    <n v="-590"/>
    <n v="25.8"/>
    <n v="9.1000000000000014"/>
    <n v="-815"/>
    <n v="5340"/>
    <n v="5340"/>
    <n v="0"/>
    <x v="1"/>
    <x v="1"/>
    <x v="0"/>
  </r>
  <r>
    <x v="72"/>
    <x v="50"/>
    <x v="0"/>
    <d v="2025-05-09T00:00:00"/>
    <n v="1075"/>
    <n v="20.5"/>
    <n v="35.1"/>
    <n v="710"/>
    <n v="7410"/>
    <n v="7925"/>
    <n v="515"/>
    <x v="0"/>
    <x v="2"/>
    <x v="1"/>
  </r>
  <r>
    <x v="73"/>
    <x v="51"/>
    <x v="0"/>
    <d v="2025-05-07T00:00:00"/>
    <n v="-985"/>
    <n v="30.6"/>
    <n v="23.5"/>
    <n v="-355"/>
    <n v="3510"/>
    <n v="3510"/>
    <n v="0"/>
    <x v="1"/>
    <x v="1"/>
    <x v="0"/>
  </r>
  <r>
    <x v="74"/>
    <x v="52"/>
    <x v="4"/>
    <d v="2025-04-28T00:00:00"/>
    <n v="-235"/>
    <n v="3"/>
    <n v="0"/>
    <n v="-250"/>
    <n v="120"/>
    <n v="120"/>
    <n v="0"/>
    <x v="1"/>
    <x v="1"/>
    <x v="0"/>
  </r>
  <r>
    <x v="75"/>
    <x v="14"/>
    <x v="3"/>
    <d v="2025-05-03T00:00:00"/>
    <n v="170"/>
    <n v="4.9000000000000004"/>
    <n v="26.1"/>
    <n v="1285"/>
    <n v="10974"/>
    <n v="10974"/>
    <n v="0"/>
    <x v="0"/>
    <x v="2"/>
    <x v="0"/>
  </r>
  <r>
    <x v="76"/>
    <x v="14"/>
    <x v="3"/>
    <d v="2025-05-10T00:00:00"/>
    <n v="-100"/>
    <n v="4.9000000000000004"/>
    <n v="21.8"/>
    <n v="1020"/>
    <n v="10974"/>
    <n v="10974"/>
    <n v="0"/>
    <x v="1"/>
    <x v="2"/>
    <x v="0"/>
  </r>
  <r>
    <x v="77"/>
    <x v="14"/>
    <x v="3"/>
    <d v="2025-05-10T00:00:00"/>
    <n v="85"/>
    <n v="4.9000000000000004"/>
    <n v="24.899999999999995"/>
    <n v="1195"/>
    <n v="10974"/>
    <n v="10974"/>
    <n v="0"/>
    <x v="0"/>
    <x v="2"/>
    <x v="0"/>
  </r>
  <r>
    <x v="78"/>
    <x v="53"/>
    <x v="3"/>
    <d v="2025-05-03T00:00:00"/>
    <n v="200"/>
    <n v="6.6999999999999993"/>
    <n v="10.799999999999999"/>
    <n v="230"/>
    <n v="8600"/>
    <n v="8600"/>
    <n v="0"/>
    <x v="0"/>
    <x v="2"/>
    <x v="0"/>
  </r>
  <r>
    <x v="79"/>
    <x v="53"/>
    <x v="3"/>
    <d v="2025-05-03T00:00:00"/>
    <n v="185"/>
    <n v="6.6999999999999993"/>
    <n v="10.700000000000001"/>
    <n v="230"/>
    <n v="8600"/>
    <n v="8600"/>
    <n v="0"/>
    <x v="0"/>
    <x v="2"/>
    <x v="0"/>
  </r>
  <r>
    <x v="80"/>
    <x v="53"/>
    <x v="3"/>
    <d v="2025-05-03T00:00:00"/>
    <n v="85"/>
    <n v="6.6999999999999993"/>
    <n v="9"/>
    <n v="120"/>
    <n v="8600"/>
    <n v="8600"/>
    <n v="0"/>
    <x v="0"/>
    <x v="2"/>
    <x v="0"/>
  </r>
  <r>
    <x v="81"/>
    <x v="53"/>
    <x v="3"/>
    <d v="2025-05-03T00:00:00"/>
    <n v="665"/>
    <n v="6.6999999999999993"/>
    <n v="18.3"/>
    <n v="695"/>
    <n v="8600"/>
    <n v="8600"/>
    <n v="0"/>
    <x v="0"/>
    <x v="2"/>
    <x v="0"/>
  </r>
  <r>
    <x v="82"/>
    <x v="40"/>
    <x v="0"/>
    <d v="2025-05-07T00:00:00"/>
    <n v="-770"/>
    <n v="20.8"/>
    <n v="7.4"/>
    <n v="-655"/>
    <n v="2930"/>
    <n v="2930"/>
    <n v="0"/>
    <x v="1"/>
    <x v="1"/>
    <x v="0"/>
  </r>
  <r>
    <x v="83"/>
    <x v="40"/>
    <x v="0"/>
    <d v="2025-05-07T00:00:00"/>
    <n v="-855"/>
    <n v="20.8"/>
    <n v="5.5"/>
    <n v="-745"/>
    <n v="2940"/>
    <n v="2940"/>
    <n v="0"/>
    <x v="1"/>
    <x v="1"/>
    <x v="0"/>
  </r>
  <r>
    <x v="84"/>
    <x v="54"/>
    <x v="4"/>
    <d v="2025-05-12T00:00:00"/>
    <n v="5"/>
    <n v="0.7"/>
    <n v="0.60000000000000009"/>
    <n v="-25"/>
    <n v="1036"/>
    <n v="1036"/>
    <n v="0"/>
    <x v="0"/>
    <x v="1"/>
    <x v="0"/>
  </r>
  <r>
    <x v="85"/>
    <x v="54"/>
    <x v="4"/>
    <d v="2025-05-12T00:00:00"/>
    <n v="40"/>
    <n v="0.7"/>
    <n v="1.1000000000000001"/>
    <n v="5"/>
    <n v="1036"/>
    <n v="1036"/>
    <n v="0"/>
    <x v="0"/>
    <x v="2"/>
    <x v="0"/>
  </r>
  <r>
    <x v="86"/>
    <x v="55"/>
    <x v="3"/>
    <d v="2025-05-03T00:00:00"/>
    <n v="70"/>
    <n v="4.4000000000000004"/>
    <n v="3.6"/>
    <n v="-60"/>
    <n v="5530"/>
    <n v="5530"/>
    <n v="0"/>
    <x v="0"/>
    <x v="1"/>
    <x v="0"/>
  </r>
  <r>
    <x v="87"/>
    <x v="55"/>
    <x v="3"/>
    <d v="2025-05-03T00:00:00"/>
    <n v="40"/>
    <n v="4.4000000000000004"/>
    <n v="3.1000000000000005"/>
    <n v="-95"/>
    <n v="5530"/>
    <n v="5530"/>
    <n v="0"/>
    <x v="0"/>
    <x v="1"/>
    <x v="0"/>
  </r>
  <r>
    <x v="88"/>
    <x v="56"/>
    <x v="0"/>
    <d v="2025-05-07T00:00:00"/>
    <n v="135"/>
    <n v="2.6999999999999997"/>
    <n v="4.9000000000000004"/>
    <n v="100"/>
    <n v="690"/>
    <n v="690"/>
    <n v="0"/>
    <x v="0"/>
    <x v="2"/>
    <x v="0"/>
  </r>
  <r>
    <x v="89"/>
    <x v="57"/>
    <x v="0"/>
    <d v="2025-05-07T00:00:00"/>
    <n v="50"/>
    <n v="2.4999999999999996"/>
    <n v="4.7"/>
    <n v="110"/>
    <n v="1185"/>
    <n v="1185"/>
    <n v="0"/>
    <x v="0"/>
    <x v="2"/>
    <x v="0"/>
  </r>
  <r>
    <x v="90"/>
    <x v="58"/>
    <x v="4"/>
    <d v="2025-05-05T00:00:00"/>
    <n v="25"/>
    <n v="0.7"/>
    <n v="0.89999999999999991"/>
    <n v="-10"/>
    <n v="838"/>
    <n v="838"/>
    <n v="0"/>
    <x v="0"/>
    <x v="1"/>
    <x v="0"/>
  </r>
  <r>
    <x v="91"/>
    <x v="59"/>
    <x v="0"/>
    <d v="2025-05-07T00:00:00"/>
    <n v="-155"/>
    <n v="1.9000000000000001"/>
    <n v="2.9"/>
    <n v="40"/>
    <n v="831"/>
    <n v="831"/>
    <n v="0"/>
    <x v="1"/>
    <x v="2"/>
    <x v="0"/>
  </r>
  <r>
    <x v="92"/>
    <x v="60"/>
    <x v="0"/>
    <d v="2025-05-07T00:00:00"/>
    <n v="-25"/>
    <n v="14.100000000000001"/>
    <n v="14.1"/>
    <n v="-5"/>
    <n v="4201"/>
    <n v="4201"/>
    <n v="0"/>
    <x v="1"/>
    <x v="1"/>
    <x v="0"/>
  </r>
  <r>
    <x v="93"/>
    <x v="61"/>
    <x v="0"/>
    <d v="2025-05-07T00:00:00"/>
    <n v="195"/>
    <n v="1.6"/>
    <n v="2.6"/>
    <n v="45"/>
    <n v="677"/>
    <n v="677"/>
    <n v="0"/>
    <x v="0"/>
    <x v="2"/>
    <x v="0"/>
  </r>
  <r>
    <x v="94"/>
    <x v="62"/>
    <x v="0"/>
    <d v="2025-05-07T00:00:00"/>
    <n v="95"/>
    <n v="7.6"/>
    <n v="7.4999999999999991"/>
    <n v="-15"/>
    <n v="2157"/>
    <n v="2157"/>
    <n v="0"/>
    <x v="0"/>
    <x v="1"/>
    <x v="0"/>
  </r>
  <r>
    <x v="95"/>
    <x v="60"/>
    <x v="0"/>
    <d v="2025-05-07T00:00:00"/>
    <n v="825"/>
    <n v="14.100000000000001"/>
    <n v="29.2"/>
    <n v="730"/>
    <n v="4317"/>
    <n v="4317"/>
    <n v="0"/>
    <x v="0"/>
    <x v="2"/>
    <x v="0"/>
  </r>
  <r>
    <x v="96"/>
    <x v="61"/>
    <x v="0"/>
    <d v="2025-05-07T00:00:00"/>
    <n v="15"/>
    <n v="1.6"/>
    <n v="1"/>
    <n v="-35"/>
    <n v="577"/>
    <n v="577"/>
    <n v="0"/>
    <x v="0"/>
    <x v="1"/>
    <x v="0"/>
  </r>
  <r>
    <x v="97"/>
    <x v="63"/>
    <x v="0"/>
    <d v="2025-05-07T00:00:00"/>
    <n v="-95"/>
    <n v="6.7"/>
    <n v="3.3"/>
    <n v="-175"/>
    <n v="1235"/>
    <n v="1235"/>
    <n v="0"/>
    <x v="1"/>
    <x v="1"/>
    <x v="0"/>
  </r>
  <r>
    <x v="98"/>
    <x v="64"/>
    <x v="0"/>
    <d v="2025-05-07T00:00:00"/>
    <n v="125"/>
    <n v="1.6"/>
    <n v="2.6999999999999997"/>
    <n v="45"/>
    <n v="235"/>
    <n v="235"/>
    <n v="0"/>
    <x v="0"/>
    <x v="2"/>
    <x v="0"/>
  </r>
  <r>
    <x v="99"/>
    <x v="65"/>
    <x v="0"/>
    <d v="2025-05-07T00:00:00"/>
    <n v="30"/>
    <n v="0"/>
    <n v="0.2"/>
    <n v="10"/>
    <n v="110"/>
    <n v="110"/>
    <n v="0"/>
    <x v="0"/>
    <x v="2"/>
    <x v="0"/>
  </r>
  <r>
    <x v="100"/>
    <x v="66"/>
    <x v="0"/>
    <d v="2025-05-12T00:00:00"/>
    <n v="240"/>
    <n v="3.7"/>
    <n v="1"/>
    <n v="-140"/>
    <n v="118"/>
    <n v="173"/>
    <n v="55"/>
    <x v="0"/>
    <x v="1"/>
    <x v="1"/>
  </r>
  <r>
    <x v="101"/>
    <x v="67"/>
    <x v="0"/>
    <d v="2025-05-07T00:00:00"/>
    <n v="20"/>
    <n v="3.9"/>
    <n v="0.3"/>
    <n v="-185"/>
    <n v="112"/>
    <n v="112"/>
    <n v="0"/>
    <x v="0"/>
    <x v="1"/>
    <x v="0"/>
  </r>
  <r>
    <x v="102"/>
    <x v="33"/>
    <x v="0"/>
    <d v="2025-05-07T00:00:00"/>
    <n v="-960"/>
    <n v="20.8"/>
    <n v="7.5"/>
    <n v="-650"/>
    <n v="3210"/>
    <n v="3210"/>
    <n v="0"/>
    <x v="1"/>
    <x v="1"/>
    <x v="0"/>
  </r>
  <r>
    <x v="103"/>
    <x v="38"/>
    <x v="0"/>
    <d v="2025-05-08T00:00:00"/>
    <n v="150"/>
    <n v="0"/>
    <n v="1.4"/>
    <n v="60"/>
    <n v="276"/>
    <n v="276"/>
    <n v="0"/>
    <x v="0"/>
    <x v="2"/>
    <x v="0"/>
  </r>
  <r>
    <x v="104"/>
    <x v="38"/>
    <x v="0"/>
    <d v="2025-05-07T00:00:00"/>
    <n v="-990"/>
    <n v="35.599999999999994"/>
    <n v="15.999999999999998"/>
    <n v="-975"/>
    <n v="4116"/>
    <n v="4116"/>
    <n v="0"/>
    <x v="1"/>
    <x v="1"/>
    <x v="0"/>
  </r>
  <r>
    <x v="105"/>
    <x v="68"/>
    <x v="0"/>
    <d v="2025-05-07T00:00:00"/>
    <n v="-480"/>
    <n v="15.200000000000001"/>
    <n v="9.2999999999999989"/>
    <n v="-300"/>
    <n v="1552"/>
    <n v="1552"/>
    <n v="0"/>
    <x v="1"/>
    <x v="1"/>
    <x v="0"/>
  </r>
  <r>
    <x v="106"/>
    <x v="69"/>
    <x v="0"/>
    <d v="2025-05-07T00:00:00"/>
    <n v="-355"/>
    <n v="6.4"/>
    <n v="3.5999999999999996"/>
    <n v="-145"/>
    <n v="1930"/>
    <n v="1930"/>
    <n v="0"/>
    <x v="1"/>
    <x v="1"/>
    <x v="0"/>
  </r>
  <r>
    <x v="107"/>
    <x v="70"/>
    <x v="3"/>
    <d v="2025-05-03T00:00:00"/>
    <n v="-245"/>
    <n v="6"/>
    <n v="9.9999999999999982"/>
    <n v="70"/>
    <n v="20896"/>
    <n v="20896"/>
    <n v="0"/>
    <x v="1"/>
    <x v="2"/>
    <x v="0"/>
  </r>
  <r>
    <x v="108"/>
    <x v="71"/>
    <x v="2"/>
    <d v="2025-05-06T00:00:00"/>
    <n v="-2635"/>
    <n v="62.800000000000004"/>
    <n v="45.4"/>
    <n v="-525"/>
    <n v="4555"/>
    <n v="4555"/>
    <n v="0"/>
    <x v="1"/>
    <x v="1"/>
    <x v="0"/>
  </r>
  <r>
    <x v="109"/>
    <x v="72"/>
    <x v="3"/>
    <d v="2025-05-03T00:00:00"/>
    <n v="90"/>
    <n v="6"/>
    <n v="16.399999999999999"/>
    <n v="415"/>
    <n v="34042"/>
    <n v="34032"/>
    <n v="-10"/>
    <x v="0"/>
    <x v="2"/>
    <x v="2"/>
  </r>
  <r>
    <x v="110"/>
    <x v="73"/>
    <x v="0"/>
    <d v="2025-05-07T00:00:00"/>
    <n v="20"/>
    <n v="0"/>
    <n v="0.1"/>
    <n v="0"/>
    <n v="40"/>
    <n v="40"/>
    <n v="0"/>
    <x v="0"/>
    <x v="0"/>
    <x v="0"/>
  </r>
  <r>
    <x v="111"/>
    <x v="74"/>
    <x v="0"/>
    <d v="2025-05-07T00:00:00"/>
    <n v="700"/>
    <n v="16"/>
    <n v="41.2"/>
    <n v="1220"/>
    <n v="21390"/>
    <n v="21390"/>
    <n v="0"/>
    <x v="0"/>
    <x v="2"/>
    <x v="0"/>
  </r>
  <r>
    <x v="112"/>
    <x v="75"/>
    <x v="0"/>
    <d v="2025-05-07T00:00:00"/>
    <n v="335"/>
    <n v="7.4"/>
    <n v="12.599999999999998"/>
    <n v="235"/>
    <n v="220"/>
    <n v="220"/>
    <n v="0"/>
    <x v="0"/>
    <x v="2"/>
    <x v="0"/>
  </r>
  <r>
    <x v="113"/>
    <x v="76"/>
    <x v="0"/>
    <d v="2025-05-07T00:00:00"/>
    <n v="135"/>
    <n v="4.8"/>
    <n v="6.1"/>
    <n v="55"/>
    <n v="1245"/>
    <n v="1245"/>
    <n v="0"/>
    <x v="0"/>
    <x v="2"/>
    <x v="0"/>
  </r>
  <r>
    <x v="114"/>
    <x v="77"/>
    <x v="0"/>
    <d v="2025-05-07T00:00:00"/>
    <n v="-515"/>
    <n v="16.700000000000003"/>
    <n v="19.3"/>
    <n v="120"/>
    <n v="2675"/>
    <n v="2675"/>
    <n v="0"/>
    <x v="1"/>
    <x v="2"/>
    <x v="0"/>
  </r>
  <r>
    <x v="115"/>
    <x v="78"/>
    <x v="4"/>
    <d v="2025-05-05T00:00:00"/>
    <n v="225"/>
    <n v="0.7"/>
    <n v="4.4000000000000004"/>
    <n v="195"/>
    <n v="855"/>
    <n v="855"/>
    <n v="0"/>
    <x v="0"/>
    <x v="2"/>
    <x v="0"/>
  </r>
  <r>
    <x v="116"/>
    <x v="73"/>
    <x v="0"/>
    <d v="2025-05-08T00:00:00"/>
    <n v="-85"/>
    <n v="8.8000000000000007"/>
    <n v="2.5000000000000004"/>
    <n v="-295"/>
    <n v="630"/>
    <n v="630"/>
    <n v="0"/>
    <x v="1"/>
    <x v="1"/>
    <x v="0"/>
  </r>
  <r>
    <x v="117"/>
    <x v="40"/>
    <x v="0"/>
    <d v="2025-05-07T00:00:00"/>
    <n v="-790"/>
    <n v="20.8"/>
    <n v="7.1"/>
    <n v="-675"/>
    <n v="2930"/>
    <n v="2930"/>
    <n v="0"/>
    <x v="1"/>
    <x v="1"/>
    <x v="0"/>
  </r>
  <r>
    <x v="118"/>
    <x v="79"/>
    <x v="0"/>
    <d v="2025-05-07T00:00:00"/>
    <n v="235"/>
    <n v="10.700000000000001"/>
    <n v="15"/>
    <n v="200"/>
    <n v="1600"/>
    <n v="1600"/>
    <n v="0"/>
    <x v="0"/>
    <x v="2"/>
    <x v="0"/>
  </r>
  <r>
    <x v="119"/>
    <x v="80"/>
    <x v="0"/>
    <d v="2025-05-08T00:00:00"/>
    <n v="240"/>
    <n v="4.8"/>
    <n v="10.299999999999999"/>
    <n v="265"/>
    <n v="965"/>
    <n v="965"/>
    <n v="0"/>
    <x v="0"/>
    <x v="2"/>
    <x v="0"/>
  </r>
  <r>
    <x v="120"/>
    <x v="68"/>
    <x v="0"/>
    <d v="2025-05-08T00:00:00"/>
    <n v="-1620"/>
    <n v="58.7"/>
    <n v="53.300000000000004"/>
    <n v="-265"/>
    <n v="6800"/>
    <n v="6880"/>
    <n v="80"/>
    <x v="1"/>
    <x v="1"/>
    <x v="1"/>
  </r>
  <r>
    <x v="121"/>
    <x v="70"/>
    <x v="3"/>
    <d v="2025-05-03T00:00:00"/>
    <n v="-70"/>
    <n v="6"/>
    <n v="12.1"/>
    <n v="250"/>
    <n v="20896"/>
    <n v="20896"/>
    <n v="0"/>
    <x v="1"/>
    <x v="2"/>
    <x v="0"/>
  </r>
  <r>
    <x v="122"/>
    <x v="41"/>
    <x v="3"/>
    <d v="2025-05-03T00:00:00"/>
    <n v="-150"/>
    <n v="4.5999999999999996"/>
    <n v="2.1"/>
    <n v="-170"/>
    <n v="1815"/>
    <n v="1815"/>
    <n v="0"/>
    <x v="1"/>
    <x v="1"/>
    <x v="0"/>
  </r>
  <r>
    <x v="123"/>
    <x v="41"/>
    <x v="3"/>
    <d v="2025-05-03T00:00:00"/>
    <n v="-150"/>
    <n v="4.5999999999999996"/>
    <n v="2.2000000000000002"/>
    <n v="-170"/>
    <n v="1815"/>
    <n v="1815"/>
    <n v="0"/>
    <x v="1"/>
    <x v="1"/>
    <x v="0"/>
  </r>
  <r>
    <x v="124"/>
    <x v="63"/>
    <x v="0"/>
    <d v="2025-05-08T00:00:00"/>
    <n v="-90"/>
    <n v="11.899999999999999"/>
    <n v="10.8"/>
    <n v="-65"/>
    <n v="2385"/>
    <n v="2385"/>
    <n v="0"/>
    <x v="1"/>
    <x v="1"/>
    <x v="0"/>
  </r>
  <r>
    <x v="125"/>
    <x v="81"/>
    <x v="0"/>
    <d v="2025-05-08T00:00:00"/>
    <n v="-340"/>
    <n v="13.500000000000002"/>
    <n v="9.6"/>
    <n v="-190"/>
    <n v="5096"/>
    <n v="5096"/>
    <n v="0"/>
    <x v="1"/>
    <x v="1"/>
    <x v="0"/>
  </r>
  <r>
    <x v="126"/>
    <x v="70"/>
    <x v="3"/>
    <d v="2025-05-03T00:00:00"/>
    <n v="70"/>
    <n v="6"/>
    <n v="13.4"/>
    <n v="385"/>
    <n v="20896"/>
    <n v="20896"/>
    <n v="0"/>
    <x v="0"/>
    <x v="2"/>
    <x v="0"/>
  </r>
  <r>
    <x v="127"/>
    <x v="55"/>
    <x v="3"/>
    <d v="2025-05-10T00:00:00"/>
    <n v="-15"/>
    <n v="4.4000000000000004"/>
    <n v="2.5"/>
    <n v="-135"/>
    <n v="5515"/>
    <n v="5515"/>
    <n v="0"/>
    <x v="1"/>
    <x v="1"/>
    <x v="0"/>
  </r>
  <r>
    <x v="128"/>
    <x v="55"/>
    <x v="3"/>
    <d v="2025-05-10T00:00:00"/>
    <n v="-5"/>
    <n v="4.4000000000000004"/>
    <n v="2.7"/>
    <n v="-120"/>
    <n v="5515"/>
    <n v="5515"/>
    <n v="0"/>
    <x v="1"/>
    <x v="1"/>
    <x v="0"/>
  </r>
  <r>
    <x v="129"/>
    <x v="55"/>
    <x v="3"/>
    <d v="2025-05-10T00:00:00"/>
    <n v="15"/>
    <n v="4.4000000000000004"/>
    <n v="3.1"/>
    <n v="-100"/>
    <n v="5515"/>
    <n v="5515"/>
    <n v="0"/>
    <x v="0"/>
    <x v="1"/>
    <x v="0"/>
  </r>
  <r>
    <x v="130"/>
    <x v="55"/>
    <x v="3"/>
    <d v="2025-05-10T00:00:00"/>
    <n v="-20"/>
    <n v="4.4000000000000004"/>
    <n v="2.5"/>
    <n v="-140"/>
    <n v="5515"/>
    <n v="5515"/>
    <n v="0"/>
    <x v="1"/>
    <x v="1"/>
    <x v="0"/>
  </r>
  <r>
    <x v="131"/>
    <x v="55"/>
    <x v="3"/>
    <d v="2025-05-10T00:00:00"/>
    <n v="40"/>
    <n v="4.4000000000000004"/>
    <n v="3.2"/>
    <n v="-80"/>
    <n v="5515"/>
    <n v="5515"/>
    <n v="0"/>
    <x v="0"/>
    <x v="1"/>
    <x v="0"/>
  </r>
  <r>
    <x v="132"/>
    <x v="55"/>
    <x v="3"/>
    <d v="2025-05-10T00:00:00"/>
    <n v="50"/>
    <n v="4.4000000000000004"/>
    <n v="3.5000000000000004"/>
    <n v="-65"/>
    <n v="5515"/>
    <n v="5515"/>
    <n v="0"/>
    <x v="0"/>
    <x v="1"/>
    <x v="0"/>
  </r>
  <r>
    <x v="133"/>
    <x v="82"/>
    <x v="0"/>
    <d v="2025-05-12T00:00:00"/>
    <n v="95"/>
    <n v="6.3999999999999995"/>
    <n v="7.3999999999999995"/>
    <n v="45"/>
    <n v="2396"/>
    <n v="2371"/>
    <n v="-25"/>
    <x v="0"/>
    <x v="2"/>
    <x v="2"/>
  </r>
  <r>
    <x v="134"/>
    <x v="83"/>
    <x v="0"/>
    <d v="2025-05-12T00:00:00"/>
    <n v="275"/>
    <n v="3.5999999999999996"/>
    <n v="8.4"/>
    <n v="225"/>
    <n v="2351"/>
    <n v="2351"/>
    <n v="0"/>
    <x v="0"/>
    <x v="2"/>
    <x v="0"/>
  </r>
  <r>
    <x v="135"/>
    <x v="84"/>
    <x v="0"/>
    <d v="2025-05-12T00:00:00"/>
    <n v="-860"/>
    <n v="20.8"/>
    <n v="6.5"/>
    <n v="-700"/>
    <n v="3500"/>
    <n v="3500"/>
    <n v="0"/>
    <x v="1"/>
    <x v="1"/>
    <x v="0"/>
  </r>
  <r>
    <x v="136"/>
    <x v="85"/>
    <x v="4"/>
    <d v="2025-05-12T00:00:00"/>
    <n v="125"/>
    <n v="0.3"/>
    <n v="4.8000000000000007"/>
    <n v="95"/>
    <n v="72"/>
    <n v="72"/>
    <n v="0"/>
    <x v="0"/>
    <x v="2"/>
    <x v="0"/>
  </r>
  <r>
    <x v="137"/>
    <x v="37"/>
    <x v="2"/>
    <d v="2025-05-06T00:00:00"/>
    <n v="-225"/>
    <n v="4.5"/>
    <n v="0"/>
    <n v="-245"/>
    <n v="20395"/>
    <n v="20395"/>
    <n v="0"/>
    <x v="1"/>
    <x v="1"/>
    <x v="0"/>
  </r>
  <r>
    <x v="138"/>
    <x v="37"/>
    <x v="2"/>
    <d v="2025-05-06T00:00:00"/>
    <n v="-225"/>
    <n v="4.5"/>
    <n v="0"/>
    <n v="-245"/>
    <n v="20395"/>
    <n v="20395"/>
    <n v="0"/>
    <x v="1"/>
    <x v="1"/>
    <x v="0"/>
  </r>
  <r>
    <x v="139"/>
    <x v="52"/>
    <x v="4"/>
    <d v="2025-05-12T00:00:00"/>
    <n v="-220"/>
    <n v="3"/>
    <n v="0.2"/>
    <n v="-245"/>
    <n v="120"/>
    <n v="120"/>
    <n v="0"/>
    <x v="1"/>
    <x v="1"/>
    <x v="0"/>
  </r>
  <r>
    <x v="140"/>
    <x v="86"/>
    <x v="4"/>
    <d v="2025-05-12T00:00:00"/>
    <n v="-55"/>
    <n v="0"/>
    <n v="6.8"/>
    <n v="0"/>
    <n v="79"/>
    <n v="79"/>
    <n v="0"/>
    <x v="1"/>
    <x v="0"/>
    <x v="0"/>
  </r>
  <r>
    <x v="141"/>
    <x v="87"/>
    <x v="3"/>
    <d v="2025-05-10T00:00:00"/>
    <n v="-5"/>
    <n v="0.8"/>
    <n v="0.4"/>
    <n v="-55"/>
    <n v="3965"/>
    <n v="3965"/>
    <n v="0"/>
    <x v="1"/>
    <x v="1"/>
    <x v="0"/>
  </r>
  <r>
    <x v="142"/>
    <x v="87"/>
    <x v="3"/>
    <d v="2025-05-10T00:00:00"/>
    <n v="5"/>
    <n v="0.8"/>
    <n v="0.60000000000000009"/>
    <n v="-45"/>
    <n v="3965"/>
    <n v="3965"/>
    <n v="0"/>
    <x v="0"/>
    <x v="1"/>
    <x v="0"/>
  </r>
  <r>
    <x v="143"/>
    <x v="87"/>
    <x v="3"/>
    <d v="2025-05-03T00:00:00"/>
    <n v="15"/>
    <n v="0.8"/>
    <n v="0.4"/>
    <n v="-30"/>
    <n v="3965"/>
    <n v="3965"/>
    <n v="0"/>
    <x v="0"/>
    <x v="1"/>
    <x v="0"/>
  </r>
  <r>
    <x v="144"/>
    <x v="87"/>
    <x v="3"/>
    <d v="2025-05-10T00:00:00"/>
    <n v="10"/>
    <n v="0.8"/>
    <n v="0.7"/>
    <n v="-40"/>
    <n v="3965"/>
    <n v="3965"/>
    <n v="0"/>
    <x v="0"/>
    <x v="1"/>
    <x v="0"/>
  </r>
  <r>
    <x v="145"/>
    <x v="87"/>
    <x v="3"/>
    <d v="2025-05-03T00:00:00"/>
    <n v="20"/>
    <n v="0.8"/>
    <n v="0.4"/>
    <n v="-30"/>
    <n v="3965"/>
    <n v="3965"/>
    <n v="0"/>
    <x v="0"/>
    <x v="1"/>
    <x v="0"/>
  </r>
  <r>
    <x v="146"/>
    <x v="87"/>
    <x v="3"/>
    <d v="2025-05-03T00:00:00"/>
    <n v="20"/>
    <n v="0.8"/>
    <n v="0.4"/>
    <n v="-25"/>
    <n v="3965"/>
    <n v="3965"/>
    <n v="0"/>
    <x v="0"/>
    <x v="1"/>
    <x v="0"/>
  </r>
  <r>
    <x v="147"/>
    <x v="87"/>
    <x v="3"/>
    <d v="2025-05-03T00:00:00"/>
    <n v="25"/>
    <n v="0.8"/>
    <n v="0.5"/>
    <n v="-25"/>
    <n v="3965"/>
    <n v="3965"/>
    <n v="0"/>
    <x v="0"/>
    <x v="1"/>
    <x v="0"/>
  </r>
  <r>
    <x v="148"/>
    <x v="87"/>
    <x v="3"/>
    <d v="2025-05-10T00:00:00"/>
    <n v="0"/>
    <n v="0.8"/>
    <n v="0.5"/>
    <n v="-50"/>
    <n v="3965"/>
    <n v="3965"/>
    <n v="0"/>
    <x v="1"/>
    <x v="1"/>
    <x v="0"/>
  </r>
  <r>
    <x v="149"/>
    <x v="70"/>
    <x v="3"/>
    <d v="2025-05-10T00:00:00"/>
    <n v="-330"/>
    <n v="6"/>
    <n v="6.7"/>
    <n v="-15"/>
    <n v="20896"/>
    <n v="20896"/>
    <n v="0"/>
    <x v="1"/>
    <x v="1"/>
    <x v="0"/>
  </r>
  <r>
    <x v="150"/>
    <x v="70"/>
    <x v="3"/>
    <d v="2025-05-10T00:00:00"/>
    <n v="-120"/>
    <n v="6"/>
    <n v="10.200000000000001"/>
    <n v="190"/>
    <n v="20896"/>
    <n v="20896"/>
    <n v="0"/>
    <x v="1"/>
    <x v="2"/>
    <x v="0"/>
  </r>
  <r>
    <x v="151"/>
    <x v="70"/>
    <x v="3"/>
    <d v="2025-05-10T00:00:00"/>
    <n v="55"/>
    <n v="6"/>
    <n v="12.600000000000001"/>
    <n v="375"/>
    <n v="20896"/>
    <n v="20896"/>
    <n v="0"/>
    <x v="0"/>
    <x v="2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8"/>
    <x v="5"/>
    <s v=""/>
    <s v=""/>
    <m/>
    <m/>
    <m/>
    <n v="0"/>
    <n v="0"/>
    <n v="0"/>
    <x v="2"/>
    <x v="0"/>
    <x v="0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  <r>
    <x v="152"/>
    <x v="89"/>
    <x v="6"/>
    <m/>
    <m/>
    <m/>
    <m/>
    <m/>
    <m/>
    <m/>
    <m/>
    <x v="3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AAD91-1C8E-4928-9B3B-B5D581E08B95}" name="PivotTable13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E7:F18" firstHeaderRow="1" firstDataRow="1" firstDataCol="1" rowPageCount="2" colPageCount="1"/>
  <pivotFields count="14">
    <pivotField axis="axisRow" showAll="0" measureFilter="1" sortType="ascending">
      <items count="318">
        <item m="1" x="153"/>
        <item m="1" x="154"/>
        <item m="1" x="305"/>
        <item m="1" x="155"/>
        <item m="1" x="156"/>
        <item m="1" x="157"/>
        <item m="1" x="306"/>
        <item m="1" x="307"/>
        <item m="1" x="308"/>
        <item m="1" x="158"/>
        <item m="1" x="159"/>
        <item m="1" x="160"/>
        <item m="1" x="161"/>
        <item m="1" x="162"/>
        <item m="1" x="163"/>
        <item m="1" x="309"/>
        <item m="1" x="164"/>
        <item m="1" x="165"/>
        <item m="1" x="166"/>
        <item m="1" x="167"/>
        <item m="1" x="310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311"/>
        <item m="1" x="179"/>
        <item m="1" x="180"/>
        <item m="1" x="312"/>
        <item m="1" x="181"/>
        <item m="1" x="182"/>
        <item m="1" x="184"/>
        <item m="1" x="185"/>
        <item m="1" x="313"/>
        <item m="1" x="186"/>
        <item m="1" x="187"/>
        <item m="1" x="189"/>
        <item m="1" x="190"/>
        <item m="1" x="191"/>
        <item m="1" x="193"/>
        <item m="1" x="314"/>
        <item m="1" x="194"/>
        <item m="1" x="315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31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3"/>
        <item m="1" x="254"/>
        <item m="1" x="255"/>
        <item m="1" x="257"/>
        <item m="1" x="258"/>
        <item m="1" x="259"/>
        <item m="1" x="260"/>
        <item m="1" x="261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263"/>
        <item m="1" x="252"/>
        <item m="1" x="192"/>
        <item m="1" x="188"/>
        <item m="1" x="256"/>
        <item m="1" x="183"/>
        <item x="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89">
        <item x="88"/>
        <item m="1" x="184"/>
        <item m="1" x="94"/>
        <item m="1" x="103"/>
        <item m="1" x="95"/>
        <item m="1" x="119"/>
        <item m="1" x="99"/>
        <item m="1" x="96"/>
        <item m="1" x="104"/>
        <item m="1" x="97"/>
        <item m="1" x="98"/>
        <item m="1" x="112"/>
        <item m="1" x="180"/>
        <item m="1" x="177"/>
        <item m="1" x="129"/>
        <item m="1" x="126"/>
        <item m="1" x="118"/>
        <item m="1" x="105"/>
        <item m="1" x="156"/>
        <item m="1" x="157"/>
        <item m="1" x="117"/>
        <item m="1" x="124"/>
        <item m="1" x="121"/>
        <item m="1" x="159"/>
        <item m="1" x="185"/>
        <item m="1" x="155"/>
        <item m="1" x="114"/>
        <item m="1" x="162"/>
        <item m="1" x="160"/>
        <item m="1" x="100"/>
        <item m="1" x="179"/>
        <item m="1" x="163"/>
        <item m="1" x="153"/>
        <item m="1" x="138"/>
        <item m="1" x="181"/>
        <item m="1" x="182"/>
        <item m="1" x="127"/>
        <item m="1" x="161"/>
        <item m="1" x="186"/>
        <item m="1" x="109"/>
        <item m="1" x="143"/>
        <item m="1" x="176"/>
        <item m="1" x="172"/>
        <item m="1" x="154"/>
        <item m="1" x="140"/>
        <item m="1" x="183"/>
        <item m="1" x="111"/>
        <item m="1" x="120"/>
        <item m="1" x="110"/>
        <item m="1" x="142"/>
        <item m="1" x="175"/>
        <item m="1" x="168"/>
        <item m="1" x="144"/>
        <item m="1" x="148"/>
        <item m="1" x="122"/>
        <item m="1" x="93"/>
        <item m="1" x="131"/>
        <item m="1" x="145"/>
        <item m="1" x="173"/>
        <item m="1" x="101"/>
        <item m="1" x="178"/>
        <item m="1" x="113"/>
        <item m="1" x="106"/>
        <item m="1" x="116"/>
        <item m="1" x="91"/>
        <item m="1" x="141"/>
        <item m="1" x="158"/>
        <item m="1" x="166"/>
        <item m="1" x="187"/>
        <item m="1" x="133"/>
        <item m="1" x="167"/>
        <item m="1" x="169"/>
        <item m="1" x="149"/>
        <item m="1" x="152"/>
        <item m="1" x="150"/>
        <item m="1" x="151"/>
        <item m="1" x="170"/>
        <item m="1" x="135"/>
        <item m="1" x="136"/>
        <item m="1" x="139"/>
        <item m="1" x="132"/>
        <item m="1" x="128"/>
        <item m="1" x="164"/>
        <item m="1" x="125"/>
        <item m="1" x="137"/>
        <item m="1" x="107"/>
        <item m="1" x="92"/>
        <item m="1" x="146"/>
        <item m="1" x="165"/>
        <item m="1" x="123"/>
        <item m="1" x="174"/>
        <item m="1" x="130"/>
        <item m="1" x="108"/>
        <item m="1" x="134"/>
        <item m="1" x="171"/>
        <item m="1" x="90"/>
        <item m="1" x="115"/>
        <item m="1" x="147"/>
        <item m="1" x="102"/>
        <item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  <pivotField axis="axisPage" multipleItemSelectionAllowed="1" showAll="0">
      <items count="15">
        <item x="5"/>
        <item h="1" m="1" x="10"/>
        <item h="1" m="1" x="8"/>
        <item h="1" m="1" x="11"/>
        <item m="1" x="12"/>
        <item m="1" x="13"/>
        <item m="1" x="7"/>
        <item h="1" m="1" x="9"/>
        <item x="6"/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5">
        <item h="1" x="2"/>
        <item x="1"/>
        <item h="1" x="0"/>
        <item h="1" x="3"/>
        <item t="default"/>
      </items>
    </pivotField>
    <pivotField showAll="0"/>
    <pivotField showAll="0"/>
  </pivotFields>
  <rowFields count="2">
    <field x="0"/>
    <field x="1"/>
  </rowFields>
  <rowItems count="11">
    <i>
      <x v="273"/>
    </i>
    <i r="1">
      <x v="171"/>
    </i>
    <i>
      <x v="212"/>
    </i>
    <i r="1">
      <x v="136"/>
    </i>
    <i>
      <x v="227"/>
    </i>
    <i r="1">
      <x v="143"/>
    </i>
    <i>
      <x v="285"/>
    </i>
    <i r="1">
      <x v="168"/>
    </i>
    <i>
      <x v="269"/>
    </i>
    <i r="1">
      <x v="138"/>
    </i>
    <i t="grand">
      <x/>
    </i>
  </rowItems>
  <colItems count="1">
    <i/>
  </colItems>
  <pageFields count="2">
    <pageField fld="2" hier="-1"/>
    <pageField fld="11" hier="-1"/>
  </pageFields>
  <dataFields count="1">
    <dataField name="Sum of MO Cost Variance" fld="4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9FC17-0DF1-4F48-A5B5-A583DAA638F0}" name="PivotTable10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7:B18" firstHeaderRow="1" firstDataRow="1" firstDataCol="1" rowPageCount="2" colPageCount="1"/>
  <pivotFields count="14">
    <pivotField axis="axisRow" showAll="0" measureFilter="1" sortType="descending">
      <items count="318">
        <item m="1" x="153"/>
        <item m="1" x="154"/>
        <item m="1" x="305"/>
        <item m="1" x="155"/>
        <item m="1" x="156"/>
        <item m="1" x="157"/>
        <item m="1" x="306"/>
        <item m="1" x="307"/>
        <item m="1" x="308"/>
        <item m="1" x="158"/>
        <item m="1" x="159"/>
        <item m="1" x="160"/>
        <item m="1" x="161"/>
        <item m="1" x="162"/>
        <item m="1" x="163"/>
        <item m="1" x="309"/>
        <item m="1" x="164"/>
        <item m="1" x="165"/>
        <item m="1" x="166"/>
        <item m="1" x="167"/>
        <item m="1" x="310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311"/>
        <item m="1" x="179"/>
        <item m="1" x="180"/>
        <item m="1" x="312"/>
        <item m="1" x="181"/>
        <item m="1" x="182"/>
        <item m="1" x="184"/>
        <item m="1" x="185"/>
        <item m="1" x="313"/>
        <item m="1" x="186"/>
        <item m="1" x="187"/>
        <item m="1" x="189"/>
        <item m="1" x="190"/>
        <item m="1" x="191"/>
        <item m="1" x="193"/>
        <item m="1" x="314"/>
        <item m="1" x="194"/>
        <item m="1" x="315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31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3"/>
        <item m="1" x="254"/>
        <item m="1" x="255"/>
        <item m="1" x="257"/>
        <item m="1" x="258"/>
        <item m="1" x="259"/>
        <item m="1" x="260"/>
        <item m="1" x="261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263"/>
        <item m="1" x="252"/>
        <item m="1" x="192"/>
        <item m="1" x="188"/>
        <item m="1" x="256"/>
        <item m="1" x="183"/>
        <item x="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89">
        <item x="88"/>
        <item m="1" x="184"/>
        <item m="1" x="94"/>
        <item m="1" x="103"/>
        <item m="1" x="95"/>
        <item m="1" x="119"/>
        <item m="1" x="99"/>
        <item m="1" x="96"/>
        <item m="1" x="104"/>
        <item m="1" x="97"/>
        <item m="1" x="98"/>
        <item m="1" x="112"/>
        <item m="1" x="180"/>
        <item m="1" x="177"/>
        <item m="1" x="129"/>
        <item m="1" x="126"/>
        <item m="1" x="118"/>
        <item m="1" x="105"/>
        <item m="1" x="156"/>
        <item m="1" x="157"/>
        <item m="1" x="117"/>
        <item m="1" x="124"/>
        <item m="1" x="121"/>
        <item m="1" x="159"/>
        <item m="1" x="185"/>
        <item m="1" x="155"/>
        <item m="1" x="114"/>
        <item m="1" x="162"/>
        <item m="1" x="160"/>
        <item m="1" x="100"/>
        <item m="1" x="179"/>
        <item m="1" x="163"/>
        <item m="1" x="153"/>
        <item m="1" x="138"/>
        <item m="1" x="181"/>
        <item m="1" x="182"/>
        <item m="1" x="127"/>
        <item m="1" x="161"/>
        <item m="1" x="186"/>
        <item m="1" x="109"/>
        <item m="1" x="143"/>
        <item m="1" x="176"/>
        <item m="1" x="172"/>
        <item m="1" x="154"/>
        <item m="1" x="140"/>
        <item m="1" x="183"/>
        <item m="1" x="111"/>
        <item m="1" x="120"/>
        <item m="1" x="110"/>
        <item m="1" x="142"/>
        <item m="1" x="175"/>
        <item m="1" x="168"/>
        <item m="1" x="144"/>
        <item m="1" x="148"/>
        <item m="1" x="122"/>
        <item m="1" x="93"/>
        <item m="1" x="131"/>
        <item m="1" x="145"/>
        <item m="1" x="173"/>
        <item m="1" x="101"/>
        <item m="1" x="178"/>
        <item m="1" x="113"/>
        <item m="1" x="106"/>
        <item m="1" x="116"/>
        <item m="1" x="91"/>
        <item m="1" x="141"/>
        <item m="1" x="158"/>
        <item m="1" x="166"/>
        <item m="1" x="187"/>
        <item m="1" x="133"/>
        <item m="1" x="167"/>
        <item m="1" x="169"/>
        <item m="1" x="149"/>
        <item m="1" x="152"/>
        <item m="1" x="150"/>
        <item m="1" x="151"/>
        <item m="1" x="170"/>
        <item m="1" x="135"/>
        <item m="1" x="136"/>
        <item m="1" x="139"/>
        <item m="1" x="132"/>
        <item m="1" x="128"/>
        <item m="1" x="164"/>
        <item m="1" x="125"/>
        <item m="1" x="137"/>
        <item m="1" x="107"/>
        <item m="1" x="92"/>
        <item m="1" x="146"/>
        <item m="1" x="165"/>
        <item m="1" x="123"/>
        <item m="1" x="174"/>
        <item m="1" x="130"/>
        <item m="1" x="108"/>
        <item m="1" x="134"/>
        <item m="1" x="171"/>
        <item m="1" x="90"/>
        <item m="1" x="115"/>
        <item m="1" x="147"/>
        <item m="1" x="102"/>
        <item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  <pivotField axis="axisPage" multipleItemSelectionAllowed="1" showAll="0">
      <items count="15">
        <item x="5"/>
        <item h="1" m="1" x="10"/>
        <item h="1" m="1" x="8"/>
        <item h="1" m="1" x="11"/>
        <item m="1" x="12"/>
        <item m="1" x="13"/>
        <item m="1" x="7"/>
        <item h="1" m="1" x="9"/>
        <item x="6"/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</pivotFields>
  <rowFields count="2">
    <field x="0"/>
    <field x="1"/>
  </rowFields>
  <rowItems count="11">
    <i>
      <x v="169"/>
    </i>
    <i r="1">
      <x v="104"/>
    </i>
    <i>
      <x v="170"/>
    </i>
    <i r="1">
      <x v="105"/>
    </i>
    <i>
      <x v="181"/>
    </i>
    <i r="1">
      <x v="111"/>
    </i>
    <i>
      <x v="237"/>
    </i>
    <i r="1">
      <x v="150"/>
    </i>
    <i>
      <x v="260"/>
    </i>
    <i r="1">
      <x v="160"/>
    </i>
    <i t="grand">
      <x/>
    </i>
  </rowItems>
  <colItems count="1">
    <i/>
  </colItems>
  <pageFields count="2">
    <pageField fld="2" hier="-1"/>
    <pageField fld="11" hier="-1"/>
  </pageFields>
  <dataFields count="1">
    <dataField name="Sum of MO Cost Variance" fld="4" baseField="0" baseItem="3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A7EA2-00E9-4378-BF67-E63F820F07A5}" name="PivotTable7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7:B18" firstHeaderRow="1" firstDataRow="1" firstDataCol="1" rowPageCount="2" colPageCount="1"/>
  <pivotFields count="14">
    <pivotField axis="axisRow" showAll="0" measureFilter="1" sortType="descending">
      <items count="318">
        <item m="1" x="153"/>
        <item m="1" x="154"/>
        <item m="1" x="305"/>
        <item m="1" x="155"/>
        <item m="1" x="156"/>
        <item m="1" x="157"/>
        <item m="1" x="306"/>
        <item m="1" x="307"/>
        <item m="1" x="308"/>
        <item m="1" x="158"/>
        <item m="1" x="159"/>
        <item m="1" x="160"/>
        <item m="1" x="161"/>
        <item m="1" x="162"/>
        <item m="1" x="163"/>
        <item m="1" x="309"/>
        <item m="1" x="164"/>
        <item m="1" x="165"/>
        <item m="1" x="166"/>
        <item m="1" x="167"/>
        <item m="1" x="310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311"/>
        <item m="1" x="179"/>
        <item m="1" x="180"/>
        <item m="1" x="312"/>
        <item m="1" x="181"/>
        <item m="1" x="182"/>
        <item m="1" x="184"/>
        <item m="1" x="185"/>
        <item m="1" x="313"/>
        <item m="1" x="186"/>
        <item m="1" x="187"/>
        <item m="1" x="189"/>
        <item m="1" x="190"/>
        <item m="1" x="191"/>
        <item m="1" x="193"/>
        <item m="1" x="314"/>
        <item m="1" x="194"/>
        <item m="1" x="315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31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3"/>
        <item m="1" x="254"/>
        <item m="1" x="255"/>
        <item m="1" x="257"/>
        <item m="1" x="258"/>
        <item m="1" x="259"/>
        <item m="1" x="260"/>
        <item m="1" x="261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263"/>
        <item m="1" x="252"/>
        <item m="1" x="192"/>
        <item m="1" x="188"/>
        <item m="1" x="256"/>
        <item m="1" x="183"/>
        <item x="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89">
        <item x="88"/>
        <item m="1" x="184"/>
        <item m="1" x="94"/>
        <item m="1" x="103"/>
        <item m="1" x="95"/>
        <item m="1" x="119"/>
        <item m="1" x="99"/>
        <item m="1" x="96"/>
        <item m="1" x="104"/>
        <item m="1" x="97"/>
        <item m="1" x="98"/>
        <item m="1" x="112"/>
        <item m="1" x="180"/>
        <item m="1" x="177"/>
        <item m="1" x="129"/>
        <item m="1" x="126"/>
        <item m="1" x="118"/>
        <item m="1" x="105"/>
        <item m="1" x="156"/>
        <item m="1" x="157"/>
        <item m="1" x="117"/>
        <item m="1" x="124"/>
        <item m="1" x="121"/>
        <item m="1" x="159"/>
        <item m="1" x="185"/>
        <item m="1" x="155"/>
        <item m="1" x="114"/>
        <item m="1" x="162"/>
        <item m="1" x="160"/>
        <item m="1" x="100"/>
        <item m="1" x="179"/>
        <item m="1" x="163"/>
        <item m="1" x="153"/>
        <item m="1" x="138"/>
        <item m="1" x="181"/>
        <item m="1" x="182"/>
        <item m="1" x="127"/>
        <item m="1" x="161"/>
        <item m="1" x="186"/>
        <item m="1" x="109"/>
        <item m="1" x="143"/>
        <item m="1" x="176"/>
        <item m="1" x="172"/>
        <item m="1" x="154"/>
        <item m="1" x="140"/>
        <item m="1" x="183"/>
        <item m="1" x="111"/>
        <item m="1" x="120"/>
        <item m="1" x="110"/>
        <item m="1" x="142"/>
        <item m="1" x="175"/>
        <item m="1" x="168"/>
        <item m="1" x="144"/>
        <item m="1" x="148"/>
        <item m="1" x="122"/>
        <item m="1" x="93"/>
        <item m="1" x="131"/>
        <item m="1" x="145"/>
        <item m="1" x="173"/>
        <item m="1" x="101"/>
        <item m="1" x="178"/>
        <item m="1" x="113"/>
        <item m="1" x="106"/>
        <item m="1" x="116"/>
        <item m="1" x="91"/>
        <item m="1" x="141"/>
        <item m="1" x="158"/>
        <item m="1" x="166"/>
        <item m="1" x="187"/>
        <item m="1" x="133"/>
        <item m="1" x="167"/>
        <item m="1" x="169"/>
        <item m="1" x="149"/>
        <item m="1" x="152"/>
        <item m="1" x="150"/>
        <item m="1" x="151"/>
        <item m="1" x="170"/>
        <item m="1" x="135"/>
        <item m="1" x="136"/>
        <item m="1" x="139"/>
        <item m="1" x="132"/>
        <item m="1" x="128"/>
        <item m="1" x="164"/>
        <item m="1" x="125"/>
        <item m="1" x="137"/>
        <item m="1" x="107"/>
        <item m="1" x="92"/>
        <item m="1" x="146"/>
        <item m="1" x="165"/>
        <item m="1" x="123"/>
        <item m="1" x="174"/>
        <item m="1" x="130"/>
        <item m="1" x="108"/>
        <item m="1" x="134"/>
        <item m="1" x="171"/>
        <item m="1" x="90"/>
        <item m="1" x="115"/>
        <item m="1" x="147"/>
        <item m="1" x="102"/>
        <item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  <pivotField axis="axisPage" multipleItemSelectionAllowed="1" showAll="0">
      <items count="15">
        <item x="5"/>
        <item h="1" m="1" x="10"/>
        <item h="1" m="1" x="8"/>
        <item h="1" m="1" x="11"/>
        <item m="1" x="12"/>
        <item m="1" x="13"/>
        <item m="1" x="7"/>
        <item h="1" m="1" x="9"/>
        <item x="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5">
        <item h="1" x="0"/>
        <item h="1" x="2"/>
        <item x="1"/>
        <item h="1" x="3"/>
        <item t="default"/>
      </items>
    </pivotField>
  </pivotFields>
  <rowFields count="2">
    <field x="0"/>
    <field x="1"/>
  </rowFields>
  <rowItems count="11">
    <i>
      <x v="170"/>
    </i>
    <i r="1">
      <x v="105"/>
    </i>
    <i>
      <x v="237"/>
    </i>
    <i r="1">
      <x v="150"/>
    </i>
    <i>
      <x v="169"/>
    </i>
    <i r="1">
      <x v="104"/>
    </i>
    <i>
      <x v="285"/>
    </i>
    <i r="1">
      <x v="168"/>
    </i>
    <i>
      <x v="206"/>
    </i>
    <i r="1">
      <x v="130"/>
    </i>
    <i t="grand">
      <x/>
    </i>
  </rowItems>
  <colItems count="1">
    <i/>
  </colItems>
  <pageFields count="2">
    <pageField fld="2" hier="-1"/>
    <pageField fld="13" hier="-1"/>
  </pageFields>
  <dataFields count="1">
    <dataField name="Sum of Matl Cost Variance" fld="10" baseField="0" baseItem="66" numFmtId="165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0D7C7-14FF-4DFD-88EA-715F95553DF2}" name="PivotTable11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8" firstHeaderRow="0" firstDataRow="0" firstDataCol="0" rowPageCount="2" colPageCount="1"/>
  <pivotFields count="14">
    <pivotField showAll="0"/>
    <pivotField showAll="0"/>
    <pivotField axis="axisPage" showAll="0">
      <items count="15">
        <item x="5"/>
        <item m="1" x="10"/>
        <item m="1" x="8"/>
        <item m="1" x="11"/>
        <item m="1" x="12"/>
        <item m="1" x="13"/>
        <item m="1" x="7"/>
        <item m="1" x="9"/>
        <item x="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</pivotFields>
  <pageFields count="2">
    <pageField fld="2" hier="-1"/>
    <pageField fld="1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CDFCE-30CB-4B0D-9780-65AB815CE67C}" name="PivotTable8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G7:H16" firstHeaderRow="1" firstDataRow="1" firstDataCol="1" rowPageCount="2" colPageCount="1"/>
  <pivotFields count="14">
    <pivotField axis="axisRow" showAll="0" measureFilter="1" sortType="ascending">
      <items count="318">
        <item m="1" x="153"/>
        <item m="1" x="154"/>
        <item m="1" x="305"/>
        <item m="1" x="155"/>
        <item m="1" x="156"/>
        <item m="1" x="157"/>
        <item m="1" x="306"/>
        <item m="1" x="307"/>
        <item m="1" x="308"/>
        <item m="1" x="158"/>
        <item m="1" x="159"/>
        <item m="1" x="160"/>
        <item m="1" x="161"/>
        <item m="1" x="162"/>
        <item m="1" x="163"/>
        <item m="1" x="309"/>
        <item m="1" x="164"/>
        <item m="1" x="165"/>
        <item m="1" x="166"/>
        <item m="1" x="167"/>
        <item m="1" x="310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311"/>
        <item m="1" x="179"/>
        <item m="1" x="180"/>
        <item m="1" x="312"/>
        <item m="1" x="181"/>
        <item m="1" x="182"/>
        <item m="1" x="184"/>
        <item m="1" x="185"/>
        <item m="1" x="313"/>
        <item m="1" x="186"/>
        <item m="1" x="187"/>
        <item m="1" x="189"/>
        <item m="1" x="190"/>
        <item m="1" x="191"/>
        <item m="1" x="193"/>
        <item m="1" x="314"/>
        <item m="1" x="194"/>
        <item m="1" x="315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31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3"/>
        <item m="1" x="254"/>
        <item m="1" x="255"/>
        <item m="1" x="257"/>
        <item m="1" x="258"/>
        <item m="1" x="259"/>
        <item m="1" x="260"/>
        <item m="1" x="261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263"/>
        <item m="1" x="252"/>
        <item m="1" x="192"/>
        <item m="1" x="188"/>
        <item m="1" x="256"/>
        <item m="1" x="183"/>
        <item x="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89">
        <item x="88"/>
        <item m="1" x="184"/>
        <item m="1" x="94"/>
        <item m="1" x="103"/>
        <item m="1" x="95"/>
        <item m="1" x="119"/>
        <item m="1" x="99"/>
        <item m="1" x="96"/>
        <item m="1" x="104"/>
        <item m="1" x="97"/>
        <item m="1" x="98"/>
        <item m="1" x="112"/>
        <item m="1" x="180"/>
        <item m="1" x="177"/>
        <item m="1" x="129"/>
        <item m="1" x="126"/>
        <item m="1" x="118"/>
        <item m="1" x="105"/>
        <item m="1" x="156"/>
        <item m="1" x="157"/>
        <item m="1" x="117"/>
        <item m="1" x="124"/>
        <item m="1" x="121"/>
        <item m="1" x="159"/>
        <item m="1" x="185"/>
        <item m="1" x="155"/>
        <item m="1" x="114"/>
        <item m="1" x="162"/>
        <item m="1" x="160"/>
        <item m="1" x="100"/>
        <item m="1" x="179"/>
        <item m="1" x="163"/>
        <item m="1" x="153"/>
        <item m="1" x="138"/>
        <item m="1" x="181"/>
        <item m="1" x="182"/>
        <item m="1" x="127"/>
        <item m="1" x="161"/>
        <item m="1" x="186"/>
        <item m="1" x="109"/>
        <item m="1" x="143"/>
        <item m="1" x="176"/>
        <item m="1" x="172"/>
        <item m="1" x="154"/>
        <item m="1" x="140"/>
        <item m="1" x="183"/>
        <item m="1" x="111"/>
        <item m="1" x="120"/>
        <item m="1" x="110"/>
        <item m="1" x="142"/>
        <item m="1" x="175"/>
        <item m="1" x="168"/>
        <item m="1" x="144"/>
        <item m="1" x="148"/>
        <item m="1" x="122"/>
        <item m="1" x="93"/>
        <item m="1" x="131"/>
        <item m="1" x="145"/>
        <item m="1" x="173"/>
        <item m="1" x="101"/>
        <item m="1" x="178"/>
        <item m="1" x="113"/>
        <item m="1" x="106"/>
        <item m="1" x="116"/>
        <item m="1" x="91"/>
        <item m="1" x="141"/>
        <item m="1" x="158"/>
        <item m="1" x="166"/>
        <item m="1" x="187"/>
        <item m="1" x="133"/>
        <item m="1" x="167"/>
        <item m="1" x="169"/>
        <item m="1" x="149"/>
        <item m="1" x="152"/>
        <item m="1" x="150"/>
        <item m="1" x="151"/>
        <item m="1" x="170"/>
        <item m="1" x="135"/>
        <item m="1" x="136"/>
        <item m="1" x="139"/>
        <item m="1" x="132"/>
        <item m="1" x="128"/>
        <item m="1" x="164"/>
        <item m="1" x="125"/>
        <item m="1" x="137"/>
        <item m="1" x="107"/>
        <item m="1" x="92"/>
        <item m="1" x="146"/>
        <item m="1" x="165"/>
        <item m="1" x="123"/>
        <item m="1" x="174"/>
        <item m="1" x="130"/>
        <item m="1" x="108"/>
        <item m="1" x="134"/>
        <item m="1" x="171"/>
        <item m="1" x="90"/>
        <item m="1" x="115"/>
        <item m="1" x="147"/>
        <item m="1" x="102"/>
        <item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  <pivotField axis="axisPage" multipleItemSelectionAllowed="1" showAll="0">
      <items count="15">
        <item x="5"/>
        <item h="1" m="1" x="10"/>
        <item h="1" m="1" x="8"/>
        <item h="1" m="1" x="11"/>
        <item m="1" x="12"/>
        <item m="1" x="13"/>
        <item m="1" x="7"/>
        <item h="1" m="1" x="9"/>
        <item x="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5">
        <item h="1" x="0"/>
        <item x="2"/>
        <item h="1" x="1"/>
        <item h="1" x="3"/>
        <item t="default"/>
      </items>
    </pivotField>
  </pivotFields>
  <rowFields count="2">
    <field x="0"/>
    <field x="1"/>
  </rowFields>
  <rowItems count="9">
    <i>
      <x v="191"/>
    </i>
    <i r="1">
      <x v="115"/>
    </i>
    <i>
      <x v="298"/>
    </i>
    <i r="1">
      <x v="182"/>
    </i>
    <i>
      <x v="197"/>
    </i>
    <i r="1">
      <x v="121"/>
    </i>
    <i>
      <x v="274"/>
    </i>
    <i r="1">
      <x v="172"/>
    </i>
    <i t="grand">
      <x/>
    </i>
  </rowItems>
  <colItems count="1">
    <i/>
  </colItems>
  <pageFields count="2">
    <pageField fld="2" hier="-1"/>
    <pageField fld="13" hier="-1"/>
  </pageFields>
  <dataFields count="1">
    <dataField name="Sum of Matl Cost Variance" fld="10" baseField="0" baseItem="132" numFmtId="165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BDF6C-C267-4B1C-802E-19E3F4098653}" name="PivotTable6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E7:F20" firstHeaderRow="1" firstDataRow="1" firstDataCol="1" rowPageCount="2" colPageCount="1"/>
  <pivotFields count="14">
    <pivotField axis="axisRow" showAll="0" measureFilter="1" sortType="ascending">
      <items count="318">
        <item m="1" x="153"/>
        <item m="1" x="154"/>
        <item m="1" x="305"/>
        <item m="1" x="155"/>
        <item m="1" x="156"/>
        <item m="1" x="157"/>
        <item m="1" x="306"/>
        <item m="1" x="307"/>
        <item m="1" x="308"/>
        <item m="1" x="158"/>
        <item m="1" x="159"/>
        <item m="1" x="160"/>
        <item m="1" x="161"/>
        <item m="1" x="162"/>
        <item m="1" x="163"/>
        <item m="1" x="309"/>
        <item m="1" x="164"/>
        <item m="1" x="165"/>
        <item m="1" x="166"/>
        <item m="1" x="167"/>
        <item m="1" x="310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311"/>
        <item m="1" x="179"/>
        <item m="1" x="180"/>
        <item m="1" x="312"/>
        <item m="1" x="181"/>
        <item m="1" x="182"/>
        <item m="1" x="184"/>
        <item m="1" x="185"/>
        <item m="1" x="313"/>
        <item m="1" x="186"/>
        <item m="1" x="187"/>
        <item m="1" x="189"/>
        <item m="1" x="190"/>
        <item m="1" x="191"/>
        <item m="1" x="193"/>
        <item m="1" x="314"/>
        <item m="1" x="194"/>
        <item m="1" x="315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31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3"/>
        <item m="1" x="254"/>
        <item m="1" x="255"/>
        <item m="1" x="257"/>
        <item m="1" x="258"/>
        <item m="1" x="259"/>
        <item m="1" x="260"/>
        <item m="1" x="261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263"/>
        <item m="1" x="252"/>
        <item m="1" x="192"/>
        <item m="1" x="188"/>
        <item m="1" x="256"/>
        <item m="1" x="183"/>
        <item x="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89">
        <item x="88"/>
        <item m="1" x="184"/>
        <item m="1" x="94"/>
        <item m="1" x="103"/>
        <item m="1" x="95"/>
        <item m="1" x="119"/>
        <item m="1" x="99"/>
        <item m="1" x="96"/>
        <item m="1" x="104"/>
        <item m="1" x="97"/>
        <item m="1" x="98"/>
        <item m="1" x="112"/>
        <item m="1" x="180"/>
        <item m="1" x="177"/>
        <item m="1" x="129"/>
        <item m="1" x="126"/>
        <item m="1" x="118"/>
        <item m="1" x="105"/>
        <item m="1" x="156"/>
        <item m="1" x="157"/>
        <item m="1" x="117"/>
        <item m="1" x="124"/>
        <item m="1" x="121"/>
        <item m="1" x="159"/>
        <item m="1" x="185"/>
        <item m="1" x="155"/>
        <item m="1" x="114"/>
        <item m="1" x="162"/>
        <item m="1" x="160"/>
        <item m="1" x="100"/>
        <item m="1" x="179"/>
        <item m="1" x="163"/>
        <item m="1" x="153"/>
        <item m="1" x="138"/>
        <item m="1" x="181"/>
        <item m="1" x="182"/>
        <item m="1" x="127"/>
        <item m="1" x="161"/>
        <item m="1" x="186"/>
        <item m="1" x="109"/>
        <item m="1" x="143"/>
        <item m="1" x="176"/>
        <item m="1" x="172"/>
        <item m="1" x="154"/>
        <item m="1" x="140"/>
        <item m="1" x="183"/>
        <item m="1" x="111"/>
        <item m="1" x="120"/>
        <item m="1" x="110"/>
        <item m="1" x="142"/>
        <item m="1" x="175"/>
        <item m="1" x="168"/>
        <item m="1" x="144"/>
        <item m="1" x="148"/>
        <item m="1" x="122"/>
        <item m="1" x="93"/>
        <item m="1" x="131"/>
        <item m="1" x="145"/>
        <item m="1" x="173"/>
        <item m="1" x="101"/>
        <item m="1" x="178"/>
        <item m="1" x="113"/>
        <item m="1" x="106"/>
        <item m="1" x="116"/>
        <item m="1" x="91"/>
        <item m="1" x="141"/>
        <item m="1" x="158"/>
        <item m="1" x="166"/>
        <item m="1" x="187"/>
        <item m="1" x="133"/>
        <item m="1" x="167"/>
        <item m="1" x="169"/>
        <item m="1" x="149"/>
        <item m="1" x="152"/>
        <item m="1" x="150"/>
        <item m="1" x="151"/>
        <item m="1" x="170"/>
        <item m="1" x="135"/>
        <item m="1" x="136"/>
        <item m="1" x="139"/>
        <item m="1" x="132"/>
        <item m="1" x="128"/>
        <item m="1" x="164"/>
        <item m="1" x="125"/>
        <item m="1" x="137"/>
        <item m="1" x="107"/>
        <item m="1" x="92"/>
        <item m="1" x="146"/>
        <item m="1" x="165"/>
        <item m="1" x="123"/>
        <item m="1" x="174"/>
        <item m="1" x="130"/>
        <item m="1" x="108"/>
        <item m="1" x="134"/>
        <item m="1" x="171"/>
        <item m="1" x="90"/>
        <item m="1" x="115"/>
        <item m="1" x="147"/>
        <item m="1" x="102"/>
        <item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  <pivotField axis="axisPage" multipleItemSelectionAllowed="1" showAll="0">
      <items count="15">
        <item x="5"/>
        <item h="1" m="1" x="10"/>
        <item h="1" m="1" x="8"/>
        <item h="1" m="1" x="11"/>
        <item m="1" x="12"/>
        <item m="1" x="13"/>
        <item m="1" x="7"/>
        <item h="1" m="1" x="9"/>
        <item x="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showAll="0"/>
  </pivotFields>
  <rowFields count="2">
    <field x="0"/>
    <field x="1"/>
  </rowFields>
  <rowItems count="13">
    <i>
      <x v="229"/>
    </i>
    <i r="1">
      <x v="145"/>
    </i>
    <i>
      <x v="314"/>
    </i>
    <i r="1">
      <x v="170"/>
    </i>
    <i>
      <x v="259"/>
    </i>
    <i r="1">
      <x v="162"/>
    </i>
    <i>
      <x v="255"/>
    </i>
    <i r="1">
      <x v="158"/>
    </i>
    <i>
      <x v="222"/>
    </i>
    <i r="1">
      <x v="141"/>
    </i>
    <i>
      <x v="257"/>
    </i>
    <i r="1">
      <x v="160"/>
    </i>
    <i t="grand">
      <x/>
    </i>
  </rowItems>
  <colItems count="1">
    <i/>
  </colItems>
  <pageFields count="2">
    <pageField fld="2" hier="-1"/>
    <pageField fld="12" hier="-1"/>
  </pageFields>
  <dataFields count="1">
    <dataField name="Sum of Labor Cost Var" fld="7" baseField="0" baseItem="149" numFmtId="165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2DD5DD-53BD-49D0-8983-734BC2964880}" name="PivotTable4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7:B18" firstHeaderRow="1" firstDataRow="1" firstDataCol="1" rowPageCount="2" colPageCount="1"/>
  <pivotFields count="14">
    <pivotField axis="axisRow" showAll="0" measureFilter="1" sortType="descending">
      <items count="318">
        <item m="1" x="153"/>
        <item m="1" x="154"/>
        <item m="1" x="305"/>
        <item m="1" x="155"/>
        <item m="1" x="156"/>
        <item m="1" x="157"/>
        <item m="1" x="306"/>
        <item m="1" x="307"/>
        <item m="1" x="308"/>
        <item m="1" x="158"/>
        <item m="1" x="159"/>
        <item m="1" x="160"/>
        <item m="1" x="161"/>
        <item m="1" x="162"/>
        <item m="1" x="163"/>
        <item m="1" x="309"/>
        <item m="1" x="164"/>
        <item m="1" x="165"/>
        <item m="1" x="166"/>
        <item m="1" x="167"/>
        <item m="1" x="310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311"/>
        <item m="1" x="179"/>
        <item m="1" x="180"/>
        <item m="1" x="312"/>
        <item m="1" x="181"/>
        <item m="1" x="182"/>
        <item m="1" x="184"/>
        <item m="1" x="185"/>
        <item m="1" x="313"/>
        <item m="1" x="186"/>
        <item m="1" x="187"/>
        <item m="1" x="189"/>
        <item m="1" x="190"/>
        <item m="1" x="191"/>
        <item m="1" x="193"/>
        <item m="1" x="314"/>
        <item m="1" x="194"/>
        <item m="1" x="315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31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3"/>
        <item m="1" x="254"/>
        <item m="1" x="255"/>
        <item m="1" x="257"/>
        <item m="1" x="258"/>
        <item m="1" x="259"/>
        <item m="1" x="260"/>
        <item m="1" x="261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263"/>
        <item m="1" x="252"/>
        <item m="1" x="192"/>
        <item m="1" x="188"/>
        <item m="1" x="256"/>
        <item m="1" x="183"/>
        <item x="1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89">
        <item x="88"/>
        <item m="1" x="184"/>
        <item m="1" x="94"/>
        <item m="1" x="103"/>
        <item m="1" x="95"/>
        <item m="1" x="119"/>
        <item m="1" x="99"/>
        <item m="1" x="96"/>
        <item m="1" x="104"/>
        <item m="1" x="97"/>
        <item m="1" x="98"/>
        <item m="1" x="112"/>
        <item m="1" x="180"/>
        <item m="1" x="177"/>
        <item m="1" x="129"/>
        <item m="1" x="126"/>
        <item m="1" x="118"/>
        <item m="1" x="105"/>
        <item m="1" x="156"/>
        <item m="1" x="157"/>
        <item m="1" x="117"/>
        <item m="1" x="124"/>
        <item m="1" x="121"/>
        <item m="1" x="159"/>
        <item m="1" x="185"/>
        <item m="1" x="155"/>
        <item m="1" x="114"/>
        <item m="1" x="162"/>
        <item m="1" x="160"/>
        <item m="1" x="100"/>
        <item m="1" x="179"/>
        <item m="1" x="163"/>
        <item m="1" x="153"/>
        <item m="1" x="138"/>
        <item m="1" x="181"/>
        <item m="1" x="182"/>
        <item m="1" x="127"/>
        <item m="1" x="161"/>
        <item m="1" x="186"/>
        <item m="1" x="109"/>
        <item m="1" x="143"/>
        <item m="1" x="176"/>
        <item m="1" x="172"/>
        <item m="1" x="154"/>
        <item m="1" x="140"/>
        <item m="1" x="183"/>
        <item m="1" x="111"/>
        <item m="1" x="120"/>
        <item m="1" x="110"/>
        <item m="1" x="142"/>
        <item m="1" x="175"/>
        <item m="1" x="168"/>
        <item m="1" x="144"/>
        <item m="1" x="148"/>
        <item m="1" x="122"/>
        <item m="1" x="93"/>
        <item m="1" x="131"/>
        <item m="1" x="145"/>
        <item m="1" x="173"/>
        <item m="1" x="101"/>
        <item m="1" x="178"/>
        <item m="1" x="113"/>
        <item m="1" x="106"/>
        <item m="1" x="116"/>
        <item m="1" x="91"/>
        <item m="1" x="141"/>
        <item m="1" x="158"/>
        <item m="1" x="166"/>
        <item m="1" x="187"/>
        <item m="1" x="133"/>
        <item m="1" x="167"/>
        <item m="1" x="169"/>
        <item m="1" x="149"/>
        <item m="1" x="152"/>
        <item m="1" x="150"/>
        <item m="1" x="151"/>
        <item m="1" x="170"/>
        <item m="1" x="135"/>
        <item m="1" x="136"/>
        <item m="1" x="139"/>
        <item m="1" x="132"/>
        <item m="1" x="128"/>
        <item m="1" x="164"/>
        <item m="1" x="125"/>
        <item m="1" x="137"/>
        <item m="1" x="107"/>
        <item m="1" x="92"/>
        <item m="1" x="146"/>
        <item m="1" x="165"/>
        <item m="1" x="123"/>
        <item m="1" x="174"/>
        <item m="1" x="130"/>
        <item m="1" x="108"/>
        <item m="1" x="134"/>
        <item m="1" x="171"/>
        <item m="1" x="90"/>
        <item m="1" x="115"/>
        <item m="1" x="147"/>
        <item m="1" x="102"/>
        <item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t="default"/>
      </items>
    </pivotField>
    <pivotField axis="axisPage" multipleItemSelectionAllowed="1" showAll="0">
      <items count="15">
        <item x="5"/>
        <item h="1" m="1" x="10"/>
        <item h="1" m="1" x="8"/>
        <item h="1" m="1" x="11"/>
        <item m="1" x="12"/>
        <item m="1" x="13"/>
        <item m="1" x="7"/>
        <item h="1" m="1" x="9"/>
        <item x="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</pivotFields>
  <rowFields count="2">
    <field x="0"/>
    <field x="1"/>
  </rowFields>
  <rowItems count="11">
    <i>
      <x v="189"/>
    </i>
    <i r="1">
      <x v="114"/>
    </i>
    <i>
      <x v="170"/>
    </i>
    <i r="1">
      <x v="105"/>
    </i>
    <i>
      <x v="188"/>
    </i>
    <i r="1">
      <x v="114"/>
    </i>
    <i>
      <x v="240"/>
    </i>
    <i r="1">
      <x v="114"/>
    </i>
    <i>
      <x v="276"/>
    </i>
    <i r="1">
      <x v="174"/>
    </i>
    <i t="grand">
      <x/>
    </i>
  </rowItems>
  <colItems count="1">
    <i/>
  </colItems>
  <pageFields count="2">
    <pageField fld="2" hier="-1"/>
    <pageField fld="12" hier="-1"/>
  </pageFields>
  <dataFields count="1">
    <dataField name="Sum of Labor Cost Var" fld="7" baseField="0" baseItem="30" numFmtId="165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502523-5583-402B-903B-88F1494990DD}" name="MOs_Ready_to_close" displayName="MOs_Ready_to_close" ref="A5:Q157" totalsRowShown="0">
  <autoFilter ref="A5:Q157" xr:uid="{64502523-5583-402B-903B-88F1494990DD}"/>
  <tableColumns count="17">
    <tableColumn id="1" xr3:uid="{2D3AB1D9-C4E6-4A94-A3BD-C28A570E4094}" name="WHS" dataDxfId="39"/>
    <tableColumn id="5" xr3:uid="{9C52B4AA-C67C-4019-A571-05F272D441B9}" name="Order" dataDxfId="38"/>
    <tableColumn id="2" xr3:uid="{A63A2B15-3596-4BDE-877B-E6ED3F056662}" name="Item" dataDxfId="37"/>
    <tableColumn id="3" xr3:uid="{15F954CD-EE2D-4C41-95AB-3D61F2BA6D8A}" name="Item Description" dataDxfId="36"/>
    <tableColumn id="4" xr3:uid="{318A2FD2-DA62-467C-A037-7D0C15801F4B}" name="Dept" dataDxfId="35"/>
    <tableColumn id="6" xr3:uid="{C943332F-E7EA-4C15-8013-81F11BAC750A}" name="Order Status" dataDxfId="34"/>
    <tableColumn id="7" xr3:uid="{9FE01979-0129-4338-9A19-F7BD4B649CE6}" name="Order Qty"/>
    <tableColumn id="8" xr3:uid="{250DAD67-4397-487F-BF21-D1521CB7011D}" name="Qty Received to Stock"/>
    <tableColumn id="9" xr3:uid="{64843BD7-4140-4731-B9DA-776C853B102D}" name="Act Completion Date" dataDxfId="33"/>
    <tableColumn id="10" xr3:uid="{28EAB230-FF23-4744-8502-8606FE310903}" name="Cost Variance"/>
    <tableColumn id="11" xr3:uid="{F28B200F-1EE4-4086-93DD-8B42AD79F062}" name="Act Matl and Pur Cost"/>
    <tableColumn id="12" xr3:uid="{9A95427D-DE93-43C0-91DB-0083473FCE04}" name="Std Matl Cost"/>
    <tableColumn id="13" xr3:uid="{31E3F985-69D8-4947-A21B-1BCCCBB1D6A6}" name="Std Matl Curr Prim Item Process"/>
    <tableColumn id="18" xr3:uid="{4075A7C8-4BE7-49C3-BD79-82C92952B342}" name="Tot Act Labor Hrs"/>
    <tableColumn id="15" xr3:uid="{D0383774-F241-4BC2-A73F-CDA9A93FDE2F}" name="Tot Act Machine Hrs"/>
    <tableColumn id="16" xr3:uid="{51EFB708-8F93-45CD-9C69-89A62C324B17}" name="Tot Est Labor Hrs"/>
    <tableColumn id="17" xr3:uid="{D20026B8-BBCD-406B-9EDC-9806ACA7C2AA}" name="Tot Est Machine Hr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EB936CE-4760-45A5-8C34-DB39AEBEBB3E}" name="Parameters2" displayName="Parameters2" ref="A1:B3" totalsRowShown="0">
  <autoFilter ref="A1:B3" xr:uid="{0EB936CE-4760-45A5-8C34-DB39AEBEBB3E}"/>
  <tableColumns count="2">
    <tableColumn id="1" xr3:uid="{0D6E43E9-DAE6-4632-943E-84FC096ADDAB}" name="Parameter"/>
    <tableColumn id="2" xr3:uid="{B35E99E6-7506-4C57-980A-E0038096C2F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64576E-0D06-49C6-8753-509760C42910}" name="MO_Operations" displayName="MO_Operations" ref="A5:K4166" totalsRowShown="0">
  <autoFilter ref="A5:K4166" xr:uid="{3564576E-0D06-49C6-8753-509760C42910}"/>
  <tableColumns count="11">
    <tableColumn id="2" xr3:uid="{A772DF1F-7B35-484A-90AC-B715AFBFCEE1}" name="ORDER" dataDxfId="32"/>
    <tableColumn id="3" xr3:uid="{FA7FF911-C7F0-40E8-AA40-6884BFB7CFDC}" name="OPSEQ" dataDxfId="31"/>
    <tableColumn id="18" xr3:uid="{DE698A31-EE32-4A1B-86BE-D4B713AF42D6}" name="Description" dataDxfId="30"/>
    <tableColumn id="19" xr3:uid="{B0C613AD-D9C6-4CEC-ABC3-FF200F8F6DBB}" name="Facility" dataDxfId="29"/>
    <tableColumn id="20" xr3:uid="{3AF2254A-98EA-4180-87D4-57E6F6C59363}" name="Status" dataDxfId="28"/>
    <tableColumn id="21" xr3:uid="{132FEBD7-0C06-40C2-BEBC-3DCC3199F12F}" name="Standard Labor Hrs"/>
    <tableColumn id="22" xr3:uid="{FCD52784-B0AE-4AFA-9731-E767576C5523}" name="Total Act Labor Hrs"/>
    <tableColumn id="23" xr3:uid="{56339F32-0CC6-4583-8562-84FE349F05C7}" name="Total Cost Variance"/>
    <tableColumn id="24" xr3:uid="{C2B10BC5-F316-4611-910A-C0622E9E27FF}" name="Act Scrap Qty"/>
    <tableColumn id="25" xr3:uid="{8F0C50B6-D7AE-4107-B49D-851FCD9E170C}" name="Completed Qty"/>
    <tableColumn id="26" xr3:uid="{D45C1E1E-5CEB-42B8-AFD7-A75F350A25E4}" name="Actual Completed Date" dataDxfId="2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2574FE-3126-43E1-9070-C67B425DBFF0}" name="Parameters3" displayName="Parameters3" ref="A1:B3" totalsRowShown="0">
  <autoFilter ref="A1:B3" xr:uid="{7E2574FE-3126-43E1-9070-C67B425DBFF0}"/>
  <tableColumns count="2">
    <tableColumn id="1" xr3:uid="{D15E6D9C-1A93-498D-9E12-DBF1827F6E22}" name="Parameter"/>
    <tableColumn id="2" xr3:uid="{B52B56FA-BA05-4DB7-8E3E-7EBC3B1FE3D2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25C275-9B2F-451E-8633-B702E19529A6}" name="MO_Components" displayName="MO_Components" ref="A5:K5951" totalsRowShown="0">
  <autoFilter ref="A5:K5951" xr:uid="{1F25C275-9B2F-451E-8633-B702E19529A6}"/>
  <tableColumns count="11">
    <tableColumn id="1" xr3:uid="{1B395890-A19F-45A5-8D33-01ACDC9B4BBB}" name="Order" dataDxfId="26"/>
    <tableColumn id="2" xr3:uid="{5C869083-DC9E-4A5C-8811-971C45B73675}" name="Component" dataDxfId="25"/>
    <tableColumn id="3" xr3:uid="{DA560842-0FD3-44C0-A6B6-0DE5DBD3C0A6}" name="Component Description" dataDxfId="24"/>
    <tableColumn id="4" xr3:uid="{013AD0B6-1F43-44D0-AAFD-A1BBD38A5207}" name="WHS" dataDxfId="23"/>
    <tableColumn id="5" xr3:uid="{6DB06D50-C9D7-4B3C-87BC-3CC3DD4D05F3}" name="Component Item Rev" dataDxfId="22"/>
    <tableColumn id="6" xr3:uid="{903F7D80-6A01-427D-BCDA-744815FFACB1}" name="Seq" dataDxfId="21"/>
    <tableColumn id="7" xr3:uid="{2E10A9B3-6944-4D83-969C-CC903038DBB7}" name="Std Cost"/>
    <tableColumn id="8" xr3:uid="{2FC6B50F-E488-4D43-91E7-F8E100348785}" name="Act Cost"/>
    <tableColumn id="9" xr3:uid="{032AD3F9-F5A7-42EB-9CDD-33DBE40B9361}" name="Act Completion Date" dataDxfId="20"/>
    <tableColumn id="10" xr3:uid="{4C127060-A967-42D9-8367-30276AF098D9}" name="Act Start Date" dataDxfId="19"/>
    <tableColumn id="11" xr3:uid="{713AC900-FB36-4929-BADC-AAB4E2A698D9}" name="Last Activity Date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E9176-40F5-41BC-8FD3-24C6B9B9B284}" name="Parameters" displayName="Parameters" ref="A1:B3" totalsRowShown="0">
  <autoFilter ref="A1:B3" xr:uid="{147E9176-40F5-41BC-8FD3-24C6B9B9B284}"/>
  <tableColumns count="2">
    <tableColumn id="1" xr3:uid="{95A001E9-33AF-467E-8462-E68C64F735CB}" name="Parameter"/>
    <tableColumn id="2" xr3:uid="{56AFFCA1-DB65-467A-9B88-4DC015978DE7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B9B9-95A2-4619-894D-6947E84B7881}">
  <dimension ref="A1:P39"/>
  <sheetViews>
    <sheetView tabSelected="1" topLeftCell="A19" zoomScale="120" zoomScaleNormal="120" workbookViewId="0">
      <selection activeCell="O41" sqref="O41"/>
    </sheetView>
  </sheetViews>
  <sheetFormatPr defaultColWidth="9.140625" defaultRowHeight="15.75" x14ac:dyDescent="0.25"/>
  <cols>
    <col min="1" max="1" width="1.140625" style="15" customWidth="1"/>
    <col min="2" max="10" width="9.140625" style="15"/>
    <col min="11" max="11" width="10.140625" style="15" bestFit="1" customWidth="1"/>
    <col min="12" max="13" width="9.140625" style="15"/>
    <col min="14" max="14" width="10.140625" style="15" bestFit="1" customWidth="1"/>
    <col min="15" max="15" width="9.140625" style="15"/>
    <col min="16" max="16" width="1.140625" style="15" customWidth="1"/>
    <col min="17" max="16384" width="9.140625" style="15"/>
  </cols>
  <sheetData>
    <row r="1" spans="1:16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4"/>
    </row>
    <row r="2" spans="1:16" x14ac:dyDescent="0.25">
      <c r="A2" s="16"/>
      <c r="B2" s="17" t="s">
        <v>95</v>
      </c>
      <c r="C2" s="17"/>
      <c r="D2" s="17"/>
      <c r="H2" s="17"/>
      <c r="I2" s="17"/>
      <c r="J2" s="17"/>
      <c r="K2" s="17"/>
      <c r="L2" s="17"/>
      <c r="M2" s="38"/>
      <c r="N2" s="38"/>
      <c r="O2" s="38"/>
      <c r="P2" s="18"/>
    </row>
    <row r="3" spans="1:16" x14ac:dyDescent="0.25">
      <c r="A3" s="16"/>
      <c r="B3" s="39" t="s">
        <v>73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18"/>
    </row>
    <row r="4" spans="1:16" x14ac:dyDescent="0.25">
      <c r="A4" s="16"/>
      <c r="B4" s="40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2"/>
      <c r="P4" s="18"/>
    </row>
    <row r="5" spans="1:16" x14ac:dyDescent="0.25">
      <c r="A5" s="16"/>
      <c r="B5" s="43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4"/>
      <c r="P5" s="18"/>
    </row>
    <row r="6" spans="1:16" x14ac:dyDescent="0.25">
      <c r="A6" s="16"/>
      <c r="B6" s="4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4"/>
      <c r="P6" s="18"/>
    </row>
    <row r="7" spans="1:16" x14ac:dyDescent="0.25">
      <c r="A7" s="16"/>
      <c r="B7" s="43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44"/>
      <c r="P7" s="18"/>
    </row>
    <row r="8" spans="1:16" x14ac:dyDescent="0.25">
      <c r="A8" s="16"/>
      <c r="B8" s="43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44"/>
      <c r="P8" s="18"/>
    </row>
    <row r="9" spans="1:16" x14ac:dyDescent="0.25">
      <c r="A9" s="16"/>
      <c r="B9" s="43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44"/>
      <c r="P9" s="18"/>
    </row>
    <row r="10" spans="1:16" x14ac:dyDescent="0.25">
      <c r="A10" s="16"/>
      <c r="B10" s="43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44"/>
      <c r="P10" s="18"/>
    </row>
    <row r="11" spans="1:16" x14ac:dyDescent="0.25">
      <c r="A11" s="16"/>
      <c r="B11" s="43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44"/>
      <c r="P11" s="18"/>
    </row>
    <row r="12" spans="1:16" x14ac:dyDescent="0.25">
      <c r="A12" s="16"/>
      <c r="B12" s="43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44"/>
      <c r="P12" s="18"/>
    </row>
    <row r="13" spans="1:16" x14ac:dyDescent="0.25">
      <c r="A13" s="16"/>
      <c r="B13" s="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44"/>
      <c r="P13" s="18"/>
    </row>
    <row r="14" spans="1:16" x14ac:dyDescent="0.25">
      <c r="A14" s="16"/>
      <c r="B14" s="43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44"/>
      <c r="P14" s="18"/>
    </row>
    <row r="15" spans="1:16" x14ac:dyDescent="0.25">
      <c r="A15" s="16"/>
      <c r="B15" s="43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44"/>
      <c r="P15" s="18"/>
    </row>
    <row r="16" spans="1:16" x14ac:dyDescent="0.25">
      <c r="A16" s="16"/>
      <c r="B16" s="43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44"/>
      <c r="P16" s="18"/>
    </row>
    <row r="17" spans="1:16" x14ac:dyDescent="0.25">
      <c r="A17" s="16"/>
      <c r="B17" s="43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44"/>
      <c r="P17" s="18"/>
    </row>
    <row r="18" spans="1:16" x14ac:dyDescent="0.25">
      <c r="A18" s="16"/>
      <c r="B18" s="43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44"/>
      <c r="P18" s="18"/>
    </row>
    <row r="19" spans="1:16" x14ac:dyDescent="0.25">
      <c r="A19" s="16"/>
      <c r="B19" s="43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44"/>
      <c r="P19" s="18"/>
    </row>
    <row r="20" spans="1:16" x14ac:dyDescent="0.25">
      <c r="A20" s="16"/>
      <c r="B20" s="43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44"/>
      <c r="P20" s="18"/>
    </row>
    <row r="21" spans="1:16" x14ac:dyDescent="0.25">
      <c r="A21" s="16"/>
      <c r="B21" s="43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44"/>
      <c r="P21" s="18"/>
    </row>
    <row r="22" spans="1:16" x14ac:dyDescent="0.25">
      <c r="A22" s="16"/>
      <c r="B22" s="43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44"/>
      <c r="P22" s="18"/>
    </row>
    <row r="23" spans="1:16" x14ac:dyDescent="0.25">
      <c r="A23" s="16"/>
      <c r="B23" s="43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44"/>
      <c r="P23" s="18"/>
    </row>
    <row r="24" spans="1:16" x14ac:dyDescent="0.25">
      <c r="A24" s="16"/>
      <c r="B24" s="43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44"/>
      <c r="P24" s="18"/>
    </row>
    <row r="25" spans="1:16" x14ac:dyDescent="0.25">
      <c r="A25" s="16"/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7"/>
      <c r="P25" s="18"/>
    </row>
    <row r="26" spans="1:16" x14ac:dyDescent="0.25">
      <c r="A26" s="16"/>
      <c r="B26" s="39" t="s">
        <v>74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18"/>
    </row>
    <row r="27" spans="1:16" x14ac:dyDescent="0.25">
      <c r="A27" s="16"/>
      <c r="B27" s="48" t="s">
        <v>75</v>
      </c>
      <c r="C27" s="48"/>
      <c r="D27" s="48"/>
      <c r="E27" s="48"/>
      <c r="F27" s="48" t="s">
        <v>76</v>
      </c>
      <c r="G27" s="48"/>
      <c r="H27" s="48"/>
      <c r="I27" s="48" t="s">
        <v>77</v>
      </c>
      <c r="J27" s="48"/>
      <c r="K27" s="19" t="s">
        <v>78</v>
      </c>
      <c r="L27" s="19" t="s">
        <v>52</v>
      </c>
      <c r="M27" s="48" t="s">
        <v>79</v>
      </c>
      <c r="N27" s="48"/>
      <c r="O27" s="48"/>
      <c r="P27" s="18"/>
    </row>
    <row r="28" spans="1:16" x14ac:dyDescent="0.25">
      <c r="A28" s="16"/>
      <c r="B28" s="37"/>
      <c r="C28" s="37"/>
      <c r="D28" s="37"/>
      <c r="E28" s="37"/>
      <c r="F28" s="49"/>
      <c r="G28" s="49"/>
      <c r="H28" s="49"/>
      <c r="I28" s="37"/>
      <c r="J28" s="37"/>
      <c r="K28" s="50"/>
      <c r="L28" s="51"/>
      <c r="M28" s="37"/>
      <c r="N28" s="37"/>
      <c r="O28" s="37"/>
      <c r="P28" s="18"/>
    </row>
    <row r="29" spans="1:16" x14ac:dyDescent="0.25">
      <c r="A29" s="16"/>
      <c r="B29" s="37"/>
      <c r="C29" s="37"/>
      <c r="D29" s="37"/>
      <c r="E29" s="37"/>
      <c r="F29" s="49"/>
      <c r="G29" s="49"/>
      <c r="H29" s="49"/>
      <c r="I29" s="37"/>
      <c r="J29" s="37"/>
      <c r="K29" s="37"/>
      <c r="L29" s="51"/>
      <c r="M29" s="37"/>
      <c r="N29" s="37"/>
      <c r="O29" s="37"/>
      <c r="P29" s="18"/>
    </row>
    <row r="30" spans="1:16" x14ac:dyDescent="0.25">
      <c r="A30" s="16"/>
      <c r="B30" s="52"/>
      <c r="C30" s="37"/>
      <c r="D30" s="37"/>
      <c r="E30" s="37"/>
      <c r="F30" s="49"/>
      <c r="G30" s="49"/>
      <c r="H30" s="49"/>
      <c r="I30" s="37"/>
      <c r="J30" s="37"/>
      <c r="K30" s="50"/>
      <c r="L30" s="51"/>
      <c r="M30" s="37"/>
      <c r="N30" s="37"/>
      <c r="O30" s="37"/>
      <c r="P30" s="18"/>
    </row>
    <row r="31" spans="1:16" x14ac:dyDescent="0.25">
      <c r="A31" s="16"/>
      <c r="B31" s="37"/>
      <c r="C31" s="37"/>
      <c r="D31" s="37"/>
      <c r="E31" s="37"/>
      <c r="F31" s="49"/>
      <c r="G31" s="49"/>
      <c r="H31" s="49"/>
      <c r="I31" s="37"/>
      <c r="J31" s="37"/>
      <c r="K31" s="37"/>
      <c r="L31" s="51"/>
      <c r="M31" s="37"/>
      <c r="N31" s="37"/>
      <c r="O31" s="37"/>
      <c r="P31" s="18"/>
    </row>
    <row r="32" spans="1:16" x14ac:dyDescent="0.25">
      <c r="A32" s="16"/>
      <c r="B32" s="37"/>
      <c r="C32" s="37"/>
      <c r="D32" s="37"/>
      <c r="E32" s="37"/>
      <c r="F32" s="49"/>
      <c r="G32" s="49"/>
      <c r="H32" s="49"/>
      <c r="I32" s="37"/>
      <c r="J32" s="37"/>
      <c r="K32" s="50"/>
      <c r="L32" s="50"/>
      <c r="M32" s="49"/>
      <c r="N32" s="49"/>
      <c r="O32" s="49"/>
      <c r="P32" s="18"/>
    </row>
    <row r="33" spans="1:16" x14ac:dyDescent="0.25">
      <c r="A33" s="16"/>
      <c r="B33" s="37"/>
      <c r="C33" s="37"/>
      <c r="D33" s="37"/>
      <c r="E33" s="37"/>
      <c r="F33" s="49"/>
      <c r="G33" s="49"/>
      <c r="H33" s="49"/>
      <c r="I33" s="37"/>
      <c r="J33" s="37"/>
      <c r="K33" s="37"/>
      <c r="L33" s="37"/>
      <c r="M33" s="49"/>
      <c r="N33" s="49"/>
      <c r="O33" s="49"/>
      <c r="P33" s="18"/>
    </row>
    <row r="34" spans="1:16" x14ac:dyDescent="0.25">
      <c r="A34" s="16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18"/>
    </row>
    <row r="35" spans="1:16" s="24" customFormat="1" x14ac:dyDescent="0.25">
      <c r="A35" s="20"/>
      <c r="B35" s="21" t="s">
        <v>80</v>
      </c>
      <c r="C35" s="21"/>
      <c r="D35" s="22">
        <v>1</v>
      </c>
      <c r="E35" s="54" t="s">
        <v>81</v>
      </c>
      <c r="F35" s="55"/>
      <c r="G35" s="56"/>
      <c r="H35" s="21">
        <v>2</v>
      </c>
      <c r="I35" s="54" t="s">
        <v>82</v>
      </c>
      <c r="J35" s="55"/>
      <c r="K35" s="56"/>
      <c r="L35" s="21">
        <v>3</v>
      </c>
      <c r="M35" s="54" t="s">
        <v>83</v>
      </c>
      <c r="N35" s="55"/>
      <c r="O35" s="56"/>
      <c r="P35" s="23"/>
    </row>
    <row r="36" spans="1:16" x14ac:dyDescent="0.25">
      <c r="A36" s="1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18"/>
    </row>
    <row r="37" spans="1:16" x14ac:dyDescent="0.25">
      <c r="A37" s="16"/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P37" s="18"/>
    </row>
    <row r="38" spans="1:16" x14ac:dyDescent="0.25">
      <c r="A38" s="16"/>
      <c r="C38" s="28"/>
      <c r="H38" s="28"/>
      <c r="P38" s="18"/>
    </row>
    <row r="39" spans="1:16" ht="16.5" thickBot="1" x14ac:dyDescent="0.3">
      <c r="A39" s="29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1"/>
    </row>
  </sheetData>
  <mergeCells count="31">
    <mergeCell ref="B34:O34"/>
    <mergeCell ref="E35:G35"/>
    <mergeCell ref="I35:K35"/>
    <mergeCell ref="M35:O35"/>
    <mergeCell ref="B36:O36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</mergeCells>
  <conditionalFormatting sqref="B34 B35:E35 H35:I35 L35:M35">
    <cfRule type="cellIs" dxfId="17" priority="4" operator="equal">
      <formula>3</formula>
    </cfRule>
    <cfRule type="cellIs" dxfId="16" priority="5" operator="equal">
      <formula>2</formula>
    </cfRule>
    <cfRule type="cellIs" dxfId="15" priority="6" operator="equal">
      <formula>1</formula>
    </cfRule>
  </conditionalFormatting>
  <conditionalFormatting sqref="B27:O33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dataValidations count="1">
    <dataValidation type="whole" allowBlank="1" showInputMessage="1" showErrorMessage="1" sqref="L28:L31" xr:uid="{AE979489-7CBF-4027-A478-C95433622F43}">
      <formula1>1</formula1>
      <formula2>3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C917-4EFD-4599-A977-5FD8D9CA3E22}">
  <dimension ref="A1:P39"/>
  <sheetViews>
    <sheetView topLeftCell="A19" zoomScale="110" zoomScaleNormal="110" workbookViewId="0">
      <selection activeCell="C41" sqref="C41"/>
    </sheetView>
  </sheetViews>
  <sheetFormatPr defaultColWidth="9.140625" defaultRowHeight="15.75" x14ac:dyDescent="0.25"/>
  <cols>
    <col min="1" max="1" width="1.140625" style="15" customWidth="1"/>
    <col min="2" max="10" width="9.140625" style="15"/>
    <col min="11" max="11" width="10.140625" style="15" bestFit="1" customWidth="1"/>
    <col min="12" max="13" width="9.140625" style="15"/>
    <col min="14" max="14" width="10.140625" style="15" bestFit="1" customWidth="1"/>
    <col min="15" max="15" width="9.140625" style="15"/>
    <col min="16" max="16" width="1.140625" style="15" customWidth="1"/>
    <col min="17" max="16384" width="9.140625" style="15"/>
  </cols>
  <sheetData>
    <row r="1" spans="1:16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4"/>
    </row>
    <row r="2" spans="1:16" x14ac:dyDescent="0.25">
      <c r="A2" s="16"/>
      <c r="B2" s="17" t="s">
        <v>72</v>
      </c>
      <c r="C2" s="17"/>
      <c r="D2" s="17"/>
      <c r="H2" s="17"/>
      <c r="I2" s="17"/>
      <c r="J2" s="17"/>
      <c r="K2" s="17"/>
      <c r="L2" s="17"/>
      <c r="M2" s="38"/>
      <c r="N2" s="38"/>
      <c r="O2" s="38"/>
      <c r="P2" s="18"/>
    </row>
    <row r="3" spans="1:16" x14ac:dyDescent="0.25">
      <c r="A3" s="16"/>
      <c r="B3" s="39" t="s">
        <v>73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18"/>
    </row>
    <row r="4" spans="1:16" x14ac:dyDescent="0.25">
      <c r="A4" s="16"/>
      <c r="B4" s="40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2"/>
      <c r="P4" s="18"/>
    </row>
    <row r="5" spans="1:16" x14ac:dyDescent="0.25">
      <c r="A5" s="16"/>
      <c r="B5" s="43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4"/>
      <c r="P5" s="18"/>
    </row>
    <row r="6" spans="1:16" x14ac:dyDescent="0.25">
      <c r="A6" s="16"/>
      <c r="B6" s="4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4"/>
      <c r="P6" s="18"/>
    </row>
    <row r="7" spans="1:16" x14ac:dyDescent="0.25">
      <c r="A7" s="16"/>
      <c r="B7" s="43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44"/>
      <c r="P7" s="18"/>
    </row>
    <row r="8" spans="1:16" x14ac:dyDescent="0.25">
      <c r="A8" s="16"/>
      <c r="B8" s="43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44"/>
      <c r="P8" s="18"/>
    </row>
    <row r="9" spans="1:16" x14ac:dyDescent="0.25">
      <c r="A9" s="16"/>
      <c r="B9" s="43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44"/>
      <c r="P9" s="18"/>
    </row>
    <row r="10" spans="1:16" x14ac:dyDescent="0.25">
      <c r="A10" s="16"/>
      <c r="B10" s="43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44"/>
      <c r="P10" s="18"/>
    </row>
    <row r="11" spans="1:16" x14ac:dyDescent="0.25">
      <c r="A11" s="16"/>
      <c r="B11" s="43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44"/>
      <c r="P11" s="18"/>
    </row>
    <row r="12" spans="1:16" x14ac:dyDescent="0.25">
      <c r="A12" s="16"/>
      <c r="B12" s="43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44"/>
      <c r="P12" s="18"/>
    </row>
    <row r="13" spans="1:16" x14ac:dyDescent="0.25">
      <c r="A13" s="16"/>
      <c r="B13" s="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44"/>
      <c r="P13" s="18"/>
    </row>
    <row r="14" spans="1:16" x14ac:dyDescent="0.25">
      <c r="A14" s="16"/>
      <c r="B14" s="43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44"/>
      <c r="P14" s="18"/>
    </row>
    <row r="15" spans="1:16" x14ac:dyDescent="0.25">
      <c r="A15" s="16"/>
      <c r="B15" s="43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44"/>
      <c r="P15" s="18"/>
    </row>
    <row r="16" spans="1:16" x14ac:dyDescent="0.25">
      <c r="A16" s="16"/>
      <c r="B16" s="43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44"/>
      <c r="P16" s="18"/>
    </row>
    <row r="17" spans="1:16" x14ac:dyDescent="0.25">
      <c r="A17" s="16"/>
      <c r="B17" s="43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44"/>
      <c r="P17" s="18"/>
    </row>
    <row r="18" spans="1:16" x14ac:dyDescent="0.25">
      <c r="A18" s="16"/>
      <c r="B18" s="43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44"/>
      <c r="P18" s="18"/>
    </row>
    <row r="19" spans="1:16" x14ac:dyDescent="0.25">
      <c r="A19" s="16"/>
      <c r="B19" s="43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44"/>
      <c r="P19" s="18"/>
    </row>
    <row r="20" spans="1:16" x14ac:dyDescent="0.25">
      <c r="A20" s="16"/>
      <c r="B20" s="43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44"/>
      <c r="P20" s="18"/>
    </row>
    <row r="21" spans="1:16" x14ac:dyDescent="0.25">
      <c r="A21" s="16"/>
      <c r="B21" s="43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44"/>
      <c r="P21" s="18"/>
    </row>
    <row r="22" spans="1:16" x14ac:dyDescent="0.25">
      <c r="A22" s="16"/>
      <c r="B22" s="43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44"/>
      <c r="P22" s="18"/>
    </row>
    <row r="23" spans="1:16" x14ac:dyDescent="0.25">
      <c r="A23" s="16"/>
      <c r="B23" s="43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44"/>
      <c r="P23" s="18"/>
    </row>
    <row r="24" spans="1:16" x14ac:dyDescent="0.25">
      <c r="A24" s="16"/>
      <c r="B24" s="43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44"/>
      <c r="P24" s="18"/>
    </row>
    <row r="25" spans="1:16" x14ac:dyDescent="0.25">
      <c r="A25" s="16"/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7"/>
      <c r="P25" s="18"/>
    </row>
    <row r="26" spans="1:16" x14ac:dyDescent="0.25">
      <c r="A26" s="16"/>
      <c r="B26" s="39" t="s">
        <v>74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18"/>
    </row>
    <row r="27" spans="1:16" x14ac:dyDescent="0.25">
      <c r="A27" s="16"/>
      <c r="B27" s="48" t="s">
        <v>75</v>
      </c>
      <c r="C27" s="48"/>
      <c r="D27" s="48"/>
      <c r="E27" s="48"/>
      <c r="F27" s="48" t="s">
        <v>76</v>
      </c>
      <c r="G27" s="48"/>
      <c r="H27" s="48"/>
      <c r="I27" s="48" t="s">
        <v>77</v>
      </c>
      <c r="J27" s="48"/>
      <c r="K27" s="19" t="s">
        <v>78</v>
      </c>
      <c r="L27" s="19" t="s">
        <v>52</v>
      </c>
      <c r="M27" s="48" t="s">
        <v>79</v>
      </c>
      <c r="N27" s="48"/>
      <c r="O27" s="48"/>
      <c r="P27" s="18"/>
    </row>
    <row r="28" spans="1:16" x14ac:dyDescent="0.25">
      <c r="A28" s="16"/>
      <c r="B28" s="37"/>
      <c r="C28" s="37"/>
      <c r="D28" s="37"/>
      <c r="E28" s="37"/>
      <c r="F28" s="49"/>
      <c r="G28" s="49"/>
      <c r="H28" s="49"/>
      <c r="I28" s="37"/>
      <c r="J28" s="37"/>
      <c r="K28" s="50"/>
      <c r="L28" s="51"/>
      <c r="M28" s="37"/>
      <c r="N28" s="37"/>
      <c r="O28" s="37"/>
      <c r="P28" s="18"/>
    </row>
    <row r="29" spans="1:16" x14ac:dyDescent="0.25">
      <c r="A29" s="16"/>
      <c r="B29" s="37"/>
      <c r="C29" s="37"/>
      <c r="D29" s="37"/>
      <c r="E29" s="37"/>
      <c r="F29" s="49"/>
      <c r="G29" s="49"/>
      <c r="H29" s="49"/>
      <c r="I29" s="37"/>
      <c r="J29" s="37"/>
      <c r="K29" s="37"/>
      <c r="L29" s="51"/>
      <c r="M29" s="37"/>
      <c r="N29" s="37"/>
      <c r="O29" s="37"/>
      <c r="P29" s="18"/>
    </row>
    <row r="30" spans="1:16" x14ac:dyDescent="0.25">
      <c r="A30" s="16"/>
      <c r="B30" s="52"/>
      <c r="C30" s="37"/>
      <c r="D30" s="37"/>
      <c r="E30" s="37"/>
      <c r="F30" s="49"/>
      <c r="G30" s="49"/>
      <c r="H30" s="49"/>
      <c r="I30" s="37"/>
      <c r="J30" s="37"/>
      <c r="K30" s="50"/>
      <c r="L30" s="51"/>
      <c r="M30" s="37"/>
      <c r="N30" s="37"/>
      <c r="O30" s="37"/>
      <c r="P30" s="18"/>
    </row>
    <row r="31" spans="1:16" x14ac:dyDescent="0.25">
      <c r="A31" s="16"/>
      <c r="B31" s="37"/>
      <c r="C31" s="37"/>
      <c r="D31" s="37"/>
      <c r="E31" s="37"/>
      <c r="F31" s="49"/>
      <c r="G31" s="49"/>
      <c r="H31" s="49"/>
      <c r="I31" s="37"/>
      <c r="J31" s="37"/>
      <c r="K31" s="37"/>
      <c r="L31" s="51"/>
      <c r="M31" s="37"/>
      <c r="N31" s="37"/>
      <c r="O31" s="37"/>
      <c r="P31" s="18"/>
    </row>
    <row r="32" spans="1:16" x14ac:dyDescent="0.25">
      <c r="A32" s="16"/>
      <c r="B32" s="37"/>
      <c r="C32" s="37"/>
      <c r="D32" s="37"/>
      <c r="E32" s="37"/>
      <c r="F32" s="49"/>
      <c r="G32" s="49"/>
      <c r="H32" s="49"/>
      <c r="I32" s="37"/>
      <c r="J32" s="37"/>
      <c r="K32" s="50"/>
      <c r="L32" s="50"/>
      <c r="M32" s="49"/>
      <c r="N32" s="49"/>
      <c r="O32" s="49"/>
      <c r="P32" s="18"/>
    </row>
    <row r="33" spans="1:16" x14ac:dyDescent="0.25">
      <c r="A33" s="16"/>
      <c r="B33" s="37"/>
      <c r="C33" s="37"/>
      <c r="D33" s="37"/>
      <c r="E33" s="37"/>
      <c r="F33" s="49"/>
      <c r="G33" s="49"/>
      <c r="H33" s="49"/>
      <c r="I33" s="37"/>
      <c r="J33" s="37"/>
      <c r="K33" s="37"/>
      <c r="L33" s="37"/>
      <c r="M33" s="49"/>
      <c r="N33" s="49"/>
      <c r="O33" s="49"/>
      <c r="P33" s="18"/>
    </row>
    <row r="34" spans="1:16" x14ac:dyDescent="0.25">
      <c r="A34" s="16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18"/>
    </row>
    <row r="35" spans="1:16" s="24" customFormat="1" x14ac:dyDescent="0.25">
      <c r="A35" s="20"/>
      <c r="B35" s="21" t="s">
        <v>80</v>
      </c>
      <c r="C35" s="21"/>
      <c r="D35" s="22">
        <v>1</v>
      </c>
      <c r="E35" s="54" t="s">
        <v>81</v>
      </c>
      <c r="F35" s="55"/>
      <c r="G35" s="56"/>
      <c r="H35" s="21">
        <v>2</v>
      </c>
      <c r="I35" s="54" t="s">
        <v>82</v>
      </c>
      <c r="J35" s="55"/>
      <c r="K35" s="56"/>
      <c r="L35" s="21">
        <v>3</v>
      </c>
      <c r="M35" s="54" t="s">
        <v>83</v>
      </c>
      <c r="N35" s="55"/>
      <c r="O35" s="56"/>
      <c r="P35" s="23"/>
    </row>
    <row r="36" spans="1:16" x14ac:dyDescent="0.25">
      <c r="A36" s="1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18"/>
    </row>
    <row r="37" spans="1:16" x14ac:dyDescent="0.25">
      <c r="A37" s="16"/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P37" s="18"/>
    </row>
    <row r="38" spans="1:16" x14ac:dyDescent="0.25">
      <c r="A38" s="16"/>
      <c r="C38" s="28"/>
      <c r="H38" s="28"/>
      <c r="P38" s="18"/>
    </row>
    <row r="39" spans="1:16" ht="16.5" thickBot="1" x14ac:dyDescent="0.3">
      <c r="A39" s="29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1"/>
    </row>
  </sheetData>
  <mergeCells count="31">
    <mergeCell ref="B34:O34"/>
    <mergeCell ref="E35:G35"/>
    <mergeCell ref="I35:K35"/>
    <mergeCell ref="M35:O35"/>
    <mergeCell ref="B36:O36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</mergeCells>
  <conditionalFormatting sqref="B34 B35:E35 H35:I35 L35:M35">
    <cfRule type="cellIs" dxfId="11" priority="4" operator="equal">
      <formula>3</formula>
    </cfRule>
    <cfRule type="cellIs" dxfId="10" priority="5" operator="equal">
      <formula>2</formula>
    </cfRule>
    <cfRule type="cellIs" dxfId="9" priority="6" operator="equal">
      <formula>1</formula>
    </cfRule>
  </conditionalFormatting>
  <conditionalFormatting sqref="B27:O33">
    <cfRule type="cellIs" dxfId="8" priority="1" operator="equal">
      <formula>3</formula>
    </cfRule>
    <cfRule type="cellIs" dxfId="7" priority="2" operator="equal">
      <formula>2</formula>
    </cfRule>
    <cfRule type="cellIs" dxfId="6" priority="3" operator="equal">
      <formula>1</formula>
    </cfRule>
  </conditionalFormatting>
  <dataValidations count="1">
    <dataValidation type="whole" allowBlank="1" showInputMessage="1" showErrorMessage="1" sqref="L28:L31" xr:uid="{F4DA11AA-5B54-428F-921F-842D3E3A2011}">
      <formula1>1</formula1>
      <formula2>3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728B7-FF1D-43CD-932D-326EE95C2B23}">
  <dimension ref="A1:P39"/>
  <sheetViews>
    <sheetView zoomScale="110" zoomScaleNormal="110" workbookViewId="0">
      <selection activeCell="D38" sqref="D38"/>
    </sheetView>
  </sheetViews>
  <sheetFormatPr defaultColWidth="9.140625" defaultRowHeight="15.75" x14ac:dyDescent="0.25"/>
  <cols>
    <col min="1" max="1" width="1.140625" style="15" customWidth="1"/>
    <col min="2" max="10" width="9.140625" style="15"/>
    <col min="11" max="11" width="10.140625" style="15" bestFit="1" customWidth="1"/>
    <col min="12" max="13" width="9.140625" style="15"/>
    <col min="14" max="14" width="10.140625" style="15" bestFit="1" customWidth="1"/>
    <col min="15" max="15" width="9.140625" style="15"/>
    <col min="16" max="16" width="1.140625" style="15" customWidth="1"/>
    <col min="17" max="16384" width="9.140625" style="15"/>
  </cols>
  <sheetData>
    <row r="1" spans="1:16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4"/>
    </row>
    <row r="2" spans="1:16" x14ac:dyDescent="0.25">
      <c r="A2" s="16"/>
      <c r="B2" s="17" t="s">
        <v>95</v>
      </c>
      <c r="C2" s="17"/>
      <c r="D2" s="17"/>
      <c r="H2" s="17"/>
      <c r="I2" s="17"/>
      <c r="J2" s="17"/>
      <c r="K2" s="17"/>
      <c r="L2" s="17"/>
      <c r="M2" s="38"/>
      <c r="N2" s="38"/>
      <c r="O2" s="38"/>
      <c r="P2" s="18"/>
    </row>
    <row r="3" spans="1:16" x14ac:dyDescent="0.25">
      <c r="A3" s="16"/>
      <c r="B3" s="39" t="s">
        <v>73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18"/>
    </row>
    <row r="4" spans="1:16" x14ac:dyDescent="0.25">
      <c r="A4" s="16"/>
      <c r="B4" s="40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2"/>
      <c r="P4" s="18"/>
    </row>
    <row r="5" spans="1:16" x14ac:dyDescent="0.25">
      <c r="A5" s="16"/>
      <c r="B5" s="43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4"/>
      <c r="P5" s="18"/>
    </row>
    <row r="6" spans="1:16" x14ac:dyDescent="0.25">
      <c r="A6" s="16"/>
      <c r="B6" s="43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4"/>
      <c r="P6" s="18"/>
    </row>
    <row r="7" spans="1:16" x14ac:dyDescent="0.25">
      <c r="A7" s="16"/>
      <c r="B7" s="43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44"/>
      <c r="P7" s="18"/>
    </row>
    <row r="8" spans="1:16" x14ac:dyDescent="0.25">
      <c r="A8" s="16"/>
      <c r="B8" s="43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44"/>
      <c r="P8" s="18"/>
    </row>
    <row r="9" spans="1:16" x14ac:dyDescent="0.25">
      <c r="A9" s="16"/>
      <c r="B9" s="43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44"/>
      <c r="P9" s="18"/>
    </row>
    <row r="10" spans="1:16" x14ac:dyDescent="0.25">
      <c r="A10" s="16"/>
      <c r="B10" s="43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44"/>
      <c r="P10" s="18"/>
    </row>
    <row r="11" spans="1:16" x14ac:dyDescent="0.25">
      <c r="A11" s="16"/>
      <c r="B11" s="43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44"/>
      <c r="P11" s="18"/>
    </row>
    <row r="12" spans="1:16" x14ac:dyDescent="0.25">
      <c r="A12" s="16"/>
      <c r="B12" s="43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44"/>
      <c r="P12" s="18"/>
    </row>
    <row r="13" spans="1:16" x14ac:dyDescent="0.25">
      <c r="A13" s="16"/>
      <c r="B13" s="43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44"/>
      <c r="P13" s="18"/>
    </row>
    <row r="14" spans="1:16" x14ac:dyDescent="0.25">
      <c r="A14" s="16"/>
      <c r="B14" s="43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44"/>
      <c r="P14" s="18"/>
    </row>
    <row r="15" spans="1:16" x14ac:dyDescent="0.25">
      <c r="A15" s="16"/>
      <c r="B15" s="43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44"/>
      <c r="P15" s="18"/>
    </row>
    <row r="16" spans="1:16" x14ac:dyDescent="0.25">
      <c r="A16" s="16"/>
      <c r="B16" s="43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44"/>
      <c r="P16" s="18"/>
    </row>
    <row r="17" spans="1:16" x14ac:dyDescent="0.25">
      <c r="A17" s="16"/>
      <c r="B17" s="43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44"/>
      <c r="P17" s="18"/>
    </row>
    <row r="18" spans="1:16" x14ac:dyDescent="0.25">
      <c r="A18" s="16"/>
      <c r="B18" s="43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44"/>
      <c r="P18" s="18"/>
    </row>
    <row r="19" spans="1:16" x14ac:dyDescent="0.25">
      <c r="A19" s="16"/>
      <c r="B19" s="43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44"/>
      <c r="P19" s="18"/>
    </row>
    <row r="20" spans="1:16" x14ac:dyDescent="0.25">
      <c r="A20" s="16"/>
      <c r="B20" s="43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44"/>
      <c r="P20" s="18"/>
    </row>
    <row r="21" spans="1:16" x14ac:dyDescent="0.25">
      <c r="A21" s="16"/>
      <c r="B21" s="43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44"/>
      <c r="P21" s="18"/>
    </row>
    <row r="22" spans="1:16" x14ac:dyDescent="0.25">
      <c r="A22" s="16"/>
      <c r="B22" s="43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44"/>
      <c r="P22" s="18"/>
    </row>
    <row r="23" spans="1:16" x14ac:dyDescent="0.25">
      <c r="A23" s="16"/>
      <c r="B23" s="43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44"/>
      <c r="P23" s="18"/>
    </row>
    <row r="24" spans="1:16" x14ac:dyDescent="0.25">
      <c r="A24" s="16"/>
      <c r="B24" s="43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44"/>
      <c r="P24" s="18"/>
    </row>
    <row r="25" spans="1:16" x14ac:dyDescent="0.25">
      <c r="A25" s="16"/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7"/>
      <c r="P25" s="18"/>
    </row>
    <row r="26" spans="1:16" x14ac:dyDescent="0.25">
      <c r="A26" s="16"/>
      <c r="B26" s="39" t="s">
        <v>74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18"/>
    </row>
    <row r="27" spans="1:16" x14ac:dyDescent="0.25">
      <c r="A27" s="16"/>
      <c r="B27" s="48" t="s">
        <v>75</v>
      </c>
      <c r="C27" s="48"/>
      <c r="D27" s="48"/>
      <c r="E27" s="48"/>
      <c r="F27" s="48" t="s">
        <v>76</v>
      </c>
      <c r="G27" s="48"/>
      <c r="H27" s="48"/>
      <c r="I27" s="48" t="s">
        <v>77</v>
      </c>
      <c r="J27" s="48"/>
      <c r="K27" s="19" t="s">
        <v>78</v>
      </c>
      <c r="L27" s="19" t="s">
        <v>52</v>
      </c>
      <c r="M27" s="48" t="s">
        <v>79</v>
      </c>
      <c r="N27" s="48"/>
      <c r="O27" s="48"/>
      <c r="P27" s="18"/>
    </row>
    <row r="28" spans="1:16" x14ac:dyDescent="0.25">
      <c r="A28" s="16"/>
      <c r="B28" s="37"/>
      <c r="C28" s="37"/>
      <c r="D28" s="37"/>
      <c r="E28" s="37"/>
      <c r="F28" s="49"/>
      <c r="G28" s="49"/>
      <c r="H28" s="49"/>
      <c r="I28" s="37"/>
      <c r="J28" s="37"/>
      <c r="K28" s="50"/>
      <c r="L28" s="51"/>
      <c r="M28" s="37"/>
      <c r="N28" s="37"/>
      <c r="O28" s="37"/>
      <c r="P28" s="18"/>
    </row>
    <row r="29" spans="1:16" x14ac:dyDescent="0.25">
      <c r="A29" s="16"/>
      <c r="B29" s="37"/>
      <c r="C29" s="37"/>
      <c r="D29" s="37"/>
      <c r="E29" s="37"/>
      <c r="F29" s="49"/>
      <c r="G29" s="49"/>
      <c r="H29" s="49"/>
      <c r="I29" s="37"/>
      <c r="J29" s="37"/>
      <c r="K29" s="37"/>
      <c r="L29" s="51"/>
      <c r="M29" s="37"/>
      <c r="N29" s="37"/>
      <c r="O29" s="37"/>
      <c r="P29" s="18"/>
    </row>
    <row r="30" spans="1:16" x14ac:dyDescent="0.25">
      <c r="A30" s="16"/>
      <c r="B30" s="52"/>
      <c r="C30" s="37"/>
      <c r="D30" s="37"/>
      <c r="E30" s="37"/>
      <c r="F30" s="49"/>
      <c r="G30" s="49"/>
      <c r="H30" s="49"/>
      <c r="I30" s="37"/>
      <c r="J30" s="37"/>
      <c r="K30" s="50"/>
      <c r="L30" s="51"/>
      <c r="M30" s="37"/>
      <c r="N30" s="37"/>
      <c r="O30" s="37"/>
      <c r="P30" s="18"/>
    </row>
    <row r="31" spans="1:16" x14ac:dyDescent="0.25">
      <c r="A31" s="16"/>
      <c r="B31" s="37"/>
      <c r="C31" s="37"/>
      <c r="D31" s="37"/>
      <c r="E31" s="37"/>
      <c r="F31" s="49"/>
      <c r="G31" s="49"/>
      <c r="H31" s="49"/>
      <c r="I31" s="37"/>
      <c r="J31" s="37"/>
      <c r="K31" s="37"/>
      <c r="L31" s="51"/>
      <c r="M31" s="37"/>
      <c r="N31" s="37"/>
      <c r="O31" s="37"/>
      <c r="P31" s="18"/>
    </row>
    <row r="32" spans="1:16" x14ac:dyDescent="0.25">
      <c r="A32" s="16"/>
      <c r="B32" s="37"/>
      <c r="C32" s="37"/>
      <c r="D32" s="37"/>
      <c r="E32" s="37"/>
      <c r="F32" s="49"/>
      <c r="G32" s="49"/>
      <c r="H32" s="49"/>
      <c r="I32" s="37"/>
      <c r="J32" s="37"/>
      <c r="K32" s="50"/>
      <c r="L32" s="50"/>
      <c r="M32" s="49"/>
      <c r="N32" s="49"/>
      <c r="O32" s="49"/>
      <c r="P32" s="18"/>
    </row>
    <row r="33" spans="1:16" x14ac:dyDescent="0.25">
      <c r="A33" s="16"/>
      <c r="B33" s="37"/>
      <c r="C33" s="37"/>
      <c r="D33" s="37"/>
      <c r="E33" s="37"/>
      <c r="F33" s="49"/>
      <c r="G33" s="49"/>
      <c r="H33" s="49"/>
      <c r="I33" s="37"/>
      <c r="J33" s="37"/>
      <c r="K33" s="37"/>
      <c r="L33" s="37"/>
      <c r="M33" s="49"/>
      <c r="N33" s="49"/>
      <c r="O33" s="49"/>
      <c r="P33" s="18"/>
    </row>
    <row r="34" spans="1:16" x14ac:dyDescent="0.25">
      <c r="A34" s="16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18"/>
    </row>
    <row r="35" spans="1:16" s="24" customFormat="1" x14ac:dyDescent="0.25">
      <c r="A35" s="20"/>
      <c r="B35" s="21" t="s">
        <v>80</v>
      </c>
      <c r="C35" s="21"/>
      <c r="D35" s="22">
        <v>1</v>
      </c>
      <c r="E35" s="54" t="s">
        <v>81</v>
      </c>
      <c r="F35" s="55"/>
      <c r="G35" s="56"/>
      <c r="H35" s="21">
        <v>2</v>
      </c>
      <c r="I35" s="54" t="s">
        <v>82</v>
      </c>
      <c r="J35" s="55"/>
      <c r="K35" s="56"/>
      <c r="L35" s="21">
        <v>3</v>
      </c>
      <c r="M35" s="54" t="s">
        <v>83</v>
      </c>
      <c r="N35" s="55"/>
      <c r="O35" s="56"/>
      <c r="P35" s="23"/>
    </row>
    <row r="36" spans="1:16" x14ac:dyDescent="0.25">
      <c r="A36" s="1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18"/>
    </row>
    <row r="37" spans="1:16" x14ac:dyDescent="0.25">
      <c r="A37" s="16"/>
      <c r="C37" s="25" t="s">
        <v>84</v>
      </c>
      <c r="D37" s="26" t="s">
        <v>85</v>
      </c>
      <c r="E37" s="26"/>
      <c r="F37" s="26"/>
      <c r="G37" s="26"/>
      <c r="H37" s="26"/>
      <c r="I37" s="26"/>
      <c r="J37" s="26"/>
      <c r="K37" s="26"/>
      <c r="L37" s="26"/>
      <c r="M37" s="26"/>
      <c r="N37" s="27"/>
      <c r="P37" s="18"/>
    </row>
    <row r="38" spans="1:16" x14ac:dyDescent="0.25">
      <c r="A38" s="16"/>
      <c r="C38" s="28"/>
      <c r="H38" s="28"/>
      <c r="P38" s="18"/>
    </row>
    <row r="39" spans="1:16" ht="16.5" thickBot="1" x14ac:dyDescent="0.3">
      <c r="A39" s="29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1"/>
    </row>
  </sheetData>
  <mergeCells count="31">
    <mergeCell ref="B34:O34"/>
    <mergeCell ref="E35:G35"/>
    <mergeCell ref="I35:K35"/>
    <mergeCell ref="M35:O35"/>
    <mergeCell ref="B36:O36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</mergeCells>
  <conditionalFormatting sqref="B34 B35:E35 H35:I35 L35:M35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B27:O33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dataValidations count="1">
    <dataValidation type="whole" allowBlank="1" showInputMessage="1" showErrorMessage="1" sqref="L28:L31" xr:uid="{21F600DA-C80C-4975-93A8-F4989480C0FA}">
      <formula1>1</formula1>
      <formula2>3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6EFA0-76E5-4716-A211-E1A2F95ECDA0}">
  <dimension ref="A1:I18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4" bestFit="1" customWidth="1"/>
    <col min="5" max="5" width="13.42578125" bestFit="1" customWidth="1"/>
    <col min="6" max="6" width="24" bestFit="1" customWidth="1"/>
    <col min="9" max="9" width="19" bestFit="1" customWidth="1"/>
    <col min="10" max="11" width="24" bestFit="1" customWidth="1"/>
  </cols>
  <sheetData>
    <row r="1" spans="1:9" x14ac:dyDescent="0.25">
      <c r="A1" s="58" t="s">
        <v>89</v>
      </c>
      <c r="B1" s="58"/>
      <c r="E1" s="58" t="s">
        <v>90</v>
      </c>
      <c r="F1" s="58"/>
      <c r="I1" t="s">
        <v>91</v>
      </c>
    </row>
    <row r="2" spans="1:9" x14ac:dyDescent="0.25">
      <c r="A2" s="58"/>
      <c r="B2" s="58"/>
      <c r="E2" s="58"/>
      <c r="F2" s="58"/>
      <c r="I2" t="s">
        <v>92</v>
      </c>
    </row>
    <row r="3" spans="1:9" x14ac:dyDescent="0.25">
      <c r="A3" s="58"/>
      <c r="B3" s="58"/>
      <c r="E3" s="58"/>
      <c r="F3" s="58"/>
    </row>
    <row r="4" spans="1:9" x14ac:dyDescent="0.25">
      <c r="A4" s="32" t="s">
        <v>63</v>
      </c>
      <c r="B4" t="s">
        <v>103</v>
      </c>
      <c r="E4" s="32" t="s">
        <v>63</v>
      </c>
      <c r="F4" t="s">
        <v>103</v>
      </c>
    </row>
    <row r="5" spans="1:9" x14ac:dyDescent="0.25">
      <c r="A5" s="32" t="s">
        <v>96</v>
      </c>
      <c r="B5" t="s">
        <v>103</v>
      </c>
      <c r="E5" s="32" t="s">
        <v>96</v>
      </c>
      <c r="F5" t="s">
        <v>100</v>
      </c>
    </row>
    <row r="7" spans="1:9" x14ac:dyDescent="0.25">
      <c r="A7" s="32" t="s">
        <v>86</v>
      </c>
      <c r="B7" t="s">
        <v>88</v>
      </c>
      <c r="E7" s="32" t="s">
        <v>86</v>
      </c>
      <c r="F7" t="s">
        <v>88</v>
      </c>
    </row>
    <row r="8" spans="1:9" x14ac:dyDescent="0.25">
      <c r="A8" s="33" t="s">
        <v>175</v>
      </c>
      <c r="B8" s="35">
        <v>17310</v>
      </c>
      <c r="E8" s="33" t="s">
        <v>720</v>
      </c>
      <c r="F8" s="35">
        <v>-2635</v>
      </c>
    </row>
    <row r="9" spans="1:9" x14ac:dyDescent="0.25">
      <c r="A9" s="34" t="s">
        <v>3507</v>
      </c>
      <c r="B9" s="35">
        <v>17310</v>
      </c>
      <c r="E9" s="34" t="s">
        <v>3552</v>
      </c>
      <c r="F9" s="35">
        <v>-2635</v>
      </c>
    </row>
    <row r="10" spans="1:9" x14ac:dyDescent="0.25">
      <c r="A10" s="33" t="s">
        <v>243</v>
      </c>
      <c r="B10" s="35">
        <v>5505</v>
      </c>
      <c r="E10" s="33" t="s">
        <v>593</v>
      </c>
      <c r="F10" s="35">
        <v>-2190</v>
      </c>
    </row>
    <row r="11" spans="1:9" x14ac:dyDescent="0.25">
      <c r="A11" s="34" t="s">
        <v>3508</v>
      </c>
      <c r="B11" s="35">
        <v>5505</v>
      </c>
      <c r="E11" s="34" t="s">
        <v>3525</v>
      </c>
      <c r="F11" s="35">
        <v>-2190</v>
      </c>
    </row>
    <row r="12" spans="1:9" x14ac:dyDescent="0.25">
      <c r="A12" s="33" t="s">
        <v>359</v>
      </c>
      <c r="B12" s="35">
        <v>1080</v>
      </c>
      <c r="E12" s="33" t="s">
        <v>633</v>
      </c>
      <c r="F12" s="35">
        <v>-1790</v>
      </c>
    </row>
    <row r="13" spans="1:9" x14ac:dyDescent="0.25">
      <c r="A13" s="34" t="s">
        <v>3509</v>
      </c>
      <c r="B13" s="35">
        <v>1080</v>
      </c>
      <c r="E13" s="34" t="s">
        <v>3530</v>
      </c>
      <c r="F13" s="35">
        <v>-1790</v>
      </c>
    </row>
    <row r="14" spans="1:9" x14ac:dyDescent="0.25">
      <c r="A14" s="33" t="s">
        <v>648</v>
      </c>
      <c r="B14" s="35">
        <v>1075</v>
      </c>
      <c r="E14" s="33" t="s">
        <v>746</v>
      </c>
      <c r="F14" s="35">
        <v>-1620</v>
      </c>
    </row>
    <row r="15" spans="1:9" x14ac:dyDescent="0.25">
      <c r="A15" s="34" t="s">
        <v>3537</v>
      </c>
      <c r="B15" s="35">
        <v>1075</v>
      </c>
      <c r="E15" s="34" t="s">
        <v>3549</v>
      </c>
      <c r="F15" s="35">
        <v>-1620</v>
      </c>
    </row>
    <row r="16" spans="1:9" x14ac:dyDescent="0.25">
      <c r="A16" s="33" t="s">
        <v>688</v>
      </c>
      <c r="B16" s="35">
        <v>825</v>
      </c>
      <c r="E16" s="33" t="s">
        <v>712</v>
      </c>
      <c r="F16" s="35">
        <v>-990</v>
      </c>
    </row>
    <row r="17" spans="1:6" x14ac:dyDescent="0.25">
      <c r="A17" s="34" t="s">
        <v>3542</v>
      </c>
      <c r="B17" s="35">
        <v>825</v>
      </c>
      <c r="E17" s="34" t="s">
        <v>1104</v>
      </c>
      <c r="F17" s="35">
        <v>-990</v>
      </c>
    </row>
    <row r="18" spans="1:6" x14ac:dyDescent="0.25">
      <c r="A18" s="33" t="s">
        <v>87</v>
      </c>
      <c r="B18" s="35">
        <v>25795</v>
      </c>
      <c r="E18" s="33" t="s">
        <v>87</v>
      </c>
      <c r="F18" s="35">
        <v>-9225</v>
      </c>
    </row>
  </sheetData>
  <mergeCells count="2">
    <mergeCell ref="A1:B3"/>
    <mergeCell ref="E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5BF95-0447-4B35-AE74-559BF661BAC1}">
  <dimension ref="A1:M18"/>
  <sheetViews>
    <sheetView workbookViewId="0">
      <selection activeCell="B13" sqref="B13"/>
    </sheetView>
  </sheetViews>
  <sheetFormatPr defaultRowHeight="15" x14ac:dyDescent="0.25"/>
  <cols>
    <col min="1" max="1" width="13.42578125" bestFit="1" customWidth="1"/>
    <col min="2" max="2" width="24.85546875" bestFit="1" customWidth="1"/>
    <col min="4" max="4" width="12.5703125" bestFit="1" customWidth="1"/>
    <col min="7" max="7" width="13.42578125" bestFit="1" customWidth="1"/>
    <col min="8" max="8" width="24.85546875" bestFit="1" customWidth="1"/>
    <col min="12" max="12" width="13.140625" bestFit="1" customWidth="1"/>
    <col min="13" max="13" width="7" bestFit="1" customWidth="1"/>
  </cols>
  <sheetData>
    <row r="1" spans="1:13" x14ac:dyDescent="0.25">
      <c r="A1" s="58" t="s">
        <v>89</v>
      </c>
      <c r="B1" s="58"/>
      <c r="G1" s="58" t="s">
        <v>90</v>
      </c>
      <c r="H1" s="58"/>
      <c r="K1" t="s">
        <v>91</v>
      </c>
    </row>
    <row r="2" spans="1:13" x14ac:dyDescent="0.25">
      <c r="A2" s="58"/>
      <c r="B2" s="58"/>
      <c r="G2" s="58"/>
      <c r="H2" s="58"/>
      <c r="K2" t="s">
        <v>92</v>
      </c>
    </row>
    <row r="3" spans="1:13" x14ac:dyDescent="0.25">
      <c r="A3" s="58"/>
      <c r="B3" s="58"/>
      <c r="G3" s="58"/>
      <c r="H3" s="58"/>
    </row>
    <row r="4" spans="1:13" x14ac:dyDescent="0.25">
      <c r="A4" s="32" t="s">
        <v>63</v>
      </c>
      <c r="B4" t="s">
        <v>103</v>
      </c>
      <c r="G4" s="32" t="s">
        <v>63</v>
      </c>
      <c r="H4" t="s">
        <v>103</v>
      </c>
    </row>
    <row r="5" spans="1:13" x14ac:dyDescent="0.25">
      <c r="A5" s="32" t="s">
        <v>98</v>
      </c>
      <c r="B5" t="s">
        <v>99</v>
      </c>
      <c r="G5" s="32" t="s">
        <v>98</v>
      </c>
      <c r="H5" t="s">
        <v>100</v>
      </c>
      <c r="L5" s="32" t="s">
        <v>63</v>
      </c>
      <c r="M5" t="s">
        <v>103</v>
      </c>
    </row>
    <row r="6" spans="1:13" x14ac:dyDescent="0.25">
      <c r="L6" s="32" t="s">
        <v>96</v>
      </c>
      <c r="M6" t="s">
        <v>103</v>
      </c>
    </row>
    <row r="7" spans="1:13" x14ac:dyDescent="0.25">
      <c r="A7" s="32" t="s">
        <v>86</v>
      </c>
      <c r="B7" t="s">
        <v>93</v>
      </c>
      <c r="G7" s="32" t="s">
        <v>86</v>
      </c>
      <c r="H7" t="s">
        <v>93</v>
      </c>
    </row>
    <row r="8" spans="1:13" x14ac:dyDescent="0.25">
      <c r="A8" s="33" t="s">
        <v>243</v>
      </c>
      <c r="B8" s="35">
        <v>837</v>
      </c>
      <c r="G8" s="33" t="s">
        <v>428</v>
      </c>
      <c r="H8" s="35">
        <v>-115</v>
      </c>
    </row>
    <row r="9" spans="1:13" x14ac:dyDescent="0.25">
      <c r="A9" s="34" t="s">
        <v>3508</v>
      </c>
      <c r="B9" s="35">
        <v>837</v>
      </c>
      <c r="G9" s="34" t="s">
        <v>3511</v>
      </c>
      <c r="H9" s="35">
        <v>-115</v>
      </c>
    </row>
    <row r="10" spans="1:13" x14ac:dyDescent="0.25">
      <c r="A10" s="33" t="s">
        <v>648</v>
      </c>
      <c r="B10" s="35">
        <v>515</v>
      </c>
      <c r="G10" s="33" t="s">
        <v>799</v>
      </c>
      <c r="H10" s="35">
        <v>-25</v>
      </c>
    </row>
    <row r="11" spans="1:13" x14ac:dyDescent="0.25">
      <c r="A11" s="34" t="s">
        <v>3537</v>
      </c>
      <c r="B11" s="35">
        <v>515</v>
      </c>
      <c r="G11" s="34" t="s">
        <v>3560</v>
      </c>
      <c r="H11" s="35">
        <v>-25</v>
      </c>
    </row>
    <row r="12" spans="1:13" x14ac:dyDescent="0.25">
      <c r="A12" s="33" t="s">
        <v>175</v>
      </c>
      <c r="B12" s="35">
        <v>90</v>
      </c>
      <c r="G12" s="33" t="s">
        <v>467</v>
      </c>
      <c r="H12" s="35">
        <v>-16</v>
      </c>
    </row>
    <row r="13" spans="1:13" x14ac:dyDescent="0.25">
      <c r="A13" s="34" t="s">
        <v>3507</v>
      </c>
      <c r="B13" s="35">
        <v>90</v>
      </c>
      <c r="G13" s="34" t="s">
        <v>1700</v>
      </c>
      <c r="H13" s="35">
        <v>-16</v>
      </c>
    </row>
    <row r="14" spans="1:13" x14ac:dyDescent="0.25">
      <c r="A14" s="33" t="s">
        <v>746</v>
      </c>
      <c r="B14" s="35">
        <v>80</v>
      </c>
      <c r="G14" s="33" t="s">
        <v>721</v>
      </c>
      <c r="H14" s="35">
        <v>-10</v>
      </c>
    </row>
    <row r="15" spans="1:13" x14ac:dyDescent="0.25">
      <c r="A15" s="34" t="s">
        <v>3549</v>
      </c>
      <c r="B15" s="35">
        <v>80</v>
      </c>
      <c r="G15" s="34" t="s">
        <v>3553</v>
      </c>
      <c r="H15" s="35">
        <v>-10</v>
      </c>
    </row>
    <row r="16" spans="1:13" x14ac:dyDescent="0.25">
      <c r="A16" s="33" t="s">
        <v>571</v>
      </c>
      <c r="B16" s="35">
        <v>64</v>
      </c>
      <c r="G16" s="33" t="s">
        <v>87</v>
      </c>
      <c r="H16" s="35">
        <v>-166</v>
      </c>
    </row>
    <row r="17" spans="1:2" x14ac:dyDescent="0.25">
      <c r="A17" s="34" t="s">
        <v>1481</v>
      </c>
      <c r="B17" s="35">
        <v>64</v>
      </c>
    </row>
    <row r="18" spans="1:2" x14ac:dyDescent="0.25">
      <c r="A18" s="33" t="s">
        <v>87</v>
      </c>
      <c r="B18" s="35">
        <v>1586</v>
      </c>
    </row>
  </sheetData>
  <mergeCells count="2">
    <mergeCell ref="A1:B3"/>
    <mergeCell ref="G1:H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21E8-2ED6-4672-922C-9BC9A7A77141}">
  <dimension ref="A1:I20"/>
  <sheetViews>
    <sheetView workbookViewId="0">
      <selection activeCell="B13" sqref="B13"/>
    </sheetView>
  </sheetViews>
  <sheetFormatPr defaultRowHeight="15" x14ac:dyDescent="0.25"/>
  <cols>
    <col min="1" max="1" width="13.7109375" bestFit="1" customWidth="1"/>
    <col min="2" max="2" width="21" bestFit="1" customWidth="1"/>
    <col min="5" max="5" width="13.7109375" bestFit="1" customWidth="1"/>
    <col min="6" max="6" width="21" bestFit="1" customWidth="1"/>
    <col min="11" max="11" width="19" bestFit="1" customWidth="1"/>
    <col min="12" max="12" width="21" bestFit="1" customWidth="1"/>
  </cols>
  <sheetData>
    <row r="1" spans="1:9" x14ac:dyDescent="0.25">
      <c r="A1" s="58" t="s">
        <v>89</v>
      </c>
      <c r="B1" s="58"/>
      <c r="E1" s="58" t="s">
        <v>90</v>
      </c>
      <c r="F1" s="58"/>
      <c r="I1" t="s">
        <v>91</v>
      </c>
    </row>
    <row r="2" spans="1:9" x14ac:dyDescent="0.25">
      <c r="A2" s="58"/>
      <c r="B2" s="58"/>
      <c r="E2" s="58"/>
      <c r="F2" s="58"/>
      <c r="I2" t="s">
        <v>92</v>
      </c>
    </row>
    <row r="3" spans="1:9" x14ac:dyDescent="0.25">
      <c r="A3" s="58"/>
      <c r="B3" s="58"/>
      <c r="E3" s="58"/>
      <c r="F3" s="58"/>
    </row>
    <row r="4" spans="1:9" x14ac:dyDescent="0.25">
      <c r="A4" s="32" t="s">
        <v>63</v>
      </c>
      <c r="B4" t="s">
        <v>103</v>
      </c>
      <c r="E4" s="32" t="s">
        <v>63</v>
      </c>
      <c r="F4" t="s">
        <v>103</v>
      </c>
    </row>
    <row r="5" spans="1:9" x14ac:dyDescent="0.25">
      <c r="A5" s="32" t="s">
        <v>97</v>
      </c>
      <c r="B5" t="s">
        <v>99</v>
      </c>
      <c r="E5" s="32" t="s">
        <v>97</v>
      </c>
      <c r="F5" t="s">
        <v>100</v>
      </c>
    </row>
    <row r="7" spans="1:9" x14ac:dyDescent="0.25">
      <c r="A7" s="32" t="s">
        <v>86</v>
      </c>
      <c r="B7" t="s">
        <v>94</v>
      </c>
      <c r="E7" s="32" t="s">
        <v>86</v>
      </c>
      <c r="F7" t="s">
        <v>94</v>
      </c>
    </row>
    <row r="8" spans="1:9" x14ac:dyDescent="0.25">
      <c r="A8" s="33" t="s">
        <v>409</v>
      </c>
      <c r="B8" s="35">
        <v>1805</v>
      </c>
      <c r="E8" s="33" t="s">
        <v>637</v>
      </c>
      <c r="F8" s="35">
        <v>-15</v>
      </c>
    </row>
    <row r="9" spans="1:9" x14ac:dyDescent="0.25">
      <c r="A9" s="34" t="s">
        <v>1817</v>
      </c>
      <c r="B9" s="35">
        <v>1805</v>
      </c>
      <c r="E9" s="34" t="s">
        <v>3532</v>
      </c>
      <c r="F9" s="35">
        <v>-15</v>
      </c>
    </row>
    <row r="10" spans="1:9" x14ac:dyDescent="0.25">
      <c r="A10" s="33" t="s">
        <v>243</v>
      </c>
      <c r="B10" s="35">
        <v>1740</v>
      </c>
      <c r="E10" s="33" t="s">
        <v>909</v>
      </c>
      <c r="F10" s="35">
        <v>-15</v>
      </c>
    </row>
    <row r="11" spans="1:9" x14ac:dyDescent="0.25">
      <c r="A11" s="34" t="s">
        <v>3508</v>
      </c>
      <c r="B11" s="35">
        <v>1740</v>
      </c>
      <c r="E11" s="34" t="s">
        <v>3551</v>
      </c>
      <c r="F11" s="35">
        <v>-15</v>
      </c>
    </row>
    <row r="12" spans="1:9" x14ac:dyDescent="0.25">
      <c r="A12" s="33" t="s">
        <v>408</v>
      </c>
      <c r="B12" s="35">
        <v>1670</v>
      </c>
      <c r="E12" s="33" t="s">
        <v>684</v>
      </c>
      <c r="F12" s="35">
        <v>-15</v>
      </c>
    </row>
    <row r="13" spans="1:9" x14ac:dyDescent="0.25">
      <c r="A13" s="34" t="s">
        <v>1817</v>
      </c>
      <c r="B13" s="35">
        <v>1670</v>
      </c>
      <c r="E13" s="34" t="s">
        <v>3544</v>
      </c>
      <c r="F13" s="35">
        <v>-15</v>
      </c>
    </row>
    <row r="14" spans="1:9" x14ac:dyDescent="0.25">
      <c r="A14" s="33" t="s">
        <v>652</v>
      </c>
      <c r="B14" s="35">
        <v>1285</v>
      </c>
      <c r="E14" s="33" t="s">
        <v>680</v>
      </c>
      <c r="F14" s="35">
        <v>-10</v>
      </c>
    </row>
    <row r="15" spans="1:9" x14ac:dyDescent="0.25">
      <c r="A15" s="34" t="s">
        <v>1817</v>
      </c>
      <c r="B15" s="35">
        <v>1285</v>
      </c>
      <c r="E15" s="34" t="s">
        <v>1862</v>
      </c>
      <c r="F15" s="35">
        <v>-10</v>
      </c>
    </row>
    <row r="16" spans="1:9" x14ac:dyDescent="0.25">
      <c r="A16" s="33" t="s">
        <v>723</v>
      </c>
      <c r="B16" s="35">
        <v>1220</v>
      </c>
      <c r="E16" s="33" t="s">
        <v>623</v>
      </c>
      <c r="F16" s="35">
        <v>-10</v>
      </c>
    </row>
    <row r="17" spans="1:6" x14ac:dyDescent="0.25">
      <c r="A17" s="34" t="s">
        <v>3554</v>
      </c>
      <c r="B17" s="35">
        <v>1220</v>
      </c>
      <c r="E17" s="34" t="s">
        <v>1820</v>
      </c>
      <c r="F17" s="35">
        <v>-10</v>
      </c>
    </row>
    <row r="18" spans="1:6" x14ac:dyDescent="0.25">
      <c r="A18" s="33" t="s">
        <v>87</v>
      </c>
      <c r="B18" s="35">
        <v>7720</v>
      </c>
      <c r="E18" s="33" t="s">
        <v>682</v>
      </c>
      <c r="F18" s="35">
        <v>-5</v>
      </c>
    </row>
    <row r="19" spans="1:6" x14ac:dyDescent="0.25">
      <c r="E19" s="34" t="s">
        <v>3542</v>
      </c>
      <c r="F19" s="35">
        <v>-5</v>
      </c>
    </row>
    <row r="20" spans="1:6" x14ac:dyDescent="0.25">
      <c r="E20" s="33" t="s">
        <v>87</v>
      </c>
      <c r="F20" s="35">
        <v>-70</v>
      </c>
    </row>
  </sheetData>
  <mergeCells count="2">
    <mergeCell ref="A1:B3"/>
    <mergeCell ref="E1:F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D354B-BEC4-4023-AEA6-8317E3E2C75E}">
  <dimension ref="A1:Q157"/>
  <sheetViews>
    <sheetView workbookViewId="0">
      <selection activeCell="F6" sqref="F6:F157"/>
    </sheetView>
  </sheetViews>
  <sheetFormatPr defaultRowHeight="15" x14ac:dyDescent="0.25"/>
  <cols>
    <col min="1" max="1" width="7.7109375" bestFit="1" customWidth="1"/>
    <col min="2" max="2" width="9.7109375" bestFit="1" customWidth="1"/>
    <col min="3" max="3" width="15.7109375" bestFit="1" customWidth="1"/>
    <col min="4" max="4" width="34.85546875" bestFit="1" customWidth="1"/>
    <col min="5" max="5" width="7.7109375" bestFit="1" customWidth="1"/>
    <col min="6" max="6" width="14.5703125" bestFit="1" customWidth="1"/>
    <col min="7" max="7" width="12" bestFit="1" customWidth="1"/>
    <col min="8" max="8" width="23.28515625" bestFit="1" customWidth="1"/>
    <col min="9" max="9" width="22.28515625" bestFit="1" customWidth="1"/>
    <col min="10" max="10" width="15.85546875" bestFit="1" customWidth="1"/>
    <col min="11" max="11" width="22.5703125" bestFit="1" customWidth="1"/>
    <col min="12" max="12" width="15.42578125" bestFit="1" customWidth="1"/>
    <col min="13" max="13" width="32.42578125" bestFit="1" customWidth="1"/>
    <col min="14" max="14" width="18.5703125" bestFit="1" customWidth="1"/>
    <col min="15" max="15" width="21.28515625" bestFit="1" customWidth="1"/>
    <col min="16" max="16" width="18.5703125" bestFit="1" customWidth="1"/>
    <col min="17" max="18" width="21.28515625" bestFit="1" customWidth="1"/>
  </cols>
  <sheetData>
    <row r="1" spans="1:17" x14ac:dyDescent="0.25">
      <c r="A1" t="s">
        <v>28</v>
      </c>
      <c r="B1" t="s">
        <v>29</v>
      </c>
    </row>
    <row r="2" spans="1:17" x14ac:dyDescent="0.25">
      <c r="A2" t="s">
        <v>47</v>
      </c>
      <c r="B2" t="str">
        <f ca="1">TEXT(TODAY() -60, "yyyymmdd")</f>
        <v>20250628</v>
      </c>
      <c r="C2" t="s">
        <v>60</v>
      </c>
    </row>
    <row r="3" spans="1:17" x14ac:dyDescent="0.25">
      <c r="A3" t="s">
        <v>46</v>
      </c>
      <c r="B3" t="str">
        <f ca="1">TEXT(TODAY(), "YYYYMMDD")</f>
        <v>20250827</v>
      </c>
    </row>
    <row r="5" spans="1:17" x14ac:dyDescent="0.25">
      <c r="A5" t="s">
        <v>3</v>
      </c>
      <c r="B5" t="s">
        <v>0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  <c r="H5" t="s">
        <v>38</v>
      </c>
      <c r="I5" t="s">
        <v>8</v>
      </c>
      <c r="J5" t="s">
        <v>39</v>
      </c>
      <c r="K5" t="s">
        <v>40</v>
      </c>
      <c r="L5" t="s">
        <v>41</v>
      </c>
      <c r="M5" t="s">
        <v>42</v>
      </c>
      <c r="N5" t="s">
        <v>48</v>
      </c>
      <c r="O5" t="s">
        <v>43</v>
      </c>
      <c r="P5" t="s">
        <v>44</v>
      </c>
      <c r="Q5" t="s">
        <v>45</v>
      </c>
    </row>
    <row r="6" spans="1:17" x14ac:dyDescent="0.25">
      <c r="A6" t="s">
        <v>1998</v>
      </c>
      <c r="B6" t="s">
        <v>164</v>
      </c>
      <c r="C6" t="s">
        <v>3503</v>
      </c>
      <c r="D6" t="s">
        <v>3563</v>
      </c>
      <c r="E6" t="s">
        <v>3618</v>
      </c>
      <c r="G6">
        <v>5</v>
      </c>
      <c r="H6">
        <v>5</v>
      </c>
      <c r="I6" s="2">
        <v>45782</v>
      </c>
      <c r="J6">
        <v>410</v>
      </c>
      <c r="K6">
        <v>1815</v>
      </c>
      <c r="L6">
        <v>1350</v>
      </c>
      <c r="N6">
        <v>0</v>
      </c>
      <c r="O6">
        <v>0</v>
      </c>
      <c r="P6">
        <v>0</v>
      </c>
      <c r="Q6">
        <v>0</v>
      </c>
    </row>
    <row r="7" spans="1:17" x14ac:dyDescent="0.25">
      <c r="A7" t="s">
        <v>1998</v>
      </c>
      <c r="B7" t="s">
        <v>167</v>
      </c>
      <c r="C7" t="s">
        <v>3504</v>
      </c>
      <c r="D7" t="s">
        <v>3564</v>
      </c>
      <c r="E7" t="s">
        <v>3618</v>
      </c>
      <c r="G7">
        <v>0</v>
      </c>
      <c r="H7">
        <v>0</v>
      </c>
      <c r="I7" s="2">
        <v>45782</v>
      </c>
      <c r="J7">
        <v>20</v>
      </c>
      <c r="K7">
        <v>5</v>
      </c>
      <c r="L7">
        <v>25</v>
      </c>
      <c r="N7">
        <v>0</v>
      </c>
      <c r="O7">
        <v>0</v>
      </c>
      <c r="P7">
        <v>5</v>
      </c>
      <c r="Q7">
        <v>5</v>
      </c>
    </row>
    <row r="8" spans="1:17" x14ac:dyDescent="0.25">
      <c r="A8" t="s">
        <v>1998</v>
      </c>
      <c r="B8" t="s">
        <v>171</v>
      </c>
      <c r="C8" t="s">
        <v>3505</v>
      </c>
      <c r="D8" t="s">
        <v>3565</v>
      </c>
      <c r="E8" t="s">
        <v>3618</v>
      </c>
      <c r="G8">
        <v>0</v>
      </c>
      <c r="H8">
        <v>0</v>
      </c>
      <c r="I8" s="2">
        <v>45782</v>
      </c>
      <c r="J8">
        <v>15</v>
      </c>
      <c r="K8">
        <v>0</v>
      </c>
      <c r="L8">
        <v>1720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1998</v>
      </c>
      <c r="B9" t="s">
        <v>173</v>
      </c>
      <c r="C9" t="s">
        <v>3506</v>
      </c>
      <c r="D9" t="s">
        <v>3566</v>
      </c>
      <c r="E9" t="s">
        <v>3618</v>
      </c>
      <c r="G9">
        <v>25</v>
      </c>
      <c r="H9">
        <v>25</v>
      </c>
      <c r="I9" s="2">
        <v>45782</v>
      </c>
      <c r="J9">
        <v>470</v>
      </c>
      <c r="K9">
        <v>5605</v>
      </c>
      <c r="L9">
        <v>160</v>
      </c>
      <c r="N9">
        <v>20</v>
      </c>
      <c r="O9">
        <v>30</v>
      </c>
      <c r="P9">
        <v>1630</v>
      </c>
      <c r="Q9">
        <v>240</v>
      </c>
    </row>
    <row r="10" spans="1:17" x14ac:dyDescent="0.25">
      <c r="A10" t="s">
        <v>1998</v>
      </c>
      <c r="B10" t="s">
        <v>175</v>
      </c>
      <c r="C10" t="s">
        <v>3507</v>
      </c>
      <c r="D10" t="s">
        <v>3155</v>
      </c>
      <c r="E10" t="s">
        <v>3619</v>
      </c>
      <c r="G10">
        <v>200</v>
      </c>
      <c r="H10">
        <v>200</v>
      </c>
      <c r="I10" s="2">
        <v>45768</v>
      </c>
      <c r="J10">
        <v>17310</v>
      </c>
      <c r="K10">
        <v>162640</v>
      </c>
      <c r="L10">
        <v>285</v>
      </c>
      <c r="N10">
        <v>260</v>
      </c>
      <c r="O10">
        <v>270</v>
      </c>
      <c r="P10">
        <v>142150</v>
      </c>
      <c r="Q10">
        <v>68600</v>
      </c>
    </row>
    <row r="11" spans="1:17" x14ac:dyDescent="0.25">
      <c r="A11" t="s">
        <v>1998</v>
      </c>
      <c r="B11" t="s">
        <v>243</v>
      </c>
      <c r="C11" t="s">
        <v>3508</v>
      </c>
      <c r="D11" t="s">
        <v>3567</v>
      </c>
      <c r="E11" t="s">
        <v>3619</v>
      </c>
      <c r="G11">
        <v>40</v>
      </c>
      <c r="H11">
        <v>40</v>
      </c>
      <c r="I11" s="2">
        <v>45783</v>
      </c>
      <c r="J11">
        <v>5505</v>
      </c>
      <c r="K11">
        <v>39335</v>
      </c>
      <c r="L11">
        <v>890</v>
      </c>
      <c r="N11">
        <v>155</v>
      </c>
      <c r="O11">
        <v>125</v>
      </c>
      <c r="P11">
        <v>4925</v>
      </c>
      <c r="Q11">
        <v>720</v>
      </c>
    </row>
    <row r="12" spans="1:17" x14ac:dyDescent="0.25">
      <c r="A12" t="s">
        <v>1998</v>
      </c>
      <c r="B12" t="s">
        <v>264</v>
      </c>
      <c r="C12" t="s">
        <v>1692</v>
      </c>
      <c r="D12" t="s">
        <v>3568</v>
      </c>
      <c r="E12" t="s">
        <v>3620</v>
      </c>
      <c r="G12">
        <v>5</v>
      </c>
      <c r="H12">
        <v>5</v>
      </c>
      <c r="I12" s="2">
        <v>45783</v>
      </c>
      <c r="J12">
        <v>110</v>
      </c>
      <c r="K12">
        <v>2215</v>
      </c>
      <c r="L12">
        <v>1915</v>
      </c>
      <c r="N12">
        <v>15</v>
      </c>
      <c r="O12">
        <v>10</v>
      </c>
      <c r="P12">
        <v>25</v>
      </c>
      <c r="Q12">
        <v>10</v>
      </c>
    </row>
    <row r="13" spans="1:17" x14ac:dyDescent="0.25">
      <c r="A13" t="s">
        <v>1998</v>
      </c>
      <c r="B13" t="s">
        <v>265</v>
      </c>
      <c r="C13" t="s">
        <v>1693</v>
      </c>
      <c r="D13" t="s">
        <v>3569</v>
      </c>
      <c r="E13" t="s">
        <v>3620</v>
      </c>
      <c r="G13">
        <v>5</v>
      </c>
      <c r="H13">
        <v>5</v>
      </c>
      <c r="I13" s="2">
        <v>45783</v>
      </c>
      <c r="J13">
        <v>-210</v>
      </c>
      <c r="K13">
        <v>2075</v>
      </c>
      <c r="L13">
        <v>1810</v>
      </c>
      <c r="N13">
        <v>10</v>
      </c>
      <c r="O13">
        <v>5</v>
      </c>
      <c r="P13">
        <v>325</v>
      </c>
      <c r="Q13">
        <v>10</v>
      </c>
    </row>
    <row r="14" spans="1:17" x14ac:dyDescent="0.25">
      <c r="A14" t="s">
        <v>1998</v>
      </c>
      <c r="B14" t="s">
        <v>266</v>
      </c>
      <c r="C14" t="s">
        <v>1694</v>
      </c>
      <c r="D14" t="s">
        <v>3569</v>
      </c>
      <c r="E14" t="s">
        <v>3620</v>
      </c>
      <c r="G14">
        <v>5</v>
      </c>
      <c r="H14">
        <v>5</v>
      </c>
      <c r="I14" s="2">
        <v>45783</v>
      </c>
      <c r="J14">
        <v>-170</v>
      </c>
      <c r="K14">
        <v>2215</v>
      </c>
      <c r="L14">
        <v>1915</v>
      </c>
      <c r="N14">
        <v>10</v>
      </c>
      <c r="O14">
        <v>5</v>
      </c>
      <c r="P14">
        <v>25</v>
      </c>
      <c r="Q14">
        <v>10</v>
      </c>
    </row>
    <row r="15" spans="1:17" x14ac:dyDescent="0.25">
      <c r="A15" t="s">
        <v>1998</v>
      </c>
      <c r="B15" t="s">
        <v>267</v>
      </c>
      <c r="C15" t="s">
        <v>1691</v>
      </c>
      <c r="D15" t="s">
        <v>3570</v>
      </c>
      <c r="E15" t="s">
        <v>3620</v>
      </c>
      <c r="G15">
        <v>5</v>
      </c>
      <c r="H15">
        <v>5</v>
      </c>
      <c r="I15" s="2">
        <v>45783</v>
      </c>
      <c r="J15">
        <v>0</v>
      </c>
      <c r="K15">
        <v>2235</v>
      </c>
      <c r="L15">
        <v>1940</v>
      </c>
      <c r="N15">
        <v>10</v>
      </c>
      <c r="O15">
        <v>5</v>
      </c>
      <c r="P15">
        <v>25</v>
      </c>
      <c r="Q15">
        <v>10</v>
      </c>
    </row>
    <row r="16" spans="1:17" x14ac:dyDescent="0.25">
      <c r="A16" t="s">
        <v>1998</v>
      </c>
      <c r="B16" t="s">
        <v>268</v>
      </c>
      <c r="C16" t="s">
        <v>1695</v>
      </c>
      <c r="D16" t="s">
        <v>3571</v>
      </c>
      <c r="E16" t="s">
        <v>3620</v>
      </c>
      <c r="G16">
        <v>5</v>
      </c>
      <c r="H16">
        <v>5</v>
      </c>
      <c r="I16" s="2">
        <v>45783</v>
      </c>
      <c r="J16">
        <v>600</v>
      </c>
      <c r="K16">
        <v>8665</v>
      </c>
      <c r="L16">
        <v>3675</v>
      </c>
      <c r="N16">
        <v>30</v>
      </c>
      <c r="O16">
        <v>25</v>
      </c>
      <c r="P16">
        <v>45</v>
      </c>
      <c r="Q16">
        <v>15</v>
      </c>
    </row>
    <row r="17" spans="1:17" x14ac:dyDescent="0.25">
      <c r="A17" t="s">
        <v>1998</v>
      </c>
      <c r="B17" t="s">
        <v>286</v>
      </c>
      <c r="C17" t="s">
        <v>1692</v>
      </c>
      <c r="D17" t="s">
        <v>3568</v>
      </c>
      <c r="E17" t="s">
        <v>3620</v>
      </c>
      <c r="G17">
        <v>5</v>
      </c>
      <c r="H17">
        <v>5</v>
      </c>
      <c r="I17" s="2">
        <v>45783</v>
      </c>
      <c r="J17">
        <v>210</v>
      </c>
      <c r="K17">
        <v>2215</v>
      </c>
      <c r="L17">
        <v>1915</v>
      </c>
      <c r="N17">
        <v>15</v>
      </c>
      <c r="O17">
        <v>15</v>
      </c>
      <c r="P17">
        <v>25</v>
      </c>
      <c r="Q17">
        <v>10</v>
      </c>
    </row>
    <row r="18" spans="1:17" x14ac:dyDescent="0.25">
      <c r="A18" t="s">
        <v>1998</v>
      </c>
      <c r="B18" t="s">
        <v>288</v>
      </c>
      <c r="C18" t="s">
        <v>1693</v>
      </c>
      <c r="D18" t="s">
        <v>3569</v>
      </c>
      <c r="E18" t="s">
        <v>3620</v>
      </c>
      <c r="G18">
        <v>5</v>
      </c>
      <c r="H18">
        <v>5</v>
      </c>
      <c r="I18" s="2">
        <v>45783</v>
      </c>
      <c r="J18">
        <v>-165</v>
      </c>
      <c r="K18">
        <v>2075</v>
      </c>
      <c r="L18">
        <v>1810</v>
      </c>
      <c r="N18">
        <v>10</v>
      </c>
      <c r="O18">
        <v>5</v>
      </c>
      <c r="P18">
        <v>325</v>
      </c>
      <c r="Q18">
        <v>10</v>
      </c>
    </row>
    <row r="19" spans="1:17" x14ac:dyDescent="0.25">
      <c r="A19" t="s">
        <v>1998</v>
      </c>
      <c r="B19" t="s">
        <v>289</v>
      </c>
      <c r="C19" t="s">
        <v>1694</v>
      </c>
      <c r="D19" t="s">
        <v>3569</v>
      </c>
      <c r="E19" t="s">
        <v>3620</v>
      </c>
      <c r="G19">
        <v>5</v>
      </c>
      <c r="H19">
        <v>5</v>
      </c>
      <c r="I19" s="2">
        <v>45783</v>
      </c>
      <c r="J19">
        <v>-80</v>
      </c>
      <c r="K19">
        <v>2215</v>
      </c>
      <c r="L19">
        <v>1915</v>
      </c>
      <c r="N19">
        <v>10</v>
      </c>
      <c r="O19">
        <v>0</v>
      </c>
      <c r="P19">
        <v>25</v>
      </c>
      <c r="Q19">
        <v>10</v>
      </c>
    </row>
    <row r="20" spans="1:17" x14ac:dyDescent="0.25">
      <c r="A20" t="s">
        <v>1998</v>
      </c>
      <c r="B20" t="s">
        <v>290</v>
      </c>
      <c r="C20" t="s">
        <v>1695</v>
      </c>
      <c r="D20" t="s">
        <v>3571</v>
      </c>
      <c r="E20" t="s">
        <v>3620</v>
      </c>
      <c r="G20">
        <v>5</v>
      </c>
      <c r="H20">
        <v>5</v>
      </c>
      <c r="I20" s="2">
        <v>45783</v>
      </c>
      <c r="J20">
        <v>760</v>
      </c>
      <c r="K20">
        <v>8670</v>
      </c>
      <c r="L20">
        <v>3675</v>
      </c>
      <c r="N20">
        <v>30</v>
      </c>
      <c r="O20">
        <v>25</v>
      </c>
      <c r="P20">
        <v>45</v>
      </c>
      <c r="Q20">
        <v>15</v>
      </c>
    </row>
    <row r="21" spans="1:17" x14ac:dyDescent="0.25">
      <c r="A21" t="s">
        <v>1998</v>
      </c>
      <c r="B21" t="s">
        <v>331</v>
      </c>
      <c r="C21" t="s">
        <v>1691</v>
      </c>
      <c r="D21" t="s">
        <v>3570</v>
      </c>
      <c r="E21" t="s">
        <v>3620</v>
      </c>
      <c r="G21">
        <v>5</v>
      </c>
      <c r="H21">
        <v>5</v>
      </c>
      <c r="I21" s="2">
        <v>45783</v>
      </c>
      <c r="J21">
        <v>-130</v>
      </c>
      <c r="K21">
        <v>2235</v>
      </c>
      <c r="L21">
        <v>1940</v>
      </c>
      <c r="N21">
        <v>10</v>
      </c>
      <c r="O21">
        <v>10</v>
      </c>
      <c r="P21">
        <v>25</v>
      </c>
      <c r="Q21">
        <v>10</v>
      </c>
    </row>
    <row r="22" spans="1:17" x14ac:dyDescent="0.25">
      <c r="A22" t="s">
        <v>1998</v>
      </c>
      <c r="B22" t="s">
        <v>359</v>
      </c>
      <c r="C22" t="s">
        <v>3509</v>
      </c>
      <c r="D22" t="s">
        <v>3188</v>
      </c>
      <c r="E22" t="s">
        <v>3618</v>
      </c>
      <c r="G22">
        <v>1220</v>
      </c>
      <c r="H22">
        <v>1220</v>
      </c>
      <c r="I22" s="2">
        <v>45784</v>
      </c>
      <c r="J22">
        <v>1080</v>
      </c>
      <c r="K22">
        <v>2900</v>
      </c>
      <c r="L22">
        <v>5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1998</v>
      </c>
      <c r="B23" t="s">
        <v>361</v>
      </c>
      <c r="C23" t="s">
        <v>1692</v>
      </c>
      <c r="D23" t="s">
        <v>3568</v>
      </c>
      <c r="E23" t="s">
        <v>3620</v>
      </c>
      <c r="G23">
        <v>5</v>
      </c>
      <c r="H23">
        <v>5</v>
      </c>
      <c r="I23" s="2">
        <v>45783</v>
      </c>
      <c r="J23">
        <v>20</v>
      </c>
      <c r="K23">
        <v>2215</v>
      </c>
      <c r="L23">
        <v>1915</v>
      </c>
      <c r="N23">
        <v>10</v>
      </c>
      <c r="O23">
        <v>10</v>
      </c>
      <c r="P23">
        <v>25</v>
      </c>
      <c r="Q23">
        <v>10</v>
      </c>
    </row>
    <row r="24" spans="1:17" x14ac:dyDescent="0.25">
      <c r="A24" t="s">
        <v>1998</v>
      </c>
      <c r="B24" t="s">
        <v>362</v>
      </c>
      <c r="C24" t="s">
        <v>1693</v>
      </c>
      <c r="D24" t="s">
        <v>3569</v>
      </c>
      <c r="E24" t="s">
        <v>3620</v>
      </c>
      <c r="G24">
        <v>5</v>
      </c>
      <c r="H24">
        <v>5</v>
      </c>
      <c r="I24" s="2">
        <v>45783</v>
      </c>
      <c r="J24">
        <v>-175</v>
      </c>
      <c r="K24">
        <v>2075</v>
      </c>
      <c r="L24">
        <v>1810</v>
      </c>
      <c r="N24">
        <v>10</v>
      </c>
      <c r="O24">
        <v>5</v>
      </c>
      <c r="P24">
        <v>325</v>
      </c>
      <c r="Q24">
        <v>10</v>
      </c>
    </row>
    <row r="25" spans="1:17" x14ac:dyDescent="0.25">
      <c r="A25" t="s">
        <v>1998</v>
      </c>
      <c r="B25" t="s">
        <v>363</v>
      </c>
      <c r="C25" t="s">
        <v>1694</v>
      </c>
      <c r="D25" t="s">
        <v>3569</v>
      </c>
      <c r="E25" t="s">
        <v>3620</v>
      </c>
      <c r="G25">
        <v>5</v>
      </c>
      <c r="H25">
        <v>5</v>
      </c>
      <c r="I25" s="2">
        <v>45783</v>
      </c>
      <c r="J25">
        <v>-215</v>
      </c>
      <c r="K25">
        <v>2215</v>
      </c>
      <c r="L25">
        <v>1915</v>
      </c>
      <c r="N25">
        <v>10</v>
      </c>
      <c r="O25">
        <v>5</v>
      </c>
      <c r="P25">
        <v>25</v>
      </c>
      <c r="Q25">
        <v>10</v>
      </c>
    </row>
    <row r="26" spans="1:17" x14ac:dyDescent="0.25">
      <c r="A26" t="s">
        <v>1998</v>
      </c>
      <c r="B26" t="s">
        <v>364</v>
      </c>
      <c r="C26" t="s">
        <v>1695</v>
      </c>
      <c r="D26" t="s">
        <v>3571</v>
      </c>
      <c r="E26" t="s">
        <v>3620</v>
      </c>
      <c r="G26">
        <v>5</v>
      </c>
      <c r="H26">
        <v>5</v>
      </c>
      <c r="I26" s="2">
        <v>45783</v>
      </c>
      <c r="J26">
        <v>530</v>
      </c>
      <c r="K26">
        <v>8665</v>
      </c>
      <c r="L26">
        <v>3675</v>
      </c>
      <c r="N26">
        <v>30</v>
      </c>
      <c r="O26">
        <v>30</v>
      </c>
      <c r="P26">
        <v>45</v>
      </c>
      <c r="Q26">
        <v>15</v>
      </c>
    </row>
    <row r="27" spans="1:17" x14ac:dyDescent="0.25">
      <c r="A27" t="s">
        <v>1998</v>
      </c>
      <c r="B27" t="s">
        <v>369</v>
      </c>
      <c r="C27" t="s">
        <v>3510</v>
      </c>
      <c r="D27" t="s">
        <v>3572</v>
      </c>
      <c r="E27" t="s">
        <v>3618</v>
      </c>
      <c r="G27">
        <v>100</v>
      </c>
      <c r="H27">
        <v>100</v>
      </c>
      <c r="I27" s="2">
        <v>45782</v>
      </c>
      <c r="J27">
        <v>210</v>
      </c>
      <c r="K27">
        <v>2025</v>
      </c>
      <c r="L27">
        <v>15</v>
      </c>
      <c r="N27">
        <v>15</v>
      </c>
      <c r="O27">
        <v>5</v>
      </c>
      <c r="P27">
        <v>9630</v>
      </c>
      <c r="Q27">
        <v>2265</v>
      </c>
    </row>
    <row r="28" spans="1:17" x14ac:dyDescent="0.25">
      <c r="A28" t="s">
        <v>1998</v>
      </c>
      <c r="B28" t="s">
        <v>372</v>
      </c>
      <c r="C28" t="s">
        <v>1604</v>
      </c>
      <c r="D28" t="s">
        <v>3330</v>
      </c>
      <c r="E28" t="s">
        <v>3618</v>
      </c>
      <c r="G28">
        <v>300</v>
      </c>
      <c r="H28">
        <v>300</v>
      </c>
      <c r="I28" s="2">
        <v>45782</v>
      </c>
      <c r="J28">
        <v>-155</v>
      </c>
      <c r="K28">
        <v>75</v>
      </c>
      <c r="L28">
        <v>5</v>
      </c>
      <c r="N28">
        <v>10</v>
      </c>
      <c r="O28">
        <v>0</v>
      </c>
      <c r="P28">
        <v>9155</v>
      </c>
      <c r="Q28">
        <v>5</v>
      </c>
    </row>
    <row r="29" spans="1:17" x14ac:dyDescent="0.25">
      <c r="A29" t="s">
        <v>1998</v>
      </c>
      <c r="B29" t="s">
        <v>408</v>
      </c>
      <c r="C29" t="s">
        <v>1817</v>
      </c>
      <c r="D29" t="s">
        <v>3573</v>
      </c>
      <c r="E29" t="s">
        <v>3621</v>
      </c>
      <c r="G29">
        <v>5</v>
      </c>
      <c r="H29">
        <v>5</v>
      </c>
      <c r="I29" s="2">
        <v>45787</v>
      </c>
      <c r="J29">
        <v>550</v>
      </c>
      <c r="K29">
        <v>10965</v>
      </c>
      <c r="L29">
        <v>10390</v>
      </c>
      <c r="N29">
        <v>35</v>
      </c>
      <c r="O29">
        <v>30</v>
      </c>
      <c r="P29">
        <v>25</v>
      </c>
      <c r="Q29">
        <v>20</v>
      </c>
    </row>
    <row r="30" spans="1:17" x14ac:dyDescent="0.25">
      <c r="A30" t="s">
        <v>1998</v>
      </c>
      <c r="B30" t="s">
        <v>409</v>
      </c>
      <c r="C30" t="s">
        <v>1817</v>
      </c>
      <c r="D30" t="s">
        <v>3573</v>
      </c>
      <c r="E30" t="s">
        <v>3621</v>
      </c>
      <c r="G30">
        <v>5</v>
      </c>
      <c r="H30">
        <v>5</v>
      </c>
      <c r="I30" s="2">
        <v>45787</v>
      </c>
      <c r="J30">
        <v>680</v>
      </c>
      <c r="K30">
        <v>10965</v>
      </c>
      <c r="L30">
        <v>10390</v>
      </c>
      <c r="N30">
        <v>35</v>
      </c>
      <c r="O30">
        <v>30</v>
      </c>
      <c r="P30">
        <v>25</v>
      </c>
      <c r="Q30">
        <v>20</v>
      </c>
    </row>
    <row r="31" spans="1:17" x14ac:dyDescent="0.25">
      <c r="A31" t="s">
        <v>1998</v>
      </c>
      <c r="B31" t="s">
        <v>410</v>
      </c>
      <c r="C31" t="s">
        <v>1817</v>
      </c>
      <c r="D31" t="s">
        <v>3573</v>
      </c>
      <c r="E31" t="s">
        <v>3621</v>
      </c>
      <c r="G31">
        <v>5</v>
      </c>
      <c r="H31">
        <v>5</v>
      </c>
      <c r="I31" s="2">
        <v>45772</v>
      </c>
      <c r="J31">
        <v>-85</v>
      </c>
      <c r="K31">
        <v>10965</v>
      </c>
      <c r="L31">
        <v>10390</v>
      </c>
      <c r="N31">
        <v>25</v>
      </c>
      <c r="O31">
        <v>25</v>
      </c>
      <c r="P31">
        <v>25</v>
      </c>
      <c r="Q31">
        <v>20</v>
      </c>
    </row>
    <row r="32" spans="1:17" x14ac:dyDescent="0.25">
      <c r="A32" t="s">
        <v>1998</v>
      </c>
      <c r="B32" t="s">
        <v>428</v>
      </c>
      <c r="C32" t="s">
        <v>3511</v>
      </c>
      <c r="D32" t="s">
        <v>3574</v>
      </c>
      <c r="E32" t="s">
        <v>3618</v>
      </c>
      <c r="G32">
        <v>90</v>
      </c>
      <c r="H32">
        <v>90</v>
      </c>
      <c r="I32" s="2">
        <v>45775</v>
      </c>
      <c r="J32">
        <v>-75</v>
      </c>
      <c r="K32">
        <v>2775</v>
      </c>
      <c r="L32">
        <v>30</v>
      </c>
      <c r="N32">
        <v>25</v>
      </c>
      <c r="O32">
        <v>0</v>
      </c>
      <c r="P32">
        <v>27910</v>
      </c>
      <c r="Q32">
        <v>10</v>
      </c>
    </row>
    <row r="33" spans="1:17" x14ac:dyDescent="0.25">
      <c r="A33" t="s">
        <v>1998</v>
      </c>
      <c r="B33" t="s">
        <v>429</v>
      </c>
      <c r="C33" t="s">
        <v>3512</v>
      </c>
      <c r="D33" t="s">
        <v>3575</v>
      </c>
      <c r="E33" t="s">
        <v>3618</v>
      </c>
      <c r="G33">
        <v>130</v>
      </c>
      <c r="H33">
        <v>130</v>
      </c>
      <c r="I33" s="2">
        <v>45782</v>
      </c>
      <c r="J33">
        <v>245</v>
      </c>
      <c r="K33">
        <v>55</v>
      </c>
      <c r="L33">
        <v>5</v>
      </c>
      <c r="N33">
        <v>15</v>
      </c>
      <c r="O33">
        <v>10</v>
      </c>
      <c r="P33">
        <v>26245</v>
      </c>
      <c r="Q33">
        <v>21125</v>
      </c>
    </row>
    <row r="34" spans="1:17" x14ac:dyDescent="0.25">
      <c r="A34" t="s">
        <v>1998</v>
      </c>
      <c r="B34" t="s">
        <v>436</v>
      </c>
      <c r="C34" t="s">
        <v>3513</v>
      </c>
      <c r="D34" t="s">
        <v>3576</v>
      </c>
      <c r="E34" t="s">
        <v>3618</v>
      </c>
      <c r="G34">
        <v>400</v>
      </c>
      <c r="H34">
        <v>400</v>
      </c>
      <c r="I34" s="2">
        <v>45782</v>
      </c>
      <c r="J34">
        <v>-410</v>
      </c>
      <c r="K34">
        <v>9780</v>
      </c>
      <c r="L34">
        <v>20</v>
      </c>
      <c r="N34">
        <v>30</v>
      </c>
      <c r="O34">
        <v>25</v>
      </c>
      <c r="P34">
        <v>27505</v>
      </c>
      <c r="Q34">
        <v>6105</v>
      </c>
    </row>
    <row r="35" spans="1:17" x14ac:dyDescent="0.25">
      <c r="A35" t="s">
        <v>1998</v>
      </c>
      <c r="B35" t="s">
        <v>457</v>
      </c>
      <c r="C35" t="s">
        <v>3514</v>
      </c>
      <c r="D35" t="s">
        <v>3577</v>
      </c>
      <c r="E35" t="s">
        <v>3618</v>
      </c>
      <c r="G35">
        <v>500</v>
      </c>
      <c r="H35">
        <v>500</v>
      </c>
      <c r="I35" s="2">
        <v>45782</v>
      </c>
      <c r="J35">
        <v>-180</v>
      </c>
      <c r="K35">
        <v>5335</v>
      </c>
      <c r="L35">
        <v>10</v>
      </c>
      <c r="N35">
        <v>20</v>
      </c>
      <c r="O35">
        <v>10</v>
      </c>
      <c r="P35">
        <v>124005</v>
      </c>
      <c r="Q35">
        <v>22505</v>
      </c>
    </row>
    <row r="36" spans="1:17" x14ac:dyDescent="0.25">
      <c r="A36" t="s">
        <v>1998</v>
      </c>
      <c r="B36" t="s">
        <v>161</v>
      </c>
      <c r="C36" t="s">
        <v>3515</v>
      </c>
      <c r="D36" t="s">
        <v>3578</v>
      </c>
      <c r="E36" t="s">
        <v>3618</v>
      </c>
      <c r="G36">
        <v>10</v>
      </c>
      <c r="H36">
        <v>0</v>
      </c>
      <c r="I36" s="2">
        <v>45775</v>
      </c>
      <c r="J36">
        <v>150</v>
      </c>
      <c r="K36">
        <v>70</v>
      </c>
      <c r="L36">
        <v>35</v>
      </c>
      <c r="N36">
        <v>5</v>
      </c>
      <c r="O36">
        <v>0</v>
      </c>
      <c r="P36">
        <v>1000</v>
      </c>
      <c r="Q36">
        <v>0</v>
      </c>
    </row>
    <row r="37" spans="1:17" x14ac:dyDescent="0.25">
      <c r="A37" t="s">
        <v>1998</v>
      </c>
      <c r="B37" t="s">
        <v>466</v>
      </c>
      <c r="C37" t="s">
        <v>1575</v>
      </c>
      <c r="D37" t="s">
        <v>3305</v>
      </c>
      <c r="E37" t="s">
        <v>3622</v>
      </c>
      <c r="G37">
        <v>15</v>
      </c>
      <c r="H37">
        <v>0</v>
      </c>
      <c r="I37" s="2">
        <v>45782</v>
      </c>
      <c r="J37">
        <v>535</v>
      </c>
      <c r="K37">
        <v>40</v>
      </c>
      <c r="L37">
        <v>5</v>
      </c>
      <c r="N37">
        <v>15</v>
      </c>
      <c r="O37">
        <v>10</v>
      </c>
      <c r="P37">
        <v>9965</v>
      </c>
      <c r="Q37">
        <v>15990</v>
      </c>
    </row>
    <row r="38" spans="1:17" x14ac:dyDescent="0.25">
      <c r="A38" t="s">
        <v>1998</v>
      </c>
      <c r="B38" t="s">
        <v>467</v>
      </c>
      <c r="C38" t="s">
        <v>1700</v>
      </c>
      <c r="D38" t="s">
        <v>3579</v>
      </c>
      <c r="E38" t="s">
        <v>3619</v>
      </c>
      <c r="G38">
        <v>75</v>
      </c>
      <c r="H38">
        <v>75</v>
      </c>
      <c r="I38" s="2">
        <v>45783</v>
      </c>
      <c r="J38">
        <v>10</v>
      </c>
      <c r="K38">
        <v>1340</v>
      </c>
      <c r="L38">
        <v>20</v>
      </c>
      <c r="N38">
        <v>5</v>
      </c>
      <c r="O38">
        <v>5</v>
      </c>
      <c r="P38">
        <v>15570</v>
      </c>
      <c r="Q38">
        <v>15570</v>
      </c>
    </row>
    <row r="39" spans="1:17" x14ac:dyDescent="0.25">
      <c r="A39" t="s">
        <v>1998</v>
      </c>
      <c r="B39" t="s">
        <v>479</v>
      </c>
      <c r="C39" t="s">
        <v>3516</v>
      </c>
      <c r="D39" t="s">
        <v>3580</v>
      </c>
      <c r="E39" t="s">
        <v>3618</v>
      </c>
      <c r="G39">
        <v>0</v>
      </c>
      <c r="H39">
        <v>0</v>
      </c>
      <c r="I39" s="2">
        <v>45784</v>
      </c>
      <c r="J39">
        <v>285</v>
      </c>
      <c r="K39">
        <v>5</v>
      </c>
      <c r="L39">
        <v>170</v>
      </c>
      <c r="N39">
        <v>5</v>
      </c>
      <c r="O39">
        <v>0</v>
      </c>
      <c r="P39">
        <v>5</v>
      </c>
      <c r="Q39">
        <v>5</v>
      </c>
    </row>
    <row r="40" spans="1:17" x14ac:dyDescent="0.25">
      <c r="A40" t="s">
        <v>1998</v>
      </c>
      <c r="B40" t="s">
        <v>499</v>
      </c>
      <c r="C40" t="s">
        <v>3517</v>
      </c>
      <c r="D40" t="s">
        <v>3581</v>
      </c>
      <c r="E40" t="s">
        <v>3618</v>
      </c>
      <c r="G40">
        <v>285</v>
      </c>
      <c r="H40">
        <v>285</v>
      </c>
      <c r="I40" s="2">
        <v>45789</v>
      </c>
      <c r="J40">
        <v>-340</v>
      </c>
      <c r="K40">
        <v>705</v>
      </c>
      <c r="L40">
        <v>5</v>
      </c>
      <c r="N40">
        <v>0</v>
      </c>
      <c r="O40">
        <v>0</v>
      </c>
      <c r="P40">
        <v>56405</v>
      </c>
      <c r="Q40">
        <v>5</v>
      </c>
    </row>
    <row r="41" spans="1:17" x14ac:dyDescent="0.25">
      <c r="A41" t="s">
        <v>1998</v>
      </c>
      <c r="B41" t="s">
        <v>157</v>
      </c>
      <c r="C41" t="s">
        <v>1100</v>
      </c>
      <c r="D41" t="s">
        <v>2907</v>
      </c>
      <c r="E41" t="s">
        <v>3618</v>
      </c>
      <c r="G41">
        <v>5</v>
      </c>
      <c r="H41">
        <v>5</v>
      </c>
      <c r="I41" s="2">
        <v>45768</v>
      </c>
      <c r="J41">
        <v>55</v>
      </c>
      <c r="K41">
        <v>120</v>
      </c>
      <c r="L41">
        <v>80</v>
      </c>
      <c r="N41">
        <v>5</v>
      </c>
      <c r="O41">
        <v>0</v>
      </c>
      <c r="P41">
        <v>15</v>
      </c>
      <c r="Q41">
        <v>5</v>
      </c>
    </row>
    <row r="42" spans="1:17" x14ac:dyDescent="0.25">
      <c r="A42" t="s">
        <v>1998</v>
      </c>
      <c r="B42" t="s">
        <v>516</v>
      </c>
      <c r="C42" t="s">
        <v>3518</v>
      </c>
      <c r="D42" t="s">
        <v>3582</v>
      </c>
      <c r="E42" t="s">
        <v>3618</v>
      </c>
      <c r="G42">
        <v>250</v>
      </c>
      <c r="H42">
        <v>250</v>
      </c>
      <c r="I42" s="2">
        <v>45784</v>
      </c>
      <c r="J42">
        <v>55</v>
      </c>
      <c r="K42">
        <v>2305</v>
      </c>
      <c r="L42">
        <v>10</v>
      </c>
      <c r="N42">
        <v>10</v>
      </c>
      <c r="O42">
        <v>10</v>
      </c>
      <c r="P42">
        <v>8005</v>
      </c>
      <c r="Q42">
        <v>8005</v>
      </c>
    </row>
    <row r="43" spans="1:17" x14ac:dyDescent="0.25">
      <c r="A43" t="s">
        <v>1998</v>
      </c>
      <c r="B43" t="s">
        <v>524</v>
      </c>
      <c r="C43" t="s">
        <v>3519</v>
      </c>
      <c r="D43" t="s">
        <v>3583</v>
      </c>
      <c r="E43" t="s">
        <v>3618</v>
      </c>
      <c r="G43">
        <v>50</v>
      </c>
      <c r="H43">
        <v>50</v>
      </c>
      <c r="I43" s="2">
        <v>45782</v>
      </c>
      <c r="J43">
        <v>155</v>
      </c>
      <c r="K43">
        <v>1630</v>
      </c>
      <c r="L43">
        <v>35</v>
      </c>
      <c r="N43">
        <v>10</v>
      </c>
      <c r="O43">
        <v>10</v>
      </c>
      <c r="P43">
        <v>785</v>
      </c>
      <c r="Q43">
        <v>785</v>
      </c>
    </row>
    <row r="44" spans="1:17" x14ac:dyDescent="0.25">
      <c r="A44" t="s">
        <v>1998</v>
      </c>
      <c r="B44" t="s">
        <v>527</v>
      </c>
      <c r="C44" t="s">
        <v>3520</v>
      </c>
      <c r="D44" t="s">
        <v>3584</v>
      </c>
      <c r="E44" t="s">
        <v>3618</v>
      </c>
      <c r="G44">
        <v>1200</v>
      </c>
      <c r="H44">
        <v>1200</v>
      </c>
      <c r="I44" s="2">
        <v>45789</v>
      </c>
      <c r="J44">
        <v>-125</v>
      </c>
      <c r="K44">
        <v>6990</v>
      </c>
      <c r="L44">
        <v>5</v>
      </c>
      <c r="N44">
        <v>20</v>
      </c>
      <c r="O44">
        <v>15</v>
      </c>
      <c r="P44">
        <v>600005</v>
      </c>
      <c r="Q44">
        <v>120005</v>
      </c>
    </row>
    <row r="45" spans="1:17" x14ac:dyDescent="0.25">
      <c r="A45" t="s">
        <v>1998</v>
      </c>
      <c r="B45" t="s">
        <v>155</v>
      </c>
      <c r="C45" t="s">
        <v>1098</v>
      </c>
      <c r="D45" t="s">
        <v>2909</v>
      </c>
      <c r="E45" t="s">
        <v>3618</v>
      </c>
      <c r="G45">
        <v>130</v>
      </c>
      <c r="H45">
        <v>130</v>
      </c>
      <c r="I45" s="2">
        <v>45768</v>
      </c>
      <c r="J45">
        <v>275</v>
      </c>
      <c r="K45">
        <v>27870</v>
      </c>
      <c r="L45">
        <v>210</v>
      </c>
      <c r="N45">
        <v>10</v>
      </c>
      <c r="O45">
        <v>0</v>
      </c>
      <c r="P45">
        <v>0</v>
      </c>
      <c r="Q45">
        <v>0</v>
      </c>
    </row>
    <row r="46" spans="1:17" x14ac:dyDescent="0.25">
      <c r="A46" t="s">
        <v>1998</v>
      </c>
      <c r="B46" t="s">
        <v>551</v>
      </c>
      <c r="C46" t="s">
        <v>1653</v>
      </c>
      <c r="D46" t="s">
        <v>3585</v>
      </c>
      <c r="E46" t="s">
        <v>3620</v>
      </c>
      <c r="G46">
        <v>120</v>
      </c>
      <c r="H46">
        <v>120</v>
      </c>
      <c r="I46" s="2">
        <v>45783</v>
      </c>
      <c r="J46">
        <v>380</v>
      </c>
      <c r="K46">
        <v>18490</v>
      </c>
      <c r="L46">
        <v>140</v>
      </c>
      <c r="N46">
        <v>10</v>
      </c>
      <c r="O46">
        <v>15</v>
      </c>
      <c r="P46">
        <v>3640</v>
      </c>
      <c r="Q46">
        <v>3640</v>
      </c>
    </row>
    <row r="47" spans="1:17" x14ac:dyDescent="0.25">
      <c r="A47" t="s">
        <v>1998</v>
      </c>
      <c r="B47" t="s">
        <v>571</v>
      </c>
      <c r="C47" t="s">
        <v>1481</v>
      </c>
      <c r="D47" t="s">
        <v>3227</v>
      </c>
      <c r="E47" t="s">
        <v>3622</v>
      </c>
      <c r="G47">
        <v>65</v>
      </c>
      <c r="H47">
        <v>65</v>
      </c>
      <c r="I47" s="2">
        <v>45785</v>
      </c>
      <c r="J47">
        <v>600</v>
      </c>
      <c r="K47">
        <v>330</v>
      </c>
      <c r="L47">
        <v>5</v>
      </c>
      <c r="N47">
        <v>20</v>
      </c>
      <c r="O47">
        <v>15</v>
      </c>
      <c r="P47">
        <v>39560</v>
      </c>
      <c r="Q47">
        <v>65930</v>
      </c>
    </row>
    <row r="48" spans="1:17" x14ac:dyDescent="0.25">
      <c r="A48" t="s">
        <v>1998</v>
      </c>
      <c r="B48" t="s">
        <v>584</v>
      </c>
      <c r="C48" t="s">
        <v>3521</v>
      </c>
      <c r="D48" t="s">
        <v>3586</v>
      </c>
      <c r="E48" t="s">
        <v>3618</v>
      </c>
      <c r="G48">
        <v>300</v>
      </c>
      <c r="H48">
        <v>300</v>
      </c>
      <c r="I48" s="2">
        <v>45782</v>
      </c>
      <c r="J48">
        <v>-665</v>
      </c>
      <c r="K48">
        <v>3315</v>
      </c>
      <c r="L48">
        <v>10</v>
      </c>
      <c r="N48">
        <v>10</v>
      </c>
      <c r="O48">
        <v>5</v>
      </c>
      <c r="P48">
        <v>65195</v>
      </c>
      <c r="Q48">
        <v>6285</v>
      </c>
    </row>
    <row r="49" spans="1:17" x14ac:dyDescent="0.25">
      <c r="A49" t="s">
        <v>1998</v>
      </c>
      <c r="B49" t="s">
        <v>587</v>
      </c>
      <c r="C49" t="s">
        <v>1345</v>
      </c>
      <c r="D49" t="s">
        <v>3108</v>
      </c>
      <c r="E49" t="s">
        <v>3622</v>
      </c>
      <c r="G49">
        <v>20</v>
      </c>
      <c r="H49">
        <v>30</v>
      </c>
      <c r="I49" s="2">
        <v>45782</v>
      </c>
      <c r="J49">
        <v>-90</v>
      </c>
      <c r="K49">
        <v>150</v>
      </c>
      <c r="L49">
        <v>10</v>
      </c>
      <c r="N49">
        <v>10</v>
      </c>
      <c r="O49">
        <v>5</v>
      </c>
      <c r="P49">
        <v>555</v>
      </c>
      <c r="Q49">
        <v>505</v>
      </c>
    </row>
    <row r="50" spans="1:17" x14ac:dyDescent="0.25">
      <c r="A50" t="s">
        <v>1998</v>
      </c>
      <c r="B50" t="s">
        <v>589</v>
      </c>
      <c r="C50" t="s">
        <v>3522</v>
      </c>
      <c r="D50" t="s">
        <v>3577</v>
      </c>
      <c r="E50" t="s">
        <v>3618</v>
      </c>
      <c r="G50">
        <v>500</v>
      </c>
      <c r="H50">
        <v>500</v>
      </c>
      <c r="I50" s="2">
        <v>45782</v>
      </c>
      <c r="J50">
        <v>-880</v>
      </c>
      <c r="K50">
        <v>3215</v>
      </c>
      <c r="L50">
        <v>5</v>
      </c>
      <c r="N50">
        <v>10</v>
      </c>
      <c r="O50">
        <v>10</v>
      </c>
      <c r="P50">
        <v>323505</v>
      </c>
      <c r="Q50">
        <v>272505</v>
      </c>
    </row>
    <row r="51" spans="1:17" x14ac:dyDescent="0.25">
      <c r="A51" t="s">
        <v>1998</v>
      </c>
      <c r="B51" t="s">
        <v>590</v>
      </c>
      <c r="C51" t="s">
        <v>3523</v>
      </c>
      <c r="D51" t="s">
        <v>3586</v>
      </c>
      <c r="E51" t="s">
        <v>3618</v>
      </c>
      <c r="G51">
        <v>100</v>
      </c>
      <c r="H51">
        <v>100</v>
      </c>
      <c r="I51" s="2">
        <v>45782</v>
      </c>
      <c r="J51">
        <v>-30</v>
      </c>
      <c r="K51">
        <v>2635</v>
      </c>
      <c r="L51">
        <v>15</v>
      </c>
      <c r="N51">
        <v>5</v>
      </c>
      <c r="O51">
        <v>5</v>
      </c>
      <c r="P51">
        <v>24450</v>
      </c>
      <c r="Q51">
        <v>2340</v>
      </c>
    </row>
    <row r="52" spans="1:17" x14ac:dyDescent="0.25">
      <c r="A52" t="s">
        <v>1998</v>
      </c>
      <c r="B52" t="s">
        <v>592</v>
      </c>
      <c r="C52" t="s">
        <v>3524</v>
      </c>
      <c r="D52" t="s">
        <v>3587</v>
      </c>
      <c r="E52" t="s">
        <v>3618</v>
      </c>
      <c r="G52">
        <v>250</v>
      </c>
      <c r="H52">
        <v>250</v>
      </c>
      <c r="I52" s="2">
        <v>45782</v>
      </c>
      <c r="J52">
        <v>-210</v>
      </c>
      <c r="K52">
        <v>1245</v>
      </c>
      <c r="L52">
        <v>5</v>
      </c>
      <c r="N52">
        <v>15</v>
      </c>
      <c r="O52">
        <v>10</v>
      </c>
      <c r="P52">
        <v>212505</v>
      </c>
      <c r="Q52">
        <v>187505</v>
      </c>
    </row>
    <row r="53" spans="1:17" x14ac:dyDescent="0.25">
      <c r="A53" t="s">
        <v>1998</v>
      </c>
      <c r="B53" t="s">
        <v>593</v>
      </c>
      <c r="C53" t="s">
        <v>3525</v>
      </c>
      <c r="D53" t="s">
        <v>3588</v>
      </c>
      <c r="E53" t="s">
        <v>3618</v>
      </c>
      <c r="G53">
        <v>145</v>
      </c>
      <c r="H53">
        <v>145</v>
      </c>
      <c r="I53" s="2">
        <v>45785</v>
      </c>
      <c r="J53">
        <v>-2190</v>
      </c>
      <c r="K53">
        <v>390</v>
      </c>
      <c r="L53">
        <v>5</v>
      </c>
      <c r="N53">
        <v>0</v>
      </c>
      <c r="O53">
        <v>0</v>
      </c>
      <c r="P53">
        <v>28205</v>
      </c>
      <c r="Q53">
        <v>5</v>
      </c>
    </row>
    <row r="54" spans="1:17" x14ac:dyDescent="0.25">
      <c r="A54" t="s">
        <v>1998</v>
      </c>
      <c r="B54" t="s">
        <v>595</v>
      </c>
      <c r="C54" t="s">
        <v>3526</v>
      </c>
      <c r="D54" t="s">
        <v>3589</v>
      </c>
      <c r="E54" t="s">
        <v>3620</v>
      </c>
      <c r="G54">
        <v>5</v>
      </c>
      <c r="H54">
        <v>5</v>
      </c>
      <c r="I54" s="2">
        <v>45783</v>
      </c>
      <c r="J54">
        <v>-220</v>
      </c>
      <c r="K54">
        <v>20400</v>
      </c>
      <c r="L54">
        <v>14915</v>
      </c>
      <c r="N54">
        <v>5</v>
      </c>
      <c r="O54">
        <v>0</v>
      </c>
      <c r="P54">
        <v>5</v>
      </c>
      <c r="Q54">
        <v>0</v>
      </c>
    </row>
    <row r="55" spans="1:17" x14ac:dyDescent="0.25">
      <c r="A55" t="s">
        <v>1998</v>
      </c>
      <c r="B55" t="s">
        <v>615</v>
      </c>
      <c r="C55" t="s">
        <v>1104</v>
      </c>
      <c r="D55" t="s">
        <v>2914</v>
      </c>
      <c r="E55" t="s">
        <v>3618</v>
      </c>
      <c r="G55">
        <v>500</v>
      </c>
      <c r="H55">
        <v>500</v>
      </c>
      <c r="I55" s="2">
        <v>45782</v>
      </c>
      <c r="J55">
        <v>-900</v>
      </c>
      <c r="K55">
        <v>4045</v>
      </c>
      <c r="L55">
        <v>10</v>
      </c>
      <c r="N55">
        <v>20</v>
      </c>
      <c r="O55">
        <v>10</v>
      </c>
      <c r="P55">
        <v>472930</v>
      </c>
      <c r="Q55">
        <v>170310</v>
      </c>
    </row>
    <row r="56" spans="1:17" x14ac:dyDescent="0.25">
      <c r="A56" t="s">
        <v>1998</v>
      </c>
      <c r="B56" t="s">
        <v>616</v>
      </c>
      <c r="C56" t="s">
        <v>3527</v>
      </c>
      <c r="D56" t="s">
        <v>3590</v>
      </c>
      <c r="E56" t="s">
        <v>3618</v>
      </c>
      <c r="G56">
        <v>60</v>
      </c>
      <c r="H56">
        <v>60</v>
      </c>
      <c r="I56" s="2">
        <v>45782</v>
      </c>
      <c r="J56">
        <v>90</v>
      </c>
      <c r="K56">
        <v>245</v>
      </c>
      <c r="L56">
        <v>5</v>
      </c>
      <c r="N56">
        <v>0</v>
      </c>
      <c r="O56">
        <v>0</v>
      </c>
      <c r="P56">
        <v>5</v>
      </c>
      <c r="Q56">
        <v>5</v>
      </c>
    </row>
    <row r="57" spans="1:17" x14ac:dyDescent="0.25">
      <c r="A57" t="s">
        <v>1998</v>
      </c>
      <c r="B57" t="s">
        <v>617</v>
      </c>
      <c r="C57" t="s">
        <v>3528</v>
      </c>
      <c r="D57" t="s">
        <v>3591</v>
      </c>
      <c r="E57" t="s">
        <v>3618</v>
      </c>
      <c r="G57">
        <v>500</v>
      </c>
      <c r="H57">
        <v>500</v>
      </c>
      <c r="I57" s="2">
        <v>45782</v>
      </c>
      <c r="J57">
        <v>-605</v>
      </c>
      <c r="K57">
        <v>2960</v>
      </c>
      <c r="L57">
        <v>5</v>
      </c>
      <c r="N57">
        <v>15</v>
      </c>
      <c r="O57">
        <v>10</v>
      </c>
      <c r="P57">
        <v>323505</v>
      </c>
      <c r="Q57">
        <v>272505</v>
      </c>
    </row>
    <row r="58" spans="1:17" x14ac:dyDescent="0.25">
      <c r="A58" t="s">
        <v>1998</v>
      </c>
      <c r="B58" t="s">
        <v>618</v>
      </c>
      <c r="C58" t="s">
        <v>3528</v>
      </c>
      <c r="D58" t="s">
        <v>3591</v>
      </c>
      <c r="E58" t="s">
        <v>3618</v>
      </c>
      <c r="G58">
        <v>500</v>
      </c>
      <c r="H58">
        <v>500</v>
      </c>
      <c r="I58" s="2">
        <v>45782</v>
      </c>
      <c r="J58">
        <v>-805</v>
      </c>
      <c r="K58">
        <v>2930</v>
      </c>
      <c r="L58">
        <v>5</v>
      </c>
      <c r="N58">
        <v>10</v>
      </c>
      <c r="O58">
        <v>5</v>
      </c>
      <c r="P58">
        <v>323505</v>
      </c>
      <c r="Q58">
        <v>272505</v>
      </c>
    </row>
    <row r="59" spans="1:17" x14ac:dyDescent="0.25">
      <c r="A59" t="s">
        <v>1998</v>
      </c>
      <c r="B59" t="s">
        <v>619</v>
      </c>
      <c r="C59" t="s">
        <v>1820</v>
      </c>
      <c r="D59" t="s">
        <v>3592</v>
      </c>
      <c r="E59" t="s">
        <v>3621</v>
      </c>
      <c r="G59">
        <v>5</v>
      </c>
      <c r="H59">
        <v>5</v>
      </c>
      <c r="I59" s="2">
        <v>45780</v>
      </c>
      <c r="J59">
        <v>-95</v>
      </c>
      <c r="K59">
        <v>1790</v>
      </c>
      <c r="L59">
        <v>1705</v>
      </c>
      <c r="N59">
        <v>5</v>
      </c>
      <c r="O59">
        <v>10</v>
      </c>
      <c r="P59">
        <v>65</v>
      </c>
      <c r="Q59">
        <v>10</v>
      </c>
    </row>
    <row r="60" spans="1:17" x14ac:dyDescent="0.25">
      <c r="A60" t="s">
        <v>1998</v>
      </c>
      <c r="B60" t="s">
        <v>620</v>
      </c>
      <c r="C60" t="s">
        <v>3529</v>
      </c>
      <c r="D60" t="s">
        <v>3592</v>
      </c>
      <c r="E60" t="s">
        <v>3621</v>
      </c>
      <c r="G60">
        <v>5</v>
      </c>
      <c r="H60">
        <v>5</v>
      </c>
      <c r="I60" s="2">
        <v>45780</v>
      </c>
      <c r="J60">
        <v>-105</v>
      </c>
      <c r="K60">
        <v>1790</v>
      </c>
      <c r="L60">
        <v>1705</v>
      </c>
      <c r="N60">
        <v>5</v>
      </c>
      <c r="O60">
        <v>5</v>
      </c>
      <c r="P60">
        <v>65</v>
      </c>
      <c r="Q60">
        <v>10</v>
      </c>
    </row>
    <row r="61" spans="1:17" x14ac:dyDescent="0.25">
      <c r="A61" t="s">
        <v>1998</v>
      </c>
      <c r="B61" t="s">
        <v>621</v>
      </c>
      <c r="C61" t="s">
        <v>1820</v>
      </c>
      <c r="D61" t="s">
        <v>3592</v>
      </c>
      <c r="E61" t="s">
        <v>3621</v>
      </c>
      <c r="G61">
        <v>5</v>
      </c>
      <c r="H61">
        <v>5</v>
      </c>
      <c r="I61" s="2">
        <v>45780</v>
      </c>
      <c r="J61">
        <v>-105</v>
      </c>
      <c r="K61">
        <v>1790</v>
      </c>
      <c r="L61">
        <v>1705</v>
      </c>
      <c r="N61">
        <v>5</v>
      </c>
      <c r="O61">
        <v>5</v>
      </c>
      <c r="P61">
        <v>65</v>
      </c>
      <c r="Q61">
        <v>10</v>
      </c>
    </row>
    <row r="62" spans="1:17" x14ac:dyDescent="0.25">
      <c r="A62" t="s">
        <v>1998</v>
      </c>
      <c r="B62" t="s">
        <v>622</v>
      </c>
      <c r="C62" t="s">
        <v>1820</v>
      </c>
      <c r="D62" t="s">
        <v>3592</v>
      </c>
      <c r="E62" t="s">
        <v>3621</v>
      </c>
      <c r="G62">
        <v>5</v>
      </c>
      <c r="H62">
        <v>5</v>
      </c>
      <c r="I62" s="2">
        <v>45780</v>
      </c>
      <c r="J62">
        <v>-100</v>
      </c>
      <c r="K62">
        <v>1790</v>
      </c>
      <c r="L62">
        <v>1705</v>
      </c>
      <c r="N62">
        <v>5</v>
      </c>
      <c r="O62">
        <v>5</v>
      </c>
      <c r="P62">
        <v>65</v>
      </c>
      <c r="Q62">
        <v>10</v>
      </c>
    </row>
    <row r="63" spans="1:17" x14ac:dyDescent="0.25">
      <c r="A63" t="s">
        <v>1998</v>
      </c>
      <c r="B63" t="s">
        <v>623</v>
      </c>
      <c r="C63" t="s">
        <v>1820</v>
      </c>
      <c r="D63" t="s">
        <v>3592</v>
      </c>
      <c r="E63" t="s">
        <v>3621</v>
      </c>
      <c r="G63">
        <v>5</v>
      </c>
      <c r="H63">
        <v>5</v>
      </c>
      <c r="I63" s="2">
        <v>45780</v>
      </c>
      <c r="J63">
        <v>-5</v>
      </c>
      <c r="K63">
        <v>1800</v>
      </c>
      <c r="L63">
        <v>1705</v>
      </c>
      <c r="N63">
        <v>5</v>
      </c>
      <c r="O63">
        <v>5</v>
      </c>
      <c r="P63">
        <v>65</v>
      </c>
      <c r="Q63">
        <v>10</v>
      </c>
    </row>
    <row r="64" spans="1:17" x14ac:dyDescent="0.25">
      <c r="A64" t="s">
        <v>1998</v>
      </c>
      <c r="B64" t="s">
        <v>624</v>
      </c>
      <c r="C64" t="s">
        <v>1820</v>
      </c>
      <c r="D64" t="s">
        <v>3592</v>
      </c>
      <c r="E64" t="s">
        <v>3621</v>
      </c>
      <c r="G64">
        <v>5</v>
      </c>
      <c r="H64">
        <v>5</v>
      </c>
      <c r="I64" s="2">
        <v>45780</v>
      </c>
      <c r="J64">
        <v>-45</v>
      </c>
      <c r="K64">
        <v>1800</v>
      </c>
      <c r="L64">
        <v>1705</v>
      </c>
      <c r="N64">
        <v>5</v>
      </c>
      <c r="O64">
        <v>5</v>
      </c>
      <c r="P64">
        <v>65</v>
      </c>
      <c r="Q64">
        <v>10</v>
      </c>
    </row>
    <row r="65" spans="1:17" x14ac:dyDescent="0.25">
      <c r="A65" t="s">
        <v>1998</v>
      </c>
      <c r="B65" t="s">
        <v>625</v>
      </c>
      <c r="C65" t="s">
        <v>1820</v>
      </c>
      <c r="D65" t="s">
        <v>3592</v>
      </c>
      <c r="E65" t="s">
        <v>3621</v>
      </c>
      <c r="G65">
        <v>5</v>
      </c>
      <c r="H65">
        <v>5</v>
      </c>
      <c r="I65" s="2">
        <v>45780</v>
      </c>
      <c r="J65">
        <v>-170</v>
      </c>
      <c r="K65">
        <v>1790</v>
      </c>
      <c r="L65">
        <v>1705</v>
      </c>
      <c r="N65">
        <v>5</v>
      </c>
      <c r="O65">
        <v>5</v>
      </c>
      <c r="P65">
        <v>65</v>
      </c>
      <c r="Q65">
        <v>10</v>
      </c>
    </row>
    <row r="66" spans="1:17" x14ac:dyDescent="0.25">
      <c r="A66" t="s">
        <v>1998</v>
      </c>
      <c r="B66" t="s">
        <v>626</v>
      </c>
      <c r="C66" t="s">
        <v>1820</v>
      </c>
      <c r="D66" t="s">
        <v>3592</v>
      </c>
      <c r="E66" t="s">
        <v>3621</v>
      </c>
      <c r="G66">
        <v>5</v>
      </c>
      <c r="H66">
        <v>5</v>
      </c>
      <c r="I66" s="2">
        <v>45780</v>
      </c>
      <c r="J66">
        <v>-210</v>
      </c>
      <c r="K66">
        <v>1790</v>
      </c>
      <c r="L66">
        <v>1705</v>
      </c>
      <c r="N66">
        <v>5</v>
      </c>
      <c r="O66">
        <v>5</v>
      </c>
      <c r="P66">
        <v>65</v>
      </c>
      <c r="Q66">
        <v>10</v>
      </c>
    </row>
    <row r="67" spans="1:17" x14ac:dyDescent="0.25">
      <c r="A67" t="s">
        <v>1998</v>
      </c>
      <c r="B67" t="s">
        <v>631</v>
      </c>
      <c r="C67" t="s">
        <v>3528</v>
      </c>
      <c r="D67" t="s">
        <v>3591</v>
      </c>
      <c r="E67" t="s">
        <v>3618</v>
      </c>
      <c r="G67">
        <v>500</v>
      </c>
      <c r="H67">
        <v>500</v>
      </c>
      <c r="I67" s="2">
        <v>45782</v>
      </c>
      <c r="J67">
        <v>-765</v>
      </c>
      <c r="K67">
        <v>2960</v>
      </c>
      <c r="L67">
        <v>5</v>
      </c>
      <c r="N67">
        <v>10</v>
      </c>
      <c r="O67">
        <v>10</v>
      </c>
      <c r="P67">
        <v>323505</v>
      </c>
      <c r="Q67">
        <v>272505</v>
      </c>
    </row>
    <row r="68" spans="1:17" x14ac:dyDescent="0.25">
      <c r="A68" t="s">
        <v>1998</v>
      </c>
      <c r="B68" t="s">
        <v>633</v>
      </c>
      <c r="C68" t="s">
        <v>3530</v>
      </c>
      <c r="D68" t="s">
        <v>3593</v>
      </c>
      <c r="E68" t="s">
        <v>3618</v>
      </c>
      <c r="G68">
        <v>250</v>
      </c>
      <c r="H68">
        <v>250</v>
      </c>
      <c r="I68" s="2">
        <v>45782</v>
      </c>
      <c r="J68">
        <v>-1790</v>
      </c>
      <c r="K68">
        <v>6250</v>
      </c>
      <c r="L68">
        <v>25</v>
      </c>
      <c r="N68">
        <v>20</v>
      </c>
      <c r="O68">
        <v>10</v>
      </c>
      <c r="P68">
        <v>18755</v>
      </c>
      <c r="Q68">
        <v>12505</v>
      </c>
    </row>
    <row r="69" spans="1:17" x14ac:dyDescent="0.25">
      <c r="A69" t="s">
        <v>1998</v>
      </c>
      <c r="B69" t="s">
        <v>635</v>
      </c>
      <c r="C69" t="s">
        <v>3531</v>
      </c>
      <c r="D69" t="s">
        <v>3594</v>
      </c>
      <c r="E69" t="s">
        <v>3618</v>
      </c>
      <c r="G69">
        <v>100</v>
      </c>
      <c r="H69">
        <v>100</v>
      </c>
      <c r="I69" s="2">
        <v>45784</v>
      </c>
      <c r="J69">
        <v>-100</v>
      </c>
      <c r="K69">
        <v>5545</v>
      </c>
      <c r="L69">
        <v>45</v>
      </c>
      <c r="N69">
        <v>25</v>
      </c>
      <c r="O69">
        <v>10</v>
      </c>
      <c r="P69">
        <v>40505</v>
      </c>
      <c r="Q69">
        <v>15505</v>
      </c>
    </row>
    <row r="70" spans="1:17" x14ac:dyDescent="0.25">
      <c r="A70" t="s">
        <v>1998</v>
      </c>
      <c r="B70" t="s">
        <v>637</v>
      </c>
      <c r="C70" t="s">
        <v>3532</v>
      </c>
      <c r="D70" t="s">
        <v>3595</v>
      </c>
      <c r="E70" t="s">
        <v>3618</v>
      </c>
      <c r="G70">
        <v>25</v>
      </c>
      <c r="H70">
        <v>25</v>
      </c>
      <c r="I70" s="2">
        <v>45782</v>
      </c>
      <c r="J70">
        <v>35</v>
      </c>
      <c r="K70">
        <v>465</v>
      </c>
      <c r="L70">
        <v>20</v>
      </c>
      <c r="N70">
        <v>5</v>
      </c>
      <c r="O70">
        <v>5</v>
      </c>
      <c r="P70">
        <v>680</v>
      </c>
      <c r="Q70">
        <v>680</v>
      </c>
    </row>
    <row r="71" spans="1:17" x14ac:dyDescent="0.25">
      <c r="A71" t="s">
        <v>1998</v>
      </c>
      <c r="B71" t="s">
        <v>638</v>
      </c>
      <c r="C71" t="s">
        <v>3533</v>
      </c>
      <c r="D71" t="s">
        <v>3595</v>
      </c>
      <c r="E71" t="s">
        <v>3618</v>
      </c>
      <c r="G71">
        <v>100</v>
      </c>
      <c r="H71">
        <v>100</v>
      </c>
      <c r="I71" s="2">
        <v>45782</v>
      </c>
      <c r="J71">
        <v>60</v>
      </c>
      <c r="K71">
        <v>2090</v>
      </c>
      <c r="L71">
        <v>20</v>
      </c>
      <c r="N71">
        <v>10</v>
      </c>
      <c r="O71">
        <v>10</v>
      </c>
      <c r="P71">
        <v>2705</v>
      </c>
      <c r="Q71">
        <v>2705</v>
      </c>
    </row>
    <row r="72" spans="1:17" x14ac:dyDescent="0.25">
      <c r="A72" t="s">
        <v>1998</v>
      </c>
      <c r="B72" t="s">
        <v>639</v>
      </c>
      <c r="C72" t="s">
        <v>3534</v>
      </c>
      <c r="D72" t="s">
        <v>3576</v>
      </c>
      <c r="E72" t="s">
        <v>3618</v>
      </c>
      <c r="G72">
        <v>500</v>
      </c>
      <c r="H72">
        <v>500</v>
      </c>
      <c r="I72" s="2">
        <v>45782</v>
      </c>
      <c r="J72">
        <v>-305</v>
      </c>
      <c r="K72">
        <v>12020</v>
      </c>
      <c r="L72">
        <v>20</v>
      </c>
      <c r="N72">
        <v>25</v>
      </c>
      <c r="O72">
        <v>25</v>
      </c>
      <c r="P72">
        <v>20005</v>
      </c>
      <c r="Q72">
        <v>20005</v>
      </c>
    </row>
    <row r="73" spans="1:17" x14ac:dyDescent="0.25">
      <c r="A73" t="s">
        <v>1998</v>
      </c>
      <c r="B73" t="s">
        <v>641</v>
      </c>
      <c r="C73" t="s">
        <v>3535</v>
      </c>
      <c r="D73" t="s">
        <v>3596</v>
      </c>
      <c r="E73" t="s">
        <v>3618</v>
      </c>
      <c r="G73">
        <v>20</v>
      </c>
      <c r="H73">
        <v>20</v>
      </c>
      <c r="I73" s="2">
        <v>45784</v>
      </c>
      <c r="J73">
        <v>-505</v>
      </c>
      <c r="K73">
        <v>9805</v>
      </c>
      <c r="L73">
        <v>540</v>
      </c>
      <c r="N73">
        <v>15</v>
      </c>
      <c r="O73">
        <v>5</v>
      </c>
      <c r="P73">
        <v>1735</v>
      </c>
      <c r="Q73">
        <v>100</v>
      </c>
    </row>
    <row r="74" spans="1:17" x14ac:dyDescent="0.25">
      <c r="A74" t="s">
        <v>1998</v>
      </c>
      <c r="B74" t="s">
        <v>642</v>
      </c>
      <c r="C74" t="s">
        <v>3528</v>
      </c>
      <c r="D74" t="s">
        <v>3591</v>
      </c>
      <c r="E74" t="s">
        <v>3618</v>
      </c>
      <c r="G74">
        <v>500</v>
      </c>
      <c r="H74">
        <v>500</v>
      </c>
      <c r="I74" s="2">
        <v>45782</v>
      </c>
      <c r="J74">
        <v>-755</v>
      </c>
      <c r="K74">
        <v>2935</v>
      </c>
      <c r="L74">
        <v>5</v>
      </c>
      <c r="N74">
        <v>10</v>
      </c>
      <c r="O74">
        <v>10</v>
      </c>
      <c r="P74">
        <v>323505</v>
      </c>
      <c r="Q74">
        <v>272505</v>
      </c>
    </row>
    <row r="75" spans="1:17" x14ac:dyDescent="0.25">
      <c r="A75" t="s">
        <v>1998</v>
      </c>
      <c r="B75" t="s">
        <v>643</v>
      </c>
      <c r="C75" t="s">
        <v>3536</v>
      </c>
      <c r="D75" t="s">
        <v>3597</v>
      </c>
      <c r="E75" t="s">
        <v>3618</v>
      </c>
      <c r="G75">
        <v>25</v>
      </c>
      <c r="H75">
        <v>25</v>
      </c>
      <c r="I75" s="2">
        <v>45782</v>
      </c>
      <c r="J75">
        <v>40</v>
      </c>
      <c r="K75">
        <v>510</v>
      </c>
      <c r="L75">
        <v>20</v>
      </c>
      <c r="N75">
        <v>5</v>
      </c>
      <c r="O75">
        <v>5</v>
      </c>
      <c r="P75">
        <v>680</v>
      </c>
      <c r="Q75">
        <v>680</v>
      </c>
    </row>
    <row r="76" spans="1:17" x14ac:dyDescent="0.25">
      <c r="A76" t="s">
        <v>1998</v>
      </c>
      <c r="B76" t="s">
        <v>645</v>
      </c>
      <c r="C76" t="s">
        <v>3532</v>
      </c>
      <c r="D76" t="s">
        <v>3595</v>
      </c>
      <c r="E76" t="s">
        <v>3618</v>
      </c>
      <c r="G76">
        <v>60</v>
      </c>
      <c r="H76">
        <v>60</v>
      </c>
      <c r="I76" s="2">
        <v>45782</v>
      </c>
      <c r="J76">
        <v>165</v>
      </c>
      <c r="K76">
        <v>1125</v>
      </c>
      <c r="L76">
        <v>20</v>
      </c>
      <c r="N76">
        <v>10</v>
      </c>
      <c r="O76">
        <v>5</v>
      </c>
      <c r="P76">
        <v>1625</v>
      </c>
      <c r="Q76">
        <v>1625</v>
      </c>
    </row>
    <row r="77" spans="1:17" x14ac:dyDescent="0.25">
      <c r="A77" t="s">
        <v>1998</v>
      </c>
      <c r="B77" t="s">
        <v>647</v>
      </c>
      <c r="C77" t="s">
        <v>3514</v>
      </c>
      <c r="D77" t="s">
        <v>3577</v>
      </c>
      <c r="E77" t="s">
        <v>3618</v>
      </c>
      <c r="G77">
        <v>500</v>
      </c>
      <c r="H77">
        <v>500</v>
      </c>
      <c r="I77" s="2">
        <v>45785</v>
      </c>
      <c r="J77">
        <v>-590</v>
      </c>
      <c r="K77">
        <v>5335</v>
      </c>
      <c r="L77">
        <v>10</v>
      </c>
      <c r="N77">
        <v>10</v>
      </c>
      <c r="O77">
        <v>10</v>
      </c>
      <c r="P77">
        <v>124005</v>
      </c>
      <c r="Q77">
        <v>22505</v>
      </c>
    </row>
    <row r="78" spans="1:17" x14ac:dyDescent="0.25">
      <c r="A78" t="s">
        <v>1998</v>
      </c>
      <c r="B78" t="s">
        <v>648</v>
      </c>
      <c r="C78" t="s">
        <v>3537</v>
      </c>
      <c r="D78" t="s">
        <v>3598</v>
      </c>
      <c r="E78" t="s">
        <v>3618</v>
      </c>
      <c r="G78">
        <v>915</v>
      </c>
      <c r="H78">
        <v>915</v>
      </c>
      <c r="I78" s="2">
        <v>45786</v>
      </c>
      <c r="J78">
        <v>1075</v>
      </c>
      <c r="K78">
        <v>7930</v>
      </c>
      <c r="L78">
        <v>10</v>
      </c>
      <c r="N78">
        <v>40</v>
      </c>
      <c r="O78">
        <v>35</v>
      </c>
      <c r="P78">
        <v>43070</v>
      </c>
      <c r="Q78">
        <v>43070</v>
      </c>
    </row>
    <row r="79" spans="1:17" x14ac:dyDescent="0.25">
      <c r="A79" t="s">
        <v>1998</v>
      </c>
      <c r="B79" t="s">
        <v>650</v>
      </c>
      <c r="C79" t="s">
        <v>3538</v>
      </c>
      <c r="D79" t="s">
        <v>2914</v>
      </c>
      <c r="E79" t="s">
        <v>3618</v>
      </c>
      <c r="G79">
        <v>500</v>
      </c>
      <c r="H79">
        <v>500</v>
      </c>
      <c r="I79" s="2">
        <v>45784</v>
      </c>
      <c r="J79">
        <v>-985</v>
      </c>
      <c r="K79">
        <v>3510</v>
      </c>
      <c r="L79">
        <v>5</v>
      </c>
      <c r="N79">
        <v>25</v>
      </c>
      <c r="O79">
        <v>30</v>
      </c>
      <c r="P79">
        <v>265005</v>
      </c>
      <c r="Q79">
        <v>165005</v>
      </c>
    </row>
    <row r="80" spans="1:17" x14ac:dyDescent="0.25">
      <c r="A80" t="s">
        <v>1998</v>
      </c>
      <c r="B80" t="s">
        <v>651</v>
      </c>
      <c r="C80" t="s">
        <v>1470</v>
      </c>
      <c r="D80" t="s">
        <v>3216</v>
      </c>
      <c r="E80" t="s">
        <v>3622</v>
      </c>
      <c r="G80">
        <v>9300</v>
      </c>
      <c r="H80">
        <v>9300</v>
      </c>
      <c r="I80" s="2">
        <v>45775</v>
      </c>
      <c r="J80">
        <v>-235</v>
      </c>
      <c r="K80">
        <v>125</v>
      </c>
      <c r="L80">
        <v>5</v>
      </c>
      <c r="N80">
        <v>5</v>
      </c>
      <c r="O80">
        <v>5</v>
      </c>
      <c r="P80">
        <v>4655</v>
      </c>
      <c r="Q80">
        <v>557860</v>
      </c>
    </row>
    <row r="81" spans="1:17" x14ac:dyDescent="0.25">
      <c r="A81" t="s">
        <v>1998</v>
      </c>
      <c r="B81" t="s">
        <v>652</v>
      </c>
      <c r="C81" t="s">
        <v>1817</v>
      </c>
      <c r="D81" t="s">
        <v>3573</v>
      </c>
      <c r="E81" t="s">
        <v>3621</v>
      </c>
      <c r="G81">
        <v>5</v>
      </c>
      <c r="H81">
        <v>5</v>
      </c>
      <c r="I81" s="2">
        <v>45780</v>
      </c>
      <c r="J81">
        <v>170</v>
      </c>
      <c r="K81">
        <v>10965</v>
      </c>
      <c r="L81">
        <v>10390</v>
      </c>
      <c r="N81">
        <v>30</v>
      </c>
      <c r="O81">
        <v>25</v>
      </c>
      <c r="P81">
        <v>25</v>
      </c>
      <c r="Q81">
        <v>20</v>
      </c>
    </row>
    <row r="82" spans="1:17" x14ac:dyDescent="0.25">
      <c r="A82" t="s">
        <v>1998</v>
      </c>
      <c r="B82" t="s">
        <v>655</v>
      </c>
      <c r="C82" t="s">
        <v>1817</v>
      </c>
      <c r="D82" t="s">
        <v>3573</v>
      </c>
      <c r="E82" t="s">
        <v>3621</v>
      </c>
      <c r="G82">
        <v>5</v>
      </c>
      <c r="H82">
        <v>5</v>
      </c>
      <c r="I82" s="2">
        <v>45787</v>
      </c>
      <c r="J82">
        <v>-100</v>
      </c>
      <c r="K82">
        <v>10965</v>
      </c>
      <c r="L82">
        <v>10390</v>
      </c>
      <c r="N82">
        <v>25</v>
      </c>
      <c r="O82">
        <v>20</v>
      </c>
      <c r="P82">
        <v>25</v>
      </c>
      <c r="Q82">
        <v>20</v>
      </c>
    </row>
    <row r="83" spans="1:17" x14ac:dyDescent="0.25">
      <c r="A83" t="s">
        <v>1998</v>
      </c>
      <c r="B83" t="s">
        <v>656</v>
      </c>
      <c r="C83" t="s">
        <v>1817</v>
      </c>
      <c r="D83" t="s">
        <v>3573</v>
      </c>
      <c r="E83" t="s">
        <v>3621</v>
      </c>
      <c r="G83">
        <v>5</v>
      </c>
      <c r="H83">
        <v>5</v>
      </c>
      <c r="I83" s="2">
        <v>45787</v>
      </c>
      <c r="J83">
        <v>85</v>
      </c>
      <c r="K83">
        <v>10965</v>
      </c>
      <c r="L83">
        <v>10390</v>
      </c>
      <c r="N83">
        <v>25</v>
      </c>
      <c r="O83">
        <v>30</v>
      </c>
      <c r="P83">
        <v>25</v>
      </c>
      <c r="Q83">
        <v>20</v>
      </c>
    </row>
    <row r="84" spans="1:17" x14ac:dyDescent="0.25">
      <c r="A84" t="s">
        <v>1998</v>
      </c>
      <c r="B84" t="s">
        <v>657</v>
      </c>
      <c r="C84" t="s">
        <v>1838</v>
      </c>
      <c r="D84" t="s">
        <v>3599</v>
      </c>
      <c r="E84" t="s">
        <v>3621</v>
      </c>
      <c r="G84">
        <v>5</v>
      </c>
      <c r="H84">
        <v>5</v>
      </c>
      <c r="I84" s="2">
        <v>45780</v>
      </c>
      <c r="J84">
        <v>200</v>
      </c>
      <c r="K84">
        <v>8605</v>
      </c>
      <c r="L84">
        <v>8115</v>
      </c>
      <c r="N84">
        <v>15</v>
      </c>
      <c r="O84">
        <v>10</v>
      </c>
      <c r="P84">
        <v>60</v>
      </c>
      <c r="Q84">
        <v>10</v>
      </c>
    </row>
    <row r="85" spans="1:17" x14ac:dyDescent="0.25">
      <c r="A85" t="s">
        <v>1998</v>
      </c>
      <c r="B85" t="s">
        <v>658</v>
      </c>
      <c r="C85" t="s">
        <v>1838</v>
      </c>
      <c r="D85" t="s">
        <v>3599</v>
      </c>
      <c r="E85" t="s">
        <v>3621</v>
      </c>
      <c r="G85">
        <v>5</v>
      </c>
      <c r="H85">
        <v>5</v>
      </c>
      <c r="I85" s="2">
        <v>45780</v>
      </c>
      <c r="J85">
        <v>185</v>
      </c>
      <c r="K85">
        <v>8600</v>
      </c>
      <c r="L85">
        <v>8115</v>
      </c>
      <c r="N85">
        <v>15</v>
      </c>
      <c r="O85">
        <v>5</v>
      </c>
      <c r="P85">
        <v>60</v>
      </c>
      <c r="Q85">
        <v>10</v>
      </c>
    </row>
    <row r="86" spans="1:17" x14ac:dyDescent="0.25">
      <c r="A86" t="s">
        <v>1998</v>
      </c>
      <c r="B86" t="s">
        <v>659</v>
      </c>
      <c r="C86" t="s">
        <v>1838</v>
      </c>
      <c r="D86" t="s">
        <v>3599</v>
      </c>
      <c r="E86" t="s">
        <v>3621</v>
      </c>
      <c r="G86">
        <v>5</v>
      </c>
      <c r="H86">
        <v>5</v>
      </c>
      <c r="I86" s="2">
        <v>45780</v>
      </c>
      <c r="J86">
        <v>85</v>
      </c>
      <c r="K86">
        <v>8605</v>
      </c>
      <c r="L86">
        <v>8115</v>
      </c>
      <c r="N86">
        <v>10</v>
      </c>
      <c r="O86">
        <v>10</v>
      </c>
      <c r="P86">
        <v>60</v>
      </c>
      <c r="Q86">
        <v>10</v>
      </c>
    </row>
    <row r="87" spans="1:17" x14ac:dyDescent="0.25">
      <c r="A87" t="s">
        <v>1998</v>
      </c>
      <c r="B87" t="s">
        <v>660</v>
      </c>
      <c r="C87" t="s">
        <v>1838</v>
      </c>
      <c r="D87" t="s">
        <v>3599</v>
      </c>
      <c r="E87" t="s">
        <v>3621</v>
      </c>
      <c r="G87">
        <v>5</v>
      </c>
      <c r="H87">
        <v>5</v>
      </c>
      <c r="I87" s="2">
        <v>45780</v>
      </c>
      <c r="J87">
        <v>665</v>
      </c>
      <c r="K87">
        <v>8600</v>
      </c>
      <c r="L87">
        <v>8115</v>
      </c>
      <c r="N87">
        <v>20</v>
      </c>
      <c r="O87">
        <v>10</v>
      </c>
      <c r="P87">
        <v>60</v>
      </c>
      <c r="Q87">
        <v>10</v>
      </c>
    </row>
    <row r="88" spans="1:17" x14ac:dyDescent="0.25">
      <c r="A88" t="s">
        <v>1998</v>
      </c>
      <c r="B88" t="s">
        <v>661</v>
      </c>
      <c r="C88" t="s">
        <v>3528</v>
      </c>
      <c r="D88" t="s">
        <v>3591</v>
      </c>
      <c r="E88" t="s">
        <v>3618</v>
      </c>
      <c r="G88">
        <v>500</v>
      </c>
      <c r="H88">
        <v>500</v>
      </c>
      <c r="I88" s="2">
        <v>45784</v>
      </c>
      <c r="J88">
        <v>-770</v>
      </c>
      <c r="K88">
        <v>2930</v>
      </c>
      <c r="L88">
        <v>5</v>
      </c>
      <c r="N88">
        <v>10</v>
      </c>
      <c r="O88">
        <v>5</v>
      </c>
      <c r="P88">
        <v>323505</v>
      </c>
      <c r="Q88">
        <v>272505</v>
      </c>
    </row>
    <row r="89" spans="1:17" x14ac:dyDescent="0.25">
      <c r="A89" t="s">
        <v>1998</v>
      </c>
      <c r="B89" t="s">
        <v>662</v>
      </c>
      <c r="C89" t="s">
        <v>3528</v>
      </c>
      <c r="D89" t="s">
        <v>3591</v>
      </c>
      <c r="E89" t="s">
        <v>3618</v>
      </c>
      <c r="G89">
        <v>500</v>
      </c>
      <c r="H89">
        <v>500</v>
      </c>
      <c r="I89" s="2">
        <v>45784</v>
      </c>
      <c r="J89">
        <v>-855</v>
      </c>
      <c r="K89">
        <v>2940</v>
      </c>
      <c r="L89">
        <v>5</v>
      </c>
      <c r="N89">
        <v>10</v>
      </c>
      <c r="O89">
        <v>5</v>
      </c>
      <c r="P89">
        <v>323505</v>
      </c>
      <c r="Q89">
        <v>272505</v>
      </c>
    </row>
    <row r="90" spans="1:17" x14ac:dyDescent="0.25">
      <c r="A90" t="s">
        <v>1998</v>
      </c>
      <c r="B90" t="s">
        <v>667</v>
      </c>
      <c r="C90" t="s">
        <v>1200</v>
      </c>
      <c r="D90" t="s">
        <v>3000</v>
      </c>
      <c r="E90" t="s">
        <v>3622</v>
      </c>
      <c r="G90">
        <v>50</v>
      </c>
      <c r="H90">
        <v>50</v>
      </c>
      <c r="I90" s="2">
        <v>45789</v>
      </c>
      <c r="J90">
        <v>5</v>
      </c>
      <c r="K90">
        <v>1040</v>
      </c>
      <c r="L90">
        <v>20</v>
      </c>
      <c r="N90">
        <v>5</v>
      </c>
      <c r="O90">
        <v>5</v>
      </c>
      <c r="P90">
        <v>15140</v>
      </c>
      <c r="Q90">
        <v>15140</v>
      </c>
    </row>
    <row r="91" spans="1:17" x14ac:dyDescent="0.25">
      <c r="A91" t="s">
        <v>1998</v>
      </c>
      <c r="B91" t="s">
        <v>668</v>
      </c>
      <c r="C91" t="s">
        <v>1200</v>
      </c>
      <c r="D91" t="s">
        <v>3000</v>
      </c>
      <c r="E91" t="s">
        <v>3622</v>
      </c>
      <c r="G91">
        <v>50</v>
      </c>
      <c r="H91">
        <v>50</v>
      </c>
      <c r="I91" s="2">
        <v>45789</v>
      </c>
      <c r="J91">
        <v>40</v>
      </c>
      <c r="K91">
        <v>1040</v>
      </c>
      <c r="L91">
        <v>20</v>
      </c>
      <c r="N91">
        <v>5</v>
      </c>
      <c r="O91">
        <v>5</v>
      </c>
      <c r="P91">
        <v>15140</v>
      </c>
      <c r="Q91">
        <v>15140</v>
      </c>
    </row>
    <row r="92" spans="1:17" x14ac:dyDescent="0.25">
      <c r="A92" t="s">
        <v>1998</v>
      </c>
      <c r="B92" t="s">
        <v>669</v>
      </c>
      <c r="C92" t="s">
        <v>1821</v>
      </c>
      <c r="D92" t="s">
        <v>3600</v>
      </c>
      <c r="E92" t="s">
        <v>3621</v>
      </c>
      <c r="G92">
        <v>5</v>
      </c>
      <c r="H92">
        <v>5</v>
      </c>
      <c r="I92" s="2">
        <v>45780</v>
      </c>
      <c r="J92">
        <v>70</v>
      </c>
      <c r="K92">
        <v>5530</v>
      </c>
      <c r="L92">
        <v>5230</v>
      </c>
      <c r="N92">
        <v>5</v>
      </c>
      <c r="O92">
        <v>5</v>
      </c>
      <c r="P92">
        <v>65</v>
      </c>
      <c r="Q92">
        <v>10</v>
      </c>
    </row>
    <row r="93" spans="1:17" x14ac:dyDescent="0.25">
      <c r="A93" t="s">
        <v>1998</v>
      </c>
      <c r="B93" t="s">
        <v>670</v>
      </c>
      <c r="C93" t="s">
        <v>1821</v>
      </c>
      <c r="D93" t="s">
        <v>3600</v>
      </c>
      <c r="E93" t="s">
        <v>3621</v>
      </c>
      <c r="G93">
        <v>5</v>
      </c>
      <c r="H93">
        <v>5</v>
      </c>
      <c r="I93" s="2">
        <v>45780</v>
      </c>
      <c r="J93">
        <v>40</v>
      </c>
      <c r="K93">
        <v>5530</v>
      </c>
      <c r="L93">
        <v>5230</v>
      </c>
      <c r="N93">
        <v>5</v>
      </c>
      <c r="O93">
        <v>5</v>
      </c>
      <c r="P93">
        <v>65</v>
      </c>
      <c r="Q93">
        <v>10</v>
      </c>
    </row>
    <row r="94" spans="1:17" x14ac:dyDescent="0.25">
      <c r="A94" t="s">
        <v>1998</v>
      </c>
      <c r="B94" t="s">
        <v>671</v>
      </c>
      <c r="C94" t="s">
        <v>3539</v>
      </c>
      <c r="D94" t="s">
        <v>3601</v>
      </c>
      <c r="E94" t="s">
        <v>3618</v>
      </c>
      <c r="G94">
        <v>25</v>
      </c>
      <c r="H94">
        <v>25</v>
      </c>
      <c r="I94" s="2">
        <v>45784</v>
      </c>
      <c r="J94">
        <v>135</v>
      </c>
      <c r="K94">
        <v>695</v>
      </c>
      <c r="L94">
        <v>25</v>
      </c>
      <c r="N94">
        <v>5</v>
      </c>
      <c r="O94">
        <v>5</v>
      </c>
      <c r="P94">
        <v>390</v>
      </c>
      <c r="Q94">
        <v>440</v>
      </c>
    </row>
    <row r="95" spans="1:17" x14ac:dyDescent="0.25">
      <c r="A95" t="s">
        <v>1998</v>
      </c>
      <c r="B95" t="s">
        <v>676</v>
      </c>
      <c r="C95" t="s">
        <v>3540</v>
      </c>
      <c r="D95" t="s">
        <v>3602</v>
      </c>
      <c r="E95" t="s">
        <v>3618</v>
      </c>
      <c r="G95">
        <v>100</v>
      </c>
      <c r="H95">
        <v>100</v>
      </c>
      <c r="I95" s="2">
        <v>45784</v>
      </c>
      <c r="J95">
        <v>50</v>
      </c>
      <c r="K95">
        <v>1190</v>
      </c>
      <c r="L95">
        <v>10</v>
      </c>
      <c r="N95">
        <v>5</v>
      </c>
      <c r="O95">
        <v>5</v>
      </c>
      <c r="P95">
        <v>7880</v>
      </c>
      <c r="Q95">
        <v>7880</v>
      </c>
    </row>
    <row r="96" spans="1:17" x14ac:dyDescent="0.25">
      <c r="A96" t="s">
        <v>1998</v>
      </c>
      <c r="B96" t="s">
        <v>680</v>
      </c>
      <c r="C96" t="s">
        <v>1862</v>
      </c>
      <c r="D96" t="s">
        <v>3603</v>
      </c>
      <c r="E96" t="s">
        <v>3622</v>
      </c>
      <c r="G96">
        <v>45</v>
      </c>
      <c r="H96">
        <v>40</v>
      </c>
      <c r="I96" s="2">
        <v>45782</v>
      </c>
      <c r="J96">
        <v>25</v>
      </c>
      <c r="K96">
        <v>840</v>
      </c>
      <c r="L96">
        <v>20</v>
      </c>
      <c r="N96">
        <v>5</v>
      </c>
      <c r="O96">
        <v>5</v>
      </c>
      <c r="P96">
        <v>9680</v>
      </c>
      <c r="Q96">
        <v>9680</v>
      </c>
    </row>
    <row r="97" spans="1:17" x14ac:dyDescent="0.25">
      <c r="A97" t="s">
        <v>1998</v>
      </c>
      <c r="B97" t="s">
        <v>681</v>
      </c>
      <c r="C97" t="s">
        <v>3541</v>
      </c>
      <c r="D97" t="s">
        <v>3604</v>
      </c>
      <c r="E97" t="s">
        <v>3618</v>
      </c>
      <c r="G97">
        <v>25</v>
      </c>
      <c r="H97">
        <v>25</v>
      </c>
      <c r="I97" s="2">
        <v>45784</v>
      </c>
      <c r="J97">
        <v>-155</v>
      </c>
      <c r="K97">
        <v>830</v>
      </c>
      <c r="L97">
        <v>35</v>
      </c>
      <c r="N97">
        <v>5</v>
      </c>
      <c r="O97">
        <v>5</v>
      </c>
      <c r="P97">
        <v>1140</v>
      </c>
      <c r="Q97">
        <v>1140</v>
      </c>
    </row>
    <row r="98" spans="1:17" x14ac:dyDescent="0.25">
      <c r="A98" t="s">
        <v>1998</v>
      </c>
      <c r="B98" t="s">
        <v>682</v>
      </c>
      <c r="C98" t="s">
        <v>3542</v>
      </c>
      <c r="D98" t="s">
        <v>3605</v>
      </c>
      <c r="E98" t="s">
        <v>3618</v>
      </c>
      <c r="G98">
        <v>200</v>
      </c>
      <c r="H98">
        <v>200</v>
      </c>
      <c r="I98" s="2">
        <v>45784</v>
      </c>
      <c r="J98">
        <v>-25</v>
      </c>
      <c r="K98">
        <v>4200</v>
      </c>
      <c r="L98">
        <v>20</v>
      </c>
      <c r="N98">
        <v>15</v>
      </c>
      <c r="O98">
        <v>15</v>
      </c>
      <c r="P98">
        <v>62065</v>
      </c>
      <c r="Q98">
        <v>3240</v>
      </c>
    </row>
    <row r="99" spans="1:17" x14ac:dyDescent="0.25">
      <c r="A99" t="s">
        <v>1998</v>
      </c>
      <c r="B99" t="s">
        <v>683</v>
      </c>
      <c r="C99" t="s">
        <v>3543</v>
      </c>
      <c r="D99" t="s">
        <v>3606</v>
      </c>
      <c r="E99" t="s">
        <v>3618</v>
      </c>
      <c r="G99">
        <v>25</v>
      </c>
      <c r="H99">
        <v>25</v>
      </c>
      <c r="I99" s="2">
        <v>45784</v>
      </c>
      <c r="J99">
        <v>195</v>
      </c>
      <c r="K99">
        <v>680</v>
      </c>
      <c r="L99">
        <v>25</v>
      </c>
      <c r="N99">
        <v>5</v>
      </c>
      <c r="O99">
        <v>5</v>
      </c>
      <c r="P99">
        <v>1140</v>
      </c>
      <c r="Q99">
        <v>1140</v>
      </c>
    </row>
    <row r="100" spans="1:17" x14ac:dyDescent="0.25">
      <c r="A100" t="s">
        <v>1998</v>
      </c>
      <c r="B100" t="s">
        <v>684</v>
      </c>
      <c r="C100" t="s">
        <v>3544</v>
      </c>
      <c r="D100" t="s">
        <v>3606</v>
      </c>
      <c r="E100" t="s">
        <v>3618</v>
      </c>
      <c r="G100">
        <v>100</v>
      </c>
      <c r="H100">
        <v>100</v>
      </c>
      <c r="I100" s="2">
        <v>45784</v>
      </c>
      <c r="J100">
        <v>95</v>
      </c>
      <c r="K100">
        <v>2155</v>
      </c>
      <c r="L100">
        <v>20</v>
      </c>
      <c r="N100">
        <v>10</v>
      </c>
      <c r="O100">
        <v>10</v>
      </c>
      <c r="P100">
        <v>31035</v>
      </c>
      <c r="Q100">
        <v>1620</v>
      </c>
    </row>
    <row r="101" spans="1:17" x14ac:dyDescent="0.25">
      <c r="A101" t="s">
        <v>1998</v>
      </c>
      <c r="B101" t="s">
        <v>688</v>
      </c>
      <c r="C101" t="s">
        <v>3542</v>
      </c>
      <c r="D101" t="s">
        <v>3605</v>
      </c>
      <c r="E101" t="s">
        <v>3618</v>
      </c>
      <c r="G101">
        <v>200</v>
      </c>
      <c r="H101">
        <v>200</v>
      </c>
      <c r="I101" s="2">
        <v>45784</v>
      </c>
      <c r="J101">
        <v>825</v>
      </c>
      <c r="K101">
        <v>4315</v>
      </c>
      <c r="L101">
        <v>20</v>
      </c>
      <c r="N101">
        <v>30</v>
      </c>
      <c r="O101">
        <v>30</v>
      </c>
      <c r="P101">
        <v>62065</v>
      </c>
      <c r="Q101">
        <v>3240</v>
      </c>
    </row>
    <row r="102" spans="1:17" x14ac:dyDescent="0.25">
      <c r="A102" t="s">
        <v>1998</v>
      </c>
      <c r="B102" t="s">
        <v>689</v>
      </c>
      <c r="C102" t="s">
        <v>3543</v>
      </c>
      <c r="D102" t="s">
        <v>3606</v>
      </c>
      <c r="E102" t="s">
        <v>3618</v>
      </c>
      <c r="G102">
        <v>25</v>
      </c>
      <c r="H102">
        <v>25</v>
      </c>
      <c r="I102" s="2">
        <v>45784</v>
      </c>
      <c r="J102">
        <v>15</v>
      </c>
      <c r="K102">
        <v>580</v>
      </c>
      <c r="L102">
        <v>25</v>
      </c>
      <c r="N102">
        <v>5</v>
      </c>
      <c r="O102">
        <v>5</v>
      </c>
      <c r="P102">
        <v>1140</v>
      </c>
      <c r="Q102">
        <v>1140</v>
      </c>
    </row>
    <row r="103" spans="1:17" x14ac:dyDescent="0.25">
      <c r="A103" t="s">
        <v>1998</v>
      </c>
      <c r="B103" t="s">
        <v>699</v>
      </c>
      <c r="C103" t="s">
        <v>3545</v>
      </c>
      <c r="D103" t="s">
        <v>3607</v>
      </c>
      <c r="E103" t="s">
        <v>3618</v>
      </c>
      <c r="G103">
        <v>100</v>
      </c>
      <c r="H103">
        <v>100</v>
      </c>
      <c r="I103" s="2">
        <v>45784</v>
      </c>
      <c r="J103">
        <v>-95</v>
      </c>
      <c r="K103">
        <v>1235</v>
      </c>
      <c r="L103">
        <v>10</v>
      </c>
      <c r="N103">
        <v>5</v>
      </c>
      <c r="O103">
        <v>5</v>
      </c>
      <c r="P103">
        <v>21875</v>
      </c>
      <c r="Q103">
        <v>2075</v>
      </c>
    </row>
    <row r="104" spans="1:17" x14ac:dyDescent="0.25">
      <c r="A104" t="s">
        <v>1998</v>
      </c>
      <c r="B104" t="s">
        <v>705</v>
      </c>
      <c r="C104" t="s">
        <v>3546</v>
      </c>
      <c r="D104" t="s">
        <v>3598</v>
      </c>
      <c r="E104" t="s">
        <v>3618</v>
      </c>
      <c r="G104">
        <v>25</v>
      </c>
      <c r="H104">
        <v>25</v>
      </c>
      <c r="I104" s="2">
        <v>45784</v>
      </c>
      <c r="J104">
        <v>125</v>
      </c>
      <c r="K104">
        <v>230</v>
      </c>
      <c r="L104">
        <v>10</v>
      </c>
      <c r="N104">
        <v>5</v>
      </c>
      <c r="O104">
        <v>5</v>
      </c>
      <c r="P104">
        <v>1185</v>
      </c>
      <c r="Q104">
        <v>1185</v>
      </c>
    </row>
    <row r="105" spans="1:17" x14ac:dyDescent="0.25">
      <c r="A105" t="s">
        <v>1998</v>
      </c>
      <c r="B105" t="s">
        <v>151</v>
      </c>
      <c r="C105" t="s">
        <v>1095</v>
      </c>
      <c r="D105" t="s">
        <v>2907</v>
      </c>
      <c r="E105" t="s">
        <v>3618</v>
      </c>
      <c r="G105">
        <v>5</v>
      </c>
      <c r="H105">
        <v>5</v>
      </c>
      <c r="I105" s="2">
        <v>45784</v>
      </c>
      <c r="J105">
        <v>30</v>
      </c>
      <c r="K105">
        <v>115</v>
      </c>
      <c r="L105">
        <v>80</v>
      </c>
      <c r="N105">
        <v>5</v>
      </c>
      <c r="O105">
        <v>0</v>
      </c>
      <c r="P105">
        <v>0</v>
      </c>
      <c r="Q105">
        <v>0</v>
      </c>
    </row>
    <row r="106" spans="1:17" x14ac:dyDescent="0.25">
      <c r="A106" t="s">
        <v>1998</v>
      </c>
      <c r="B106" t="s">
        <v>708</v>
      </c>
      <c r="C106" t="s">
        <v>3547</v>
      </c>
      <c r="D106" t="s">
        <v>2914</v>
      </c>
      <c r="E106" t="s">
        <v>3618</v>
      </c>
      <c r="G106">
        <v>5</v>
      </c>
      <c r="H106">
        <v>0</v>
      </c>
      <c r="I106" s="2">
        <v>45789</v>
      </c>
      <c r="J106">
        <v>240</v>
      </c>
      <c r="K106">
        <v>175</v>
      </c>
      <c r="L106">
        <v>45</v>
      </c>
      <c r="N106">
        <v>5</v>
      </c>
      <c r="O106">
        <v>5</v>
      </c>
      <c r="P106">
        <v>510</v>
      </c>
      <c r="Q106">
        <v>70</v>
      </c>
    </row>
    <row r="107" spans="1:17" x14ac:dyDescent="0.25">
      <c r="A107" t="s">
        <v>1998</v>
      </c>
      <c r="B107" t="s">
        <v>709</v>
      </c>
      <c r="C107" t="s">
        <v>3548</v>
      </c>
      <c r="D107" t="s">
        <v>2914</v>
      </c>
      <c r="E107" t="s">
        <v>3618</v>
      </c>
      <c r="G107">
        <v>5</v>
      </c>
      <c r="H107">
        <v>5</v>
      </c>
      <c r="I107" s="2">
        <v>45784</v>
      </c>
      <c r="J107">
        <v>20</v>
      </c>
      <c r="K107">
        <v>115</v>
      </c>
      <c r="L107">
        <v>45</v>
      </c>
      <c r="N107">
        <v>5</v>
      </c>
      <c r="O107">
        <v>5</v>
      </c>
      <c r="P107">
        <v>585</v>
      </c>
      <c r="Q107">
        <v>235</v>
      </c>
    </row>
    <row r="108" spans="1:17" x14ac:dyDescent="0.25">
      <c r="A108" t="s">
        <v>1998</v>
      </c>
      <c r="B108" t="s">
        <v>711</v>
      </c>
      <c r="C108" t="s">
        <v>3522</v>
      </c>
      <c r="D108" t="s">
        <v>3577</v>
      </c>
      <c r="E108" t="s">
        <v>3618</v>
      </c>
      <c r="G108">
        <v>500</v>
      </c>
      <c r="H108">
        <v>500</v>
      </c>
      <c r="I108" s="2">
        <v>45784</v>
      </c>
      <c r="J108">
        <v>-960</v>
      </c>
      <c r="K108">
        <v>3210</v>
      </c>
      <c r="L108">
        <v>5</v>
      </c>
      <c r="N108">
        <v>10</v>
      </c>
      <c r="O108">
        <v>10</v>
      </c>
      <c r="P108">
        <v>323505</v>
      </c>
      <c r="Q108">
        <v>272505</v>
      </c>
    </row>
    <row r="109" spans="1:17" x14ac:dyDescent="0.25">
      <c r="A109" t="s">
        <v>1998</v>
      </c>
      <c r="B109" t="s">
        <v>160</v>
      </c>
      <c r="C109" t="s">
        <v>1104</v>
      </c>
      <c r="D109" t="s">
        <v>2914</v>
      </c>
      <c r="E109" t="s">
        <v>3618</v>
      </c>
      <c r="G109">
        <v>20</v>
      </c>
      <c r="H109">
        <v>20</v>
      </c>
      <c r="I109" s="2">
        <v>45785</v>
      </c>
      <c r="J109">
        <v>150</v>
      </c>
      <c r="K109">
        <v>280</v>
      </c>
      <c r="L109">
        <v>10</v>
      </c>
      <c r="N109">
        <v>5</v>
      </c>
      <c r="O109">
        <v>0</v>
      </c>
      <c r="P109">
        <v>0</v>
      </c>
      <c r="Q109">
        <v>0</v>
      </c>
    </row>
    <row r="110" spans="1:17" x14ac:dyDescent="0.25">
      <c r="A110" t="s">
        <v>1998</v>
      </c>
      <c r="B110" t="s">
        <v>712</v>
      </c>
      <c r="C110" t="s">
        <v>1104</v>
      </c>
      <c r="D110" t="s">
        <v>2914</v>
      </c>
      <c r="E110" t="s">
        <v>3618</v>
      </c>
      <c r="G110">
        <v>500</v>
      </c>
      <c r="H110">
        <v>500</v>
      </c>
      <c r="I110" s="2">
        <v>45784</v>
      </c>
      <c r="J110">
        <v>-990</v>
      </c>
      <c r="K110">
        <v>4120</v>
      </c>
      <c r="L110">
        <v>10</v>
      </c>
      <c r="N110">
        <v>20</v>
      </c>
      <c r="O110">
        <v>10</v>
      </c>
      <c r="P110">
        <v>472930</v>
      </c>
      <c r="Q110">
        <v>170310</v>
      </c>
    </row>
    <row r="111" spans="1:17" x14ac:dyDescent="0.25">
      <c r="A111" t="s">
        <v>1998</v>
      </c>
      <c r="B111" t="s">
        <v>713</v>
      </c>
      <c r="C111" t="s">
        <v>3549</v>
      </c>
      <c r="D111" t="s">
        <v>2914</v>
      </c>
      <c r="E111" t="s">
        <v>3618</v>
      </c>
      <c r="G111">
        <v>225</v>
      </c>
      <c r="H111">
        <v>225</v>
      </c>
      <c r="I111" s="2">
        <v>45784</v>
      </c>
      <c r="J111">
        <v>-480</v>
      </c>
      <c r="K111">
        <v>1555</v>
      </c>
      <c r="L111">
        <v>10</v>
      </c>
      <c r="N111">
        <v>10</v>
      </c>
      <c r="O111">
        <v>10</v>
      </c>
      <c r="P111">
        <v>119255</v>
      </c>
      <c r="Q111">
        <v>74255</v>
      </c>
    </row>
    <row r="112" spans="1:17" x14ac:dyDescent="0.25">
      <c r="A112" t="s">
        <v>1998</v>
      </c>
      <c r="B112" t="s">
        <v>714</v>
      </c>
      <c r="C112" t="s">
        <v>3550</v>
      </c>
      <c r="D112" t="s">
        <v>2914</v>
      </c>
      <c r="E112" t="s">
        <v>3618</v>
      </c>
      <c r="G112">
        <v>60</v>
      </c>
      <c r="H112">
        <v>60</v>
      </c>
      <c r="I112" s="2">
        <v>45784</v>
      </c>
      <c r="J112">
        <v>-355</v>
      </c>
      <c r="K112">
        <v>1930</v>
      </c>
      <c r="L112">
        <v>30</v>
      </c>
      <c r="N112">
        <v>5</v>
      </c>
      <c r="O112">
        <v>5</v>
      </c>
      <c r="P112">
        <v>17705</v>
      </c>
      <c r="Q112">
        <v>2955</v>
      </c>
    </row>
    <row r="113" spans="1:17" x14ac:dyDescent="0.25">
      <c r="A113" t="s">
        <v>1998</v>
      </c>
      <c r="B113" t="s">
        <v>717</v>
      </c>
      <c r="C113" t="s">
        <v>3551</v>
      </c>
      <c r="D113" t="s">
        <v>3608</v>
      </c>
      <c r="E113" t="s">
        <v>3621</v>
      </c>
      <c r="G113">
        <v>5</v>
      </c>
      <c r="H113">
        <v>5</v>
      </c>
      <c r="I113" s="2">
        <v>45780</v>
      </c>
      <c r="J113">
        <v>-245</v>
      </c>
      <c r="K113">
        <v>20890</v>
      </c>
      <c r="L113">
        <v>17940</v>
      </c>
      <c r="N113">
        <v>10</v>
      </c>
      <c r="O113">
        <v>5</v>
      </c>
      <c r="P113">
        <v>55</v>
      </c>
      <c r="Q113">
        <v>10</v>
      </c>
    </row>
    <row r="114" spans="1:17" x14ac:dyDescent="0.25">
      <c r="A114" t="s">
        <v>1998</v>
      </c>
      <c r="B114" t="s">
        <v>720</v>
      </c>
      <c r="C114" t="s">
        <v>3552</v>
      </c>
      <c r="D114" t="s">
        <v>3609</v>
      </c>
      <c r="E114" t="s">
        <v>3620</v>
      </c>
      <c r="G114">
        <v>400</v>
      </c>
      <c r="H114">
        <v>400</v>
      </c>
      <c r="I114" s="2">
        <v>45783</v>
      </c>
      <c r="J114">
        <v>-2635</v>
      </c>
      <c r="K114">
        <v>4560</v>
      </c>
      <c r="L114">
        <v>15</v>
      </c>
      <c r="N114">
        <v>50</v>
      </c>
      <c r="O114">
        <v>25</v>
      </c>
      <c r="P114">
        <v>78810</v>
      </c>
      <c r="Q114">
        <v>4005</v>
      </c>
    </row>
    <row r="115" spans="1:17" x14ac:dyDescent="0.25">
      <c r="A115" t="s">
        <v>1998</v>
      </c>
      <c r="B115" t="s">
        <v>721</v>
      </c>
      <c r="C115" t="s">
        <v>3553</v>
      </c>
      <c r="D115" t="s">
        <v>3610</v>
      </c>
      <c r="E115" t="s">
        <v>3621</v>
      </c>
      <c r="G115">
        <v>5</v>
      </c>
      <c r="H115">
        <v>5</v>
      </c>
      <c r="I115" s="2">
        <v>45780</v>
      </c>
      <c r="J115">
        <v>90</v>
      </c>
      <c r="K115">
        <v>34030</v>
      </c>
      <c r="L115">
        <v>29650</v>
      </c>
      <c r="N115">
        <v>20</v>
      </c>
      <c r="O115">
        <v>5</v>
      </c>
      <c r="P115">
        <v>55</v>
      </c>
      <c r="Q115">
        <v>10</v>
      </c>
    </row>
    <row r="116" spans="1:17" x14ac:dyDescent="0.25">
      <c r="A116" t="s">
        <v>1998</v>
      </c>
      <c r="B116" t="s">
        <v>150</v>
      </c>
      <c r="C116" t="s">
        <v>1094</v>
      </c>
      <c r="D116" t="s">
        <v>2906</v>
      </c>
      <c r="E116" t="s">
        <v>3618</v>
      </c>
      <c r="G116">
        <v>5</v>
      </c>
      <c r="H116">
        <v>5</v>
      </c>
      <c r="I116" s="2">
        <v>45784</v>
      </c>
      <c r="J116">
        <v>20</v>
      </c>
      <c r="K116">
        <v>45</v>
      </c>
      <c r="L116">
        <v>10</v>
      </c>
      <c r="N116">
        <v>5</v>
      </c>
      <c r="O116">
        <v>0</v>
      </c>
      <c r="P116">
        <v>0</v>
      </c>
      <c r="Q116">
        <v>0</v>
      </c>
    </row>
    <row r="117" spans="1:17" x14ac:dyDescent="0.25">
      <c r="A117" t="s">
        <v>1998</v>
      </c>
      <c r="B117" t="s">
        <v>723</v>
      </c>
      <c r="C117" t="s">
        <v>3554</v>
      </c>
      <c r="D117" t="s">
        <v>3611</v>
      </c>
      <c r="E117" t="s">
        <v>3618</v>
      </c>
      <c r="G117">
        <v>995</v>
      </c>
      <c r="H117">
        <v>995</v>
      </c>
      <c r="I117" s="2">
        <v>45784</v>
      </c>
      <c r="J117">
        <v>700</v>
      </c>
      <c r="K117">
        <v>21395</v>
      </c>
      <c r="L117">
        <v>15</v>
      </c>
      <c r="N117">
        <v>45</v>
      </c>
      <c r="O117">
        <v>45</v>
      </c>
      <c r="P117">
        <v>66275</v>
      </c>
      <c r="Q117">
        <v>66275</v>
      </c>
    </row>
    <row r="118" spans="1:17" x14ac:dyDescent="0.25">
      <c r="A118" t="s">
        <v>1998</v>
      </c>
      <c r="B118" t="s">
        <v>724</v>
      </c>
      <c r="C118" t="s">
        <v>1548</v>
      </c>
      <c r="D118" t="s">
        <v>3283</v>
      </c>
      <c r="E118" t="s">
        <v>3618</v>
      </c>
      <c r="G118">
        <v>175</v>
      </c>
      <c r="H118">
        <v>175</v>
      </c>
      <c r="I118" s="2">
        <v>45784</v>
      </c>
      <c r="J118">
        <v>335</v>
      </c>
      <c r="K118">
        <v>225</v>
      </c>
      <c r="L118">
        <v>5</v>
      </c>
      <c r="N118">
        <v>15</v>
      </c>
      <c r="O118">
        <v>0</v>
      </c>
      <c r="P118">
        <v>51725</v>
      </c>
      <c r="Q118">
        <v>5</v>
      </c>
    </row>
    <row r="119" spans="1:17" x14ac:dyDescent="0.25">
      <c r="A119" t="s">
        <v>1998</v>
      </c>
      <c r="B119" t="s">
        <v>725</v>
      </c>
      <c r="C119" t="s">
        <v>3555</v>
      </c>
      <c r="D119" t="s">
        <v>3612</v>
      </c>
      <c r="E119" t="s">
        <v>3618</v>
      </c>
      <c r="G119">
        <v>100</v>
      </c>
      <c r="H119">
        <v>100</v>
      </c>
      <c r="I119" s="2">
        <v>45784</v>
      </c>
      <c r="J119">
        <v>135</v>
      </c>
      <c r="K119">
        <v>1245</v>
      </c>
      <c r="L119">
        <v>10</v>
      </c>
      <c r="N119">
        <v>10</v>
      </c>
      <c r="O119">
        <v>5</v>
      </c>
      <c r="P119">
        <v>37005</v>
      </c>
      <c r="Q119">
        <v>17005</v>
      </c>
    </row>
    <row r="120" spans="1:17" x14ac:dyDescent="0.25">
      <c r="A120" t="s">
        <v>1998</v>
      </c>
      <c r="B120" t="s">
        <v>736</v>
      </c>
      <c r="C120" t="s">
        <v>3556</v>
      </c>
      <c r="D120" t="s">
        <v>3593</v>
      </c>
      <c r="E120" t="s">
        <v>3618</v>
      </c>
      <c r="G120">
        <v>250</v>
      </c>
      <c r="H120">
        <v>250</v>
      </c>
      <c r="I120" s="2">
        <v>45784</v>
      </c>
      <c r="J120">
        <v>-515</v>
      </c>
      <c r="K120">
        <v>2675</v>
      </c>
      <c r="L120">
        <v>10</v>
      </c>
      <c r="N120">
        <v>20</v>
      </c>
      <c r="O120">
        <v>10</v>
      </c>
      <c r="P120">
        <v>18755</v>
      </c>
      <c r="Q120">
        <v>12505</v>
      </c>
    </row>
    <row r="121" spans="1:17" x14ac:dyDescent="0.25">
      <c r="A121" t="s">
        <v>1998</v>
      </c>
      <c r="B121" t="s">
        <v>740</v>
      </c>
      <c r="C121" t="s">
        <v>1341</v>
      </c>
      <c r="D121" t="s">
        <v>3106</v>
      </c>
      <c r="E121" t="s">
        <v>3622</v>
      </c>
      <c r="G121">
        <v>60</v>
      </c>
      <c r="H121">
        <v>60</v>
      </c>
      <c r="I121" s="2">
        <v>45782</v>
      </c>
      <c r="J121">
        <v>225</v>
      </c>
      <c r="K121">
        <v>855</v>
      </c>
      <c r="L121">
        <v>15</v>
      </c>
      <c r="N121">
        <v>5</v>
      </c>
      <c r="O121">
        <v>5</v>
      </c>
      <c r="P121">
        <v>21795</v>
      </c>
      <c r="Q121">
        <v>21795</v>
      </c>
    </row>
    <row r="122" spans="1:17" x14ac:dyDescent="0.25">
      <c r="A122" t="s">
        <v>1998</v>
      </c>
      <c r="B122" t="s">
        <v>742</v>
      </c>
      <c r="C122" t="s">
        <v>1094</v>
      </c>
      <c r="D122" t="s">
        <v>2906</v>
      </c>
      <c r="E122" t="s">
        <v>3618</v>
      </c>
      <c r="G122">
        <v>45</v>
      </c>
      <c r="H122">
        <v>45</v>
      </c>
      <c r="I122" s="2">
        <v>45785</v>
      </c>
      <c r="J122">
        <v>-85</v>
      </c>
      <c r="K122">
        <v>635</v>
      </c>
      <c r="L122">
        <v>10</v>
      </c>
      <c r="N122">
        <v>5</v>
      </c>
      <c r="O122">
        <v>5</v>
      </c>
      <c r="P122">
        <v>9290</v>
      </c>
      <c r="Q122">
        <v>890</v>
      </c>
    </row>
    <row r="123" spans="1:17" x14ac:dyDescent="0.25">
      <c r="A123" t="s">
        <v>1998</v>
      </c>
      <c r="B123" t="s">
        <v>743</v>
      </c>
      <c r="C123" t="s">
        <v>3528</v>
      </c>
      <c r="D123" t="s">
        <v>3591</v>
      </c>
      <c r="E123" t="s">
        <v>3618</v>
      </c>
      <c r="G123">
        <v>500</v>
      </c>
      <c r="H123">
        <v>500</v>
      </c>
      <c r="I123" s="2">
        <v>45784</v>
      </c>
      <c r="J123">
        <v>-790</v>
      </c>
      <c r="K123">
        <v>2930</v>
      </c>
      <c r="L123">
        <v>5</v>
      </c>
      <c r="N123">
        <v>10</v>
      </c>
      <c r="O123">
        <v>10</v>
      </c>
      <c r="P123">
        <v>323505</v>
      </c>
      <c r="Q123">
        <v>272505</v>
      </c>
    </row>
    <row r="124" spans="1:17" x14ac:dyDescent="0.25">
      <c r="A124" t="s">
        <v>1998</v>
      </c>
      <c r="B124" t="s">
        <v>744</v>
      </c>
      <c r="C124" t="s">
        <v>3557</v>
      </c>
      <c r="D124" t="s">
        <v>3593</v>
      </c>
      <c r="E124" t="s">
        <v>3618</v>
      </c>
      <c r="G124">
        <v>150</v>
      </c>
      <c r="H124">
        <v>150</v>
      </c>
      <c r="I124" s="2">
        <v>45784</v>
      </c>
      <c r="J124">
        <v>235</v>
      </c>
      <c r="K124">
        <v>1605</v>
      </c>
      <c r="L124">
        <v>10</v>
      </c>
      <c r="N124">
        <v>15</v>
      </c>
      <c r="O124">
        <v>10</v>
      </c>
      <c r="P124">
        <v>11255</v>
      </c>
      <c r="Q124">
        <v>7505</v>
      </c>
    </row>
    <row r="125" spans="1:17" x14ac:dyDescent="0.25">
      <c r="A125" t="s">
        <v>1998</v>
      </c>
      <c r="B125" t="s">
        <v>745</v>
      </c>
      <c r="C125" t="s">
        <v>3558</v>
      </c>
      <c r="D125" t="s">
        <v>3604</v>
      </c>
      <c r="E125" t="s">
        <v>3618</v>
      </c>
      <c r="G125">
        <v>100</v>
      </c>
      <c r="H125">
        <v>100</v>
      </c>
      <c r="I125" s="2">
        <v>45785</v>
      </c>
      <c r="J125">
        <v>240</v>
      </c>
      <c r="K125">
        <v>960</v>
      </c>
      <c r="L125">
        <v>10</v>
      </c>
      <c r="N125">
        <v>15</v>
      </c>
      <c r="O125">
        <v>10</v>
      </c>
      <c r="P125">
        <v>2720</v>
      </c>
      <c r="Q125">
        <v>2720</v>
      </c>
    </row>
    <row r="126" spans="1:17" x14ac:dyDescent="0.25">
      <c r="A126" t="s">
        <v>1998</v>
      </c>
      <c r="B126" t="s">
        <v>746</v>
      </c>
      <c r="C126" t="s">
        <v>3549</v>
      </c>
      <c r="D126" t="s">
        <v>2914</v>
      </c>
      <c r="E126" t="s">
        <v>3618</v>
      </c>
      <c r="G126">
        <v>1000</v>
      </c>
      <c r="H126">
        <v>1000</v>
      </c>
      <c r="I126" s="2">
        <v>45785</v>
      </c>
      <c r="J126">
        <v>-1620</v>
      </c>
      <c r="K126">
        <v>6885</v>
      </c>
      <c r="L126">
        <v>10</v>
      </c>
      <c r="N126">
        <v>55</v>
      </c>
      <c r="O126">
        <v>55</v>
      </c>
      <c r="P126">
        <v>530005</v>
      </c>
      <c r="Q126">
        <v>330005</v>
      </c>
    </row>
    <row r="127" spans="1:17" x14ac:dyDescent="0.25">
      <c r="A127" t="s">
        <v>1998</v>
      </c>
      <c r="B127" t="s">
        <v>772</v>
      </c>
      <c r="C127" t="s">
        <v>3551</v>
      </c>
      <c r="D127" t="s">
        <v>3608</v>
      </c>
      <c r="E127" t="s">
        <v>3621</v>
      </c>
      <c r="G127">
        <v>5</v>
      </c>
      <c r="H127">
        <v>5</v>
      </c>
      <c r="I127" s="2">
        <v>45780</v>
      </c>
      <c r="J127">
        <v>-70</v>
      </c>
      <c r="K127">
        <v>20890</v>
      </c>
      <c r="L127">
        <v>17940</v>
      </c>
      <c r="N127">
        <v>15</v>
      </c>
      <c r="O127">
        <v>5</v>
      </c>
      <c r="P127">
        <v>55</v>
      </c>
      <c r="Q127">
        <v>10</v>
      </c>
    </row>
    <row r="128" spans="1:17" x14ac:dyDescent="0.25">
      <c r="A128" t="s">
        <v>1998</v>
      </c>
      <c r="B128" t="s">
        <v>773</v>
      </c>
      <c r="C128" t="s">
        <v>1820</v>
      </c>
      <c r="D128" t="s">
        <v>3592</v>
      </c>
      <c r="E128" t="s">
        <v>3621</v>
      </c>
      <c r="G128">
        <v>5</v>
      </c>
      <c r="H128">
        <v>5</v>
      </c>
      <c r="I128" s="2">
        <v>45780</v>
      </c>
      <c r="J128">
        <v>-150</v>
      </c>
      <c r="K128">
        <v>1815</v>
      </c>
      <c r="L128">
        <v>1705</v>
      </c>
      <c r="N128">
        <v>5</v>
      </c>
      <c r="O128">
        <v>5</v>
      </c>
      <c r="P128">
        <v>65</v>
      </c>
      <c r="Q128">
        <v>10</v>
      </c>
    </row>
    <row r="129" spans="1:17" x14ac:dyDescent="0.25">
      <c r="A129" t="s">
        <v>1998</v>
      </c>
      <c r="B129" t="s">
        <v>774</v>
      </c>
      <c r="C129" t="s">
        <v>1820</v>
      </c>
      <c r="D129" t="s">
        <v>3592</v>
      </c>
      <c r="E129" t="s">
        <v>3621</v>
      </c>
      <c r="G129">
        <v>5</v>
      </c>
      <c r="H129">
        <v>5</v>
      </c>
      <c r="I129" s="2">
        <v>45780</v>
      </c>
      <c r="J129">
        <v>-150</v>
      </c>
      <c r="K129">
        <v>1815</v>
      </c>
      <c r="L129">
        <v>1705</v>
      </c>
      <c r="N129">
        <v>5</v>
      </c>
      <c r="O129">
        <v>5</v>
      </c>
      <c r="P129">
        <v>65</v>
      </c>
      <c r="Q129">
        <v>10</v>
      </c>
    </row>
    <row r="130" spans="1:17" x14ac:dyDescent="0.25">
      <c r="A130" t="s">
        <v>1998</v>
      </c>
      <c r="B130" t="s">
        <v>775</v>
      </c>
      <c r="C130" t="s">
        <v>3545</v>
      </c>
      <c r="D130" t="s">
        <v>3607</v>
      </c>
      <c r="E130" t="s">
        <v>3618</v>
      </c>
      <c r="G130">
        <v>200</v>
      </c>
      <c r="H130">
        <v>200</v>
      </c>
      <c r="I130" s="2">
        <v>45785</v>
      </c>
      <c r="J130">
        <v>-90</v>
      </c>
      <c r="K130">
        <v>2385</v>
      </c>
      <c r="L130">
        <v>10</v>
      </c>
      <c r="N130">
        <v>15</v>
      </c>
      <c r="O130">
        <v>10</v>
      </c>
      <c r="P130">
        <v>43750</v>
      </c>
      <c r="Q130">
        <v>4150</v>
      </c>
    </row>
    <row r="131" spans="1:17" x14ac:dyDescent="0.25">
      <c r="A131" t="s">
        <v>1998</v>
      </c>
      <c r="B131" t="s">
        <v>777</v>
      </c>
      <c r="C131" t="s">
        <v>3559</v>
      </c>
      <c r="D131" t="s">
        <v>3613</v>
      </c>
      <c r="E131" t="s">
        <v>3618</v>
      </c>
      <c r="G131">
        <v>275</v>
      </c>
      <c r="H131">
        <v>275</v>
      </c>
      <c r="I131" s="2">
        <v>45785</v>
      </c>
      <c r="J131">
        <v>-340</v>
      </c>
      <c r="K131">
        <v>5095</v>
      </c>
      <c r="L131">
        <v>20</v>
      </c>
      <c r="N131">
        <v>10</v>
      </c>
      <c r="O131">
        <v>10</v>
      </c>
      <c r="P131">
        <v>6010</v>
      </c>
      <c r="Q131">
        <v>6010</v>
      </c>
    </row>
    <row r="132" spans="1:17" x14ac:dyDescent="0.25">
      <c r="A132" t="s">
        <v>1998</v>
      </c>
      <c r="B132" t="s">
        <v>786</v>
      </c>
      <c r="C132" t="s">
        <v>3551</v>
      </c>
      <c r="D132" t="s">
        <v>3608</v>
      </c>
      <c r="E132" t="s">
        <v>3621</v>
      </c>
      <c r="G132">
        <v>5</v>
      </c>
      <c r="H132">
        <v>5</v>
      </c>
      <c r="I132" s="2">
        <v>45780</v>
      </c>
      <c r="J132">
        <v>70</v>
      </c>
      <c r="K132">
        <v>20890</v>
      </c>
      <c r="L132">
        <v>17940</v>
      </c>
      <c r="N132">
        <v>15</v>
      </c>
      <c r="O132">
        <v>5</v>
      </c>
      <c r="P132">
        <v>55</v>
      </c>
      <c r="Q132">
        <v>10</v>
      </c>
    </row>
    <row r="133" spans="1:17" x14ac:dyDescent="0.25">
      <c r="A133" t="s">
        <v>1998</v>
      </c>
      <c r="B133" t="s">
        <v>787</v>
      </c>
      <c r="C133" t="s">
        <v>1821</v>
      </c>
      <c r="D133" t="s">
        <v>3600</v>
      </c>
      <c r="E133" t="s">
        <v>3621</v>
      </c>
      <c r="G133">
        <v>5</v>
      </c>
      <c r="H133">
        <v>5</v>
      </c>
      <c r="I133" s="2">
        <v>45787</v>
      </c>
      <c r="J133">
        <v>-15</v>
      </c>
      <c r="K133">
        <v>5515</v>
      </c>
      <c r="L133">
        <v>5230</v>
      </c>
      <c r="N133">
        <v>5</v>
      </c>
      <c r="O133">
        <v>5</v>
      </c>
      <c r="P133">
        <v>65</v>
      </c>
      <c r="Q133">
        <v>10</v>
      </c>
    </row>
    <row r="134" spans="1:17" x14ac:dyDescent="0.25">
      <c r="A134" t="s">
        <v>1998</v>
      </c>
      <c r="B134" t="s">
        <v>788</v>
      </c>
      <c r="C134" t="s">
        <v>1821</v>
      </c>
      <c r="D134" t="s">
        <v>3600</v>
      </c>
      <c r="E134" t="s">
        <v>3621</v>
      </c>
      <c r="G134">
        <v>5</v>
      </c>
      <c r="H134">
        <v>5</v>
      </c>
      <c r="I134" s="2">
        <v>45787</v>
      </c>
      <c r="J134">
        <v>-5</v>
      </c>
      <c r="K134">
        <v>5515</v>
      </c>
      <c r="L134">
        <v>5230</v>
      </c>
      <c r="N134">
        <v>5</v>
      </c>
      <c r="O134">
        <v>5</v>
      </c>
      <c r="P134">
        <v>65</v>
      </c>
      <c r="Q134">
        <v>10</v>
      </c>
    </row>
    <row r="135" spans="1:17" x14ac:dyDescent="0.25">
      <c r="A135" t="s">
        <v>1998</v>
      </c>
      <c r="B135" t="s">
        <v>791</v>
      </c>
      <c r="C135" t="s">
        <v>1821</v>
      </c>
      <c r="D135" t="s">
        <v>3600</v>
      </c>
      <c r="E135" t="s">
        <v>3621</v>
      </c>
      <c r="G135">
        <v>5</v>
      </c>
      <c r="H135">
        <v>5</v>
      </c>
      <c r="I135" s="2">
        <v>45787</v>
      </c>
      <c r="J135">
        <v>15</v>
      </c>
      <c r="K135">
        <v>5515</v>
      </c>
      <c r="L135">
        <v>5230</v>
      </c>
      <c r="N135">
        <v>5</v>
      </c>
      <c r="O135">
        <v>5</v>
      </c>
      <c r="P135">
        <v>65</v>
      </c>
      <c r="Q135">
        <v>10</v>
      </c>
    </row>
    <row r="136" spans="1:17" x14ac:dyDescent="0.25">
      <c r="A136" t="s">
        <v>1998</v>
      </c>
      <c r="B136" t="s">
        <v>792</v>
      </c>
      <c r="C136" t="s">
        <v>1821</v>
      </c>
      <c r="D136" t="s">
        <v>3600</v>
      </c>
      <c r="E136" t="s">
        <v>3621</v>
      </c>
      <c r="G136">
        <v>5</v>
      </c>
      <c r="H136">
        <v>5</v>
      </c>
      <c r="I136" s="2">
        <v>45787</v>
      </c>
      <c r="J136">
        <v>-20</v>
      </c>
      <c r="K136">
        <v>5515</v>
      </c>
      <c r="L136">
        <v>5230</v>
      </c>
      <c r="N136">
        <v>5</v>
      </c>
      <c r="O136">
        <v>5</v>
      </c>
      <c r="P136">
        <v>65</v>
      </c>
      <c r="Q136">
        <v>10</v>
      </c>
    </row>
    <row r="137" spans="1:17" x14ac:dyDescent="0.25">
      <c r="A137" t="s">
        <v>1998</v>
      </c>
      <c r="B137" t="s">
        <v>797</v>
      </c>
      <c r="C137" t="s">
        <v>1821</v>
      </c>
      <c r="D137" t="s">
        <v>3600</v>
      </c>
      <c r="E137" t="s">
        <v>3621</v>
      </c>
      <c r="G137">
        <v>5</v>
      </c>
      <c r="H137">
        <v>5</v>
      </c>
      <c r="I137" s="2">
        <v>45787</v>
      </c>
      <c r="J137">
        <v>40</v>
      </c>
      <c r="K137">
        <v>5515</v>
      </c>
      <c r="L137">
        <v>5230</v>
      </c>
      <c r="N137">
        <v>5</v>
      </c>
      <c r="O137">
        <v>5</v>
      </c>
      <c r="P137">
        <v>65</v>
      </c>
      <c r="Q137">
        <v>10</v>
      </c>
    </row>
    <row r="138" spans="1:17" x14ac:dyDescent="0.25">
      <c r="A138" t="s">
        <v>1998</v>
      </c>
      <c r="B138" t="s">
        <v>798</v>
      </c>
      <c r="C138" t="s">
        <v>1821</v>
      </c>
      <c r="D138" t="s">
        <v>3600</v>
      </c>
      <c r="E138" t="s">
        <v>3621</v>
      </c>
      <c r="G138">
        <v>5</v>
      </c>
      <c r="H138">
        <v>5</v>
      </c>
      <c r="I138" s="2">
        <v>45787</v>
      </c>
      <c r="J138">
        <v>50</v>
      </c>
      <c r="K138">
        <v>5515</v>
      </c>
      <c r="L138">
        <v>5230</v>
      </c>
      <c r="N138">
        <v>5</v>
      </c>
      <c r="O138">
        <v>5</v>
      </c>
      <c r="P138">
        <v>65</v>
      </c>
      <c r="Q138">
        <v>10</v>
      </c>
    </row>
    <row r="139" spans="1:17" x14ac:dyDescent="0.25">
      <c r="A139" t="s">
        <v>1998</v>
      </c>
      <c r="B139" t="s">
        <v>799</v>
      </c>
      <c r="C139" t="s">
        <v>3560</v>
      </c>
      <c r="D139" t="s">
        <v>2914</v>
      </c>
      <c r="E139" t="s">
        <v>3618</v>
      </c>
      <c r="G139">
        <v>250</v>
      </c>
      <c r="H139">
        <v>250</v>
      </c>
      <c r="I139" s="2">
        <v>45789</v>
      </c>
      <c r="J139">
        <v>95</v>
      </c>
      <c r="K139">
        <v>2370</v>
      </c>
      <c r="L139">
        <v>10</v>
      </c>
      <c r="N139">
        <v>10</v>
      </c>
      <c r="O139">
        <v>10</v>
      </c>
      <c r="P139">
        <v>11795</v>
      </c>
      <c r="Q139">
        <v>11795</v>
      </c>
    </row>
    <row r="140" spans="1:17" x14ac:dyDescent="0.25">
      <c r="A140" t="s">
        <v>1998</v>
      </c>
      <c r="B140" t="s">
        <v>801</v>
      </c>
      <c r="C140" t="s">
        <v>3561</v>
      </c>
      <c r="D140" t="s">
        <v>3614</v>
      </c>
      <c r="E140" t="s">
        <v>3618</v>
      </c>
      <c r="G140">
        <v>90</v>
      </c>
      <c r="H140">
        <v>90</v>
      </c>
      <c r="I140" s="2">
        <v>45789</v>
      </c>
      <c r="J140">
        <v>275</v>
      </c>
      <c r="K140">
        <v>2350</v>
      </c>
      <c r="L140">
        <v>25</v>
      </c>
      <c r="N140">
        <v>10</v>
      </c>
      <c r="O140">
        <v>10</v>
      </c>
      <c r="P140">
        <v>37270</v>
      </c>
      <c r="Q140">
        <v>17205</v>
      </c>
    </row>
    <row r="141" spans="1:17" x14ac:dyDescent="0.25">
      <c r="A141" t="s">
        <v>1998</v>
      </c>
      <c r="B141" t="s">
        <v>803</v>
      </c>
      <c r="C141" t="s">
        <v>3562</v>
      </c>
      <c r="D141" t="s">
        <v>3615</v>
      </c>
      <c r="E141" t="s">
        <v>3618</v>
      </c>
      <c r="G141">
        <v>500</v>
      </c>
      <c r="H141">
        <v>500</v>
      </c>
      <c r="I141" s="2">
        <v>45789</v>
      </c>
      <c r="J141">
        <v>-860</v>
      </c>
      <c r="K141">
        <v>3505</v>
      </c>
      <c r="L141">
        <v>5</v>
      </c>
      <c r="N141">
        <v>10</v>
      </c>
      <c r="O141">
        <v>10</v>
      </c>
      <c r="P141">
        <v>323505</v>
      </c>
      <c r="Q141">
        <v>272505</v>
      </c>
    </row>
    <row r="142" spans="1:17" x14ac:dyDescent="0.25">
      <c r="A142" t="s">
        <v>1998</v>
      </c>
      <c r="B142" t="s">
        <v>828</v>
      </c>
      <c r="C142" t="s">
        <v>1749</v>
      </c>
      <c r="D142" t="s">
        <v>3616</v>
      </c>
      <c r="E142" t="s">
        <v>3622</v>
      </c>
      <c r="G142">
        <v>20</v>
      </c>
      <c r="H142">
        <v>20</v>
      </c>
      <c r="I142" s="2">
        <v>45789</v>
      </c>
      <c r="J142">
        <v>125</v>
      </c>
      <c r="K142">
        <v>70</v>
      </c>
      <c r="L142">
        <v>5</v>
      </c>
      <c r="N142">
        <v>5</v>
      </c>
      <c r="O142">
        <v>5</v>
      </c>
      <c r="P142">
        <v>11295</v>
      </c>
      <c r="Q142">
        <v>18820</v>
      </c>
    </row>
    <row r="143" spans="1:17" x14ac:dyDescent="0.25">
      <c r="A143" t="s">
        <v>1998</v>
      </c>
      <c r="B143" t="s">
        <v>829</v>
      </c>
      <c r="C143" t="s">
        <v>3526</v>
      </c>
      <c r="D143" t="s">
        <v>3589</v>
      </c>
      <c r="E143" t="s">
        <v>3620</v>
      </c>
      <c r="G143">
        <v>5</v>
      </c>
      <c r="H143">
        <v>5</v>
      </c>
      <c r="I143" s="2">
        <v>45783</v>
      </c>
      <c r="J143">
        <v>-225</v>
      </c>
      <c r="K143">
        <v>20400</v>
      </c>
      <c r="L143">
        <v>14915</v>
      </c>
      <c r="N143">
        <v>5</v>
      </c>
      <c r="O143">
        <v>0</v>
      </c>
      <c r="P143">
        <v>5</v>
      </c>
      <c r="Q143">
        <v>0</v>
      </c>
    </row>
    <row r="144" spans="1:17" x14ac:dyDescent="0.25">
      <c r="A144" t="s">
        <v>1998</v>
      </c>
      <c r="B144" t="s">
        <v>830</v>
      </c>
      <c r="C144" t="s">
        <v>3526</v>
      </c>
      <c r="D144" t="s">
        <v>3589</v>
      </c>
      <c r="E144" t="s">
        <v>3620</v>
      </c>
      <c r="G144">
        <v>5</v>
      </c>
      <c r="H144">
        <v>5</v>
      </c>
      <c r="I144" s="2">
        <v>45783</v>
      </c>
      <c r="J144">
        <v>-225</v>
      </c>
      <c r="K144">
        <v>20400</v>
      </c>
      <c r="L144">
        <v>14915</v>
      </c>
      <c r="N144">
        <v>5</v>
      </c>
      <c r="O144">
        <v>0</v>
      </c>
      <c r="P144">
        <v>5</v>
      </c>
      <c r="Q144">
        <v>0</v>
      </c>
    </row>
    <row r="145" spans="1:17" x14ac:dyDescent="0.25">
      <c r="A145" t="s">
        <v>1998</v>
      </c>
      <c r="B145" t="s">
        <v>831</v>
      </c>
      <c r="C145" t="s">
        <v>1470</v>
      </c>
      <c r="D145" t="s">
        <v>3216</v>
      </c>
      <c r="E145" t="s">
        <v>3622</v>
      </c>
      <c r="G145">
        <v>9300</v>
      </c>
      <c r="H145">
        <v>9290</v>
      </c>
      <c r="I145" s="2">
        <v>45789</v>
      </c>
      <c r="J145">
        <v>-220</v>
      </c>
      <c r="K145">
        <v>125</v>
      </c>
      <c r="L145">
        <v>5</v>
      </c>
      <c r="N145">
        <v>5</v>
      </c>
      <c r="O145">
        <v>5</v>
      </c>
      <c r="P145">
        <v>4655</v>
      </c>
      <c r="Q145">
        <v>557860</v>
      </c>
    </row>
    <row r="146" spans="1:17" x14ac:dyDescent="0.25">
      <c r="A146" t="s">
        <v>1998</v>
      </c>
      <c r="B146" t="s">
        <v>849</v>
      </c>
      <c r="C146" t="s">
        <v>1147</v>
      </c>
      <c r="D146" t="s">
        <v>2952</v>
      </c>
      <c r="E146" t="s">
        <v>3622</v>
      </c>
      <c r="G146">
        <v>40</v>
      </c>
      <c r="H146">
        <v>40</v>
      </c>
      <c r="I146" s="2">
        <v>45789</v>
      </c>
      <c r="J146">
        <v>-55</v>
      </c>
      <c r="K146">
        <v>75</v>
      </c>
      <c r="L146">
        <v>5</v>
      </c>
      <c r="N146">
        <v>10</v>
      </c>
      <c r="O146">
        <v>0</v>
      </c>
      <c r="P146">
        <v>0</v>
      </c>
      <c r="Q146">
        <v>0</v>
      </c>
    </row>
    <row r="147" spans="1:17" x14ac:dyDescent="0.25">
      <c r="A147" t="s">
        <v>1998</v>
      </c>
      <c r="B147" t="s">
        <v>853</v>
      </c>
      <c r="C147" t="s">
        <v>1837</v>
      </c>
      <c r="D147" t="s">
        <v>3617</v>
      </c>
      <c r="E147" t="s">
        <v>3621</v>
      </c>
      <c r="G147">
        <v>5</v>
      </c>
      <c r="H147">
        <v>5</v>
      </c>
      <c r="I147" s="2">
        <v>45787</v>
      </c>
      <c r="J147">
        <v>-5</v>
      </c>
      <c r="K147">
        <v>3970</v>
      </c>
      <c r="L147">
        <v>3535</v>
      </c>
      <c r="N147">
        <v>5</v>
      </c>
      <c r="O147">
        <v>5</v>
      </c>
      <c r="P147">
        <v>5</v>
      </c>
      <c r="Q147">
        <v>5</v>
      </c>
    </row>
    <row r="148" spans="1:17" x14ac:dyDescent="0.25">
      <c r="A148" t="s">
        <v>1998</v>
      </c>
      <c r="B148" t="s">
        <v>854</v>
      </c>
      <c r="C148" t="s">
        <v>1837</v>
      </c>
      <c r="D148" t="s">
        <v>3617</v>
      </c>
      <c r="E148" t="s">
        <v>3621</v>
      </c>
      <c r="G148">
        <v>5</v>
      </c>
      <c r="H148">
        <v>5</v>
      </c>
      <c r="I148" s="2">
        <v>45787</v>
      </c>
      <c r="J148">
        <v>5</v>
      </c>
      <c r="K148">
        <v>3970</v>
      </c>
      <c r="L148">
        <v>3535</v>
      </c>
      <c r="N148">
        <v>5</v>
      </c>
      <c r="O148">
        <v>5</v>
      </c>
      <c r="P148">
        <v>5</v>
      </c>
      <c r="Q148">
        <v>5</v>
      </c>
    </row>
    <row r="149" spans="1:17" x14ac:dyDescent="0.25">
      <c r="A149" t="s">
        <v>1998</v>
      </c>
      <c r="B149" t="s">
        <v>855</v>
      </c>
      <c r="C149" t="s">
        <v>1837</v>
      </c>
      <c r="D149" t="s">
        <v>3617</v>
      </c>
      <c r="E149" t="s">
        <v>3621</v>
      </c>
      <c r="G149">
        <v>5</v>
      </c>
      <c r="H149">
        <v>5</v>
      </c>
      <c r="I149" s="2">
        <v>45780</v>
      </c>
      <c r="J149">
        <v>15</v>
      </c>
      <c r="K149">
        <v>3970</v>
      </c>
      <c r="L149">
        <v>3535</v>
      </c>
      <c r="N149">
        <v>5</v>
      </c>
      <c r="O149">
        <v>5</v>
      </c>
      <c r="P149">
        <v>5</v>
      </c>
      <c r="Q149">
        <v>5</v>
      </c>
    </row>
    <row r="150" spans="1:17" x14ac:dyDescent="0.25">
      <c r="A150" t="s">
        <v>1998</v>
      </c>
      <c r="B150" t="s">
        <v>856</v>
      </c>
      <c r="C150" t="s">
        <v>1837</v>
      </c>
      <c r="D150" t="s">
        <v>3617</v>
      </c>
      <c r="E150" t="s">
        <v>3621</v>
      </c>
      <c r="G150">
        <v>5</v>
      </c>
      <c r="H150">
        <v>5</v>
      </c>
      <c r="I150" s="2">
        <v>45787</v>
      </c>
      <c r="J150">
        <v>10</v>
      </c>
      <c r="K150">
        <v>3970</v>
      </c>
      <c r="L150">
        <v>3535</v>
      </c>
      <c r="N150">
        <v>5</v>
      </c>
      <c r="O150">
        <v>5</v>
      </c>
      <c r="P150">
        <v>5</v>
      </c>
      <c r="Q150">
        <v>5</v>
      </c>
    </row>
    <row r="151" spans="1:17" x14ac:dyDescent="0.25">
      <c r="A151" t="s">
        <v>1998</v>
      </c>
      <c r="B151" t="s">
        <v>857</v>
      </c>
      <c r="C151" t="s">
        <v>1837</v>
      </c>
      <c r="D151" t="s">
        <v>3617</v>
      </c>
      <c r="E151" t="s">
        <v>3621</v>
      </c>
      <c r="G151">
        <v>5</v>
      </c>
      <c r="H151">
        <v>5</v>
      </c>
      <c r="I151" s="2">
        <v>45780</v>
      </c>
      <c r="J151">
        <v>20</v>
      </c>
      <c r="K151">
        <v>3970</v>
      </c>
      <c r="L151">
        <v>3535</v>
      </c>
      <c r="N151">
        <v>5</v>
      </c>
      <c r="O151">
        <v>5</v>
      </c>
      <c r="P151">
        <v>5</v>
      </c>
      <c r="Q151">
        <v>5</v>
      </c>
    </row>
    <row r="152" spans="1:17" x14ac:dyDescent="0.25">
      <c r="A152" t="s">
        <v>1998</v>
      </c>
      <c r="B152" t="s">
        <v>858</v>
      </c>
      <c r="C152" t="s">
        <v>1837</v>
      </c>
      <c r="D152" t="s">
        <v>3617</v>
      </c>
      <c r="E152" t="s">
        <v>3621</v>
      </c>
      <c r="G152">
        <v>5</v>
      </c>
      <c r="H152">
        <v>5</v>
      </c>
      <c r="I152" s="2">
        <v>45780</v>
      </c>
      <c r="J152">
        <v>20</v>
      </c>
      <c r="K152">
        <v>3970</v>
      </c>
      <c r="L152">
        <v>3535</v>
      </c>
      <c r="N152">
        <v>5</v>
      </c>
      <c r="O152">
        <v>5</v>
      </c>
      <c r="P152">
        <v>5</v>
      </c>
      <c r="Q152">
        <v>5</v>
      </c>
    </row>
    <row r="153" spans="1:17" x14ac:dyDescent="0.25">
      <c r="A153" t="s">
        <v>1998</v>
      </c>
      <c r="B153" t="s">
        <v>859</v>
      </c>
      <c r="C153" t="s">
        <v>1837</v>
      </c>
      <c r="D153" t="s">
        <v>3617</v>
      </c>
      <c r="E153" t="s">
        <v>3621</v>
      </c>
      <c r="G153">
        <v>5</v>
      </c>
      <c r="H153">
        <v>5</v>
      </c>
      <c r="I153" s="2">
        <v>45780</v>
      </c>
      <c r="J153">
        <v>25</v>
      </c>
      <c r="K153">
        <v>3970</v>
      </c>
      <c r="L153">
        <v>3535</v>
      </c>
      <c r="N153">
        <v>5</v>
      </c>
      <c r="O153">
        <v>5</v>
      </c>
      <c r="P153">
        <v>5</v>
      </c>
      <c r="Q153">
        <v>5</v>
      </c>
    </row>
    <row r="154" spans="1:17" x14ac:dyDescent="0.25">
      <c r="A154" t="s">
        <v>1998</v>
      </c>
      <c r="B154" t="s">
        <v>860</v>
      </c>
      <c r="C154" t="s">
        <v>1837</v>
      </c>
      <c r="D154" t="s">
        <v>3617</v>
      </c>
      <c r="E154" t="s">
        <v>3621</v>
      </c>
      <c r="G154">
        <v>5</v>
      </c>
      <c r="H154">
        <v>5</v>
      </c>
      <c r="I154" s="2">
        <v>45787</v>
      </c>
      <c r="J154">
        <v>0</v>
      </c>
      <c r="K154">
        <v>3970</v>
      </c>
      <c r="L154">
        <v>3535</v>
      </c>
      <c r="N154">
        <v>5</v>
      </c>
      <c r="O154">
        <v>5</v>
      </c>
      <c r="P154">
        <v>5</v>
      </c>
      <c r="Q154">
        <v>5</v>
      </c>
    </row>
    <row r="155" spans="1:17" x14ac:dyDescent="0.25">
      <c r="A155" t="s">
        <v>1998</v>
      </c>
      <c r="B155" t="s">
        <v>909</v>
      </c>
      <c r="C155" t="s">
        <v>3551</v>
      </c>
      <c r="D155" t="s">
        <v>3608</v>
      </c>
      <c r="E155" t="s">
        <v>3621</v>
      </c>
      <c r="G155">
        <v>5</v>
      </c>
      <c r="H155">
        <v>5</v>
      </c>
      <c r="I155" s="2">
        <v>45787</v>
      </c>
      <c r="J155">
        <v>-330</v>
      </c>
      <c r="K155">
        <v>20890</v>
      </c>
      <c r="L155">
        <v>17940</v>
      </c>
      <c r="N155">
        <v>10</v>
      </c>
      <c r="O155">
        <v>5</v>
      </c>
      <c r="P155">
        <v>55</v>
      </c>
      <c r="Q155">
        <v>10</v>
      </c>
    </row>
    <row r="156" spans="1:17" x14ac:dyDescent="0.25">
      <c r="A156" t="s">
        <v>1998</v>
      </c>
      <c r="B156" t="s">
        <v>914</v>
      </c>
      <c r="C156" t="s">
        <v>3551</v>
      </c>
      <c r="D156" t="s">
        <v>3608</v>
      </c>
      <c r="E156" t="s">
        <v>3621</v>
      </c>
      <c r="G156">
        <v>5</v>
      </c>
      <c r="H156">
        <v>5</v>
      </c>
      <c r="I156" s="2">
        <v>45787</v>
      </c>
      <c r="J156">
        <v>-120</v>
      </c>
      <c r="K156">
        <v>20890</v>
      </c>
      <c r="L156">
        <v>17940</v>
      </c>
      <c r="N156">
        <v>15</v>
      </c>
      <c r="O156">
        <v>5</v>
      </c>
      <c r="P156">
        <v>55</v>
      </c>
      <c r="Q156">
        <v>10</v>
      </c>
    </row>
    <row r="157" spans="1:17" x14ac:dyDescent="0.25">
      <c r="A157" t="s">
        <v>1998</v>
      </c>
      <c r="B157" t="s">
        <v>927</v>
      </c>
      <c r="C157" t="s">
        <v>3551</v>
      </c>
      <c r="D157" t="s">
        <v>3608</v>
      </c>
      <c r="E157" t="s">
        <v>3621</v>
      </c>
      <c r="G157">
        <v>5</v>
      </c>
      <c r="H157">
        <v>5</v>
      </c>
      <c r="I157" s="2">
        <v>45787</v>
      </c>
      <c r="J157">
        <v>55</v>
      </c>
      <c r="K157">
        <v>20890</v>
      </c>
      <c r="L157">
        <v>17940</v>
      </c>
      <c r="N157">
        <v>15</v>
      </c>
      <c r="O157">
        <v>5</v>
      </c>
      <c r="P157">
        <v>55</v>
      </c>
      <c r="Q157">
        <v>10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069A3-9C27-4805-8C97-BA389C387EDA}">
  <dimension ref="A1:K4166"/>
  <sheetViews>
    <sheetView workbookViewId="0">
      <selection activeCell="E14" sqref="E14"/>
    </sheetView>
  </sheetViews>
  <sheetFormatPr defaultRowHeight="15" x14ac:dyDescent="0.25"/>
  <cols>
    <col min="1" max="1" width="9.85546875" bestFit="1" customWidth="1"/>
    <col min="2" max="2" width="9.5703125" bestFit="1" customWidth="1"/>
    <col min="3" max="3" width="23.7109375" bestFit="1" customWidth="1"/>
    <col min="4" max="4" width="9.7109375" bestFit="1" customWidth="1"/>
    <col min="5" max="5" width="21.85546875" bestFit="1" customWidth="1"/>
    <col min="6" max="6" width="20.5703125" bestFit="1" customWidth="1"/>
    <col min="7" max="7" width="20.28515625" bestFit="1" customWidth="1"/>
    <col min="8" max="8" width="20.85546875" bestFit="1" customWidth="1"/>
    <col min="9" max="9" width="15.140625" bestFit="1" customWidth="1"/>
    <col min="10" max="10" width="17.140625" bestFit="1" customWidth="1"/>
    <col min="11" max="11" width="24.5703125" bestFit="1" customWidth="1"/>
    <col min="12" max="12" width="9.5703125" bestFit="1" customWidth="1"/>
    <col min="13" max="13" width="23.7109375" bestFit="1" customWidth="1"/>
    <col min="14" max="14" width="8.85546875" bestFit="1" customWidth="1"/>
    <col min="15" max="15" width="21.85546875" bestFit="1" customWidth="1"/>
    <col min="16" max="16" width="14" bestFit="1" customWidth="1"/>
    <col min="17" max="17" width="14.28515625" bestFit="1" customWidth="1"/>
    <col min="18" max="18" width="12" bestFit="1" customWidth="1"/>
    <col min="19" max="19" width="9.5703125" bestFit="1" customWidth="1"/>
    <col min="20" max="20" width="15.85546875" bestFit="1" customWidth="1"/>
    <col min="21" max="21" width="15" bestFit="1" customWidth="1"/>
    <col min="22" max="22" width="15.140625" bestFit="1" customWidth="1"/>
    <col min="23" max="23" width="14.42578125" bestFit="1" customWidth="1"/>
    <col min="24" max="24" width="12.85546875" bestFit="1" customWidth="1"/>
    <col min="25" max="25" width="28.140625" bestFit="1" customWidth="1"/>
    <col min="26" max="26" width="12.85546875" bestFit="1" customWidth="1"/>
  </cols>
  <sheetData>
    <row r="1" spans="1:11" x14ac:dyDescent="0.25">
      <c r="A1" t="s">
        <v>28</v>
      </c>
      <c r="B1" t="s">
        <v>29</v>
      </c>
    </row>
    <row r="2" spans="1:11" x14ac:dyDescent="0.25">
      <c r="A2" t="s">
        <v>47</v>
      </c>
      <c r="B2" t="str">
        <f ca="1">TEXT(TODAY() -60, "yyyymmdd")</f>
        <v>20250628</v>
      </c>
      <c r="C2" t="s">
        <v>32</v>
      </c>
    </row>
    <row r="3" spans="1:11" x14ac:dyDescent="0.25">
      <c r="A3" t="s">
        <v>46</v>
      </c>
      <c r="B3" t="str">
        <f ca="1">TEXT(TODAY(), "YYYYMMDD")</f>
        <v>20250827</v>
      </c>
    </row>
    <row r="5" spans="1:11" x14ac:dyDescent="0.25">
      <c r="A5" t="s">
        <v>49</v>
      </c>
      <c r="B5" t="s">
        <v>50</v>
      </c>
      <c r="C5" t="s">
        <v>51</v>
      </c>
      <c r="D5" t="s">
        <v>55</v>
      </c>
      <c r="E5" t="s">
        <v>52</v>
      </c>
      <c r="F5" t="s">
        <v>56</v>
      </c>
      <c r="G5" t="s">
        <v>57</v>
      </c>
      <c r="H5" t="s">
        <v>53</v>
      </c>
      <c r="I5" t="s">
        <v>58</v>
      </c>
      <c r="J5" t="s">
        <v>54</v>
      </c>
      <c r="K5" t="s">
        <v>59</v>
      </c>
    </row>
    <row r="6" spans="1:11" x14ac:dyDescent="0.25">
      <c r="A6" s="1" t="s">
        <v>790</v>
      </c>
      <c r="B6" s="1"/>
      <c r="C6" s="1" t="s">
        <v>2808</v>
      </c>
      <c r="D6" s="1" t="s">
        <v>3370</v>
      </c>
      <c r="E6" s="1"/>
      <c r="F6">
        <v>0</v>
      </c>
      <c r="G6">
        <v>0</v>
      </c>
      <c r="H6">
        <v>0</v>
      </c>
      <c r="I6">
        <v>0</v>
      </c>
      <c r="J6">
        <v>6</v>
      </c>
      <c r="K6" s="2">
        <v>45783</v>
      </c>
    </row>
    <row r="7" spans="1:11" x14ac:dyDescent="0.25">
      <c r="A7" s="1" t="s">
        <v>790</v>
      </c>
      <c r="B7" s="1"/>
      <c r="C7" s="1" t="s">
        <v>2809</v>
      </c>
      <c r="D7" s="1" t="s">
        <v>3371</v>
      </c>
      <c r="E7" s="1"/>
      <c r="F7">
        <v>0.9</v>
      </c>
      <c r="G7">
        <v>0</v>
      </c>
      <c r="H7">
        <v>60</v>
      </c>
      <c r="I7">
        <v>0</v>
      </c>
      <c r="J7">
        <v>6</v>
      </c>
      <c r="K7" s="2">
        <v>45778</v>
      </c>
    </row>
    <row r="8" spans="1:11" x14ac:dyDescent="0.25">
      <c r="A8" s="1" t="s">
        <v>790</v>
      </c>
      <c r="B8" s="1"/>
      <c r="C8" s="1" t="s">
        <v>2810</v>
      </c>
      <c r="D8" s="1" t="s">
        <v>3372</v>
      </c>
      <c r="E8" s="1"/>
      <c r="F8">
        <v>2</v>
      </c>
      <c r="G8">
        <v>0</v>
      </c>
      <c r="H8">
        <v>100</v>
      </c>
      <c r="I8">
        <v>0</v>
      </c>
      <c r="J8">
        <v>6</v>
      </c>
      <c r="K8" s="2">
        <v>45778</v>
      </c>
    </row>
    <row r="9" spans="1:11" x14ac:dyDescent="0.25">
      <c r="A9" s="1" t="s">
        <v>790</v>
      </c>
      <c r="B9" s="1"/>
      <c r="C9" s="1" t="s">
        <v>2811</v>
      </c>
      <c r="D9" s="1" t="s">
        <v>3373</v>
      </c>
      <c r="E9" s="1"/>
      <c r="F9">
        <v>0</v>
      </c>
      <c r="G9">
        <v>0.6</v>
      </c>
      <c r="H9">
        <v>-45</v>
      </c>
      <c r="I9">
        <v>0</v>
      </c>
      <c r="J9">
        <v>6</v>
      </c>
      <c r="K9" s="2">
        <v>45779</v>
      </c>
    </row>
    <row r="10" spans="1:11" x14ac:dyDescent="0.25">
      <c r="A10" s="1" t="s">
        <v>790</v>
      </c>
      <c r="B10" s="1"/>
      <c r="C10" s="1" t="s">
        <v>2812</v>
      </c>
      <c r="D10" s="1" t="s">
        <v>3374</v>
      </c>
      <c r="E10" s="1"/>
      <c r="F10">
        <v>0.3</v>
      </c>
      <c r="G10">
        <v>0</v>
      </c>
      <c r="H10">
        <v>20</v>
      </c>
      <c r="I10">
        <v>0</v>
      </c>
      <c r="J10">
        <v>6</v>
      </c>
      <c r="K10" s="2">
        <v>45782</v>
      </c>
    </row>
    <row r="11" spans="1:11" x14ac:dyDescent="0.25">
      <c r="A11" s="1" t="s">
        <v>790</v>
      </c>
      <c r="B11" s="1"/>
      <c r="C11" s="1" t="s">
        <v>2813</v>
      </c>
      <c r="D11" s="1" t="s">
        <v>3375</v>
      </c>
      <c r="E11" s="1"/>
      <c r="F11">
        <v>2.6</v>
      </c>
      <c r="G11">
        <v>0</v>
      </c>
      <c r="H11">
        <v>140</v>
      </c>
      <c r="I11">
        <v>0</v>
      </c>
      <c r="J11">
        <v>6</v>
      </c>
      <c r="K11" s="2">
        <v>45782</v>
      </c>
    </row>
    <row r="12" spans="1:11" x14ac:dyDescent="0.25">
      <c r="A12" s="1" t="s">
        <v>790</v>
      </c>
      <c r="B12" s="1"/>
      <c r="C12" s="1" t="s">
        <v>2814</v>
      </c>
      <c r="D12" s="1" t="s">
        <v>3372</v>
      </c>
      <c r="E12" s="1"/>
      <c r="F12">
        <v>3</v>
      </c>
      <c r="G12">
        <v>0</v>
      </c>
      <c r="H12">
        <v>155</v>
      </c>
      <c r="I12">
        <v>0</v>
      </c>
      <c r="J12">
        <v>6</v>
      </c>
      <c r="K12" s="2">
        <v>45787</v>
      </c>
    </row>
    <row r="13" spans="1:11" x14ac:dyDescent="0.25">
      <c r="A13" s="1" t="s">
        <v>524</v>
      </c>
      <c r="B13" s="1"/>
      <c r="C13" s="1" t="s">
        <v>2808</v>
      </c>
      <c r="D13" s="1" t="s">
        <v>3370</v>
      </c>
      <c r="E13" s="1"/>
      <c r="F13">
        <v>0</v>
      </c>
      <c r="G13">
        <v>0</v>
      </c>
      <c r="H13">
        <v>0</v>
      </c>
      <c r="I13">
        <v>0</v>
      </c>
      <c r="J13">
        <v>50</v>
      </c>
      <c r="K13" s="2">
        <v>45775</v>
      </c>
    </row>
    <row r="14" spans="1:11" x14ac:dyDescent="0.25">
      <c r="A14" s="1" t="s">
        <v>524</v>
      </c>
      <c r="B14" s="1"/>
      <c r="C14" s="1" t="s">
        <v>2815</v>
      </c>
      <c r="D14" s="1" t="s">
        <v>3376</v>
      </c>
      <c r="E14" s="1"/>
      <c r="F14">
        <v>3.7</v>
      </c>
      <c r="G14">
        <v>6.8</v>
      </c>
      <c r="H14">
        <v>-150</v>
      </c>
      <c r="I14">
        <v>0</v>
      </c>
      <c r="J14">
        <v>50</v>
      </c>
      <c r="K14" s="2">
        <v>45777</v>
      </c>
    </row>
    <row r="15" spans="1:11" x14ac:dyDescent="0.25">
      <c r="A15" s="1" t="s">
        <v>524</v>
      </c>
      <c r="B15" s="1"/>
      <c r="C15" s="1" t="s">
        <v>2816</v>
      </c>
      <c r="D15" s="1" t="s">
        <v>3372</v>
      </c>
      <c r="E15" s="1"/>
      <c r="F15">
        <v>0.3</v>
      </c>
      <c r="G15">
        <v>0</v>
      </c>
      <c r="H15">
        <v>15</v>
      </c>
      <c r="I15">
        <v>0</v>
      </c>
      <c r="J15">
        <v>50</v>
      </c>
      <c r="K15" s="2">
        <v>45777</v>
      </c>
    </row>
    <row r="16" spans="1:11" x14ac:dyDescent="0.25">
      <c r="A16" s="1" t="s">
        <v>524</v>
      </c>
      <c r="B16" s="1"/>
      <c r="C16" s="1" t="s">
        <v>2817</v>
      </c>
      <c r="D16" s="1" t="s">
        <v>3377</v>
      </c>
      <c r="E16" s="1"/>
      <c r="F16">
        <v>0.3</v>
      </c>
      <c r="G16">
        <v>0.2</v>
      </c>
      <c r="H16">
        <v>5</v>
      </c>
      <c r="I16">
        <v>0</v>
      </c>
      <c r="J16">
        <v>50</v>
      </c>
      <c r="K16" s="2">
        <v>45782</v>
      </c>
    </row>
    <row r="17" spans="1:11" x14ac:dyDescent="0.25">
      <c r="A17" s="1" t="s">
        <v>811</v>
      </c>
      <c r="B17" s="1"/>
      <c r="C17" s="1" t="s">
        <v>2808</v>
      </c>
      <c r="D17" s="1" t="s">
        <v>3370</v>
      </c>
      <c r="E17" s="1"/>
      <c r="F17">
        <v>0</v>
      </c>
      <c r="G17">
        <v>0</v>
      </c>
      <c r="H17">
        <v>0</v>
      </c>
      <c r="I17">
        <v>0</v>
      </c>
      <c r="J17">
        <v>100</v>
      </c>
      <c r="K17" s="2">
        <v>45784</v>
      </c>
    </row>
    <row r="18" spans="1:11" x14ac:dyDescent="0.25">
      <c r="A18" s="1" t="s">
        <v>811</v>
      </c>
      <c r="B18" s="1"/>
      <c r="C18" s="1" t="s">
        <v>2815</v>
      </c>
      <c r="D18" s="1" t="s">
        <v>3378</v>
      </c>
      <c r="E18" s="1"/>
      <c r="F18">
        <v>6.9</v>
      </c>
      <c r="G18">
        <v>10.199999999999999</v>
      </c>
      <c r="H18">
        <v>-155</v>
      </c>
      <c r="I18">
        <v>0</v>
      </c>
      <c r="J18">
        <v>100</v>
      </c>
      <c r="K18" s="2">
        <v>45786</v>
      </c>
    </row>
    <row r="19" spans="1:11" x14ac:dyDescent="0.25">
      <c r="A19" s="1" t="s">
        <v>811</v>
      </c>
      <c r="B19" s="1"/>
      <c r="C19" s="1" t="s">
        <v>2816</v>
      </c>
      <c r="D19" s="1" t="s">
        <v>3372</v>
      </c>
      <c r="E19" s="1"/>
      <c r="F19">
        <v>0.3</v>
      </c>
      <c r="G19">
        <v>0.8</v>
      </c>
      <c r="H19">
        <v>-25</v>
      </c>
      <c r="I19">
        <v>0</v>
      </c>
      <c r="J19">
        <v>100</v>
      </c>
      <c r="K19" s="2">
        <v>45786</v>
      </c>
    </row>
    <row r="20" spans="1:11" x14ac:dyDescent="0.25">
      <c r="A20" s="1" t="s">
        <v>167</v>
      </c>
      <c r="B20" s="1"/>
      <c r="C20" s="1" t="s">
        <v>2815</v>
      </c>
      <c r="D20" s="1" t="s">
        <v>3379</v>
      </c>
      <c r="E20" s="1"/>
      <c r="F20">
        <v>0.5</v>
      </c>
      <c r="G20">
        <v>0</v>
      </c>
      <c r="H20">
        <v>25</v>
      </c>
      <c r="I20">
        <v>0</v>
      </c>
      <c r="J20">
        <v>0</v>
      </c>
      <c r="K20" s="2">
        <v>45782</v>
      </c>
    </row>
    <row r="21" spans="1:11" x14ac:dyDescent="0.25">
      <c r="A21" s="1" t="s">
        <v>167</v>
      </c>
      <c r="B21" s="1"/>
      <c r="C21" s="1" t="s">
        <v>2816</v>
      </c>
      <c r="D21" s="1" t="s">
        <v>3372</v>
      </c>
      <c r="E21" s="1"/>
      <c r="F21">
        <v>0.3</v>
      </c>
      <c r="G21">
        <v>0</v>
      </c>
      <c r="H21">
        <v>15</v>
      </c>
      <c r="I21">
        <v>0</v>
      </c>
      <c r="J21">
        <v>0</v>
      </c>
      <c r="K21" s="2">
        <v>45782</v>
      </c>
    </row>
    <row r="22" spans="1:11" x14ac:dyDescent="0.25">
      <c r="A22" s="1" t="s">
        <v>167</v>
      </c>
      <c r="B22" s="1"/>
      <c r="C22" s="1" t="s">
        <v>2817</v>
      </c>
      <c r="D22" s="1" t="s">
        <v>3377</v>
      </c>
      <c r="E22" s="1"/>
      <c r="F22">
        <v>0.3</v>
      </c>
      <c r="G22">
        <v>0</v>
      </c>
      <c r="H22">
        <v>15</v>
      </c>
      <c r="I22">
        <v>0</v>
      </c>
      <c r="J22">
        <v>0</v>
      </c>
      <c r="K22" s="2">
        <v>45782</v>
      </c>
    </row>
    <row r="23" spans="1:11" x14ac:dyDescent="0.25">
      <c r="A23" s="1" t="s">
        <v>636</v>
      </c>
      <c r="B23" s="1"/>
      <c r="C23" s="1" t="s">
        <v>2808</v>
      </c>
      <c r="D23" s="1" t="s">
        <v>3370</v>
      </c>
      <c r="E23" s="1"/>
      <c r="F23">
        <v>0</v>
      </c>
      <c r="G23">
        <v>0</v>
      </c>
      <c r="H23">
        <v>0</v>
      </c>
      <c r="I23">
        <v>0</v>
      </c>
      <c r="J23">
        <v>27</v>
      </c>
      <c r="K23" s="2">
        <v>45786</v>
      </c>
    </row>
    <row r="24" spans="1:11" x14ac:dyDescent="0.25">
      <c r="A24" s="1" t="s">
        <v>636</v>
      </c>
      <c r="B24" s="1"/>
      <c r="C24" s="1" t="s">
        <v>2818</v>
      </c>
      <c r="D24" s="1" t="s">
        <v>3380</v>
      </c>
      <c r="E24" s="1"/>
      <c r="F24">
        <v>4.3</v>
      </c>
      <c r="G24">
        <v>1.8</v>
      </c>
      <c r="H24">
        <v>125</v>
      </c>
      <c r="I24">
        <v>0</v>
      </c>
      <c r="J24">
        <v>27</v>
      </c>
      <c r="K24" s="2">
        <v>45789</v>
      </c>
    </row>
    <row r="25" spans="1:11" x14ac:dyDescent="0.25">
      <c r="A25" s="1" t="s">
        <v>591</v>
      </c>
      <c r="B25" s="1"/>
      <c r="C25" s="1" t="s">
        <v>2808</v>
      </c>
      <c r="D25" s="1" t="s">
        <v>3370</v>
      </c>
      <c r="E25" s="1"/>
      <c r="F25">
        <v>0</v>
      </c>
      <c r="G25">
        <v>0</v>
      </c>
      <c r="H25">
        <v>0</v>
      </c>
      <c r="I25">
        <v>0</v>
      </c>
      <c r="J25">
        <v>400</v>
      </c>
      <c r="K25" s="2">
        <v>45762</v>
      </c>
    </row>
    <row r="26" spans="1:11" x14ac:dyDescent="0.25">
      <c r="A26" s="1" t="s">
        <v>800</v>
      </c>
      <c r="B26" s="1"/>
      <c r="C26" s="1" t="s">
        <v>2808</v>
      </c>
      <c r="D26" s="1" t="s">
        <v>3370</v>
      </c>
      <c r="E26" s="1"/>
      <c r="F26">
        <v>0</v>
      </c>
      <c r="G26">
        <v>0</v>
      </c>
      <c r="H26">
        <v>0</v>
      </c>
      <c r="I26">
        <v>0</v>
      </c>
      <c r="J26">
        <v>300</v>
      </c>
      <c r="K26" s="2">
        <v>45777</v>
      </c>
    </row>
    <row r="27" spans="1:11" x14ac:dyDescent="0.25">
      <c r="A27" s="1" t="s">
        <v>800</v>
      </c>
      <c r="B27" s="1"/>
      <c r="C27" s="1" t="s">
        <v>2819</v>
      </c>
      <c r="D27" s="1" t="s">
        <v>3376</v>
      </c>
      <c r="E27" s="1"/>
      <c r="F27">
        <v>34.299999999999997</v>
      </c>
      <c r="G27">
        <v>28.3</v>
      </c>
      <c r="H27">
        <v>295</v>
      </c>
      <c r="I27">
        <v>0</v>
      </c>
      <c r="J27">
        <v>300</v>
      </c>
      <c r="K27" s="2">
        <v>45785</v>
      </c>
    </row>
    <row r="28" spans="1:11" x14ac:dyDescent="0.25">
      <c r="A28" s="1" t="s">
        <v>800</v>
      </c>
      <c r="B28" s="1"/>
      <c r="C28" s="1" t="s">
        <v>2816</v>
      </c>
      <c r="D28" s="1" t="s">
        <v>3372</v>
      </c>
      <c r="E28" s="1"/>
      <c r="F28">
        <v>1</v>
      </c>
      <c r="G28">
        <v>0.5</v>
      </c>
      <c r="H28">
        <v>30</v>
      </c>
      <c r="I28">
        <v>0</v>
      </c>
      <c r="J28">
        <v>300</v>
      </c>
      <c r="K28" s="2">
        <v>45783</v>
      </c>
    </row>
    <row r="29" spans="1:11" x14ac:dyDescent="0.25">
      <c r="A29" s="1" t="s">
        <v>800</v>
      </c>
      <c r="B29" s="1"/>
      <c r="C29" s="1" t="s">
        <v>2817</v>
      </c>
      <c r="D29" s="1" t="s">
        <v>3377</v>
      </c>
      <c r="E29" s="1"/>
      <c r="F29">
        <v>3.5</v>
      </c>
      <c r="G29">
        <v>1.4</v>
      </c>
      <c r="H29">
        <v>110</v>
      </c>
      <c r="I29">
        <v>0</v>
      </c>
      <c r="J29">
        <v>300</v>
      </c>
      <c r="K29" s="2">
        <v>45785</v>
      </c>
    </row>
    <row r="30" spans="1:11" x14ac:dyDescent="0.25">
      <c r="A30" s="1" t="s">
        <v>908</v>
      </c>
      <c r="B30" s="1"/>
      <c r="C30" s="1" t="s">
        <v>2808</v>
      </c>
      <c r="D30" s="1" t="s">
        <v>3370</v>
      </c>
      <c r="E30" s="1"/>
      <c r="F30">
        <v>0</v>
      </c>
      <c r="G30">
        <v>0</v>
      </c>
      <c r="H30">
        <v>0</v>
      </c>
      <c r="I30">
        <v>0</v>
      </c>
      <c r="J30">
        <v>300</v>
      </c>
      <c r="K30" s="2">
        <v>45785</v>
      </c>
    </row>
    <row r="31" spans="1:11" x14ac:dyDescent="0.25">
      <c r="A31" s="1" t="s">
        <v>725</v>
      </c>
      <c r="B31" s="1"/>
      <c r="C31" s="1" t="s">
        <v>2808</v>
      </c>
      <c r="D31" s="1" t="s">
        <v>3370</v>
      </c>
      <c r="E31" s="1"/>
      <c r="F31">
        <v>0</v>
      </c>
      <c r="G31">
        <v>0</v>
      </c>
      <c r="H31">
        <v>0</v>
      </c>
      <c r="I31">
        <v>0</v>
      </c>
      <c r="J31">
        <v>100</v>
      </c>
      <c r="K31" s="2">
        <v>45771</v>
      </c>
    </row>
    <row r="32" spans="1:11" x14ac:dyDescent="0.25">
      <c r="A32" s="1" t="s">
        <v>725</v>
      </c>
      <c r="B32" s="1"/>
      <c r="C32" s="1" t="s">
        <v>2820</v>
      </c>
      <c r="D32" s="1" t="s">
        <v>3381</v>
      </c>
      <c r="E32" s="1"/>
      <c r="F32">
        <v>1.3</v>
      </c>
      <c r="G32">
        <v>1.3</v>
      </c>
      <c r="H32">
        <v>0</v>
      </c>
      <c r="I32">
        <v>0</v>
      </c>
      <c r="J32">
        <v>100</v>
      </c>
      <c r="K32" s="2">
        <v>45779</v>
      </c>
    </row>
    <row r="33" spans="1:11" x14ac:dyDescent="0.25">
      <c r="A33" s="1" t="s">
        <v>725</v>
      </c>
      <c r="B33" s="1"/>
      <c r="C33" s="1" t="s">
        <v>2821</v>
      </c>
      <c r="D33" s="1" t="s">
        <v>3382</v>
      </c>
      <c r="E33" s="1"/>
      <c r="F33">
        <v>2.4</v>
      </c>
      <c r="G33">
        <v>2.4</v>
      </c>
      <c r="H33">
        <v>5</v>
      </c>
      <c r="I33">
        <v>0</v>
      </c>
      <c r="J33">
        <v>100</v>
      </c>
      <c r="K33" s="2">
        <v>45779</v>
      </c>
    </row>
    <row r="34" spans="1:11" x14ac:dyDescent="0.25">
      <c r="A34" s="1" t="s">
        <v>725</v>
      </c>
      <c r="B34" s="1"/>
      <c r="C34" s="1" t="s">
        <v>2816</v>
      </c>
      <c r="D34" s="1" t="s">
        <v>3372</v>
      </c>
      <c r="E34" s="1"/>
      <c r="F34">
        <v>0.3</v>
      </c>
      <c r="G34">
        <v>1.4</v>
      </c>
      <c r="H34">
        <v>-55</v>
      </c>
      <c r="I34">
        <v>0</v>
      </c>
      <c r="J34">
        <v>100</v>
      </c>
      <c r="K34" s="2">
        <v>45779</v>
      </c>
    </row>
    <row r="35" spans="1:11" x14ac:dyDescent="0.25">
      <c r="A35" s="1" t="s">
        <v>725</v>
      </c>
      <c r="B35" s="1"/>
      <c r="C35" s="1" t="s">
        <v>2817</v>
      </c>
      <c r="D35" s="1" t="s">
        <v>3383</v>
      </c>
      <c r="E35" s="1"/>
      <c r="F35">
        <v>0.8</v>
      </c>
      <c r="G35">
        <v>1</v>
      </c>
      <c r="H35">
        <v>-5</v>
      </c>
      <c r="I35">
        <v>0</v>
      </c>
      <c r="J35">
        <v>100</v>
      </c>
      <c r="K35" s="2">
        <v>45784</v>
      </c>
    </row>
    <row r="36" spans="1:11" x14ac:dyDescent="0.25">
      <c r="A36" s="1" t="s">
        <v>923</v>
      </c>
      <c r="B36" s="1"/>
      <c r="C36" s="1" t="s">
        <v>2808</v>
      </c>
      <c r="D36" s="1" t="s">
        <v>3370</v>
      </c>
      <c r="E36" s="1"/>
      <c r="F36">
        <v>0</v>
      </c>
      <c r="G36">
        <v>0</v>
      </c>
      <c r="H36">
        <v>0</v>
      </c>
      <c r="I36">
        <v>0</v>
      </c>
      <c r="J36">
        <v>250</v>
      </c>
      <c r="K36" s="2">
        <v>45785</v>
      </c>
    </row>
    <row r="37" spans="1:11" x14ac:dyDescent="0.25">
      <c r="A37" s="1" t="s">
        <v>923</v>
      </c>
      <c r="B37" s="1"/>
      <c r="C37" s="1" t="s">
        <v>2820</v>
      </c>
      <c r="D37" s="1" t="s">
        <v>3381</v>
      </c>
      <c r="E37" s="1"/>
      <c r="F37">
        <v>2.8</v>
      </c>
      <c r="G37">
        <v>2.7</v>
      </c>
      <c r="H37">
        <v>5</v>
      </c>
      <c r="I37">
        <v>0</v>
      </c>
      <c r="J37">
        <v>250</v>
      </c>
      <c r="K37" s="2">
        <v>45786</v>
      </c>
    </row>
    <row r="38" spans="1:11" x14ac:dyDescent="0.25">
      <c r="A38" s="1" t="s">
        <v>650</v>
      </c>
      <c r="B38" s="1"/>
      <c r="C38" s="1" t="s">
        <v>2808</v>
      </c>
      <c r="D38" s="1" t="s">
        <v>3370</v>
      </c>
      <c r="E38" s="1"/>
      <c r="F38">
        <v>0</v>
      </c>
      <c r="G38">
        <v>0</v>
      </c>
      <c r="H38">
        <v>0</v>
      </c>
      <c r="I38">
        <v>0</v>
      </c>
      <c r="J38">
        <v>500</v>
      </c>
      <c r="K38" s="2">
        <v>45763</v>
      </c>
    </row>
    <row r="39" spans="1:11" x14ac:dyDescent="0.25">
      <c r="A39" s="1" t="s">
        <v>650</v>
      </c>
      <c r="B39" s="1"/>
      <c r="C39" s="1" t="s">
        <v>2820</v>
      </c>
      <c r="D39" s="1" t="s">
        <v>3381</v>
      </c>
      <c r="E39" s="1"/>
      <c r="F39">
        <v>5.3</v>
      </c>
      <c r="G39">
        <v>2.5</v>
      </c>
      <c r="H39">
        <v>135</v>
      </c>
      <c r="I39">
        <v>0</v>
      </c>
      <c r="J39">
        <v>500</v>
      </c>
      <c r="K39" s="2">
        <v>45764</v>
      </c>
    </row>
    <row r="40" spans="1:11" x14ac:dyDescent="0.25">
      <c r="A40" s="1" t="s">
        <v>650</v>
      </c>
      <c r="B40" s="1"/>
      <c r="C40" s="1" t="s">
        <v>2822</v>
      </c>
      <c r="D40" s="1" t="s">
        <v>3384</v>
      </c>
      <c r="E40" s="1"/>
      <c r="F40">
        <v>5.3</v>
      </c>
      <c r="G40">
        <v>2.5</v>
      </c>
      <c r="H40">
        <v>135</v>
      </c>
      <c r="I40">
        <v>0</v>
      </c>
      <c r="J40">
        <v>500</v>
      </c>
      <c r="K40" s="2">
        <v>45764</v>
      </c>
    </row>
    <row r="41" spans="1:11" x14ac:dyDescent="0.25">
      <c r="A41" s="1" t="s">
        <v>650</v>
      </c>
      <c r="B41" s="1"/>
      <c r="C41" s="1" t="s">
        <v>2821</v>
      </c>
      <c r="D41" s="1" t="s">
        <v>3382</v>
      </c>
      <c r="E41" s="1"/>
      <c r="F41">
        <v>8.1</v>
      </c>
      <c r="G41">
        <v>9.6</v>
      </c>
      <c r="H41">
        <v>-65</v>
      </c>
      <c r="I41">
        <v>0</v>
      </c>
      <c r="J41">
        <v>500</v>
      </c>
      <c r="K41" s="2">
        <v>45765</v>
      </c>
    </row>
    <row r="42" spans="1:11" x14ac:dyDescent="0.25">
      <c r="A42" s="1" t="s">
        <v>650</v>
      </c>
      <c r="B42" s="1"/>
      <c r="C42" s="1" t="s">
        <v>2823</v>
      </c>
      <c r="D42" s="1" t="s">
        <v>3385</v>
      </c>
      <c r="E42" s="1"/>
      <c r="F42">
        <v>8.8000000000000007</v>
      </c>
      <c r="G42">
        <v>8.1</v>
      </c>
      <c r="H42">
        <v>40</v>
      </c>
      <c r="I42">
        <v>0</v>
      </c>
      <c r="J42">
        <v>500</v>
      </c>
      <c r="K42" s="2">
        <v>45765</v>
      </c>
    </row>
    <row r="43" spans="1:11" x14ac:dyDescent="0.25">
      <c r="A43" s="1" t="s">
        <v>650</v>
      </c>
      <c r="B43" s="1"/>
      <c r="C43" s="1" t="s">
        <v>2816</v>
      </c>
      <c r="D43" s="1" t="s">
        <v>3372</v>
      </c>
      <c r="E43" s="1"/>
      <c r="F43">
        <v>0.3</v>
      </c>
      <c r="G43">
        <v>0</v>
      </c>
      <c r="H43">
        <v>15</v>
      </c>
      <c r="I43">
        <v>0</v>
      </c>
      <c r="J43">
        <v>500</v>
      </c>
      <c r="K43" s="2">
        <v>45765</v>
      </c>
    </row>
    <row r="44" spans="1:11" x14ac:dyDescent="0.25">
      <c r="A44" s="1" t="s">
        <v>650</v>
      </c>
      <c r="B44" s="1"/>
      <c r="C44" s="1" t="s">
        <v>2817</v>
      </c>
      <c r="D44" s="1" t="s">
        <v>3377</v>
      </c>
      <c r="E44" s="1"/>
      <c r="F44">
        <v>2.8</v>
      </c>
      <c r="G44">
        <v>0.8</v>
      </c>
      <c r="H44">
        <v>95</v>
      </c>
      <c r="I44">
        <v>0</v>
      </c>
      <c r="J44">
        <v>500</v>
      </c>
      <c r="K44" s="2">
        <v>45784</v>
      </c>
    </row>
    <row r="45" spans="1:11" x14ac:dyDescent="0.25">
      <c r="A45" s="1" t="s">
        <v>713</v>
      </c>
      <c r="B45" s="1"/>
      <c r="C45" s="1" t="s">
        <v>2808</v>
      </c>
      <c r="D45" s="1" t="s">
        <v>3370</v>
      </c>
      <c r="E45" s="1"/>
      <c r="F45">
        <v>0</v>
      </c>
      <c r="G45">
        <v>0</v>
      </c>
      <c r="H45">
        <v>0</v>
      </c>
      <c r="I45">
        <v>0</v>
      </c>
      <c r="J45">
        <v>225</v>
      </c>
      <c r="K45" s="2">
        <v>45770</v>
      </c>
    </row>
    <row r="46" spans="1:11" x14ac:dyDescent="0.25">
      <c r="A46" s="1" t="s">
        <v>713</v>
      </c>
      <c r="B46" s="1"/>
      <c r="C46" s="1" t="s">
        <v>2820</v>
      </c>
      <c r="D46" s="1" t="s">
        <v>3381</v>
      </c>
      <c r="E46" s="1"/>
      <c r="F46">
        <v>2.5</v>
      </c>
      <c r="G46">
        <v>2.5</v>
      </c>
      <c r="H46">
        <v>5</v>
      </c>
      <c r="I46">
        <v>0</v>
      </c>
      <c r="J46">
        <v>225</v>
      </c>
      <c r="K46" s="2">
        <v>45772</v>
      </c>
    </row>
    <row r="47" spans="1:11" x14ac:dyDescent="0.25">
      <c r="A47" s="1" t="s">
        <v>713</v>
      </c>
      <c r="B47" s="1"/>
      <c r="C47" s="1" t="s">
        <v>2822</v>
      </c>
      <c r="D47" s="1" t="s">
        <v>3384</v>
      </c>
      <c r="E47" s="1"/>
      <c r="F47">
        <v>2.5</v>
      </c>
      <c r="G47">
        <v>0</v>
      </c>
      <c r="H47">
        <v>125</v>
      </c>
      <c r="I47">
        <v>0</v>
      </c>
      <c r="J47">
        <v>225</v>
      </c>
      <c r="K47" s="2">
        <v>45770</v>
      </c>
    </row>
    <row r="48" spans="1:11" x14ac:dyDescent="0.25">
      <c r="A48" s="1" t="s">
        <v>713</v>
      </c>
      <c r="B48" s="1"/>
      <c r="C48" s="1" t="s">
        <v>2821</v>
      </c>
      <c r="D48" s="1" t="s">
        <v>3382</v>
      </c>
      <c r="E48" s="1"/>
      <c r="F48">
        <v>4.2</v>
      </c>
      <c r="G48">
        <v>1.8</v>
      </c>
      <c r="H48">
        <v>120</v>
      </c>
      <c r="I48">
        <v>0</v>
      </c>
      <c r="J48">
        <v>225</v>
      </c>
      <c r="K48" s="2">
        <v>45772</v>
      </c>
    </row>
    <row r="49" spans="1:11" x14ac:dyDescent="0.25">
      <c r="A49" s="1" t="s">
        <v>713</v>
      </c>
      <c r="B49" s="1"/>
      <c r="C49" s="1" t="s">
        <v>2823</v>
      </c>
      <c r="D49" s="1" t="s">
        <v>3385</v>
      </c>
      <c r="E49" s="1"/>
      <c r="F49">
        <v>4.3</v>
      </c>
      <c r="G49">
        <v>4.5999999999999996</v>
      </c>
      <c r="H49">
        <v>-15</v>
      </c>
      <c r="I49">
        <v>0</v>
      </c>
      <c r="J49">
        <v>225</v>
      </c>
      <c r="K49" s="2">
        <v>45772</v>
      </c>
    </row>
    <row r="50" spans="1:11" x14ac:dyDescent="0.25">
      <c r="A50" s="1" t="s">
        <v>713</v>
      </c>
      <c r="B50" s="1"/>
      <c r="C50" s="1" t="s">
        <v>2816</v>
      </c>
      <c r="D50" s="1" t="s">
        <v>3372</v>
      </c>
      <c r="E50" s="1"/>
      <c r="F50">
        <v>0.3</v>
      </c>
      <c r="G50">
        <v>0.1</v>
      </c>
      <c r="H50">
        <v>10</v>
      </c>
      <c r="I50">
        <v>0</v>
      </c>
      <c r="J50">
        <v>225</v>
      </c>
      <c r="K50" s="2">
        <v>45772</v>
      </c>
    </row>
    <row r="51" spans="1:11" x14ac:dyDescent="0.25">
      <c r="A51" s="1" t="s">
        <v>713</v>
      </c>
      <c r="B51" s="1"/>
      <c r="C51" s="1" t="s">
        <v>2817</v>
      </c>
      <c r="D51" s="1" t="s">
        <v>3377</v>
      </c>
      <c r="E51" s="1"/>
      <c r="F51">
        <v>1.4</v>
      </c>
      <c r="G51">
        <v>0.3</v>
      </c>
      <c r="H51">
        <v>55</v>
      </c>
      <c r="I51">
        <v>0</v>
      </c>
      <c r="J51">
        <v>225</v>
      </c>
      <c r="K51" s="2">
        <v>45784</v>
      </c>
    </row>
    <row r="52" spans="1:11" x14ac:dyDescent="0.25">
      <c r="A52" s="1" t="s">
        <v>746</v>
      </c>
      <c r="B52" s="1"/>
      <c r="C52" s="1" t="s">
        <v>2808</v>
      </c>
      <c r="D52" s="1" t="s">
        <v>3370</v>
      </c>
      <c r="E52" s="1"/>
      <c r="F52">
        <v>0</v>
      </c>
      <c r="G52">
        <v>0</v>
      </c>
      <c r="H52">
        <v>0</v>
      </c>
      <c r="I52">
        <v>0</v>
      </c>
      <c r="J52">
        <v>1000</v>
      </c>
      <c r="K52" s="2">
        <v>45772</v>
      </c>
    </row>
    <row r="53" spans="1:11" x14ac:dyDescent="0.25">
      <c r="A53" s="1" t="s">
        <v>746</v>
      </c>
      <c r="B53" s="1"/>
      <c r="C53" s="1" t="s">
        <v>2820</v>
      </c>
      <c r="D53" s="1" t="s">
        <v>3381</v>
      </c>
      <c r="E53" s="1"/>
      <c r="F53">
        <v>10.3</v>
      </c>
      <c r="G53">
        <v>14.3</v>
      </c>
      <c r="H53">
        <v>-195</v>
      </c>
      <c r="I53">
        <v>0</v>
      </c>
      <c r="J53">
        <v>1000</v>
      </c>
      <c r="K53" s="2">
        <v>45779</v>
      </c>
    </row>
    <row r="54" spans="1:11" x14ac:dyDescent="0.25">
      <c r="A54" s="1" t="s">
        <v>746</v>
      </c>
      <c r="B54" s="1"/>
      <c r="C54" s="1" t="s">
        <v>2822</v>
      </c>
      <c r="D54" s="1" t="s">
        <v>3384</v>
      </c>
      <c r="E54" s="1"/>
      <c r="F54">
        <v>10.3</v>
      </c>
      <c r="G54">
        <v>0</v>
      </c>
      <c r="H54">
        <v>500</v>
      </c>
      <c r="I54">
        <v>0</v>
      </c>
      <c r="J54">
        <v>1000</v>
      </c>
      <c r="K54" s="2">
        <v>45776</v>
      </c>
    </row>
    <row r="55" spans="1:11" x14ac:dyDescent="0.25">
      <c r="A55" s="1" t="s">
        <v>746</v>
      </c>
      <c r="B55" s="1"/>
      <c r="C55" s="1" t="s">
        <v>2821</v>
      </c>
      <c r="D55" s="1" t="s">
        <v>3382</v>
      </c>
      <c r="E55" s="1"/>
      <c r="F55">
        <v>15.3</v>
      </c>
      <c r="G55">
        <v>18.899999999999999</v>
      </c>
      <c r="H55">
        <v>-170</v>
      </c>
      <c r="I55">
        <v>0</v>
      </c>
      <c r="J55">
        <v>1000</v>
      </c>
      <c r="K55" s="2">
        <v>45779</v>
      </c>
    </row>
    <row r="56" spans="1:11" x14ac:dyDescent="0.25">
      <c r="A56" s="1" t="s">
        <v>746</v>
      </c>
      <c r="B56" s="1"/>
      <c r="C56" s="1" t="s">
        <v>2823</v>
      </c>
      <c r="D56" s="1" t="s">
        <v>3385</v>
      </c>
      <c r="E56" s="1"/>
      <c r="F56">
        <v>17.2</v>
      </c>
      <c r="G56">
        <v>17.600000000000001</v>
      </c>
      <c r="H56">
        <v>-20</v>
      </c>
      <c r="I56">
        <v>0</v>
      </c>
      <c r="J56">
        <v>1000</v>
      </c>
      <c r="K56" s="2">
        <v>45779</v>
      </c>
    </row>
    <row r="57" spans="1:11" x14ac:dyDescent="0.25">
      <c r="A57" s="1" t="s">
        <v>746</v>
      </c>
      <c r="B57" s="1"/>
      <c r="C57" s="1" t="s">
        <v>2816</v>
      </c>
      <c r="D57" s="1" t="s">
        <v>3372</v>
      </c>
      <c r="E57" s="1"/>
      <c r="F57">
        <v>0.3</v>
      </c>
      <c r="G57">
        <v>0.5</v>
      </c>
      <c r="H57">
        <v>-10</v>
      </c>
      <c r="I57">
        <v>0</v>
      </c>
      <c r="J57">
        <v>1000</v>
      </c>
      <c r="K57" s="2">
        <v>45784</v>
      </c>
    </row>
    <row r="58" spans="1:11" x14ac:dyDescent="0.25">
      <c r="A58" s="1" t="s">
        <v>746</v>
      </c>
      <c r="B58" s="1"/>
      <c r="C58" s="1" t="s">
        <v>2817</v>
      </c>
      <c r="D58" s="1" t="s">
        <v>3377</v>
      </c>
      <c r="E58" s="1"/>
      <c r="F58">
        <v>5.3</v>
      </c>
      <c r="G58">
        <v>2</v>
      </c>
      <c r="H58">
        <v>160</v>
      </c>
      <c r="I58">
        <v>0</v>
      </c>
      <c r="J58">
        <v>1000</v>
      </c>
      <c r="K58" s="2">
        <v>45784</v>
      </c>
    </row>
    <row r="59" spans="1:11" x14ac:dyDescent="0.25">
      <c r="A59" s="1" t="s">
        <v>864</v>
      </c>
      <c r="B59" s="1"/>
      <c r="C59" s="1" t="s">
        <v>2808</v>
      </c>
      <c r="D59" s="1" t="s">
        <v>3370</v>
      </c>
      <c r="E59" s="1"/>
      <c r="F59">
        <v>0</v>
      </c>
      <c r="G59">
        <v>0</v>
      </c>
      <c r="H59">
        <v>0</v>
      </c>
      <c r="I59">
        <v>0</v>
      </c>
      <c r="J59">
        <v>1000</v>
      </c>
      <c r="K59" s="2">
        <v>45779</v>
      </c>
    </row>
    <row r="60" spans="1:11" x14ac:dyDescent="0.25">
      <c r="A60" s="1" t="s">
        <v>864</v>
      </c>
      <c r="B60" s="1"/>
      <c r="C60" s="1" t="s">
        <v>2820</v>
      </c>
      <c r="D60" s="1" t="s">
        <v>3381</v>
      </c>
      <c r="E60" s="1"/>
      <c r="F60">
        <v>10.3</v>
      </c>
      <c r="G60">
        <v>5.9</v>
      </c>
      <c r="H60">
        <v>215</v>
      </c>
      <c r="I60">
        <v>0</v>
      </c>
      <c r="J60">
        <v>1000</v>
      </c>
      <c r="K60" s="2">
        <v>45784</v>
      </c>
    </row>
    <row r="61" spans="1:11" x14ac:dyDescent="0.25">
      <c r="A61" s="1" t="s">
        <v>864</v>
      </c>
      <c r="B61" s="1"/>
      <c r="C61" s="1" t="s">
        <v>2822</v>
      </c>
      <c r="D61" s="1" t="s">
        <v>3384</v>
      </c>
      <c r="E61" s="1"/>
      <c r="F61">
        <v>10.3</v>
      </c>
      <c r="G61">
        <v>6.7</v>
      </c>
      <c r="H61">
        <v>175</v>
      </c>
      <c r="I61">
        <v>0</v>
      </c>
      <c r="J61">
        <v>1000</v>
      </c>
      <c r="K61" s="2">
        <v>45784</v>
      </c>
    </row>
    <row r="62" spans="1:11" x14ac:dyDescent="0.25">
      <c r="A62" s="1" t="s">
        <v>864</v>
      </c>
      <c r="B62" s="1"/>
      <c r="C62" s="1" t="s">
        <v>2821</v>
      </c>
      <c r="D62" s="1" t="s">
        <v>3382</v>
      </c>
      <c r="E62" s="1"/>
      <c r="F62">
        <v>15.3</v>
      </c>
      <c r="G62">
        <v>6.6</v>
      </c>
      <c r="H62">
        <v>425</v>
      </c>
      <c r="I62">
        <v>0</v>
      </c>
      <c r="J62">
        <v>1000</v>
      </c>
      <c r="K62" s="2">
        <v>45784</v>
      </c>
    </row>
    <row r="63" spans="1:11" x14ac:dyDescent="0.25">
      <c r="A63" s="1" t="s">
        <v>864</v>
      </c>
      <c r="B63" s="1"/>
      <c r="C63" s="1" t="s">
        <v>2823</v>
      </c>
      <c r="D63" s="1" t="s">
        <v>3385</v>
      </c>
      <c r="E63" s="1"/>
      <c r="F63">
        <v>17.2</v>
      </c>
      <c r="G63">
        <v>13.8</v>
      </c>
      <c r="H63">
        <v>165</v>
      </c>
      <c r="I63">
        <v>0</v>
      </c>
      <c r="J63">
        <v>1000</v>
      </c>
      <c r="K63" s="2">
        <v>45784</v>
      </c>
    </row>
    <row r="64" spans="1:11" x14ac:dyDescent="0.25">
      <c r="A64" s="1" t="s">
        <v>864</v>
      </c>
      <c r="B64" s="1"/>
      <c r="C64" s="1" t="s">
        <v>2816</v>
      </c>
      <c r="D64" s="1" t="s">
        <v>3372</v>
      </c>
      <c r="E64" s="1"/>
      <c r="F64">
        <v>0.3</v>
      </c>
      <c r="G64">
        <v>0</v>
      </c>
      <c r="H64">
        <v>15</v>
      </c>
      <c r="I64">
        <v>0</v>
      </c>
      <c r="J64">
        <v>1000</v>
      </c>
      <c r="K64" s="2">
        <v>45784</v>
      </c>
    </row>
    <row r="65" spans="1:11" x14ac:dyDescent="0.25">
      <c r="A65" s="1" t="s">
        <v>922</v>
      </c>
      <c r="B65" s="1"/>
      <c r="C65" s="1" t="s">
        <v>2808</v>
      </c>
      <c r="D65" s="1" t="s">
        <v>3370</v>
      </c>
      <c r="E65" s="1"/>
      <c r="F65">
        <v>0</v>
      </c>
      <c r="G65">
        <v>0</v>
      </c>
      <c r="H65">
        <v>0</v>
      </c>
      <c r="I65">
        <v>0</v>
      </c>
      <c r="J65">
        <v>1000</v>
      </c>
      <c r="K65" s="2">
        <v>45785</v>
      </c>
    </row>
    <row r="66" spans="1:11" x14ac:dyDescent="0.25">
      <c r="A66" s="1" t="s">
        <v>922</v>
      </c>
      <c r="B66" s="1"/>
      <c r="C66" s="1" t="s">
        <v>2820</v>
      </c>
      <c r="D66" s="1" t="s">
        <v>3381</v>
      </c>
      <c r="E66" s="1"/>
      <c r="F66">
        <v>10.3</v>
      </c>
      <c r="G66">
        <v>8.1</v>
      </c>
      <c r="H66">
        <v>105</v>
      </c>
      <c r="I66">
        <v>0</v>
      </c>
      <c r="J66">
        <v>1000</v>
      </c>
      <c r="K66" s="2">
        <v>45789</v>
      </c>
    </row>
    <row r="67" spans="1:11" x14ac:dyDescent="0.25">
      <c r="A67" s="1" t="s">
        <v>922</v>
      </c>
      <c r="B67" s="1"/>
      <c r="C67" s="1" t="s">
        <v>2822</v>
      </c>
      <c r="D67" s="1" t="s">
        <v>3384</v>
      </c>
      <c r="E67" s="1"/>
      <c r="F67">
        <v>10.3</v>
      </c>
      <c r="G67">
        <v>1.5</v>
      </c>
      <c r="H67">
        <v>430</v>
      </c>
      <c r="I67">
        <v>0</v>
      </c>
      <c r="J67">
        <v>1000</v>
      </c>
      <c r="K67" s="2">
        <v>45785</v>
      </c>
    </row>
    <row r="68" spans="1:11" x14ac:dyDescent="0.25">
      <c r="A68" s="1" t="s">
        <v>922</v>
      </c>
      <c r="B68" s="1"/>
      <c r="C68" s="1" t="s">
        <v>2821</v>
      </c>
      <c r="D68" s="1" t="s">
        <v>3382</v>
      </c>
      <c r="E68" s="1"/>
      <c r="F68">
        <v>15.3</v>
      </c>
      <c r="G68">
        <v>8.1</v>
      </c>
      <c r="H68">
        <v>355</v>
      </c>
      <c r="I68">
        <v>0</v>
      </c>
      <c r="J68">
        <v>1000</v>
      </c>
      <c r="K68" s="2">
        <v>45789</v>
      </c>
    </row>
    <row r="69" spans="1:11" x14ac:dyDescent="0.25">
      <c r="A69" s="1" t="s">
        <v>900</v>
      </c>
      <c r="B69" s="1"/>
      <c r="C69" s="1" t="s">
        <v>2808</v>
      </c>
      <c r="D69" s="1" t="s">
        <v>3370</v>
      </c>
      <c r="E69" s="1"/>
      <c r="F69">
        <v>0</v>
      </c>
      <c r="G69">
        <v>0</v>
      </c>
      <c r="H69">
        <v>0</v>
      </c>
      <c r="I69">
        <v>0</v>
      </c>
      <c r="J69">
        <v>200</v>
      </c>
      <c r="K69" s="2">
        <v>45783</v>
      </c>
    </row>
    <row r="70" spans="1:11" x14ac:dyDescent="0.25">
      <c r="A70" s="1" t="s">
        <v>900</v>
      </c>
      <c r="B70" s="1"/>
      <c r="C70" s="1" t="s">
        <v>2820</v>
      </c>
      <c r="D70" s="1" t="s">
        <v>3381</v>
      </c>
      <c r="E70" s="1"/>
      <c r="F70">
        <v>2.2999999999999998</v>
      </c>
      <c r="G70">
        <v>2.6</v>
      </c>
      <c r="H70">
        <v>-15</v>
      </c>
      <c r="I70">
        <v>0</v>
      </c>
      <c r="J70">
        <v>200</v>
      </c>
      <c r="K70" s="2">
        <v>45784</v>
      </c>
    </row>
    <row r="71" spans="1:11" x14ac:dyDescent="0.25">
      <c r="A71" s="1" t="s">
        <v>900</v>
      </c>
      <c r="B71" s="1"/>
      <c r="C71" s="1" t="s">
        <v>2821</v>
      </c>
      <c r="D71" s="1" t="s">
        <v>3382</v>
      </c>
      <c r="E71" s="1"/>
      <c r="F71">
        <v>3.9</v>
      </c>
      <c r="G71">
        <v>0.8</v>
      </c>
      <c r="H71">
        <v>150</v>
      </c>
      <c r="I71">
        <v>0</v>
      </c>
      <c r="J71">
        <v>200</v>
      </c>
      <c r="K71" s="2">
        <v>45784</v>
      </c>
    </row>
    <row r="72" spans="1:11" x14ac:dyDescent="0.25">
      <c r="A72" s="1" t="s">
        <v>900</v>
      </c>
      <c r="B72" s="1"/>
      <c r="C72" s="1" t="s">
        <v>2823</v>
      </c>
      <c r="D72" s="1" t="s">
        <v>3385</v>
      </c>
      <c r="E72" s="1"/>
      <c r="F72">
        <v>4.3</v>
      </c>
      <c r="G72">
        <v>1.8</v>
      </c>
      <c r="H72">
        <v>125</v>
      </c>
      <c r="I72">
        <v>0</v>
      </c>
      <c r="J72">
        <v>200</v>
      </c>
      <c r="K72" s="2">
        <v>45785</v>
      </c>
    </row>
    <row r="73" spans="1:11" x14ac:dyDescent="0.25">
      <c r="A73" s="1" t="s">
        <v>900</v>
      </c>
      <c r="B73" s="1"/>
      <c r="C73" s="1" t="s">
        <v>2816</v>
      </c>
      <c r="D73" s="1" t="s">
        <v>3372</v>
      </c>
      <c r="E73" s="1"/>
      <c r="F73">
        <v>0.3</v>
      </c>
      <c r="G73">
        <v>0</v>
      </c>
      <c r="H73">
        <v>15</v>
      </c>
      <c r="I73">
        <v>0</v>
      </c>
      <c r="J73">
        <v>200</v>
      </c>
      <c r="K73" s="2">
        <v>45785</v>
      </c>
    </row>
    <row r="74" spans="1:11" x14ac:dyDescent="0.25">
      <c r="A74" s="1" t="s">
        <v>237</v>
      </c>
      <c r="B74" s="1"/>
      <c r="C74" s="1" t="s">
        <v>2824</v>
      </c>
      <c r="D74" s="1" t="s">
        <v>3386</v>
      </c>
      <c r="E74" s="1"/>
      <c r="F74">
        <v>2.1</v>
      </c>
      <c r="G74">
        <v>5.2</v>
      </c>
      <c r="H74">
        <v>-135</v>
      </c>
      <c r="I74">
        <v>0</v>
      </c>
      <c r="J74">
        <v>300</v>
      </c>
      <c r="K74" s="2">
        <v>45747</v>
      </c>
    </row>
    <row r="75" spans="1:11" x14ac:dyDescent="0.25">
      <c r="A75" s="1" t="s">
        <v>237</v>
      </c>
      <c r="B75" s="1"/>
      <c r="C75" s="1" t="s">
        <v>2825</v>
      </c>
      <c r="D75" s="1" t="s">
        <v>3386</v>
      </c>
      <c r="E75" s="1"/>
      <c r="F75">
        <v>2.1</v>
      </c>
      <c r="G75">
        <v>16.600000000000001</v>
      </c>
      <c r="H75">
        <v>-995</v>
      </c>
      <c r="I75">
        <v>0</v>
      </c>
      <c r="J75">
        <v>300</v>
      </c>
      <c r="K75" s="2">
        <v>45747</v>
      </c>
    </row>
    <row r="76" spans="1:11" x14ac:dyDescent="0.25">
      <c r="A76" s="1" t="s">
        <v>237</v>
      </c>
      <c r="B76" s="1"/>
      <c r="C76" s="1" t="s">
        <v>2812</v>
      </c>
      <c r="D76" s="1" t="s">
        <v>3374</v>
      </c>
      <c r="E76" s="1"/>
      <c r="F76">
        <v>0.3</v>
      </c>
      <c r="G76">
        <v>0</v>
      </c>
      <c r="H76">
        <v>20</v>
      </c>
      <c r="I76">
        <v>0</v>
      </c>
      <c r="J76">
        <v>300</v>
      </c>
      <c r="K76" s="2">
        <v>45744</v>
      </c>
    </row>
    <row r="77" spans="1:11" x14ac:dyDescent="0.25">
      <c r="A77" s="1" t="s">
        <v>237</v>
      </c>
      <c r="B77" s="1"/>
      <c r="C77" s="1" t="s">
        <v>2826</v>
      </c>
      <c r="D77" s="1" t="s">
        <v>3375</v>
      </c>
      <c r="E77" s="1"/>
      <c r="F77">
        <v>5.3</v>
      </c>
      <c r="G77">
        <v>14.8</v>
      </c>
      <c r="H77">
        <v>-485</v>
      </c>
      <c r="I77">
        <v>0</v>
      </c>
      <c r="J77">
        <v>300</v>
      </c>
      <c r="K77" s="2">
        <v>45747</v>
      </c>
    </row>
    <row r="78" spans="1:11" x14ac:dyDescent="0.25">
      <c r="A78" s="1" t="s">
        <v>237</v>
      </c>
      <c r="B78" s="1"/>
      <c r="C78" s="1" t="s">
        <v>2827</v>
      </c>
      <c r="D78" s="1" t="s">
        <v>3375</v>
      </c>
      <c r="E78" s="1"/>
      <c r="F78">
        <v>3</v>
      </c>
      <c r="G78">
        <v>2</v>
      </c>
      <c r="H78">
        <v>55</v>
      </c>
      <c r="I78">
        <v>0</v>
      </c>
      <c r="J78">
        <v>300</v>
      </c>
      <c r="K78" s="2">
        <v>45750</v>
      </c>
    </row>
    <row r="79" spans="1:11" x14ac:dyDescent="0.25">
      <c r="A79" s="1" t="s">
        <v>237</v>
      </c>
      <c r="B79" s="1"/>
      <c r="C79" s="1" t="s">
        <v>2816</v>
      </c>
      <c r="D79" s="1" t="s">
        <v>3372</v>
      </c>
      <c r="E79" s="1"/>
      <c r="F79">
        <v>0.8</v>
      </c>
      <c r="G79">
        <v>0</v>
      </c>
      <c r="H79">
        <v>40</v>
      </c>
      <c r="I79">
        <v>0</v>
      </c>
      <c r="J79">
        <v>300</v>
      </c>
      <c r="K79" s="2">
        <v>45750</v>
      </c>
    </row>
    <row r="80" spans="1:11" x14ac:dyDescent="0.25">
      <c r="A80" s="1" t="s">
        <v>633</v>
      </c>
      <c r="B80" s="1"/>
      <c r="C80" s="1" t="s">
        <v>2808</v>
      </c>
      <c r="D80" s="1" t="s">
        <v>3370</v>
      </c>
      <c r="E80" s="1"/>
      <c r="F80">
        <v>0</v>
      </c>
      <c r="G80">
        <v>0</v>
      </c>
      <c r="H80">
        <v>0</v>
      </c>
      <c r="I80">
        <v>0</v>
      </c>
      <c r="J80">
        <v>250</v>
      </c>
      <c r="K80" s="2">
        <v>45762</v>
      </c>
    </row>
    <row r="81" spans="1:11" x14ac:dyDescent="0.25">
      <c r="A81" s="1" t="s">
        <v>633</v>
      </c>
      <c r="B81" s="1"/>
      <c r="C81" s="1" t="s">
        <v>2828</v>
      </c>
      <c r="D81" s="1" t="s">
        <v>3387</v>
      </c>
      <c r="E81" s="1"/>
      <c r="F81">
        <v>10.6</v>
      </c>
      <c r="G81">
        <v>9.6999999999999993</v>
      </c>
      <c r="H81">
        <v>45</v>
      </c>
      <c r="I81">
        <v>0</v>
      </c>
      <c r="J81">
        <v>250</v>
      </c>
      <c r="K81" s="2">
        <v>45771</v>
      </c>
    </row>
    <row r="82" spans="1:11" x14ac:dyDescent="0.25">
      <c r="A82" s="1" t="s">
        <v>633</v>
      </c>
      <c r="B82" s="1"/>
      <c r="C82" s="1" t="s">
        <v>2829</v>
      </c>
      <c r="D82" s="1" t="s">
        <v>3380</v>
      </c>
      <c r="E82" s="1"/>
      <c r="F82">
        <v>5.5</v>
      </c>
      <c r="G82">
        <v>6</v>
      </c>
      <c r="H82">
        <v>-20</v>
      </c>
      <c r="I82">
        <v>0</v>
      </c>
      <c r="J82">
        <v>250</v>
      </c>
      <c r="K82" s="2">
        <v>45771</v>
      </c>
    </row>
    <row r="83" spans="1:11" x14ac:dyDescent="0.25">
      <c r="A83" s="1" t="s">
        <v>633</v>
      </c>
      <c r="B83" s="1"/>
      <c r="C83" s="1" t="s">
        <v>2816</v>
      </c>
      <c r="D83" s="1" t="s">
        <v>3372</v>
      </c>
      <c r="E83" s="1"/>
      <c r="F83">
        <v>0.3</v>
      </c>
      <c r="G83">
        <v>0</v>
      </c>
      <c r="H83">
        <v>15</v>
      </c>
      <c r="I83">
        <v>0</v>
      </c>
      <c r="J83">
        <v>250</v>
      </c>
      <c r="K83" s="2">
        <v>45771</v>
      </c>
    </row>
    <row r="84" spans="1:11" x14ac:dyDescent="0.25">
      <c r="A84" s="1" t="s">
        <v>633</v>
      </c>
      <c r="B84" s="1"/>
      <c r="C84" s="1" t="s">
        <v>2817</v>
      </c>
      <c r="D84" s="1" t="s">
        <v>3377</v>
      </c>
      <c r="E84" s="1"/>
      <c r="F84">
        <v>0.3</v>
      </c>
      <c r="G84">
        <v>0.5</v>
      </c>
      <c r="H84">
        <v>-10</v>
      </c>
      <c r="I84">
        <v>0</v>
      </c>
      <c r="J84">
        <v>250</v>
      </c>
      <c r="K84" s="2">
        <v>45782</v>
      </c>
    </row>
    <row r="85" spans="1:11" x14ac:dyDescent="0.25">
      <c r="A85" s="1" t="s">
        <v>782</v>
      </c>
      <c r="B85" s="1"/>
      <c r="C85" s="1" t="s">
        <v>2808</v>
      </c>
      <c r="D85" s="1" t="s">
        <v>3370</v>
      </c>
      <c r="E85" s="1"/>
      <c r="F85">
        <v>0</v>
      </c>
      <c r="G85">
        <v>0</v>
      </c>
      <c r="H85">
        <v>0</v>
      </c>
      <c r="I85">
        <v>0</v>
      </c>
      <c r="J85">
        <v>150</v>
      </c>
      <c r="K85" s="2">
        <v>45785</v>
      </c>
    </row>
    <row r="86" spans="1:11" x14ac:dyDescent="0.25">
      <c r="A86" s="1" t="s">
        <v>736</v>
      </c>
      <c r="B86" s="1"/>
      <c r="C86" s="1" t="s">
        <v>2808</v>
      </c>
      <c r="D86" s="1" t="s">
        <v>3370</v>
      </c>
      <c r="E86" s="1"/>
      <c r="F86">
        <v>0</v>
      </c>
      <c r="G86">
        <v>0</v>
      </c>
      <c r="H86">
        <v>0</v>
      </c>
      <c r="I86">
        <v>0</v>
      </c>
      <c r="J86">
        <v>250</v>
      </c>
      <c r="K86" s="2">
        <v>45772</v>
      </c>
    </row>
    <row r="87" spans="1:11" x14ac:dyDescent="0.25">
      <c r="A87" s="1" t="s">
        <v>736</v>
      </c>
      <c r="B87" s="1"/>
      <c r="C87" s="1" t="s">
        <v>2828</v>
      </c>
      <c r="D87" s="1" t="s">
        <v>3387</v>
      </c>
      <c r="E87" s="1"/>
      <c r="F87">
        <v>10.6</v>
      </c>
      <c r="G87">
        <v>11.5</v>
      </c>
      <c r="H87">
        <v>-40</v>
      </c>
      <c r="I87">
        <v>0</v>
      </c>
      <c r="J87">
        <v>250</v>
      </c>
      <c r="K87" s="2">
        <v>45775</v>
      </c>
    </row>
    <row r="88" spans="1:11" x14ac:dyDescent="0.25">
      <c r="A88" s="1" t="s">
        <v>736</v>
      </c>
      <c r="B88" s="1"/>
      <c r="C88" s="1" t="s">
        <v>2829</v>
      </c>
      <c r="D88" s="1" t="s">
        <v>3380</v>
      </c>
      <c r="E88" s="1"/>
      <c r="F88">
        <v>5.5</v>
      </c>
      <c r="G88">
        <v>6.7</v>
      </c>
      <c r="H88">
        <v>-55</v>
      </c>
      <c r="I88">
        <v>0</v>
      </c>
      <c r="J88">
        <v>250</v>
      </c>
      <c r="K88" s="2">
        <v>45775</v>
      </c>
    </row>
    <row r="89" spans="1:11" x14ac:dyDescent="0.25">
      <c r="A89" s="1" t="s">
        <v>736</v>
      </c>
      <c r="B89" s="1"/>
      <c r="C89" s="1" t="s">
        <v>2816</v>
      </c>
      <c r="D89" s="1" t="s">
        <v>3372</v>
      </c>
      <c r="E89" s="1"/>
      <c r="F89">
        <v>0.3</v>
      </c>
      <c r="G89">
        <v>0.1</v>
      </c>
      <c r="H89">
        <v>10</v>
      </c>
      <c r="I89">
        <v>0</v>
      </c>
      <c r="J89">
        <v>250</v>
      </c>
      <c r="K89" s="2">
        <v>45777</v>
      </c>
    </row>
    <row r="90" spans="1:11" x14ac:dyDescent="0.25">
      <c r="A90" s="1" t="s">
        <v>736</v>
      </c>
      <c r="B90" s="1"/>
      <c r="C90" s="1" t="s">
        <v>2817</v>
      </c>
      <c r="D90" s="1" t="s">
        <v>3377</v>
      </c>
      <c r="E90" s="1"/>
      <c r="F90">
        <v>0.3</v>
      </c>
      <c r="G90">
        <v>1</v>
      </c>
      <c r="H90">
        <v>-35</v>
      </c>
      <c r="I90">
        <v>0</v>
      </c>
      <c r="J90">
        <v>250</v>
      </c>
      <c r="K90" s="2">
        <v>45784</v>
      </c>
    </row>
    <row r="91" spans="1:11" x14ac:dyDescent="0.25">
      <c r="A91" s="1" t="s">
        <v>744</v>
      </c>
      <c r="B91" s="1"/>
      <c r="C91" s="1" t="s">
        <v>2808</v>
      </c>
      <c r="D91" s="1" t="s">
        <v>3370</v>
      </c>
      <c r="E91" s="1"/>
      <c r="F91">
        <v>0</v>
      </c>
      <c r="G91">
        <v>0</v>
      </c>
      <c r="H91">
        <v>0</v>
      </c>
      <c r="I91">
        <v>0</v>
      </c>
      <c r="J91">
        <v>150</v>
      </c>
      <c r="K91" s="2">
        <v>45776</v>
      </c>
    </row>
    <row r="92" spans="1:11" x14ac:dyDescent="0.25">
      <c r="A92" s="1" t="s">
        <v>744</v>
      </c>
      <c r="B92" s="1"/>
      <c r="C92" s="1" t="s">
        <v>2828</v>
      </c>
      <c r="D92" s="1" t="s">
        <v>3387</v>
      </c>
      <c r="E92" s="1"/>
      <c r="F92">
        <v>6.6</v>
      </c>
      <c r="G92">
        <v>8.4</v>
      </c>
      <c r="H92">
        <v>-85</v>
      </c>
      <c r="I92">
        <v>0</v>
      </c>
      <c r="J92">
        <v>150</v>
      </c>
      <c r="K92" s="2">
        <v>45779</v>
      </c>
    </row>
    <row r="93" spans="1:11" x14ac:dyDescent="0.25">
      <c r="A93" s="1" t="s">
        <v>744</v>
      </c>
      <c r="B93" s="1"/>
      <c r="C93" s="1" t="s">
        <v>2829</v>
      </c>
      <c r="D93" s="1" t="s">
        <v>3380</v>
      </c>
      <c r="E93" s="1"/>
      <c r="F93">
        <v>3.5</v>
      </c>
      <c r="G93">
        <v>5.3</v>
      </c>
      <c r="H93">
        <v>-85</v>
      </c>
      <c r="I93">
        <v>0</v>
      </c>
      <c r="J93">
        <v>150</v>
      </c>
      <c r="K93" s="2">
        <v>45779</v>
      </c>
    </row>
    <row r="94" spans="1:11" x14ac:dyDescent="0.25">
      <c r="A94" s="1" t="s">
        <v>744</v>
      </c>
      <c r="B94" s="1"/>
      <c r="C94" s="1" t="s">
        <v>2816</v>
      </c>
      <c r="D94" s="1" t="s">
        <v>3372</v>
      </c>
      <c r="E94" s="1"/>
      <c r="F94">
        <v>0.3</v>
      </c>
      <c r="G94">
        <v>0.9</v>
      </c>
      <c r="H94">
        <v>-30</v>
      </c>
      <c r="I94">
        <v>0</v>
      </c>
      <c r="J94">
        <v>150</v>
      </c>
      <c r="K94" s="2">
        <v>45782</v>
      </c>
    </row>
    <row r="95" spans="1:11" x14ac:dyDescent="0.25">
      <c r="A95" s="1" t="s">
        <v>744</v>
      </c>
      <c r="B95" s="1"/>
      <c r="C95" s="1" t="s">
        <v>2817</v>
      </c>
      <c r="D95" s="1" t="s">
        <v>3377</v>
      </c>
      <c r="E95" s="1"/>
      <c r="F95">
        <v>0.3</v>
      </c>
      <c r="G95">
        <v>0.4</v>
      </c>
      <c r="H95">
        <v>0</v>
      </c>
      <c r="I95">
        <v>0</v>
      </c>
      <c r="J95">
        <v>150</v>
      </c>
      <c r="K95" s="2">
        <v>45784</v>
      </c>
    </row>
    <row r="96" spans="1:11" x14ac:dyDescent="0.25">
      <c r="A96" s="1" t="s">
        <v>644</v>
      </c>
      <c r="B96" s="1"/>
      <c r="C96" s="1" t="s">
        <v>2808</v>
      </c>
      <c r="D96" s="1" t="s">
        <v>3370</v>
      </c>
      <c r="E96" s="1"/>
      <c r="F96">
        <v>0</v>
      </c>
      <c r="G96">
        <v>0</v>
      </c>
      <c r="H96">
        <v>0</v>
      </c>
      <c r="I96">
        <v>0</v>
      </c>
      <c r="J96">
        <v>79</v>
      </c>
      <c r="K96" s="2">
        <v>45784</v>
      </c>
    </row>
    <row r="97" spans="1:11" x14ac:dyDescent="0.25">
      <c r="A97" s="1" t="s">
        <v>644</v>
      </c>
      <c r="B97" s="1"/>
      <c r="C97" s="1" t="s">
        <v>2830</v>
      </c>
      <c r="D97" s="1" t="s">
        <v>3380</v>
      </c>
      <c r="E97" s="1"/>
      <c r="F97">
        <v>3.1</v>
      </c>
      <c r="G97">
        <v>5.8</v>
      </c>
      <c r="H97">
        <v>-130</v>
      </c>
      <c r="I97">
        <v>0</v>
      </c>
      <c r="J97">
        <v>79</v>
      </c>
      <c r="K97" s="2">
        <v>45786</v>
      </c>
    </row>
    <row r="98" spans="1:11" x14ac:dyDescent="0.25">
      <c r="A98" s="1" t="s">
        <v>644</v>
      </c>
      <c r="B98" s="1"/>
      <c r="C98" s="1" t="s">
        <v>2816</v>
      </c>
      <c r="D98" s="1" t="s">
        <v>3372</v>
      </c>
      <c r="E98" s="1"/>
      <c r="F98">
        <v>0.3</v>
      </c>
      <c r="G98">
        <v>0.1</v>
      </c>
      <c r="H98">
        <v>10</v>
      </c>
      <c r="I98">
        <v>0</v>
      </c>
      <c r="J98">
        <v>79</v>
      </c>
      <c r="K98" s="2">
        <v>45786</v>
      </c>
    </row>
    <row r="99" spans="1:11" x14ac:dyDescent="0.25">
      <c r="A99" s="1" t="s">
        <v>644</v>
      </c>
      <c r="B99" s="1"/>
      <c r="C99" s="1" t="s">
        <v>2817</v>
      </c>
      <c r="D99" s="1" t="s">
        <v>3377</v>
      </c>
      <c r="E99" s="1"/>
      <c r="F99">
        <v>0.3</v>
      </c>
      <c r="G99">
        <v>0.2</v>
      </c>
      <c r="H99">
        <v>5</v>
      </c>
      <c r="I99">
        <v>0</v>
      </c>
      <c r="J99">
        <v>79</v>
      </c>
      <c r="K99" s="2">
        <v>45789</v>
      </c>
    </row>
    <row r="100" spans="1:11" x14ac:dyDescent="0.25">
      <c r="A100" s="1" t="s">
        <v>309</v>
      </c>
      <c r="B100" s="1"/>
      <c r="C100" s="1" t="s">
        <v>2808</v>
      </c>
      <c r="D100" s="1" t="s">
        <v>3370</v>
      </c>
      <c r="E100" s="1"/>
      <c r="F100">
        <v>0</v>
      </c>
      <c r="G100">
        <v>0</v>
      </c>
      <c r="H100">
        <v>0</v>
      </c>
      <c r="I100">
        <v>0</v>
      </c>
      <c r="J100">
        <v>78</v>
      </c>
      <c r="K100" s="2">
        <v>45744</v>
      </c>
    </row>
    <row r="101" spans="1:11" x14ac:dyDescent="0.25">
      <c r="A101" s="1" t="s">
        <v>309</v>
      </c>
      <c r="B101" s="1"/>
      <c r="C101" s="1" t="s">
        <v>2831</v>
      </c>
      <c r="D101" s="1" t="s">
        <v>3388</v>
      </c>
      <c r="E101" s="1"/>
      <c r="F101">
        <v>0.8</v>
      </c>
      <c r="G101">
        <v>0.6</v>
      </c>
      <c r="H101">
        <v>10</v>
      </c>
      <c r="I101">
        <v>0</v>
      </c>
      <c r="J101">
        <v>78</v>
      </c>
      <c r="K101" s="2">
        <v>45756</v>
      </c>
    </row>
    <row r="102" spans="1:11" x14ac:dyDescent="0.25">
      <c r="A102" s="1" t="s">
        <v>309</v>
      </c>
      <c r="B102" s="1"/>
      <c r="C102" s="1" t="s">
        <v>2832</v>
      </c>
      <c r="D102" s="1" t="s">
        <v>3389</v>
      </c>
      <c r="E102" s="1"/>
      <c r="F102">
        <v>0</v>
      </c>
      <c r="G102">
        <v>0</v>
      </c>
      <c r="H102">
        <v>-15</v>
      </c>
      <c r="I102">
        <v>0</v>
      </c>
      <c r="J102">
        <v>78</v>
      </c>
      <c r="K102" s="2">
        <v>45756</v>
      </c>
    </row>
    <row r="103" spans="1:11" x14ac:dyDescent="0.25">
      <c r="A103" s="1" t="s">
        <v>309</v>
      </c>
      <c r="B103" s="1"/>
      <c r="C103" s="1" t="s">
        <v>2833</v>
      </c>
      <c r="D103" s="1" t="s">
        <v>3388</v>
      </c>
      <c r="E103" s="1"/>
      <c r="F103">
        <v>0.8</v>
      </c>
      <c r="G103">
        <v>5.5</v>
      </c>
      <c r="H103">
        <v>-290</v>
      </c>
      <c r="I103">
        <v>0</v>
      </c>
      <c r="J103">
        <v>78</v>
      </c>
      <c r="K103" s="2">
        <v>45756</v>
      </c>
    </row>
    <row r="104" spans="1:11" x14ac:dyDescent="0.25">
      <c r="A104" s="1" t="s">
        <v>309</v>
      </c>
      <c r="B104" s="1"/>
      <c r="C104" s="1" t="s">
        <v>2834</v>
      </c>
      <c r="D104" s="1" t="s">
        <v>3390</v>
      </c>
      <c r="E104" s="1"/>
      <c r="F104">
        <v>7.6</v>
      </c>
      <c r="G104">
        <v>13.2</v>
      </c>
      <c r="H104">
        <v>-285</v>
      </c>
      <c r="I104">
        <v>0</v>
      </c>
      <c r="J104">
        <v>77</v>
      </c>
      <c r="K104" s="2">
        <v>45747</v>
      </c>
    </row>
    <row r="105" spans="1:11" x14ac:dyDescent="0.25">
      <c r="A105" s="1" t="s">
        <v>309</v>
      </c>
      <c r="B105" s="1"/>
      <c r="C105" s="1" t="s">
        <v>2835</v>
      </c>
      <c r="D105" s="1" t="s">
        <v>3391</v>
      </c>
      <c r="E105" s="1"/>
      <c r="F105">
        <v>2.5</v>
      </c>
      <c r="G105">
        <v>8.8000000000000007</v>
      </c>
      <c r="H105">
        <v>-335</v>
      </c>
      <c r="I105">
        <v>0</v>
      </c>
      <c r="J105">
        <v>70</v>
      </c>
      <c r="K105" s="2">
        <v>45750</v>
      </c>
    </row>
    <row r="106" spans="1:11" x14ac:dyDescent="0.25">
      <c r="A106" s="1" t="s">
        <v>681</v>
      </c>
      <c r="B106" s="1"/>
      <c r="C106" s="1" t="s">
        <v>2808</v>
      </c>
      <c r="D106" s="1" t="s">
        <v>3370</v>
      </c>
      <c r="E106" s="1"/>
      <c r="F106">
        <v>0</v>
      </c>
      <c r="G106">
        <v>0</v>
      </c>
      <c r="H106">
        <v>0</v>
      </c>
      <c r="I106">
        <v>0</v>
      </c>
      <c r="J106">
        <v>25</v>
      </c>
      <c r="K106" s="2">
        <v>45765</v>
      </c>
    </row>
    <row r="107" spans="1:11" x14ac:dyDescent="0.25">
      <c r="A107" s="1" t="s">
        <v>681</v>
      </c>
      <c r="B107" s="1"/>
      <c r="C107" s="1" t="s">
        <v>2836</v>
      </c>
      <c r="D107" s="1" t="s">
        <v>3385</v>
      </c>
      <c r="E107" s="1"/>
      <c r="F107">
        <v>1</v>
      </c>
      <c r="G107">
        <v>2.8</v>
      </c>
      <c r="H107">
        <v>-80</v>
      </c>
      <c r="I107">
        <v>0</v>
      </c>
      <c r="J107">
        <v>25</v>
      </c>
      <c r="K107" s="2">
        <v>45777</v>
      </c>
    </row>
    <row r="108" spans="1:11" x14ac:dyDescent="0.25">
      <c r="A108" s="1" t="s">
        <v>681</v>
      </c>
      <c r="B108" s="1"/>
      <c r="C108" s="1" t="s">
        <v>2837</v>
      </c>
      <c r="D108" s="1" t="s">
        <v>3372</v>
      </c>
      <c r="E108" s="1"/>
      <c r="F108">
        <v>0.3</v>
      </c>
      <c r="G108">
        <v>0</v>
      </c>
      <c r="H108">
        <v>15</v>
      </c>
      <c r="I108">
        <v>0</v>
      </c>
      <c r="J108">
        <v>25</v>
      </c>
      <c r="K108" s="2">
        <v>45777</v>
      </c>
    </row>
    <row r="109" spans="1:11" x14ac:dyDescent="0.25">
      <c r="A109" s="1" t="s">
        <v>681</v>
      </c>
      <c r="B109" s="1"/>
      <c r="C109" s="1" t="s">
        <v>2816</v>
      </c>
      <c r="D109" s="1" t="s">
        <v>3372</v>
      </c>
      <c r="E109" s="1"/>
      <c r="F109">
        <v>0.3</v>
      </c>
      <c r="G109">
        <v>0</v>
      </c>
      <c r="H109">
        <v>15</v>
      </c>
      <c r="I109">
        <v>0</v>
      </c>
      <c r="J109">
        <v>25</v>
      </c>
      <c r="K109" s="2">
        <v>45777</v>
      </c>
    </row>
    <row r="110" spans="1:11" x14ac:dyDescent="0.25">
      <c r="A110" s="1" t="s">
        <v>681</v>
      </c>
      <c r="B110" s="1"/>
      <c r="C110" s="1" t="s">
        <v>2817</v>
      </c>
      <c r="D110" s="1" t="s">
        <v>3377</v>
      </c>
      <c r="E110" s="1"/>
      <c r="F110">
        <v>0.3</v>
      </c>
      <c r="G110">
        <v>0.1</v>
      </c>
      <c r="H110">
        <v>10</v>
      </c>
      <c r="I110">
        <v>0</v>
      </c>
      <c r="J110">
        <v>25</v>
      </c>
      <c r="K110" s="2">
        <v>45784</v>
      </c>
    </row>
    <row r="111" spans="1:11" x14ac:dyDescent="0.25">
      <c r="A111" s="1" t="s">
        <v>684</v>
      </c>
      <c r="B111" s="1"/>
      <c r="C111" s="1" t="s">
        <v>2808</v>
      </c>
      <c r="D111" s="1" t="s">
        <v>3370</v>
      </c>
      <c r="E111" s="1"/>
      <c r="F111">
        <v>0</v>
      </c>
      <c r="G111">
        <v>0</v>
      </c>
      <c r="H111">
        <v>0</v>
      </c>
      <c r="I111">
        <v>0</v>
      </c>
      <c r="J111">
        <v>100</v>
      </c>
      <c r="K111" s="2">
        <v>45768</v>
      </c>
    </row>
    <row r="112" spans="1:11" x14ac:dyDescent="0.25">
      <c r="A112" s="1" t="s">
        <v>684</v>
      </c>
      <c r="B112" s="1"/>
      <c r="C112" s="1" t="s">
        <v>2838</v>
      </c>
      <c r="D112" s="1" t="s">
        <v>3392</v>
      </c>
      <c r="E112" s="1"/>
      <c r="F112">
        <v>6.7</v>
      </c>
      <c r="G112">
        <v>7.1</v>
      </c>
      <c r="H112">
        <v>-15</v>
      </c>
      <c r="I112">
        <v>0</v>
      </c>
      <c r="J112">
        <v>100</v>
      </c>
      <c r="K112" s="2">
        <v>45771</v>
      </c>
    </row>
    <row r="113" spans="1:11" x14ac:dyDescent="0.25">
      <c r="A113" s="1" t="s">
        <v>684</v>
      </c>
      <c r="B113" s="1"/>
      <c r="C113" s="1" t="s">
        <v>2816</v>
      </c>
      <c r="D113" s="1" t="s">
        <v>3372</v>
      </c>
      <c r="E113" s="1"/>
      <c r="F113">
        <v>0.3</v>
      </c>
      <c r="G113">
        <v>0.1</v>
      </c>
      <c r="H113">
        <v>10</v>
      </c>
      <c r="I113">
        <v>0</v>
      </c>
      <c r="J113">
        <v>100</v>
      </c>
      <c r="K113" s="2">
        <v>45771</v>
      </c>
    </row>
    <row r="114" spans="1:11" x14ac:dyDescent="0.25">
      <c r="A114" s="1" t="s">
        <v>684</v>
      </c>
      <c r="B114" s="1"/>
      <c r="C114" s="1" t="s">
        <v>2817</v>
      </c>
      <c r="D114" s="1" t="s">
        <v>3377</v>
      </c>
      <c r="E114" s="1"/>
      <c r="F114">
        <v>0.6</v>
      </c>
      <c r="G114">
        <v>0.3</v>
      </c>
      <c r="H114">
        <v>20</v>
      </c>
      <c r="I114">
        <v>0</v>
      </c>
      <c r="J114">
        <v>100</v>
      </c>
      <c r="K114" s="2">
        <v>45784</v>
      </c>
    </row>
    <row r="115" spans="1:11" x14ac:dyDescent="0.25">
      <c r="A115" s="1" t="s">
        <v>682</v>
      </c>
      <c r="B115" s="1"/>
      <c r="C115" s="1" t="s">
        <v>2808</v>
      </c>
      <c r="D115" s="1" t="s">
        <v>3370</v>
      </c>
      <c r="E115" s="1"/>
      <c r="F115">
        <v>0</v>
      </c>
      <c r="G115">
        <v>0</v>
      </c>
      <c r="H115">
        <v>0</v>
      </c>
      <c r="I115">
        <v>0</v>
      </c>
      <c r="J115">
        <v>200</v>
      </c>
      <c r="K115" s="2">
        <v>45765</v>
      </c>
    </row>
    <row r="116" spans="1:11" x14ac:dyDescent="0.25">
      <c r="A116" s="1" t="s">
        <v>682</v>
      </c>
      <c r="B116" s="1"/>
      <c r="C116" s="1" t="s">
        <v>2828</v>
      </c>
      <c r="D116" s="1" t="s">
        <v>3392</v>
      </c>
      <c r="E116" s="1"/>
      <c r="F116">
        <v>12.9</v>
      </c>
      <c r="G116">
        <v>12.1</v>
      </c>
      <c r="H116">
        <v>40</v>
      </c>
      <c r="I116">
        <v>0</v>
      </c>
      <c r="J116">
        <v>200</v>
      </c>
      <c r="K116" s="2">
        <v>45770</v>
      </c>
    </row>
    <row r="117" spans="1:11" x14ac:dyDescent="0.25">
      <c r="A117" s="1" t="s">
        <v>682</v>
      </c>
      <c r="B117" s="1"/>
      <c r="C117" s="1" t="s">
        <v>2816</v>
      </c>
      <c r="D117" s="1" t="s">
        <v>3372</v>
      </c>
      <c r="E117" s="1"/>
      <c r="F117">
        <v>0.3</v>
      </c>
      <c r="G117">
        <v>0</v>
      </c>
      <c r="H117">
        <v>15</v>
      </c>
      <c r="I117">
        <v>0</v>
      </c>
      <c r="J117">
        <v>200</v>
      </c>
      <c r="K117" s="2">
        <v>45770</v>
      </c>
    </row>
    <row r="118" spans="1:11" x14ac:dyDescent="0.25">
      <c r="A118" s="1" t="s">
        <v>682</v>
      </c>
      <c r="B118" s="1"/>
      <c r="C118" s="1" t="s">
        <v>2817</v>
      </c>
      <c r="D118" s="1" t="s">
        <v>3377</v>
      </c>
      <c r="E118" s="1"/>
      <c r="F118">
        <v>0.9</v>
      </c>
      <c r="G118">
        <v>2</v>
      </c>
      <c r="H118">
        <v>-50</v>
      </c>
      <c r="I118">
        <v>0</v>
      </c>
      <c r="J118">
        <v>200</v>
      </c>
      <c r="K118" s="2">
        <v>45784</v>
      </c>
    </row>
    <row r="119" spans="1:11" x14ac:dyDescent="0.25">
      <c r="A119" s="1" t="s">
        <v>688</v>
      </c>
      <c r="B119" s="1"/>
      <c r="C119" s="1" t="s">
        <v>2808</v>
      </c>
      <c r="D119" s="1" t="s">
        <v>3370</v>
      </c>
      <c r="E119" s="1"/>
      <c r="F119">
        <v>0</v>
      </c>
      <c r="G119">
        <v>0</v>
      </c>
      <c r="H119">
        <v>0</v>
      </c>
      <c r="I119">
        <v>0</v>
      </c>
      <c r="J119">
        <v>200</v>
      </c>
      <c r="K119" s="2">
        <v>45765</v>
      </c>
    </row>
    <row r="120" spans="1:11" x14ac:dyDescent="0.25">
      <c r="A120" s="1" t="s">
        <v>688</v>
      </c>
      <c r="B120" s="1"/>
      <c r="C120" s="1" t="s">
        <v>2828</v>
      </c>
      <c r="D120" s="1" t="s">
        <v>3392</v>
      </c>
      <c r="E120" s="1"/>
      <c r="F120">
        <v>12.9</v>
      </c>
      <c r="G120">
        <v>27.7</v>
      </c>
      <c r="H120">
        <v>-720</v>
      </c>
      <c r="I120">
        <v>0</v>
      </c>
      <c r="J120">
        <v>200</v>
      </c>
      <c r="K120" s="2">
        <v>45772</v>
      </c>
    </row>
    <row r="121" spans="1:11" x14ac:dyDescent="0.25">
      <c r="A121" s="1" t="s">
        <v>688</v>
      </c>
      <c r="B121" s="1"/>
      <c r="C121" s="1" t="s">
        <v>2816</v>
      </c>
      <c r="D121" s="1" t="s">
        <v>3372</v>
      </c>
      <c r="E121" s="1"/>
      <c r="F121">
        <v>0.3</v>
      </c>
      <c r="G121">
        <v>0.5</v>
      </c>
      <c r="H121">
        <v>-10</v>
      </c>
      <c r="I121">
        <v>0</v>
      </c>
      <c r="J121">
        <v>200</v>
      </c>
      <c r="K121" s="2">
        <v>45772</v>
      </c>
    </row>
    <row r="122" spans="1:11" x14ac:dyDescent="0.25">
      <c r="A122" s="1" t="s">
        <v>688</v>
      </c>
      <c r="B122" s="1"/>
      <c r="C122" s="1" t="s">
        <v>2817</v>
      </c>
      <c r="D122" s="1" t="s">
        <v>3377</v>
      </c>
      <c r="E122" s="1"/>
      <c r="F122">
        <v>0.9</v>
      </c>
      <c r="G122">
        <v>1</v>
      </c>
      <c r="H122">
        <v>0</v>
      </c>
      <c r="I122">
        <v>0</v>
      </c>
      <c r="J122">
        <v>200</v>
      </c>
      <c r="K122" s="2">
        <v>45784</v>
      </c>
    </row>
    <row r="123" spans="1:11" x14ac:dyDescent="0.25">
      <c r="A123" s="1" t="s">
        <v>683</v>
      </c>
      <c r="B123" s="1"/>
      <c r="C123" s="1" t="s">
        <v>2808</v>
      </c>
      <c r="D123" s="1" t="s">
        <v>3370</v>
      </c>
      <c r="E123" s="1"/>
      <c r="F123">
        <v>0</v>
      </c>
      <c r="G123">
        <v>0</v>
      </c>
      <c r="H123">
        <v>0</v>
      </c>
      <c r="I123">
        <v>0</v>
      </c>
      <c r="J123">
        <v>25</v>
      </c>
      <c r="K123" s="2">
        <v>45765</v>
      </c>
    </row>
    <row r="124" spans="1:11" x14ac:dyDescent="0.25">
      <c r="A124" s="1" t="s">
        <v>683</v>
      </c>
      <c r="B124" s="1"/>
      <c r="C124" s="1" t="s">
        <v>2838</v>
      </c>
      <c r="D124" s="1" t="s">
        <v>3392</v>
      </c>
      <c r="E124" s="1"/>
      <c r="F124">
        <v>1</v>
      </c>
      <c r="G124">
        <v>2.5</v>
      </c>
      <c r="H124">
        <v>-70</v>
      </c>
      <c r="I124">
        <v>0</v>
      </c>
      <c r="J124">
        <v>25</v>
      </c>
      <c r="K124" s="2">
        <v>45770</v>
      </c>
    </row>
    <row r="125" spans="1:11" x14ac:dyDescent="0.25">
      <c r="A125" s="1" t="s">
        <v>683</v>
      </c>
      <c r="B125" s="1"/>
      <c r="C125" s="1" t="s">
        <v>2816</v>
      </c>
      <c r="D125" s="1" t="s">
        <v>3372</v>
      </c>
      <c r="E125" s="1"/>
      <c r="F125">
        <v>0.3</v>
      </c>
      <c r="G125">
        <v>0.1</v>
      </c>
      <c r="H125">
        <v>10</v>
      </c>
      <c r="I125">
        <v>0</v>
      </c>
      <c r="J125">
        <v>25</v>
      </c>
      <c r="K125" s="2">
        <v>45771</v>
      </c>
    </row>
    <row r="126" spans="1:11" x14ac:dyDescent="0.25">
      <c r="A126" s="1" t="s">
        <v>683</v>
      </c>
      <c r="B126" s="1"/>
      <c r="C126" s="1" t="s">
        <v>2817</v>
      </c>
      <c r="D126" s="1" t="s">
        <v>3377</v>
      </c>
      <c r="E126" s="1"/>
      <c r="F126">
        <v>0.3</v>
      </c>
      <c r="G126">
        <v>0</v>
      </c>
      <c r="H126">
        <v>15</v>
      </c>
      <c r="I126">
        <v>0</v>
      </c>
      <c r="J126">
        <v>25</v>
      </c>
      <c r="K126" s="2">
        <v>45784</v>
      </c>
    </row>
    <row r="127" spans="1:11" x14ac:dyDescent="0.25">
      <c r="A127" s="1" t="s">
        <v>689</v>
      </c>
      <c r="B127" s="1"/>
      <c r="C127" s="1" t="s">
        <v>2808</v>
      </c>
      <c r="D127" s="1" t="s">
        <v>3370</v>
      </c>
      <c r="E127" s="1"/>
      <c r="F127">
        <v>0</v>
      </c>
      <c r="G127">
        <v>0</v>
      </c>
      <c r="H127">
        <v>0</v>
      </c>
      <c r="I127">
        <v>0</v>
      </c>
      <c r="J127">
        <v>25</v>
      </c>
      <c r="K127" s="2">
        <v>45765</v>
      </c>
    </row>
    <row r="128" spans="1:11" x14ac:dyDescent="0.25">
      <c r="A128" s="1" t="s">
        <v>689</v>
      </c>
      <c r="B128" s="1"/>
      <c r="C128" s="1" t="s">
        <v>2838</v>
      </c>
      <c r="D128" s="1" t="s">
        <v>3392</v>
      </c>
      <c r="E128" s="1"/>
      <c r="F128">
        <v>1</v>
      </c>
      <c r="G128">
        <v>0.6</v>
      </c>
      <c r="H128">
        <v>25</v>
      </c>
      <c r="I128">
        <v>0</v>
      </c>
      <c r="J128">
        <v>25</v>
      </c>
      <c r="K128" s="2">
        <v>45776</v>
      </c>
    </row>
    <row r="129" spans="1:11" x14ac:dyDescent="0.25">
      <c r="A129" s="1" t="s">
        <v>689</v>
      </c>
      <c r="B129" s="1"/>
      <c r="C129" s="1" t="s">
        <v>2816</v>
      </c>
      <c r="D129" s="1" t="s">
        <v>3372</v>
      </c>
      <c r="E129" s="1"/>
      <c r="F129">
        <v>0.3</v>
      </c>
      <c r="G129">
        <v>0</v>
      </c>
      <c r="H129">
        <v>15</v>
      </c>
      <c r="I129">
        <v>0</v>
      </c>
      <c r="J129">
        <v>25</v>
      </c>
      <c r="K129" s="2">
        <v>45778</v>
      </c>
    </row>
    <row r="130" spans="1:11" x14ac:dyDescent="0.25">
      <c r="A130" s="1" t="s">
        <v>689</v>
      </c>
      <c r="B130" s="1"/>
      <c r="C130" s="1" t="s">
        <v>2817</v>
      </c>
      <c r="D130" s="1" t="s">
        <v>3377</v>
      </c>
      <c r="E130" s="1"/>
      <c r="F130">
        <v>0.3</v>
      </c>
      <c r="G130">
        <v>0.4</v>
      </c>
      <c r="H130">
        <v>-5</v>
      </c>
      <c r="I130">
        <v>0</v>
      </c>
      <c r="J130">
        <v>25</v>
      </c>
      <c r="K130" s="2">
        <v>45784</v>
      </c>
    </row>
    <row r="131" spans="1:11" x14ac:dyDescent="0.25">
      <c r="A131" s="1" t="s">
        <v>646</v>
      </c>
      <c r="B131" s="1"/>
      <c r="C131" s="1" t="s">
        <v>2808</v>
      </c>
      <c r="D131" s="1" t="s">
        <v>3370</v>
      </c>
      <c r="E131" s="1"/>
      <c r="F131">
        <v>0</v>
      </c>
      <c r="G131">
        <v>0</v>
      </c>
      <c r="H131">
        <v>0</v>
      </c>
      <c r="I131">
        <v>0</v>
      </c>
      <c r="J131">
        <v>250</v>
      </c>
      <c r="K131" s="2">
        <v>45772</v>
      </c>
    </row>
    <row r="132" spans="1:11" x14ac:dyDescent="0.25">
      <c r="A132" s="1" t="s">
        <v>745</v>
      </c>
      <c r="B132" s="1"/>
      <c r="C132" s="1" t="s">
        <v>2808</v>
      </c>
      <c r="D132" s="1" t="s">
        <v>3370</v>
      </c>
      <c r="E132" s="1"/>
      <c r="F132">
        <v>0</v>
      </c>
      <c r="G132">
        <v>0</v>
      </c>
      <c r="H132">
        <v>0</v>
      </c>
      <c r="I132">
        <v>0</v>
      </c>
      <c r="J132">
        <v>100</v>
      </c>
      <c r="K132" s="2">
        <v>45776</v>
      </c>
    </row>
    <row r="133" spans="1:11" x14ac:dyDescent="0.25">
      <c r="A133" s="1" t="s">
        <v>745</v>
      </c>
      <c r="B133" s="1"/>
      <c r="C133" s="1" t="s">
        <v>2839</v>
      </c>
      <c r="D133" s="1" t="s">
        <v>3380</v>
      </c>
      <c r="E133" s="1"/>
      <c r="F133">
        <v>4.2</v>
      </c>
      <c r="G133">
        <v>9.5</v>
      </c>
      <c r="H133">
        <v>-255</v>
      </c>
      <c r="I133">
        <v>0</v>
      </c>
      <c r="J133">
        <v>100</v>
      </c>
      <c r="K133" s="2">
        <v>45778</v>
      </c>
    </row>
    <row r="134" spans="1:11" x14ac:dyDescent="0.25">
      <c r="A134" s="1" t="s">
        <v>745</v>
      </c>
      <c r="B134" s="1"/>
      <c r="C134" s="1" t="s">
        <v>2816</v>
      </c>
      <c r="D134" s="1" t="s">
        <v>3372</v>
      </c>
      <c r="E134" s="1"/>
      <c r="F134">
        <v>0.3</v>
      </c>
      <c r="G134">
        <v>0.6</v>
      </c>
      <c r="H134">
        <v>-15</v>
      </c>
      <c r="I134">
        <v>0</v>
      </c>
      <c r="J134">
        <v>100</v>
      </c>
      <c r="K134" s="2">
        <v>45783</v>
      </c>
    </row>
    <row r="135" spans="1:11" x14ac:dyDescent="0.25">
      <c r="A135" s="1" t="s">
        <v>745</v>
      </c>
      <c r="B135" s="1"/>
      <c r="C135" s="1" t="s">
        <v>2817</v>
      </c>
      <c r="D135" s="1" t="s">
        <v>3377</v>
      </c>
      <c r="E135" s="1"/>
      <c r="F135">
        <v>0.3</v>
      </c>
      <c r="G135">
        <v>0.2</v>
      </c>
      <c r="H135">
        <v>5</v>
      </c>
      <c r="I135">
        <v>0</v>
      </c>
      <c r="J135">
        <v>100</v>
      </c>
      <c r="K135" s="2">
        <v>45785</v>
      </c>
    </row>
    <row r="136" spans="1:11" x14ac:dyDescent="0.25">
      <c r="A136" s="1" t="s">
        <v>637</v>
      </c>
      <c r="B136" s="1"/>
      <c r="C136" s="1" t="s">
        <v>2808</v>
      </c>
      <c r="D136" s="1" t="s">
        <v>3370</v>
      </c>
      <c r="E136" s="1"/>
      <c r="F136">
        <v>0</v>
      </c>
      <c r="G136">
        <v>0</v>
      </c>
      <c r="H136">
        <v>0</v>
      </c>
      <c r="I136">
        <v>0</v>
      </c>
      <c r="J136">
        <v>25</v>
      </c>
      <c r="K136" s="2">
        <v>45769</v>
      </c>
    </row>
    <row r="137" spans="1:11" x14ac:dyDescent="0.25">
      <c r="A137" s="1" t="s">
        <v>637</v>
      </c>
      <c r="B137" s="1"/>
      <c r="C137" s="1" t="s">
        <v>2828</v>
      </c>
      <c r="D137" s="1" t="s">
        <v>3380</v>
      </c>
      <c r="E137" s="1"/>
      <c r="F137">
        <v>1.4</v>
      </c>
      <c r="G137">
        <v>1.7</v>
      </c>
      <c r="H137">
        <v>-10</v>
      </c>
      <c r="I137">
        <v>0</v>
      </c>
      <c r="J137">
        <v>25</v>
      </c>
      <c r="K137" s="2">
        <v>45771</v>
      </c>
    </row>
    <row r="138" spans="1:11" x14ac:dyDescent="0.25">
      <c r="A138" s="1" t="s">
        <v>637</v>
      </c>
      <c r="B138" s="1"/>
      <c r="C138" s="1" t="s">
        <v>2816</v>
      </c>
      <c r="D138" s="1" t="s">
        <v>3372</v>
      </c>
      <c r="E138" s="1"/>
      <c r="F138">
        <v>0.3</v>
      </c>
      <c r="G138">
        <v>0.1</v>
      </c>
      <c r="H138">
        <v>10</v>
      </c>
      <c r="I138">
        <v>0</v>
      </c>
      <c r="J138">
        <v>25</v>
      </c>
      <c r="K138" s="2">
        <v>45782</v>
      </c>
    </row>
    <row r="139" spans="1:11" x14ac:dyDescent="0.25">
      <c r="A139" s="1" t="s">
        <v>637</v>
      </c>
      <c r="B139" s="1"/>
      <c r="C139" s="1" t="s">
        <v>2817</v>
      </c>
      <c r="D139" s="1" t="s">
        <v>3377</v>
      </c>
      <c r="E139" s="1"/>
      <c r="F139">
        <v>0.3</v>
      </c>
      <c r="G139">
        <v>0</v>
      </c>
      <c r="H139">
        <v>15</v>
      </c>
      <c r="I139">
        <v>0</v>
      </c>
      <c r="J139">
        <v>25</v>
      </c>
      <c r="K139" s="2">
        <v>45782</v>
      </c>
    </row>
    <row r="140" spans="1:11" x14ac:dyDescent="0.25">
      <c r="A140" s="1" t="s">
        <v>645</v>
      </c>
      <c r="B140" s="1"/>
      <c r="C140" s="1" t="s">
        <v>2808</v>
      </c>
      <c r="D140" s="1" t="s">
        <v>3370</v>
      </c>
      <c r="E140" s="1"/>
      <c r="F140">
        <v>0</v>
      </c>
      <c r="G140">
        <v>0</v>
      </c>
      <c r="H140">
        <v>0</v>
      </c>
      <c r="I140">
        <v>0</v>
      </c>
      <c r="J140">
        <v>60</v>
      </c>
      <c r="K140" s="2">
        <v>45769</v>
      </c>
    </row>
    <row r="141" spans="1:11" x14ac:dyDescent="0.25">
      <c r="A141" s="1" t="s">
        <v>645</v>
      </c>
      <c r="B141" s="1"/>
      <c r="C141" s="1" t="s">
        <v>2828</v>
      </c>
      <c r="D141" s="1" t="s">
        <v>3380</v>
      </c>
      <c r="E141" s="1"/>
      <c r="F141">
        <v>2.7</v>
      </c>
      <c r="G141">
        <v>4.7</v>
      </c>
      <c r="H141">
        <v>-95</v>
      </c>
      <c r="I141">
        <v>0</v>
      </c>
      <c r="J141">
        <v>60</v>
      </c>
      <c r="K141" s="2">
        <v>45771</v>
      </c>
    </row>
    <row r="142" spans="1:11" x14ac:dyDescent="0.25">
      <c r="A142" s="1" t="s">
        <v>645</v>
      </c>
      <c r="B142" s="1"/>
      <c r="C142" s="1" t="s">
        <v>2816</v>
      </c>
      <c r="D142" s="1" t="s">
        <v>3372</v>
      </c>
      <c r="E142" s="1"/>
      <c r="F142">
        <v>0.3</v>
      </c>
      <c r="G142">
        <v>0.2</v>
      </c>
      <c r="H142">
        <v>5</v>
      </c>
      <c r="I142">
        <v>0</v>
      </c>
      <c r="J142">
        <v>60</v>
      </c>
      <c r="K142" s="2">
        <v>45772</v>
      </c>
    </row>
    <row r="143" spans="1:11" x14ac:dyDescent="0.25">
      <c r="A143" s="1" t="s">
        <v>645</v>
      </c>
      <c r="B143" s="1"/>
      <c r="C143" s="1" t="s">
        <v>2817</v>
      </c>
      <c r="D143" s="1" t="s">
        <v>3377</v>
      </c>
      <c r="E143" s="1"/>
      <c r="F143">
        <v>0.3</v>
      </c>
      <c r="G143">
        <v>1.3</v>
      </c>
      <c r="H143">
        <v>-45</v>
      </c>
      <c r="I143">
        <v>0</v>
      </c>
      <c r="J143">
        <v>60</v>
      </c>
      <c r="K143" s="2">
        <v>45782</v>
      </c>
    </row>
    <row r="144" spans="1:11" x14ac:dyDescent="0.25">
      <c r="A144" s="1" t="s">
        <v>638</v>
      </c>
      <c r="B144" s="1"/>
      <c r="C144" s="1" t="s">
        <v>2808</v>
      </c>
      <c r="D144" s="1" t="s">
        <v>3370</v>
      </c>
      <c r="E144" s="1"/>
      <c r="F144">
        <v>0</v>
      </c>
      <c r="G144">
        <v>0</v>
      </c>
      <c r="H144">
        <v>0</v>
      </c>
      <c r="I144">
        <v>0</v>
      </c>
      <c r="J144">
        <v>100</v>
      </c>
      <c r="K144" s="2">
        <v>45772</v>
      </c>
    </row>
    <row r="145" spans="1:11" x14ac:dyDescent="0.25">
      <c r="A145" s="1" t="s">
        <v>638</v>
      </c>
      <c r="B145" s="1"/>
      <c r="C145" s="1" t="s">
        <v>2828</v>
      </c>
      <c r="D145" s="1" t="s">
        <v>3380</v>
      </c>
      <c r="E145" s="1"/>
      <c r="F145">
        <v>4.2</v>
      </c>
      <c r="G145">
        <v>6.4</v>
      </c>
      <c r="H145">
        <v>-105</v>
      </c>
      <c r="I145">
        <v>0</v>
      </c>
      <c r="J145">
        <v>100</v>
      </c>
      <c r="K145" s="2">
        <v>45776</v>
      </c>
    </row>
    <row r="146" spans="1:11" x14ac:dyDescent="0.25">
      <c r="A146" s="1" t="s">
        <v>638</v>
      </c>
      <c r="B146" s="1"/>
      <c r="C146" s="1" t="s">
        <v>2816</v>
      </c>
      <c r="D146" s="1" t="s">
        <v>3372</v>
      </c>
      <c r="E146" s="1"/>
      <c r="F146">
        <v>0.3</v>
      </c>
      <c r="G146">
        <v>0</v>
      </c>
      <c r="H146">
        <v>15</v>
      </c>
      <c r="I146">
        <v>0</v>
      </c>
      <c r="J146">
        <v>100</v>
      </c>
      <c r="K146" s="2">
        <v>45776</v>
      </c>
    </row>
    <row r="147" spans="1:11" x14ac:dyDescent="0.25">
      <c r="A147" s="1" t="s">
        <v>638</v>
      </c>
      <c r="B147" s="1"/>
      <c r="C147" s="1" t="s">
        <v>2817</v>
      </c>
      <c r="D147" s="1" t="s">
        <v>3377</v>
      </c>
      <c r="E147" s="1"/>
      <c r="F147">
        <v>0.3</v>
      </c>
      <c r="G147">
        <v>0.2</v>
      </c>
      <c r="H147">
        <v>5</v>
      </c>
      <c r="I147">
        <v>0</v>
      </c>
      <c r="J147">
        <v>100</v>
      </c>
      <c r="K147" s="2">
        <v>45782</v>
      </c>
    </row>
    <row r="148" spans="1:11" x14ac:dyDescent="0.25">
      <c r="A148" s="1" t="s">
        <v>640</v>
      </c>
      <c r="B148" s="1"/>
      <c r="C148" s="1" t="s">
        <v>2808</v>
      </c>
      <c r="D148" s="1" t="s">
        <v>3370</v>
      </c>
      <c r="E148" s="1"/>
      <c r="F148">
        <v>0</v>
      </c>
      <c r="G148">
        <v>0</v>
      </c>
      <c r="H148">
        <v>0</v>
      </c>
      <c r="I148">
        <v>0</v>
      </c>
      <c r="J148">
        <v>25</v>
      </c>
      <c r="K148" s="2">
        <v>45763</v>
      </c>
    </row>
    <row r="149" spans="1:11" x14ac:dyDescent="0.25">
      <c r="A149" s="1" t="s">
        <v>640</v>
      </c>
      <c r="B149" s="1"/>
      <c r="C149" s="1" t="s">
        <v>2828</v>
      </c>
      <c r="D149" s="1" t="s">
        <v>3380</v>
      </c>
      <c r="E149" s="1"/>
      <c r="F149">
        <v>1.4</v>
      </c>
      <c r="G149">
        <v>2.6</v>
      </c>
      <c r="H149">
        <v>-55</v>
      </c>
      <c r="I149">
        <v>0</v>
      </c>
      <c r="J149">
        <v>25</v>
      </c>
      <c r="K149" s="2">
        <v>45763</v>
      </c>
    </row>
    <row r="150" spans="1:11" x14ac:dyDescent="0.25">
      <c r="A150" s="1" t="s">
        <v>640</v>
      </c>
      <c r="B150" s="1"/>
      <c r="C150" s="1" t="s">
        <v>2816</v>
      </c>
      <c r="D150" s="1" t="s">
        <v>3372</v>
      </c>
      <c r="E150" s="1"/>
      <c r="F150">
        <v>0.3</v>
      </c>
      <c r="G150">
        <v>0</v>
      </c>
      <c r="H150">
        <v>15</v>
      </c>
      <c r="I150">
        <v>0</v>
      </c>
      <c r="J150">
        <v>25</v>
      </c>
      <c r="K150" s="2">
        <v>45764</v>
      </c>
    </row>
    <row r="151" spans="1:11" x14ac:dyDescent="0.25">
      <c r="A151" s="1" t="s">
        <v>640</v>
      </c>
      <c r="B151" s="1"/>
      <c r="C151" s="1" t="s">
        <v>2817</v>
      </c>
      <c r="D151" s="1" t="s">
        <v>3377</v>
      </c>
      <c r="E151" s="1"/>
      <c r="F151">
        <v>0.3</v>
      </c>
      <c r="G151">
        <v>0</v>
      </c>
      <c r="H151">
        <v>15</v>
      </c>
      <c r="I151">
        <v>0</v>
      </c>
      <c r="J151">
        <v>25</v>
      </c>
      <c r="K151" s="2">
        <v>45782</v>
      </c>
    </row>
    <row r="152" spans="1:11" x14ac:dyDescent="0.25">
      <c r="A152" s="1" t="s">
        <v>643</v>
      </c>
      <c r="B152" s="1"/>
      <c r="C152" s="1" t="s">
        <v>2808</v>
      </c>
      <c r="D152" s="1" t="s">
        <v>3370</v>
      </c>
      <c r="E152" s="1"/>
      <c r="F152">
        <v>0</v>
      </c>
      <c r="G152">
        <v>0</v>
      </c>
      <c r="H152">
        <v>0</v>
      </c>
      <c r="I152">
        <v>0</v>
      </c>
      <c r="J152">
        <v>25</v>
      </c>
      <c r="K152" s="2">
        <v>45772</v>
      </c>
    </row>
    <row r="153" spans="1:11" x14ac:dyDescent="0.25">
      <c r="A153" s="1" t="s">
        <v>643</v>
      </c>
      <c r="B153" s="1"/>
      <c r="C153" s="1" t="s">
        <v>2828</v>
      </c>
      <c r="D153" s="1" t="s">
        <v>3380</v>
      </c>
      <c r="E153" s="1"/>
      <c r="F153">
        <v>1.4</v>
      </c>
      <c r="G153">
        <v>1.5</v>
      </c>
      <c r="H153">
        <v>0</v>
      </c>
      <c r="I153">
        <v>0</v>
      </c>
      <c r="J153">
        <v>25</v>
      </c>
      <c r="K153" s="2">
        <v>45776</v>
      </c>
    </row>
    <row r="154" spans="1:11" x14ac:dyDescent="0.25">
      <c r="A154" s="1" t="s">
        <v>643</v>
      </c>
      <c r="B154" s="1"/>
      <c r="C154" s="1" t="s">
        <v>2816</v>
      </c>
      <c r="D154" s="1" t="s">
        <v>3372</v>
      </c>
      <c r="E154" s="1"/>
      <c r="F154">
        <v>0.3</v>
      </c>
      <c r="G154">
        <v>0.2</v>
      </c>
      <c r="H154">
        <v>5</v>
      </c>
      <c r="I154">
        <v>0</v>
      </c>
      <c r="J154">
        <v>25</v>
      </c>
      <c r="K154" s="2">
        <v>45776</v>
      </c>
    </row>
    <row r="155" spans="1:11" x14ac:dyDescent="0.25">
      <c r="A155" s="1" t="s">
        <v>643</v>
      </c>
      <c r="B155" s="1"/>
      <c r="C155" s="1" t="s">
        <v>2817</v>
      </c>
      <c r="D155" s="1" t="s">
        <v>3377</v>
      </c>
      <c r="E155" s="1"/>
      <c r="F155">
        <v>0.3</v>
      </c>
      <c r="G155">
        <v>0</v>
      </c>
      <c r="H155">
        <v>15</v>
      </c>
      <c r="I155">
        <v>0</v>
      </c>
      <c r="J155">
        <v>25</v>
      </c>
      <c r="K155" s="2">
        <v>45782</v>
      </c>
    </row>
    <row r="156" spans="1:11" x14ac:dyDescent="0.25">
      <c r="A156" s="1" t="s">
        <v>639</v>
      </c>
      <c r="B156" s="1"/>
      <c r="C156" s="1" t="s">
        <v>2808</v>
      </c>
      <c r="D156" s="1" t="s">
        <v>3370</v>
      </c>
      <c r="E156" s="1"/>
      <c r="F156">
        <v>0</v>
      </c>
      <c r="G156">
        <v>0</v>
      </c>
      <c r="H156">
        <v>0</v>
      </c>
      <c r="I156">
        <v>0</v>
      </c>
      <c r="J156">
        <v>500</v>
      </c>
      <c r="K156" s="2">
        <v>45763</v>
      </c>
    </row>
    <row r="157" spans="1:11" x14ac:dyDescent="0.25">
      <c r="A157" s="1" t="s">
        <v>639</v>
      </c>
      <c r="B157" s="1"/>
      <c r="C157" s="1" t="s">
        <v>2840</v>
      </c>
      <c r="D157" s="1" t="s">
        <v>3393</v>
      </c>
      <c r="E157" s="1"/>
      <c r="F157">
        <v>13</v>
      </c>
      <c r="G157">
        <v>22.4</v>
      </c>
      <c r="H157">
        <v>-455</v>
      </c>
      <c r="I157">
        <v>0</v>
      </c>
      <c r="J157">
        <v>500</v>
      </c>
      <c r="K157" s="2">
        <v>45768</v>
      </c>
    </row>
    <row r="158" spans="1:11" x14ac:dyDescent="0.25">
      <c r="A158" s="1" t="s">
        <v>639</v>
      </c>
      <c r="B158" s="1"/>
      <c r="C158" s="1" t="s">
        <v>2816</v>
      </c>
      <c r="D158" s="1" t="s">
        <v>3372</v>
      </c>
      <c r="E158" s="1"/>
      <c r="F158">
        <v>0.3</v>
      </c>
      <c r="G158">
        <v>0</v>
      </c>
      <c r="H158">
        <v>15</v>
      </c>
      <c r="I158">
        <v>0</v>
      </c>
      <c r="J158">
        <v>500</v>
      </c>
      <c r="K158" s="2">
        <v>45769</v>
      </c>
    </row>
    <row r="159" spans="1:11" x14ac:dyDescent="0.25">
      <c r="A159" s="1" t="s">
        <v>639</v>
      </c>
      <c r="B159" s="1"/>
      <c r="C159" s="1" t="s">
        <v>2817</v>
      </c>
      <c r="D159" s="1" t="s">
        <v>3377</v>
      </c>
      <c r="E159" s="1"/>
      <c r="F159">
        <v>0.3</v>
      </c>
      <c r="G159">
        <v>2.4</v>
      </c>
      <c r="H159">
        <v>-100</v>
      </c>
      <c r="I159">
        <v>0</v>
      </c>
      <c r="J159">
        <v>500</v>
      </c>
      <c r="K159" s="2">
        <v>45782</v>
      </c>
    </row>
    <row r="160" spans="1:11" x14ac:dyDescent="0.25">
      <c r="A160" s="1" t="s">
        <v>779</v>
      </c>
      <c r="B160" s="1"/>
      <c r="C160" s="1" t="s">
        <v>2808</v>
      </c>
      <c r="D160" s="1" t="s">
        <v>3370</v>
      </c>
      <c r="E160" s="1"/>
      <c r="F160">
        <v>0</v>
      </c>
      <c r="G160">
        <v>0</v>
      </c>
      <c r="H160">
        <v>0</v>
      </c>
      <c r="I160">
        <v>0</v>
      </c>
      <c r="J160">
        <v>400</v>
      </c>
      <c r="K160" s="2">
        <v>45776</v>
      </c>
    </row>
    <row r="161" spans="1:11" x14ac:dyDescent="0.25">
      <c r="A161" s="1" t="s">
        <v>779</v>
      </c>
      <c r="B161" s="1"/>
      <c r="C161" s="1" t="s">
        <v>2840</v>
      </c>
      <c r="D161" s="1" t="s">
        <v>3393</v>
      </c>
      <c r="E161" s="1"/>
      <c r="F161">
        <v>26.7</v>
      </c>
      <c r="G161">
        <v>16.399999999999999</v>
      </c>
      <c r="H161">
        <v>505</v>
      </c>
      <c r="I161">
        <v>0</v>
      </c>
      <c r="J161">
        <v>400</v>
      </c>
      <c r="K161" s="2">
        <v>45779</v>
      </c>
    </row>
    <row r="162" spans="1:11" x14ac:dyDescent="0.25">
      <c r="A162" s="1" t="s">
        <v>779</v>
      </c>
      <c r="B162" s="1"/>
      <c r="C162" s="1" t="s">
        <v>2816</v>
      </c>
      <c r="D162" s="1" t="s">
        <v>3372</v>
      </c>
      <c r="E162" s="1"/>
      <c r="F162">
        <v>0.3</v>
      </c>
      <c r="G162">
        <v>0.5</v>
      </c>
      <c r="H162">
        <v>-10</v>
      </c>
      <c r="I162">
        <v>0</v>
      </c>
      <c r="J162">
        <v>400</v>
      </c>
      <c r="K162" s="2">
        <v>45779</v>
      </c>
    </row>
    <row r="163" spans="1:11" x14ac:dyDescent="0.25">
      <c r="A163" s="1" t="s">
        <v>779</v>
      </c>
      <c r="B163" s="1"/>
      <c r="C163" s="1" t="s">
        <v>2817</v>
      </c>
      <c r="D163" s="1" t="s">
        <v>3377</v>
      </c>
      <c r="E163" s="1"/>
      <c r="F163">
        <v>7.7</v>
      </c>
      <c r="G163">
        <v>1.9</v>
      </c>
      <c r="H163">
        <v>285</v>
      </c>
      <c r="I163">
        <v>0</v>
      </c>
      <c r="J163">
        <v>400</v>
      </c>
      <c r="K163" s="2">
        <v>45785</v>
      </c>
    </row>
    <row r="164" spans="1:11" x14ac:dyDescent="0.25">
      <c r="A164" s="1" t="s">
        <v>436</v>
      </c>
      <c r="B164" s="1"/>
      <c r="C164" s="1" t="s">
        <v>2808</v>
      </c>
      <c r="D164" s="1" t="s">
        <v>3370</v>
      </c>
      <c r="E164" s="1"/>
      <c r="F164">
        <v>0</v>
      </c>
      <c r="G164">
        <v>0</v>
      </c>
      <c r="H164">
        <v>0</v>
      </c>
      <c r="I164">
        <v>0</v>
      </c>
      <c r="J164">
        <v>400</v>
      </c>
      <c r="K164" s="2">
        <v>45770</v>
      </c>
    </row>
    <row r="165" spans="1:11" x14ac:dyDescent="0.25">
      <c r="A165" s="1" t="s">
        <v>436</v>
      </c>
      <c r="B165" s="1"/>
      <c r="C165" s="1" t="s">
        <v>2840</v>
      </c>
      <c r="D165" s="1" t="s">
        <v>3393</v>
      </c>
      <c r="E165" s="1"/>
      <c r="F165">
        <v>26.7</v>
      </c>
      <c r="G165">
        <v>22.5</v>
      </c>
      <c r="H165">
        <v>205</v>
      </c>
      <c r="I165">
        <v>0</v>
      </c>
      <c r="J165">
        <v>400</v>
      </c>
      <c r="K165" s="2">
        <v>45776</v>
      </c>
    </row>
    <row r="166" spans="1:11" x14ac:dyDescent="0.25">
      <c r="A166" s="1" t="s">
        <v>436</v>
      </c>
      <c r="B166" s="1"/>
      <c r="C166" s="1" t="s">
        <v>2816</v>
      </c>
      <c r="D166" s="1" t="s">
        <v>3372</v>
      </c>
      <c r="E166" s="1"/>
      <c r="F166">
        <v>0.3</v>
      </c>
      <c r="G166">
        <v>2.7</v>
      </c>
      <c r="H166">
        <v>-120</v>
      </c>
      <c r="I166">
        <v>0</v>
      </c>
      <c r="J166">
        <v>400</v>
      </c>
      <c r="K166" s="2">
        <v>45776</v>
      </c>
    </row>
    <row r="167" spans="1:11" x14ac:dyDescent="0.25">
      <c r="A167" s="1" t="s">
        <v>436</v>
      </c>
      <c r="B167" s="1"/>
      <c r="C167" s="1" t="s">
        <v>2817</v>
      </c>
      <c r="D167" s="1" t="s">
        <v>3377</v>
      </c>
      <c r="E167" s="1"/>
      <c r="F167">
        <v>7.7</v>
      </c>
      <c r="G167">
        <v>2.5</v>
      </c>
      <c r="H167">
        <v>255</v>
      </c>
      <c r="I167">
        <v>0</v>
      </c>
      <c r="J167">
        <v>400</v>
      </c>
      <c r="K167" s="2">
        <v>45782</v>
      </c>
    </row>
    <row r="168" spans="1:11" x14ac:dyDescent="0.25">
      <c r="A168" s="1" t="s">
        <v>976</v>
      </c>
      <c r="B168" s="1"/>
      <c r="C168" s="1" t="s">
        <v>2808</v>
      </c>
      <c r="D168" s="1" t="s">
        <v>3370</v>
      </c>
      <c r="E168" s="1"/>
      <c r="F168">
        <v>0</v>
      </c>
      <c r="G168">
        <v>0</v>
      </c>
      <c r="H168">
        <v>0</v>
      </c>
      <c r="I168">
        <v>0</v>
      </c>
      <c r="J168">
        <v>100</v>
      </c>
      <c r="K168" s="2">
        <v>45789</v>
      </c>
    </row>
    <row r="169" spans="1:11" x14ac:dyDescent="0.25">
      <c r="A169" s="1" t="s">
        <v>832</v>
      </c>
      <c r="B169" s="1"/>
      <c r="C169" s="1" t="s">
        <v>2808</v>
      </c>
      <c r="D169" s="1" t="s">
        <v>3370</v>
      </c>
      <c r="E169" s="1"/>
      <c r="F169">
        <v>0</v>
      </c>
      <c r="G169">
        <v>0</v>
      </c>
      <c r="H169">
        <v>0</v>
      </c>
      <c r="I169">
        <v>0</v>
      </c>
      <c r="J169">
        <v>500</v>
      </c>
      <c r="K169" s="2">
        <v>45779</v>
      </c>
    </row>
    <row r="170" spans="1:11" x14ac:dyDescent="0.25">
      <c r="A170" s="1" t="s">
        <v>832</v>
      </c>
      <c r="B170" s="1"/>
      <c r="C170" s="1" t="s">
        <v>2841</v>
      </c>
      <c r="D170" s="1" t="s">
        <v>3394</v>
      </c>
      <c r="E170" s="1"/>
      <c r="F170">
        <v>2.9</v>
      </c>
      <c r="G170">
        <v>2</v>
      </c>
      <c r="H170">
        <v>50</v>
      </c>
      <c r="I170">
        <v>0</v>
      </c>
      <c r="J170">
        <v>500</v>
      </c>
      <c r="K170" s="2">
        <v>45786</v>
      </c>
    </row>
    <row r="171" spans="1:11" x14ac:dyDescent="0.25">
      <c r="A171" s="1" t="s">
        <v>832</v>
      </c>
      <c r="B171" s="1"/>
      <c r="C171" s="1" t="s">
        <v>2842</v>
      </c>
      <c r="D171" s="1" t="s">
        <v>3395</v>
      </c>
      <c r="E171" s="1"/>
      <c r="F171">
        <v>12.9</v>
      </c>
      <c r="G171">
        <v>4.9000000000000004</v>
      </c>
      <c r="H171">
        <v>390</v>
      </c>
      <c r="I171">
        <v>0</v>
      </c>
      <c r="J171">
        <v>500</v>
      </c>
      <c r="K171" s="2">
        <v>45786</v>
      </c>
    </row>
    <row r="172" spans="1:11" x14ac:dyDescent="0.25">
      <c r="A172" s="1" t="s">
        <v>832</v>
      </c>
      <c r="B172" s="1"/>
      <c r="C172" s="1" t="s">
        <v>2843</v>
      </c>
      <c r="D172" s="1" t="s">
        <v>3393</v>
      </c>
      <c r="E172" s="1"/>
      <c r="F172">
        <v>8.3000000000000007</v>
      </c>
      <c r="G172">
        <v>3</v>
      </c>
      <c r="H172">
        <v>265</v>
      </c>
      <c r="I172">
        <v>0</v>
      </c>
      <c r="J172">
        <v>500</v>
      </c>
      <c r="K172" s="2">
        <v>45786</v>
      </c>
    </row>
    <row r="173" spans="1:11" x14ac:dyDescent="0.25">
      <c r="A173" s="1" t="s">
        <v>832</v>
      </c>
      <c r="B173" s="1"/>
      <c r="C173" s="1" t="s">
        <v>2844</v>
      </c>
      <c r="D173" s="1" t="s">
        <v>3385</v>
      </c>
      <c r="E173" s="1"/>
      <c r="F173">
        <v>4.8</v>
      </c>
      <c r="G173">
        <v>4</v>
      </c>
      <c r="H173">
        <v>45</v>
      </c>
      <c r="I173">
        <v>0</v>
      </c>
      <c r="J173">
        <v>500</v>
      </c>
      <c r="K173" s="2">
        <v>45786</v>
      </c>
    </row>
    <row r="174" spans="1:11" x14ac:dyDescent="0.25">
      <c r="A174" s="1" t="s">
        <v>832</v>
      </c>
      <c r="B174" s="1"/>
      <c r="C174" s="1" t="s">
        <v>2816</v>
      </c>
      <c r="D174" s="1" t="s">
        <v>3372</v>
      </c>
      <c r="E174" s="1"/>
      <c r="F174">
        <v>0.3</v>
      </c>
      <c r="G174">
        <v>0.1</v>
      </c>
      <c r="H174">
        <v>10</v>
      </c>
      <c r="I174">
        <v>0</v>
      </c>
      <c r="J174">
        <v>500</v>
      </c>
      <c r="K174" s="2">
        <v>45786</v>
      </c>
    </row>
    <row r="175" spans="1:11" x14ac:dyDescent="0.25">
      <c r="A175" s="1" t="s">
        <v>832</v>
      </c>
      <c r="B175" s="1"/>
      <c r="C175" s="1" t="s">
        <v>2817</v>
      </c>
      <c r="D175" s="1" t="s">
        <v>3377</v>
      </c>
      <c r="E175" s="1"/>
      <c r="F175">
        <v>1.3</v>
      </c>
      <c r="G175">
        <v>0.4</v>
      </c>
      <c r="H175">
        <v>50</v>
      </c>
      <c r="I175">
        <v>0</v>
      </c>
      <c r="J175">
        <v>500</v>
      </c>
      <c r="K175" s="2">
        <v>45789</v>
      </c>
    </row>
    <row r="176" spans="1:11" x14ac:dyDescent="0.25">
      <c r="A176" s="1" t="s">
        <v>810</v>
      </c>
      <c r="B176" s="1"/>
      <c r="C176" s="1" t="s">
        <v>2808</v>
      </c>
      <c r="D176" s="1" t="s">
        <v>3370</v>
      </c>
      <c r="E176" s="1"/>
      <c r="F176">
        <v>0</v>
      </c>
      <c r="G176">
        <v>0</v>
      </c>
      <c r="H176">
        <v>0</v>
      </c>
      <c r="I176">
        <v>0</v>
      </c>
      <c r="J176">
        <v>500</v>
      </c>
      <c r="K176" s="2">
        <v>45782</v>
      </c>
    </row>
    <row r="177" spans="1:11" x14ac:dyDescent="0.25">
      <c r="A177" s="1" t="s">
        <v>810</v>
      </c>
      <c r="B177" s="1"/>
      <c r="C177" s="1" t="s">
        <v>2841</v>
      </c>
      <c r="D177" s="1" t="s">
        <v>3394</v>
      </c>
      <c r="E177" s="1"/>
      <c r="F177">
        <v>2.9</v>
      </c>
      <c r="G177">
        <v>1.9</v>
      </c>
      <c r="H177">
        <v>55</v>
      </c>
      <c r="I177">
        <v>0</v>
      </c>
      <c r="J177">
        <v>500</v>
      </c>
      <c r="K177" s="2">
        <v>45785</v>
      </c>
    </row>
    <row r="178" spans="1:11" x14ac:dyDescent="0.25">
      <c r="A178" s="1" t="s">
        <v>810</v>
      </c>
      <c r="B178" s="1"/>
      <c r="C178" s="1" t="s">
        <v>2842</v>
      </c>
      <c r="D178" s="1" t="s">
        <v>3395</v>
      </c>
      <c r="E178" s="1"/>
      <c r="F178">
        <v>12.9</v>
      </c>
      <c r="G178">
        <v>4.9000000000000004</v>
      </c>
      <c r="H178">
        <v>390</v>
      </c>
      <c r="I178">
        <v>0</v>
      </c>
      <c r="J178">
        <v>500</v>
      </c>
      <c r="K178" s="2">
        <v>45789</v>
      </c>
    </row>
    <row r="179" spans="1:11" x14ac:dyDescent="0.25">
      <c r="A179" s="1" t="s">
        <v>810</v>
      </c>
      <c r="B179" s="1"/>
      <c r="C179" s="1" t="s">
        <v>2843</v>
      </c>
      <c r="D179" s="1" t="s">
        <v>3393</v>
      </c>
      <c r="E179" s="1"/>
      <c r="F179">
        <v>8.3000000000000007</v>
      </c>
      <c r="G179">
        <v>1.8</v>
      </c>
      <c r="H179">
        <v>325</v>
      </c>
      <c r="I179">
        <v>0</v>
      </c>
      <c r="J179">
        <v>500</v>
      </c>
      <c r="K179" s="2">
        <v>45789</v>
      </c>
    </row>
    <row r="180" spans="1:11" x14ac:dyDescent="0.25">
      <c r="A180" s="1" t="s">
        <v>810</v>
      </c>
      <c r="B180" s="1"/>
      <c r="C180" s="1" t="s">
        <v>2844</v>
      </c>
      <c r="D180" s="1" t="s">
        <v>3385</v>
      </c>
      <c r="E180" s="1"/>
      <c r="F180">
        <v>4.8</v>
      </c>
      <c r="G180">
        <v>0</v>
      </c>
      <c r="H180">
        <v>235</v>
      </c>
      <c r="I180">
        <v>0</v>
      </c>
      <c r="J180">
        <v>500</v>
      </c>
      <c r="K180" s="2">
        <v>45789</v>
      </c>
    </row>
    <row r="181" spans="1:11" x14ac:dyDescent="0.25">
      <c r="A181" s="1" t="s">
        <v>810</v>
      </c>
      <c r="B181" s="1"/>
      <c r="C181" s="1" t="s">
        <v>2816</v>
      </c>
      <c r="D181" s="1" t="s">
        <v>3372</v>
      </c>
      <c r="E181" s="1"/>
      <c r="F181">
        <v>0.3</v>
      </c>
      <c r="G181">
        <v>0</v>
      </c>
      <c r="H181">
        <v>15</v>
      </c>
      <c r="I181">
        <v>0</v>
      </c>
      <c r="J181">
        <v>500</v>
      </c>
      <c r="K181" s="2">
        <v>45789</v>
      </c>
    </row>
    <row r="182" spans="1:11" x14ac:dyDescent="0.25">
      <c r="A182" s="1" t="s">
        <v>820</v>
      </c>
      <c r="B182" s="1"/>
      <c r="C182" s="1" t="s">
        <v>2808</v>
      </c>
      <c r="D182" s="1" t="s">
        <v>3370</v>
      </c>
      <c r="E182" s="1"/>
      <c r="F182">
        <v>0</v>
      </c>
      <c r="G182">
        <v>0</v>
      </c>
      <c r="H182">
        <v>0</v>
      </c>
      <c r="I182">
        <v>0</v>
      </c>
      <c r="J182">
        <v>500</v>
      </c>
      <c r="K182" s="2">
        <v>45779</v>
      </c>
    </row>
    <row r="183" spans="1:11" x14ac:dyDescent="0.25">
      <c r="A183" s="1" t="s">
        <v>821</v>
      </c>
      <c r="B183" s="1"/>
      <c r="C183" s="1" t="s">
        <v>2808</v>
      </c>
      <c r="D183" s="1" t="s">
        <v>3370</v>
      </c>
      <c r="E183" s="1"/>
      <c r="F183">
        <v>0</v>
      </c>
      <c r="G183">
        <v>0</v>
      </c>
      <c r="H183">
        <v>0</v>
      </c>
      <c r="I183">
        <v>0</v>
      </c>
      <c r="J183">
        <v>500</v>
      </c>
      <c r="K183" s="2">
        <v>45782</v>
      </c>
    </row>
    <row r="184" spans="1:11" x14ac:dyDescent="0.25">
      <c r="A184" s="1" t="s">
        <v>833</v>
      </c>
      <c r="B184" s="1"/>
      <c r="C184" s="1" t="s">
        <v>2808</v>
      </c>
      <c r="D184" s="1" t="s">
        <v>3370</v>
      </c>
      <c r="E184" s="1"/>
      <c r="F184">
        <v>0</v>
      </c>
      <c r="G184">
        <v>0</v>
      </c>
      <c r="H184">
        <v>0</v>
      </c>
      <c r="I184">
        <v>0</v>
      </c>
      <c r="J184">
        <v>250</v>
      </c>
      <c r="K184" s="2">
        <v>45779</v>
      </c>
    </row>
    <row r="185" spans="1:11" x14ac:dyDescent="0.25">
      <c r="A185" s="1" t="s">
        <v>833</v>
      </c>
      <c r="B185" s="1"/>
      <c r="C185" s="1" t="s">
        <v>2841</v>
      </c>
      <c r="D185" s="1" t="s">
        <v>3394</v>
      </c>
      <c r="E185" s="1"/>
      <c r="F185">
        <v>1.6</v>
      </c>
      <c r="G185">
        <v>1.3</v>
      </c>
      <c r="H185">
        <v>15</v>
      </c>
      <c r="I185">
        <v>0</v>
      </c>
      <c r="J185">
        <v>250</v>
      </c>
      <c r="K185" s="2">
        <v>45784</v>
      </c>
    </row>
    <row r="186" spans="1:11" x14ac:dyDescent="0.25">
      <c r="A186" s="1" t="s">
        <v>833</v>
      </c>
      <c r="B186" s="1"/>
      <c r="C186" s="1" t="s">
        <v>2842</v>
      </c>
      <c r="D186" s="1" t="s">
        <v>3395</v>
      </c>
      <c r="E186" s="1"/>
      <c r="F186">
        <v>6.5</v>
      </c>
      <c r="G186">
        <v>4.5</v>
      </c>
      <c r="H186">
        <v>100</v>
      </c>
      <c r="I186">
        <v>0</v>
      </c>
      <c r="J186">
        <v>250</v>
      </c>
      <c r="K186" s="2">
        <v>45784</v>
      </c>
    </row>
    <row r="187" spans="1:11" x14ac:dyDescent="0.25">
      <c r="A187" s="1" t="s">
        <v>833</v>
      </c>
      <c r="B187" s="1"/>
      <c r="C187" s="1" t="s">
        <v>2843</v>
      </c>
      <c r="D187" s="1" t="s">
        <v>3393</v>
      </c>
      <c r="E187" s="1"/>
      <c r="F187">
        <v>4.2</v>
      </c>
      <c r="G187">
        <v>1.6</v>
      </c>
      <c r="H187">
        <v>130</v>
      </c>
      <c r="I187">
        <v>0</v>
      </c>
      <c r="J187">
        <v>250</v>
      </c>
      <c r="K187" s="2">
        <v>45784</v>
      </c>
    </row>
    <row r="188" spans="1:11" x14ac:dyDescent="0.25">
      <c r="A188" s="1" t="s">
        <v>833</v>
      </c>
      <c r="B188" s="1"/>
      <c r="C188" s="1" t="s">
        <v>2844</v>
      </c>
      <c r="D188" s="1" t="s">
        <v>3385</v>
      </c>
      <c r="E188" s="1"/>
      <c r="F188">
        <v>2.5</v>
      </c>
      <c r="G188">
        <v>1.5</v>
      </c>
      <c r="H188">
        <v>50</v>
      </c>
      <c r="I188">
        <v>0</v>
      </c>
      <c r="J188">
        <v>250</v>
      </c>
      <c r="K188" s="2">
        <v>45784</v>
      </c>
    </row>
    <row r="189" spans="1:11" x14ac:dyDescent="0.25">
      <c r="A189" s="1" t="s">
        <v>833</v>
      </c>
      <c r="B189" s="1"/>
      <c r="C189" s="1" t="s">
        <v>2816</v>
      </c>
      <c r="D189" s="1" t="s">
        <v>3372</v>
      </c>
      <c r="E189" s="1"/>
      <c r="F189">
        <v>0.3</v>
      </c>
      <c r="G189">
        <v>1.6</v>
      </c>
      <c r="H189">
        <v>-65</v>
      </c>
      <c r="I189">
        <v>0</v>
      </c>
      <c r="J189">
        <v>250</v>
      </c>
      <c r="K189" s="2">
        <v>45784</v>
      </c>
    </row>
    <row r="190" spans="1:11" x14ac:dyDescent="0.25">
      <c r="A190" s="1" t="s">
        <v>615</v>
      </c>
      <c r="B190" s="1"/>
      <c r="C190" s="1" t="s">
        <v>2808</v>
      </c>
      <c r="D190" s="1" t="s">
        <v>3370</v>
      </c>
      <c r="E190" s="1"/>
      <c r="F190">
        <v>0</v>
      </c>
      <c r="G190">
        <v>0</v>
      </c>
      <c r="H190">
        <v>0</v>
      </c>
      <c r="I190">
        <v>0</v>
      </c>
      <c r="J190">
        <v>500</v>
      </c>
      <c r="K190" s="2">
        <v>45762</v>
      </c>
    </row>
    <row r="191" spans="1:11" x14ac:dyDescent="0.25">
      <c r="A191" s="1" t="s">
        <v>615</v>
      </c>
      <c r="B191" s="1"/>
      <c r="C191" s="1" t="s">
        <v>2841</v>
      </c>
      <c r="D191" s="1" t="s">
        <v>3394</v>
      </c>
      <c r="E191" s="1"/>
      <c r="F191">
        <v>2.9</v>
      </c>
      <c r="G191">
        <v>1.1000000000000001</v>
      </c>
      <c r="H191">
        <v>90</v>
      </c>
      <c r="I191">
        <v>0</v>
      </c>
      <c r="J191">
        <v>500</v>
      </c>
      <c r="K191" s="2">
        <v>45768</v>
      </c>
    </row>
    <row r="192" spans="1:11" x14ac:dyDescent="0.25">
      <c r="A192" s="1" t="s">
        <v>615</v>
      </c>
      <c r="B192" s="1"/>
      <c r="C192" s="1" t="s">
        <v>2845</v>
      </c>
      <c r="D192" s="1" t="s">
        <v>3393</v>
      </c>
      <c r="E192" s="1"/>
      <c r="F192">
        <v>5.0999999999999996</v>
      </c>
      <c r="G192">
        <v>1.5</v>
      </c>
      <c r="H192">
        <v>180</v>
      </c>
      <c r="I192">
        <v>0</v>
      </c>
      <c r="J192">
        <v>500</v>
      </c>
      <c r="K192" s="2">
        <v>45768</v>
      </c>
    </row>
    <row r="193" spans="1:11" x14ac:dyDescent="0.25">
      <c r="A193" s="1" t="s">
        <v>615</v>
      </c>
      <c r="B193" s="1"/>
      <c r="C193" s="1" t="s">
        <v>2842</v>
      </c>
      <c r="D193" s="1" t="s">
        <v>3395</v>
      </c>
      <c r="E193" s="1"/>
      <c r="F193">
        <v>12.9</v>
      </c>
      <c r="G193">
        <v>6</v>
      </c>
      <c r="H193">
        <v>340</v>
      </c>
      <c r="I193">
        <v>0</v>
      </c>
      <c r="J193">
        <v>500</v>
      </c>
      <c r="K193" s="2">
        <v>45768</v>
      </c>
    </row>
    <row r="194" spans="1:11" x14ac:dyDescent="0.25">
      <c r="A194" s="1" t="s">
        <v>615</v>
      </c>
      <c r="B194" s="1"/>
      <c r="C194" s="1" t="s">
        <v>2843</v>
      </c>
      <c r="D194" s="1" t="s">
        <v>3393</v>
      </c>
      <c r="E194" s="1"/>
      <c r="F194">
        <v>8.3000000000000007</v>
      </c>
      <c r="G194">
        <v>7.4</v>
      </c>
      <c r="H194">
        <v>50</v>
      </c>
      <c r="I194">
        <v>0</v>
      </c>
      <c r="J194">
        <v>500</v>
      </c>
      <c r="K194" s="2">
        <v>45768</v>
      </c>
    </row>
    <row r="195" spans="1:11" x14ac:dyDescent="0.25">
      <c r="A195" s="1" t="s">
        <v>615</v>
      </c>
      <c r="B195" s="1"/>
      <c r="C195" s="1" t="s">
        <v>2844</v>
      </c>
      <c r="D195" s="1" t="s">
        <v>3385</v>
      </c>
      <c r="E195" s="1"/>
      <c r="F195">
        <v>4.8</v>
      </c>
      <c r="G195">
        <v>2.6</v>
      </c>
      <c r="H195">
        <v>110</v>
      </c>
      <c r="I195">
        <v>0</v>
      </c>
      <c r="J195">
        <v>500</v>
      </c>
      <c r="K195" s="2">
        <v>45768</v>
      </c>
    </row>
    <row r="196" spans="1:11" x14ac:dyDescent="0.25">
      <c r="A196" s="1" t="s">
        <v>615</v>
      </c>
      <c r="B196" s="1"/>
      <c r="C196" s="1" t="s">
        <v>2816</v>
      </c>
      <c r="D196" s="1" t="s">
        <v>3372</v>
      </c>
      <c r="E196" s="1"/>
      <c r="F196">
        <v>0.3</v>
      </c>
      <c r="G196">
        <v>0</v>
      </c>
      <c r="H196">
        <v>15</v>
      </c>
      <c r="I196">
        <v>0</v>
      </c>
      <c r="J196">
        <v>500</v>
      </c>
      <c r="K196" s="2">
        <v>45768</v>
      </c>
    </row>
    <row r="197" spans="1:11" x14ac:dyDescent="0.25">
      <c r="A197" s="1" t="s">
        <v>615</v>
      </c>
      <c r="B197" s="1"/>
      <c r="C197" s="1" t="s">
        <v>2817</v>
      </c>
      <c r="D197" s="1" t="s">
        <v>3377</v>
      </c>
      <c r="E197" s="1"/>
      <c r="F197">
        <v>1.3</v>
      </c>
      <c r="G197">
        <v>0.8</v>
      </c>
      <c r="H197">
        <v>25</v>
      </c>
      <c r="I197">
        <v>0</v>
      </c>
      <c r="J197">
        <v>500</v>
      </c>
      <c r="K197" s="2">
        <v>45782</v>
      </c>
    </row>
    <row r="198" spans="1:11" x14ac:dyDescent="0.25">
      <c r="A198" s="1" t="s">
        <v>160</v>
      </c>
      <c r="B198" s="1"/>
      <c r="C198" s="1" t="s">
        <v>2808</v>
      </c>
      <c r="D198" s="1" t="s">
        <v>3370</v>
      </c>
      <c r="E198" s="1"/>
      <c r="F198">
        <v>0</v>
      </c>
      <c r="G198">
        <v>0</v>
      </c>
      <c r="H198">
        <v>0</v>
      </c>
      <c r="I198">
        <v>0</v>
      </c>
      <c r="J198">
        <v>18</v>
      </c>
      <c r="K198" s="2">
        <v>45769</v>
      </c>
    </row>
    <row r="199" spans="1:11" x14ac:dyDescent="0.25">
      <c r="A199" s="1" t="s">
        <v>160</v>
      </c>
      <c r="B199" s="1"/>
      <c r="C199" s="1" t="s">
        <v>2846</v>
      </c>
      <c r="D199" s="1" t="s">
        <v>3394</v>
      </c>
      <c r="E199" s="1"/>
      <c r="F199">
        <v>0</v>
      </c>
      <c r="G199">
        <v>1.2</v>
      </c>
      <c r="H199">
        <v>-55</v>
      </c>
      <c r="I199">
        <v>0</v>
      </c>
      <c r="J199">
        <v>18</v>
      </c>
      <c r="K199" s="2">
        <v>45784</v>
      </c>
    </row>
    <row r="200" spans="1:11" x14ac:dyDescent="0.25">
      <c r="A200" s="1" t="s">
        <v>160</v>
      </c>
      <c r="B200" s="1"/>
      <c r="C200" s="1" t="s">
        <v>2847</v>
      </c>
      <c r="D200" s="1" t="s">
        <v>3377</v>
      </c>
      <c r="E200" s="1"/>
      <c r="F200">
        <v>0</v>
      </c>
      <c r="G200">
        <v>0</v>
      </c>
      <c r="H200">
        <v>0</v>
      </c>
      <c r="I200">
        <v>0</v>
      </c>
      <c r="J200">
        <v>18</v>
      </c>
      <c r="K200" s="2">
        <v>45784</v>
      </c>
    </row>
    <row r="201" spans="1:11" x14ac:dyDescent="0.25">
      <c r="A201" s="1" t="s">
        <v>160</v>
      </c>
      <c r="B201" s="1"/>
      <c r="C201" s="1" t="s">
        <v>2848</v>
      </c>
      <c r="D201" s="1" t="s">
        <v>3372</v>
      </c>
      <c r="E201" s="1"/>
      <c r="F201">
        <v>0</v>
      </c>
      <c r="G201">
        <v>0.2</v>
      </c>
      <c r="H201">
        <v>-5</v>
      </c>
      <c r="I201">
        <v>0</v>
      </c>
      <c r="J201">
        <v>18</v>
      </c>
      <c r="K201" s="2">
        <v>45785</v>
      </c>
    </row>
    <row r="202" spans="1:11" x14ac:dyDescent="0.25">
      <c r="A202" s="1" t="s">
        <v>712</v>
      </c>
      <c r="B202" s="1"/>
      <c r="C202" s="1" t="s">
        <v>2808</v>
      </c>
      <c r="D202" s="1" t="s">
        <v>3370</v>
      </c>
      <c r="E202" s="1"/>
      <c r="F202">
        <v>0</v>
      </c>
      <c r="G202">
        <v>0</v>
      </c>
      <c r="H202">
        <v>0</v>
      </c>
      <c r="I202">
        <v>0</v>
      </c>
      <c r="J202">
        <v>500</v>
      </c>
      <c r="K202" s="2">
        <v>45770</v>
      </c>
    </row>
    <row r="203" spans="1:11" x14ac:dyDescent="0.25">
      <c r="A203" s="1" t="s">
        <v>712</v>
      </c>
      <c r="B203" s="1"/>
      <c r="C203" s="1" t="s">
        <v>2841</v>
      </c>
      <c r="D203" s="1" t="s">
        <v>3394</v>
      </c>
      <c r="E203" s="1"/>
      <c r="F203">
        <v>2.9</v>
      </c>
      <c r="G203">
        <v>2.2999999999999998</v>
      </c>
      <c r="H203">
        <v>35</v>
      </c>
      <c r="I203">
        <v>0</v>
      </c>
      <c r="J203">
        <v>500</v>
      </c>
      <c r="K203" s="2">
        <v>45772</v>
      </c>
    </row>
    <row r="204" spans="1:11" x14ac:dyDescent="0.25">
      <c r="A204" s="1" t="s">
        <v>712</v>
      </c>
      <c r="B204" s="1"/>
      <c r="C204" s="1" t="s">
        <v>2845</v>
      </c>
      <c r="D204" s="1" t="s">
        <v>3393</v>
      </c>
      <c r="E204" s="1"/>
      <c r="F204">
        <v>5.0999999999999996</v>
      </c>
      <c r="G204">
        <v>3.8</v>
      </c>
      <c r="H204">
        <v>65</v>
      </c>
      <c r="I204">
        <v>0</v>
      </c>
      <c r="J204">
        <v>500</v>
      </c>
      <c r="K204" s="2">
        <v>45772</v>
      </c>
    </row>
    <row r="205" spans="1:11" x14ac:dyDescent="0.25">
      <c r="A205" s="1" t="s">
        <v>712</v>
      </c>
      <c r="B205" s="1"/>
      <c r="C205" s="1" t="s">
        <v>2842</v>
      </c>
      <c r="D205" s="1" t="s">
        <v>3395</v>
      </c>
      <c r="E205" s="1"/>
      <c r="F205">
        <v>12.9</v>
      </c>
      <c r="G205">
        <v>4.5999999999999996</v>
      </c>
      <c r="H205">
        <v>405</v>
      </c>
      <c r="I205">
        <v>0</v>
      </c>
      <c r="J205">
        <v>500</v>
      </c>
      <c r="K205" s="2">
        <v>45772</v>
      </c>
    </row>
    <row r="206" spans="1:11" x14ac:dyDescent="0.25">
      <c r="A206" s="1" t="s">
        <v>712</v>
      </c>
      <c r="B206" s="1"/>
      <c r="C206" s="1" t="s">
        <v>2843</v>
      </c>
      <c r="D206" s="1" t="s">
        <v>3393</v>
      </c>
      <c r="E206" s="1"/>
      <c r="F206">
        <v>8.3000000000000007</v>
      </c>
      <c r="G206">
        <v>2.7</v>
      </c>
      <c r="H206">
        <v>275</v>
      </c>
      <c r="I206">
        <v>0</v>
      </c>
      <c r="J206">
        <v>500</v>
      </c>
      <c r="K206" s="2">
        <v>45772</v>
      </c>
    </row>
    <row r="207" spans="1:11" x14ac:dyDescent="0.25">
      <c r="A207" s="1" t="s">
        <v>712</v>
      </c>
      <c r="B207" s="1"/>
      <c r="C207" s="1" t="s">
        <v>2844</v>
      </c>
      <c r="D207" s="1" t="s">
        <v>3385</v>
      </c>
      <c r="E207" s="1"/>
      <c r="F207">
        <v>4.8</v>
      </c>
      <c r="G207">
        <v>1.9</v>
      </c>
      <c r="H207">
        <v>145</v>
      </c>
      <c r="I207">
        <v>0</v>
      </c>
      <c r="J207">
        <v>500</v>
      </c>
      <c r="K207" s="2">
        <v>45772</v>
      </c>
    </row>
    <row r="208" spans="1:11" x14ac:dyDescent="0.25">
      <c r="A208" s="1" t="s">
        <v>712</v>
      </c>
      <c r="B208" s="1"/>
      <c r="C208" s="1" t="s">
        <v>2816</v>
      </c>
      <c r="D208" s="1" t="s">
        <v>3372</v>
      </c>
      <c r="E208" s="1"/>
      <c r="F208">
        <v>0.3</v>
      </c>
      <c r="G208">
        <v>0</v>
      </c>
      <c r="H208">
        <v>15</v>
      </c>
      <c r="I208">
        <v>0</v>
      </c>
      <c r="J208">
        <v>500</v>
      </c>
      <c r="K208" s="2">
        <v>45772</v>
      </c>
    </row>
    <row r="209" spans="1:11" x14ac:dyDescent="0.25">
      <c r="A209" s="1" t="s">
        <v>712</v>
      </c>
      <c r="B209" s="1"/>
      <c r="C209" s="1" t="s">
        <v>2817</v>
      </c>
      <c r="D209" s="1" t="s">
        <v>3377</v>
      </c>
      <c r="E209" s="1"/>
      <c r="F209">
        <v>1.3</v>
      </c>
      <c r="G209">
        <v>0.7</v>
      </c>
      <c r="H209">
        <v>35</v>
      </c>
      <c r="I209">
        <v>0</v>
      </c>
      <c r="J209">
        <v>500</v>
      </c>
      <c r="K209" s="2">
        <v>45784</v>
      </c>
    </row>
    <row r="210" spans="1:11" x14ac:dyDescent="0.25">
      <c r="A210" s="1" t="s">
        <v>819</v>
      </c>
      <c r="B210" s="1"/>
      <c r="C210" s="1" t="s">
        <v>2808</v>
      </c>
      <c r="D210" s="1" t="s">
        <v>3370</v>
      </c>
      <c r="E210" s="1"/>
      <c r="F210">
        <v>0</v>
      </c>
      <c r="G210">
        <v>0</v>
      </c>
      <c r="H210">
        <v>0</v>
      </c>
      <c r="I210">
        <v>0</v>
      </c>
      <c r="J210">
        <v>500</v>
      </c>
      <c r="K210" s="2">
        <v>45778</v>
      </c>
    </row>
    <row r="211" spans="1:11" x14ac:dyDescent="0.25">
      <c r="A211" s="1" t="s">
        <v>819</v>
      </c>
      <c r="B211" s="1"/>
      <c r="C211" s="1" t="s">
        <v>2841</v>
      </c>
      <c r="D211" s="1" t="s">
        <v>3394</v>
      </c>
      <c r="E211" s="1"/>
      <c r="F211">
        <v>2.9</v>
      </c>
      <c r="G211">
        <v>2.8</v>
      </c>
      <c r="H211">
        <v>10</v>
      </c>
      <c r="I211">
        <v>0</v>
      </c>
      <c r="J211">
        <v>500</v>
      </c>
      <c r="K211" s="2">
        <v>45784</v>
      </c>
    </row>
    <row r="212" spans="1:11" x14ac:dyDescent="0.25">
      <c r="A212" s="1" t="s">
        <v>819</v>
      </c>
      <c r="B212" s="1"/>
      <c r="C212" s="1" t="s">
        <v>2845</v>
      </c>
      <c r="D212" s="1" t="s">
        <v>3393</v>
      </c>
      <c r="E212" s="1"/>
      <c r="F212">
        <v>5.0999999999999996</v>
      </c>
      <c r="G212">
        <v>3.7</v>
      </c>
      <c r="H212">
        <v>70</v>
      </c>
      <c r="I212">
        <v>0</v>
      </c>
      <c r="J212">
        <v>500</v>
      </c>
      <c r="K212" s="2">
        <v>45783</v>
      </c>
    </row>
    <row r="213" spans="1:11" x14ac:dyDescent="0.25">
      <c r="A213" s="1" t="s">
        <v>819</v>
      </c>
      <c r="B213" s="1"/>
      <c r="C213" s="1" t="s">
        <v>2842</v>
      </c>
      <c r="D213" s="1" t="s">
        <v>3395</v>
      </c>
      <c r="E213" s="1"/>
      <c r="F213">
        <v>12.9</v>
      </c>
      <c r="G213">
        <v>8.4</v>
      </c>
      <c r="H213">
        <v>220</v>
      </c>
      <c r="I213">
        <v>0</v>
      </c>
      <c r="J213">
        <v>500</v>
      </c>
      <c r="K213" s="2">
        <v>45784</v>
      </c>
    </row>
    <row r="214" spans="1:11" x14ac:dyDescent="0.25">
      <c r="A214" s="1" t="s">
        <v>819</v>
      </c>
      <c r="B214" s="1"/>
      <c r="C214" s="1" t="s">
        <v>2843</v>
      </c>
      <c r="D214" s="1" t="s">
        <v>3393</v>
      </c>
      <c r="E214" s="1"/>
      <c r="F214">
        <v>8.3000000000000007</v>
      </c>
      <c r="G214">
        <v>5.3</v>
      </c>
      <c r="H214">
        <v>150</v>
      </c>
      <c r="I214">
        <v>0</v>
      </c>
      <c r="J214">
        <v>500</v>
      </c>
      <c r="K214" s="2">
        <v>45784</v>
      </c>
    </row>
    <row r="215" spans="1:11" x14ac:dyDescent="0.25">
      <c r="A215" s="1" t="s">
        <v>819</v>
      </c>
      <c r="B215" s="1"/>
      <c r="C215" s="1" t="s">
        <v>2844</v>
      </c>
      <c r="D215" s="1" t="s">
        <v>3385</v>
      </c>
      <c r="E215" s="1"/>
      <c r="F215">
        <v>4.8</v>
      </c>
      <c r="G215">
        <v>4.4000000000000004</v>
      </c>
      <c r="H215">
        <v>25</v>
      </c>
      <c r="I215">
        <v>0</v>
      </c>
      <c r="J215">
        <v>500</v>
      </c>
      <c r="K215" s="2">
        <v>45784</v>
      </c>
    </row>
    <row r="216" spans="1:11" x14ac:dyDescent="0.25">
      <c r="A216" s="1" t="s">
        <v>819</v>
      </c>
      <c r="B216" s="1"/>
      <c r="C216" s="1" t="s">
        <v>2816</v>
      </c>
      <c r="D216" s="1" t="s">
        <v>3372</v>
      </c>
      <c r="E216" s="1"/>
      <c r="F216">
        <v>0.3</v>
      </c>
      <c r="G216">
        <v>0</v>
      </c>
      <c r="H216">
        <v>15</v>
      </c>
      <c r="I216">
        <v>0</v>
      </c>
      <c r="J216">
        <v>500</v>
      </c>
      <c r="K216" s="2">
        <v>45785</v>
      </c>
    </row>
    <row r="217" spans="1:11" x14ac:dyDescent="0.25">
      <c r="A217" s="1" t="s">
        <v>948</v>
      </c>
      <c r="B217" s="1"/>
      <c r="C217" s="1" t="s">
        <v>2808</v>
      </c>
      <c r="D217" s="1" t="s">
        <v>3370</v>
      </c>
      <c r="E217" s="1"/>
      <c r="F217">
        <v>0</v>
      </c>
      <c r="G217">
        <v>0</v>
      </c>
      <c r="H217">
        <v>0</v>
      </c>
      <c r="I217">
        <v>0</v>
      </c>
      <c r="J217">
        <v>500</v>
      </c>
      <c r="K217" s="2">
        <v>45786</v>
      </c>
    </row>
    <row r="218" spans="1:11" x14ac:dyDescent="0.25">
      <c r="A218" s="1" t="s">
        <v>723</v>
      </c>
      <c r="B218" s="1"/>
      <c r="C218" s="1" t="s">
        <v>2808</v>
      </c>
      <c r="D218" s="1" t="s">
        <v>3370</v>
      </c>
      <c r="E218" s="1"/>
      <c r="F218">
        <v>0</v>
      </c>
      <c r="G218">
        <v>0</v>
      </c>
      <c r="H218">
        <v>0</v>
      </c>
      <c r="I218">
        <v>0</v>
      </c>
      <c r="J218">
        <v>994</v>
      </c>
      <c r="K218" s="2">
        <v>45778</v>
      </c>
    </row>
    <row r="219" spans="1:11" x14ac:dyDescent="0.25">
      <c r="A219" s="1" t="s">
        <v>723</v>
      </c>
      <c r="B219" s="1"/>
      <c r="C219" s="1" t="s">
        <v>2828</v>
      </c>
      <c r="D219" s="1" t="s">
        <v>3396</v>
      </c>
      <c r="E219" s="1"/>
      <c r="F219">
        <v>15.4</v>
      </c>
      <c r="G219">
        <v>40.700000000000003</v>
      </c>
      <c r="H219">
        <v>-1225</v>
      </c>
      <c r="I219">
        <v>0</v>
      </c>
      <c r="J219">
        <v>994</v>
      </c>
      <c r="K219" s="2">
        <v>45778</v>
      </c>
    </row>
    <row r="220" spans="1:11" x14ac:dyDescent="0.25">
      <c r="A220" s="1" t="s">
        <v>723</v>
      </c>
      <c r="B220" s="1"/>
      <c r="C220" s="1" t="s">
        <v>2816</v>
      </c>
      <c r="D220" s="1" t="s">
        <v>3372</v>
      </c>
      <c r="E220" s="1"/>
      <c r="F220">
        <v>0.3</v>
      </c>
      <c r="G220">
        <v>0.5</v>
      </c>
      <c r="H220">
        <v>-10</v>
      </c>
      <c r="I220">
        <v>0</v>
      </c>
      <c r="J220">
        <v>994</v>
      </c>
      <c r="K220" s="2">
        <v>45778</v>
      </c>
    </row>
    <row r="221" spans="1:11" x14ac:dyDescent="0.25">
      <c r="A221" s="1" t="s">
        <v>723</v>
      </c>
      <c r="B221" s="1"/>
      <c r="C221" s="1" t="s">
        <v>2817</v>
      </c>
      <c r="D221" s="1" t="s">
        <v>3377</v>
      </c>
      <c r="E221" s="1"/>
      <c r="F221">
        <v>0.3</v>
      </c>
      <c r="G221">
        <v>0</v>
      </c>
      <c r="H221">
        <v>15</v>
      </c>
      <c r="I221">
        <v>0</v>
      </c>
      <c r="J221">
        <v>994</v>
      </c>
      <c r="K221" s="2">
        <v>45784</v>
      </c>
    </row>
    <row r="222" spans="1:11" x14ac:dyDescent="0.25">
      <c r="A222" s="1" t="s">
        <v>592</v>
      </c>
      <c r="B222" s="1"/>
      <c r="C222" s="1" t="s">
        <v>2808</v>
      </c>
      <c r="D222" s="1" t="s">
        <v>3370</v>
      </c>
      <c r="E222" s="1"/>
      <c r="F222">
        <v>0</v>
      </c>
      <c r="G222">
        <v>0</v>
      </c>
      <c r="H222">
        <v>0</v>
      </c>
      <c r="I222">
        <v>0</v>
      </c>
      <c r="J222">
        <v>250</v>
      </c>
      <c r="K222" s="2">
        <v>45761</v>
      </c>
    </row>
    <row r="223" spans="1:11" x14ac:dyDescent="0.25">
      <c r="A223" s="1" t="s">
        <v>592</v>
      </c>
      <c r="B223" s="1"/>
      <c r="C223" s="1" t="s">
        <v>2849</v>
      </c>
      <c r="D223" s="1" t="s">
        <v>3382</v>
      </c>
      <c r="E223" s="1"/>
      <c r="F223">
        <v>3.6</v>
      </c>
      <c r="G223">
        <v>1.9</v>
      </c>
      <c r="H223">
        <v>85</v>
      </c>
      <c r="I223">
        <v>0</v>
      </c>
      <c r="J223">
        <v>250</v>
      </c>
      <c r="K223" s="2">
        <v>45762</v>
      </c>
    </row>
    <row r="224" spans="1:11" x14ac:dyDescent="0.25">
      <c r="A224" s="1" t="s">
        <v>592</v>
      </c>
      <c r="B224" s="1"/>
      <c r="C224" s="1" t="s">
        <v>2850</v>
      </c>
      <c r="D224" s="1" t="s">
        <v>3396</v>
      </c>
      <c r="E224" s="1"/>
      <c r="F224">
        <v>3.6</v>
      </c>
      <c r="G224">
        <v>3.9</v>
      </c>
      <c r="H224">
        <v>-10</v>
      </c>
      <c r="I224">
        <v>0</v>
      </c>
      <c r="J224">
        <v>250</v>
      </c>
      <c r="K224" s="2">
        <v>45763</v>
      </c>
    </row>
    <row r="225" spans="1:11" x14ac:dyDescent="0.25">
      <c r="A225" s="1" t="s">
        <v>592</v>
      </c>
      <c r="B225" s="1"/>
      <c r="C225" s="1" t="s">
        <v>2851</v>
      </c>
      <c r="D225" s="1" t="s">
        <v>3385</v>
      </c>
      <c r="E225" s="1"/>
      <c r="F225">
        <v>0.3</v>
      </c>
      <c r="G225">
        <v>1.3</v>
      </c>
      <c r="H225">
        <v>-50</v>
      </c>
      <c r="I225">
        <v>0</v>
      </c>
      <c r="J225">
        <v>250</v>
      </c>
      <c r="K225" s="2">
        <v>45763</v>
      </c>
    </row>
    <row r="226" spans="1:11" x14ac:dyDescent="0.25">
      <c r="A226" s="1" t="s">
        <v>592</v>
      </c>
      <c r="B226" s="1"/>
      <c r="C226" s="1" t="s">
        <v>2852</v>
      </c>
      <c r="D226" s="1" t="s">
        <v>3385</v>
      </c>
      <c r="E226" s="1"/>
      <c r="F226">
        <v>0.4</v>
      </c>
      <c r="G226">
        <v>2</v>
      </c>
      <c r="H226">
        <v>-75</v>
      </c>
      <c r="I226">
        <v>0</v>
      </c>
      <c r="J226">
        <v>250</v>
      </c>
      <c r="K226" s="2">
        <v>45763</v>
      </c>
    </row>
    <row r="227" spans="1:11" x14ac:dyDescent="0.25">
      <c r="A227" s="1" t="s">
        <v>592</v>
      </c>
      <c r="B227" s="1"/>
      <c r="C227" s="1" t="s">
        <v>2816</v>
      </c>
      <c r="D227" s="1" t="s">
        <v>3372</v>
      </c>
      <c r="E227" s="1"/>
      <c r="F227">
        <v>0.3</v>
      </c>
      <c r="G227">
        <v>1.4</v>
      </c>
      <c r="H227">
        <v>-55</v>
      </c>
      <c r="I227">
        <v>0</v>
      </c>
      <c r="J227">
        <v>250</v>
      </c>
      <c r="K227" s="2">
        <v>45782</v>
      </c>
    </row>
    <row r="228" spans="1:11" x14ac:dyDescent="0.25">
      <c r="A228" s="1" t="s">
        <v>592</v>
      </c>
      <c r="B228" s="1"/>
      <c r="C228" s="1" t="s">
        <v>2853</v>
      </c>
      <c r="D228" s="1" t="s">
        <v>3387</v>
      </c>
      <c r="E228" s="1"/>
      <c r="F228">
        <v>3.5</v>
      </c>
      <c r="G228">
        <v>0.6</v>
      </c>
      <c r="H228">
        <v>140</v>
      </c>
      <c r="I228">
        <v>0</v>
      </c>
      <c r="J228">
        <v>250</v>
      </c>
      <c r="K228" s="2">
        <v>45782</v>
      </c>
    </row>
    <row r="229" spans="1:11" x14ac:dyDescent="0.25">
      <c r="A229" s="1" t="s">
        <v>171</v>
      </c>
      <c r="B229" s="1"/>
      <c r="C229" s="1" t="s">
        <v>2854</v>
      </c>
      <c r="D229" s="1" t="s">
        <v>3389</v>
      </c>
      <c r="E229" s="1"/>
      <c r="F229">
        <v>0</v>
      </c>
      <c r="G229">
        <v>0</v>
      </c>
      <c r="H229">
        <v>0</v>
      </c>
      <c r="I229">
        <v>0</v>
      </c>
      <c r="J229">
        <v>0</v>
      </c>
      <c r="K229" s="2">
        <v>45782</v>
      </c>
    </row>
    <row r="230" spans="1:11" x14ac:dyDescent="0.25">
      <c r="A230" s="1" t="s">
        <v>171</v>
      </c>
      <c r="B230" s="1"/>
      <c r="C230" s="1" t="s">
        <v>2816</v>
      </c>
      <c r="D230" s="1" t="s">
        <v>3372</v>
      </c>
      <c r="E230" s="1"/>
      <c r="F230">
        <v>2</v>
      </c>
      <c r="G230">
        <v>0</v>
      </c>
      <c r="H230">
        <v>105</v>
      </c>
      <c r="I230">
        <v>0</v>
      </c>
      <c r="J230">
        <v>0</v>
      </c>
      <c r="K230" s="2">
        <v>45782</v>
      </c>
    </row>
    <row r="231" spans="1:11" x14ac:dyDescent="0.25">
      <c r="A231" s="1" t="s">
        <v>171</v>
      </c>
      <c r="B231" s="1"/>
      <c r="C231" s="1" t="s">
        <v>2855</v>
      </c>
      <c r="D231" s="1" t="s">
        <v>3389</v>
      </c>
      <c r="E231" s="1"/>
      <c r="F231">
        <v>0</v>
      </c>
      <c r="G231">
        <v>0</v>
      </c>
      <c r="H231">
        <v>0</v>
      </c>
      <c r="I231">
        <v>0</v>
      </c>
      <c r="J231">
        <v>0</v>
      </c>
      <c r="K231" s="2">
        <v>45782</v>
      </c>
    </row>
    <row r="232" spans="1:11" x14ac:dyDescent="0.25">
      <c r="A232" s="1" t="s">
        <v>171</v>
      </c>
      <c r="B232" s="1"/>
      <c r="C232" s="1" t="s">
        <v>2856</v>
      </c>
      <c r="D232" s="1" t="s">
        <v>3397</v>
      </c>
      <c r="E232" s="1"/>
      <c r="F232">
        <v>0</v>
      </c>
      <c r="G232">
        <v>0</v>
      </c>
      <c r="H232">
        <v>0</v>
      </c>
      <c r="I232">
        <v>0</v>
      </c>
      <c r="J232">
        <v>0</v>
      </c>
      <c r="K232" s="2">
        <v>45782</v>
      </c>
    </row>
    <row r="233" spans="1:11" x14ac:dyDescent="0.25">
      <c r="A233" s="1" t="s">
        <v>171</v>
      </c>
      <c r="B233" s="1"/>
      <c r="C233" s="1" t="s">
        <v>2857</v>
      </c>
      <c r="D233" s="1" t="s">
        <v>3398</v>
      </c>
      <c r="E233" s="1"/>
      <c r="F233">
        <v>0</v>
      </c>
      <c r="G233">
        <v>0</v>
      </c>
      <c r="H233">
        <v>0</v>
      </c>
      <c r="I233">
        <v>0</v>
      </c>
      <c r="J233">
        <v>0</v>
      </c>
      <c r="K233" s="2">
        <v>45782</v>
      </c>
    </row>
    <row r="234" spans="1:11" x14ac:dyDescent="0.25">
      <c r="A234" s="1" t="s">
        <v>171</v>
      </c>
      <c r="B234" s="1"/>
      <c r="C234" s="1" t="s">
        <v>2816</v>
      </c>
      <c r="D234" s="1" t="s">
        <v>3372</v>
      </c>
      <c r="E234" s="1"/>
      <c r="F234">
        <v>2</v>
      </c>
      <c r="G234">
        <v>0</v>
      </c>
      <c r="H234">
        <v>105</v>
      </c>
      <c r="I234">
        <v>0</v>
      </c>
      <c r="J234">
        <v>0</v>
      </c>
      <c r="K234" s="2">
        <v>45782</v>
      </c>
    </row>
    <row r="235" spans="1:11" x14ac:dyDescent="0.25">
      <c r="A235" s="1" t="s">
        <v>171</v>
      </c>
      <c r="B235" s="1"/>
      <c r="C235" s="1" t="s">
        <v>2817</v>
      </c>
      <c r="D235" s="1" t="s">
        <v>3377</v>
      </c>
      <c r="E235" s="1"/>
      <c r="F235">
        <v>0</v>
      </c>
      <c r="G235">
        <v>0</v>
      </c>
      <c r="H235">
        <v>0</v>
      </c>
      <c r="I235">
        <v>0</v>
      </c>
      <c r="J235">
        <v>0</v>
      </c>
      <c r="K235" s="2">
        <v>45782</v>
      </c>
    </row>
    <row r="236" spans="1:11" x14ac:dyDescent="0.25">
      <c r="A236" s="1" t="s">
        <v>724</v>
      </c>
      <c r="B236" s="1"/>
      <c r="C236" s="1" t="s">
        <v>2808</v>
      </c>
      <c r="D236" s="1" t="s">
        <v>3370</v>
      </c>
      <c r="E236" s="1"/>
      <c r="F236">
        <v>0</v>
      </c>
      <c r="G236">
        <v>0</v>
      </c>
      <c r="H236">
        <v>0</v>
      </c>
      <c r="I236">
        <v>0</v>
      </c>
      <c r="J236">
        <v>172</v>
      </c>
      <c r="K236" s="2">
        <v>45771</v>
      </c>
    </row>
    <row r="237" spans="1:11" x14ac:dyDescent="0.25">
      <c r="A237" s="1" t="s">
        <v>724</v>
      </c>
      <c r="B237" s="1"/>
      <c r="C237" s="1" t="s">
        <v>2858</v>
      </c>
      <c r="D237" s="1" t="s">
        <v>3399</v>
      </c>
      <c r="E237" s="1"/>
      <c r="F237">
        <v>1.5</v>
      </c>
      <c r="G237">
        <v>4.3</v>
      </c>
      <c r="H237">
        <v>-130</v>
      </c>
      <c r="I237">
        <v>0</v>
      </c>
      <c r="J237">
        <v>172</v>
      </c>
      <c r="K237" s="2">
        <v>45776</v>
      </c>
    </row>
    <row r="238" spans="1:11" x14ac:dyDescent="0.25">
      <c r="A238" s="1" t="s">
        <v>724</v>
      </c>
      <c r="B238" s="1"/>
      <c r="C238" s="1" t="s">
        <v>2859</v>
      </c>
      <c r="D238" s="1" t="s">
        <v>3400</v>
      </c>
      <c r="E238" s="1"/>
      <c r="F238">
        <v>3</v>
      </c>
      <c r="G238">
        <v>6.6</v>
      </c>
      <c r="H238">
        <v>-170</v>
      </c>
      <c r="I238">
        <v>0</v>
      </c>
      <c r="J238">
        <v>172</v>
      </c>
      <c r="K238" s="2">
        <v>45776</v>
      </c>
    </row>
    <row r="239" spans="1:11" x14ac:dyDescent="0.25">
      <c r="A239" s="1" t="s">
        <v>724</v>
      </c>
      <c r="B239" s="1"/>
      <c r="C239" s="1" t="s">
        <v>2860</v>
      </c>
      <c r="D239" s="1" t="s">
        <v>3401</v>
      </c>
      <c r="E239" s="1"/>
      <c r="F239">
        <v>1.5</v>
      </c>
      <c r="G239">
        <v>1.5</v>
      </c>
      <c r="H239">
        <v>5</v>
      </c>
      <c r="I239">
        <v>0</v>
      </c>
      <c r="J239">
        <v>172</v>
      </c>
      <c r="K239" s="2">
        <v>45776</v>
      </c>
    </row>
    <row r="240" spans="1:11" x14ac:dyDescent="0.25">
      <c r="A240" s="1" t="s">
        <v>724</v>
      </c>
      <c r="B240" s="1"/>
      <c r="C240" s="1" t="s">
        <v>2816</v>
      </c>
      <c r="D240" s="1" t="s">
        <v>3372</v>
      </c>
      <c r="E240" s="1"/>
      <c r="F240">
        <v>1</v>
      </c>
      <c r="G240">
        <v>0.2</v>
      </c>
      <c r="H240">
        <v>40</v>
      </c>
      <c r="I240">
        <v>0</v>
      </c>
      <c r="J240">
        <v>172</v>
      </c>
      <c r="K240" s="2">
        <v>45776</v>
      </c>
    </row>
    <row r="241" spans="1:11" x14ac:dyDescent="0.25">
      <c r="A241" s="1" t="s">
        <v>724</v>
      </c>
      <c r="B241" s="1"/>
      <c r="C241" s="1" t="s">
        <v>2817</v>
      </c>
      <c r="D241" s="1" t="s">
        <v>3377</v>
      </c>
      <c r="E241" s="1"/>
      <c r="F241">
        <v>0.4</v>
      </c>
      <c r="G241">
        <v>0</v>
      </c>
      <c r="H241">
        <v>20</v>
      </c>
      <c r="I241">
        <v>0</v>
      </c>
      <c r="J241">
        <v>172</v>
      </c>
      <c r="K241" s="2">
        <v>45784</v>
      </c>
    </row>
    <row r="242" spans="1:11" x14ac:dyDescent="0.25">
      <c r="A242" s="1" t="s">
        <v>780</v>
      </c>
      <c r="B242" s="1"/>
      <c r="C242" s="1" t="s">
        <v>2808</v>
      </c>
      <c r="D242" s="1" t="s">
        <v>3370</v>
      </c>
      <c r="E242" s="1"/>
      <c r="F242">
        <v>0</v>
      </c>
      <c r="G242">
        <v>0</v>
      </c>
      <c r="H242">
        <v>0</v>
      </c>
      <c r="I242">
        <v>0</v>
      </c>
      <c r="J242">
        <v>50</v>
      </c>
      <c r="K242" s="2">
        <v>45776</v>
      </c>
    </row>
    <row r="243" spans="1:11" x14ac:dyDescent="0.25">
      <c r="A243" s="1" t="s">
        <v>780</v>
      </c>
      <c r="B243" s="1"/>
      <c r="C243" s="1" t="s">
        <v>2861</v>
      </c>
      <c r="D243" s="1" t="s">
        <v>3378</v>
      </c>
      <c r="E243" s="1"/>
      <c r="F243">
        <v>0.8</v>
      </c>
      <c r="G243">
        <v>17.600000000000001</v>
      </c>
      <c r="H243">
        <v>-820</v>
      </c>
      <c r="I243">
        <v>0</v>
      </c>
      <c r="J243">
        <v>50</v>
      </c>
      <c r="K243" s="2">
        <v>45783</v>
      </c>
    </row>
    <row r="244" spans="1:11" x14ac:dyDescent="0.25">
      <c r="A244" s="1" t="s">
        <v>780</v>
      </c>
      <c r="B244" s="1"/>
      <c r="C244" s="1" t="s">
        <v>2862</v>
      </c>
      <c r="D244" s="1" t="s">
        <v>3389</v>
      </c>
      <c r="E244" s="1"/>
      <c r="F244">
        <v>0</v>
      </c>
      <c r="G244">
        <v>0</v>
      </c>
      <c r="H244">
        <v>1215</v>
      </c>
      <c r="I244">
        <v>0</v>
      </c>
      <c r="J244">
        <v>50</v>
      </c>
      <c r="K244" s="2">
        <v>45786</v>
      </c>
    </row>
    <row r="245" spans="1:11" x14ac:dyDescent="0.25">
      <c r="A245" s="1" t="s">
        <v>781</v>
      </c>
      <c r="B245" s="1"/>
      <c r="C245" s="1" t="s">
        <v>2808</v>
      </c>
      <c r="D245" s="1" t="s">
        <v>3370</v>
      </c>
      <c r="E245" s="1"/>
      <c r="F245">
        <v>0</v>
      </c>
      <c r="G245">
        <v>0</v>
      </c>
      <c r="H245">
        <v>0</v>
      </c>
      <c r="I245">
        <v>0</v>
      </c>
      <c r="J245">
        <v>50</v>
      </c>
      <c r="K245" s="2">
        <v>45783</v>
      </c>
    </row>
    <row r="246" spans="1:11" x14ac:dyDescent="0.25">
      <c r="A246" s="1" t="s">
        <v>942</v>
      </c>
      <c r="B246" s="1"/>
      <c r="C246" s="1" t="s">
        <v>2808</v>
      </c>
      <c r="D246" s="1" t="s">
        <v>3370</v>
      </c>
      <c r="E246" s="1"/>
      <c r="F246">
        <v>0</v>
      </c>
      <c r="G246">
        <v>0</v>
      </c>
      <c r="H246">
        <v>0</v>
      </c>
      <c r="I246">
        <v>0</v>
      </c>
      <c r="J246">
        <v>20</v>
      </c>
      <c r="K246" s="2">
        <v>45786</v>
      </c>
    </row>
    <row r="247" spans="1:11" x14ac:dyDescent="0.25">
      <c r="A247" s="1" t="s">
        <v>943</v>
      </c>
      <c r="B247" s="1"/>
      <c r="C247" s="1" t="s">
        <v>2808</v>
      </c>
      <c r="D247" s="1" t="s">
        <v>3370</v>
      </c>
      <c r="E247" s="1"/>
      <c r="F247">
        <v>0</v>
      </c>
      <c r="G247">
        <v>0</v>
      </c>
      <c r="H247">
        <v>0</v>
      </c>
      <c r="I247">
        <v>0</v>
      </c>
      <c r="J247">
        <v>20</v>
      </c>
      <c r="K247" s="2">
        <v>45786</v>
      </c>
    </row>
    <row r="248" spans="1:11" x14ac:dyDescent="0.25">
      <c r="A248" s="1" t="s">
        <v>671</v>
      </c>
      <c r="B248" s="1"/>
      <c r="C248" s="1" t="s">
        <v>2808</v>
      </c>
      <c r="D248" s="1" t="s">
        <v>3370</v>
      </c>
      <c r="E248" s="1"/>
      <c r="F248">
        <v>0</v>
      </c>
      <c r="G248">
        <v>0</v>
      </c>
      <c r="H248">
        <v>0</v>
      </c>
      <c r="I248">
        <v>0</v>
      </c>
      <c r="J248">
        <v>25</v>
      </c>
      <c r="K248" s="2">
        <v>45777</v>
      </c>
    </row>
    <row r="249" spans="1:11" x14ac:dyDescent="0.25">
      <c r="A249" s="1" t="s">
        <v>671</v>
      </c>
      <c r="B249" s="1"/>
      <c r="C249" s="1" t="s">
        <v>2863</v>
      </c>
      <c r="D249" s="1" t="s">
        <v>3380</v>
      </c>
      <c r="E249" s="1"/>
      <c r="F249">
        <v>2.1</v>
      </c>
      <c r="G249">
        <v>3.8</v>
      </c>
      <c r="H249">
        <v>-80</v>
      </c>
      <c r="I249">
        <v>0</v>
      </c>
      <c r="J249">
        <v>25</v>
      </c>
      <c r="K249" s="2">
        <v>45779</v>
      </c>
    </row>
    <row r="250" spans="1:11" x14ac:dyDescent="0.25">
      <c r="A250" s="1" t="s">
        <v>671</v>
      </c>
      <c r="B250" s="1"/>
      <c r="C250" s="1" t="s">
        <v>2816</v>
      </c>
      <c r="D250" s="1" t="s">
        <v>3372</v>
      </c>
      <c r="E250" s="1"/>
      <c r="F250">
        <v>0.3</v>
      </c>
      <c r="G250">
        <v>0.7</v>
      </c>
      <c r="H250">
        <v>-20</v>
      </c>
      <c r="I250">
        <v>0</v>
      </c>
      <c r="J250">
        <v>25</v>
      </c>
      <c r="K250" s="2">
        <v>45779</v>
      </c>
    </row>
    <row r="251" spans="1:11" x14ac:dyDescent="0.25">
      <c r="A251" s="1" t="s">
        <v>671</v>
      </c>
      <c r="B251" s="1"/>
      <c r="C251" s="1" t="s">
        <v>2817</v>
      </c>
      <c r="D251" s="1" t="s">
        <v>3377</v>
      </c>
      <c r="E251" s="1"/>
      <c r="F251">
        <v>0.3</v>
      </c>
      <c r="G251">
        <v>0.4</v>
      </c>
      <c r="H251">
        <v>0</v>
      </c>
      <c r="I251">
        <v>0</v>
      </c>
      <c r="J251">
        <v>25</v>
      </c>
      <c r="K251" s="2">
        <v>45784</v>
      </c>
    </row>
    <row r="252" spans="1:11" x14ac:dyDescent="0.25">
      <c r="A252" s="1" t="s">
        <v>163</v>
      </c>
      <c r="B252" s="1"/>
      <c r="C252" s="1" t="s">
        <v>2864</v>
      </c>
      <c r="D252" s="1" t="s">
        <v>3402</v>
      </c>
      <c r="E252" s="1"/>
      <c r="F252">
        <v>0.3</v>
      </c>
      <c r="G252">
        <v>0.9</v>
      </c>
      <c r="H252">
        <v>-55</v>
      </c>
      <c r="I252">
        <v>0</v>
      </c>
      <c r="J252">
        <v>1</v>
      </c>
      <c r="K252" s="2">
        <v>45768</v>
      </c>
    </row>
    <row r="253" spans="1:11" x14ac:dyDescent="0.25">
      <c r="A253" s="1" t="s">
        <v>163</v>
      </c>
      <c r="B253" s="1"/>
      <c r="C253" s="1" t="s">
        <v>2865</v>
      </c>
      <c r="D253" s="1" t="s">
        <v>3403</v>
      </c>
      <c r="E253" s="1"/>
      <c r="F253">
        <v>0</v>
      </c>
      <c r="G253">
        <v>0</v>
      </c>
      <c r="H253">
        <v>5</v>
      </c>
      <c r="I253">
        <v>0</v>
      </c>
      <c r="J253">
        <v>1</v>
      </c>
      <c r="K253" s="2">
        <v>45768</v>
      </c>
    </row>
    <row r="254" spans="1:11" x14ac:dyDescent="0.25">
      <c r="A254" s="1" t="s">
        <v>176</v>
      </c>
      <c r="B254" s="1"/>
      <c r="C254" s="1" t="s">
        <v>2866</v>
      </c>
      <c r="D254" s="1" t="s">
        <v>3403</v>
      </c>
      <c r="E254" s="1"/>
      <c r="F254">
        <v>0.3</v>
      </c>
      <c r="G254">
        <v>0</v>
      </c>
      <c r="H254">
        <v>15</v>
      </c>
      <c r="I254">
        <v>0</v>
      </c>
      <c r="J254">
        <v>0</v>
      </c>
      <c r="K254" s="2">
        <v>45757</v>
      </c>
    </row>
    <row r="255" spans="1:11" x14ac:dyDescent="0.25">
      <c r="A255" s="1" t="s">
        <v>176</v>
      </c>
      <c r="B255" s="1"/>
      <c r="C255" s="1" t="s">
        <v>2864</v>
      </c>
      <c r="D255" s="1" t="s">
        <v>3402</v>
      </c>
      <c r="E255" s="1"/>
      <c r="F255">
        <v>0.3</v>
      </c>
      <c r="G255">
        <v>1.7</v>
      </c>
      <c r="H255">
        <v>-75</v>
      </c>
      <c r="I255">
        <v>0</v>
      </c>
      <c r="J255">
        <v>0</v>
      </c>
      <c r="K255" s="2">
        <v>45757</v>
      </c>
    </row>
    <row r="256" spans="1:11" x14ac:dyDescent="0.25">
      <c r="A256" s="1" t="s">
        <v>126</v>
      </c>
      <c r="B256" s="1"/>
      <c r="C256" s="1" t="s">
        <v>2808</v>
      </c>
      <c r="D256" s="1" t="s">
        <v>3370</v>
      </c>
      <c r="E256" s="1"/>
      <c r="F256">
        <v>0</v>
      </c>
      <c r="G256">
        <v>0</v>
      </c>
      <c r="H256">
        <v>0</v>
      </c>
      <c r="I256">
        <v>0</v>
      </c>
      <c r="J256">
        <v>1</v>
      </c>
      <c r="K256" s="2">
        <v>45740</v>
      </c>
    </row>
    <row r="257" spans="1:11" x14ac:dyDescent="0.25">
      <c r="A257" s="1" t="s">
        <v>126</v>
      </c>
      <c r="B257" s="1"/>
      <c r="C257" s="1" t="s">
        <v>2867</v>
      </c>
      <c r="D257" s="1" t="s">
        <v>3404</v>
      </c>
      <c r="E257" s="1"/>
      <c r="F257">
        <v>0</v>
      </c>
      <c r="G257">
        <v>0</v>
      </c>
      <c r="H257">
        <v>5</v>
      </c>
      <c r="I257">
        <v>0</v>
      </c>
      <c r="J257">
        <v>1</v>
      </c>
      <c r="K257" s="2">
        <v>45735</v>
      </c>
    </row>
    <row r="258" spans="1:11" x14ac:dyDescent="0.25">
      <c r="A258" s="1" t="s">
        <v>126</v>
      </c>
      <c r="B258" s="1"/>
      <c r="C258" s="1" t="s">
        <v>2868</v>
      </c>
      <c r="D258" s="1" t="s">
        <v>3371</v>
      </c>
      <c r="E258" s="1"/>
      <c r="F258">
        <v>0</v>
      </c>
      <c r="G258">
        <v>0</v>
      </c>
      <c r="H258">
        <v>5</v>
      </c>
      <c r="I258">
        <v>0</v>
      </c>
      <c r="J258">
        <v>1</v>
      </c>
      <c r="K258" s="2">
        <v>45735</v>
      </c>
    </row>
    <row r="259" spans="1:11" x14ac:dyDescent="0.25">
      <c r="A259" s="1" t="s">
        <v>126</v>
      </c>
      <c r="B259" s="1"/>
      <c r="C259" s="1" t="s">
        <v>2869</v>
      </c>
      <c r="D259" s="1" t="s">
        <v>3405</v>
      </c>
      <c r="E259" s="1"/>
      <c r="F259">
        <v>0.3</v>
      </c>
      <c r="G259">
        <v>0.4</v>
      </c>
      <c r="H259">
        <v>-5</v>
      </c>
      <c r="I259">
        <v>0</v>
      </c>
      <c r="J259">
        <v>1</v>
      </c>
      <c r="K259" s="2">
        <v>45734</v>
      </c>
    </row>
    <row r="260" spans="1:11" x14ac:dyDescent="0.25">
      <c r="A260" s="1" t="s">
        <v>126</v>
      </c>
      <c r="B260" s="1"/>
      <c r="C260" s="1" t="s">
        <v>2812</v>
      </c>
      <c r="D260" s="1" t="s">
        <v>3403</v>
      </c>
      <c r="E260" s="1"/>
      <c r="F260">
        <v>0</v>
      </c>
      <c r="G260">
        <v>0</v>
      </c>
      <c r="H260">
        <v>0</v>
      </c>
      <c r="I260">
        <v>0</v>
      </c>
      <c r="J260">
        <v>1</v>
      </c>
      <c r="K260" s="2">
        <v>45735</v>
      </c>
    </row>
    <row r="261" spans="1:11" x14ac:dyDescent="0.25">
      <c r="A261" s="1" t="s">
        <v>126</v>
      </c>
      <c r="B261" s="1"/>
      <c r="C261" s="1" t="s">
        <v>2870</v>
      </c>
      <c r="D261" s="1" t="s">
        <v>3375</v>
      </c>
      <c r="E261" s="1"/>
      <c r="F261">
        <v>0.3</v>
      </c>
      <c r="G261">
        <v>0.2</v>
      </c>
      <c r="H261">
        <v>5</v>
      </c>
      <c r="I261">
        <v>0</v>
      </c>
      <c r="J261">
        <v>1</v>
      </c>
      <c r="K261" s="2">
        <v>45735</v>
      </c>
    </row>
    <row r="262" spans="1:11" x14ac:dyDescent="0.25">
      <c r="A262" s="1" t="s">
        <v>126</v>
      </c>
      <c r="B262" s="1"/>
      <c r="C262" s="1" t="s">
        <v>2864</v>
      </c>
      <c r="D262" s="1" t="s">
        <v>3402</v>
      </c>
      <c r="E262" s="1"/>
      <c r="F262">
        <v>0.3</v>
      </c>
      <c r="G262">
        <v>2.5</v>
      </c>
      <c r="H262">
        <v>-90</v>
      </c>
      <c r="I262">
        <v>0</v>
      </c>
      <c r="J262">
        <v>1</v>
      </c>
      <c r="K262" s="2">
        <v>45740</v>
      </c>
    </row>
    <row r="263" spans="1:11" x14ac:dyDescent="0.25">
      <c r="A263" s="1" t="s">
        <v>127</v>
      </c>
      <c r="B263" s="1"/>
      <c r="C263" s="1" t="s">
        <v>2867</v>
      </c>
      <c r="D263" s="1" t="s">
        <v>3404</v>
      </c>
      <c r="E263" s="1"/>
      <c r="F263">
        <v>0</v>
      </c>
      <c r="G263">
        <v>0</v>
      </c>
      <c r="H263">
        <v>5</v>
      </c>
      <c r="I263">
        <v>0</v>
      </c>
      <c r="J263">
        <v>1</v>
      </c>
      <c r="K263" s="2">
        <v>45735</v>
      </c>
    </row>
    <row r="264" spans="1:11" x14ac:dyDescent="0.25">
      <c r="A264" s="1" t="s">
        <v>127</v>
      </c>
      <c r="B264" s="1"/>
      <c r="C264" s="1" t="s">
        <v>2868</v>
      </c>
      <c r="D264" s="1" t="s">
        <v>3371</v>
      </c>
      <c r="E264" s="1"/>
      <c r="F264">
        <v>0</v>
      </c>
      <c r="G264">
        <v>0</v>
      </c>
      <c r="H264">
        <v>5</v>
      </c>
      <c r="I264">
        <v>0</v>
      </c>
      <c r="J264">
        <v>1</v>
      </c>
      <c r="K264" s="2">
        <v>45735</v>
      </c>
    </row>
    <row r="265" spans="1:11" x14ac:dyDescent="0.25">
      <c r="A265" s="1" t="s">
        <v>127</v>
      </c>
      <c r="B265" s="1"/>
      <c r="C265" s="1" t="s">
        <v>2869</v>
      </c>
      <c r="D265" s="1" t="s">
        <v>3405</v>
      </c>
      <c r="E265" s="1"/>
      <c r="F265">
        <v>0.3</v>
      </c>
      <c r="G265">
        <v>1.1000000000000001</v>
      </c>
      <c r="H265">
        <v>-40</v>
      </c>
      <c r="I265">
        <v>0</v>
      </c>
      <c r="J265">
        <v>1</v>
      </c>
      <c r="K265" s="2">
        <v>45734</v>
      </c>
    </row>
    <row r="266" spans="1:11" x14ac:dyDescent="0.25">
      <c r="A266" s="1" t="s">
        <v>127</v>
      </c>
      <c r="B266" s="1"/>
      <c r="C266" s="1" t="s">
        <v>2812</v>
      </c>
      <c r="D266" s="1" t="s">
        <v>3403</v>
      </c>
      <c r="E266" s="1"/>
      <c r="F266">
        <v>0</v>
      </c>
      <c r="G266">
        <v>0</v>
      </c>
      <c r="H266">
        <v>0</v>
      </c>
      <c r="I266">
        <v>0</v>
      </c>
      <c r="J266">
        <v>1</v>
      </c>
      <c r="K266" s="2">
        <v>45735</v>
      </c>
    </row>
    <row r="267" spans="1:11" x14ac:dyDescent="0.25">
      <c r="A267" s="1" t="s">
        <v>127</v>
      </c>
      <c r="B267" s="1"/>
      <c r="C267" s="1" t="s">
        <v>2870</v>
      </c>
      <c r="D267" s="1" t="s">
        <v>3375</v>
      </c>
      <c r="E267" s="1"/>
      <c r="F267">
        <v>0.3</v>
      </c>
      <c r="G267">
        <v>0.3</v>
      </c>
      <c r="H267">
        <v>0</v>
      </c>
      <c r="I267">
        <v>0</v>
      </c>
      <c r="J267">
        <v>1</v>
      </c>
      <c r="K267" s="2">
        <v>45735</v>
      </c>
    </row>
    <row r="268" spans="1:11" x14ac:dyDescent="0.25">
      <c r="A268" s="1" t="s">
        <v>128</v>
      </c>
      <c r="B268" s="1"/>
      <c r="C268" s="1" t="s">
        <v>2867</v>
      </c>
      <c r="D268" s="1" t="s">
        <v>3404</v>
      </c>
      <c r="E268" s="1"/>
      <c r="F268">
        <v>0</v>
      </c>
      <c r="G268">
        <v>0</v>
      </c>
      <c r="H268">
        <v>5</v>
      </c>
      <c r="I268">
        <v>0</v>
      </c>
      <c r="J268">
        <v>1</v>
      </c>
      <c r="K268" s="2">
        <v>45735</v>
      </c>
    </row>
    <row r="269" spans="1:11" x14ac:dyDescent="0.25">
      <c r="A269" s="1" t="s">
        <v>128</v>
      </c>
      <c r="B269" s="1"/>
      <c r="C269" s="1" t="s">
        <v>2868</v>
      </c>
      <c r="D269" s="1" t="s">
        <v>3371</v>
      </c>
      <c r="E269" s="1"/>
      <c r="F269">
        <v>0</v>
      </c>
      <c r="G269">
        <v>0</v>
      </c>
      <c r="H269">
        <v>5</v>
      </c>
      <c r="I269">
        <v>0</v>
      </c>
      <c r="J269">
        <v>1</v>
      </c>
      <c r="K269" s="2">
        <v>45735</v>
      </c>
    </row>
    <row r="270" spans="1:11" x14ac:dyDescent="0.25">
      <c r="A270" s="1" t="s">
        <v>128</v>
      </c>
      <c r="B270" s="1"/>
      <c r="C270" s="1" t="s">
        <v>2869</v>
      </c>
      <c r="D270" s="1" t="s">
        <v>3405</v>
      </c>
      <c r="E270" s="1"/>
      <c r="F270">
        <v>0.3</v>
      </c>
      <c r="G270">
        <v>0.5</v>
      </c>
      <c r="H270">
        <v>-10</v>
      </c>
      <c r="I270">
        <v>0</v>
      </c>
      <c r="J270">
        <v>1</v>
      </c>
      <c r="K270" s="2">
        <v>45734</v>
      </c>
    </row>
    <row r="271" spans="1:11" x14ac:dyDescent="0.25">
      <c r="A271" s="1" t="s">
        <v>128</v>
      </c>
      <c r="B271" s="1"/>
      <c r="C271" s="1" t="s">
        <v>2812</v>
      </c>
      <c r="D271" s="1" t="s">
        <v>3403</v>
      </c>
      <c r="E271" s="1"/>
      <c r="F271">
        <v>0</v>
      </c>
      <c r="G271">
        <v>0</v>
      </c>
      <c r="H271">
        <v>0</v>
      </c>
      <c r="I271">
        <v>0</v>
      </c>
      <c r="J271">
        <v>1</v>
      </c>
      <c r="K271" s="2">
        <v>45735</v>
      </c>
    </row>
    <row r="272" spans="1:11" x14ac:dyDescent="0.25">
      <c r="A272" s="1" t="s">
        <v>128</v>
      </c>
      <c r="B272" s="1"/>
      <c r="C272" s="1" t="s">
        <v>2870</v>
      </c>
      <c r="D272" s="1" t="s">
        <v>3375</v>
      </c>
      <c r="E272" s="1"/>
      <c r="F272">
        <v>0.3</v>
      </c>
      <c r="G272">
        <v>0.3</v>
      </c>
      <c r="H272">
        <v>0</v>
      </c>
      <c r="I272">
        <v>0</v>
      </c>
      <c r="J272">
        <v>1</v>
      </c>
      <c r="K272" s="2">
        <v>45735</v>
      </c>
    </row>
    <row r="273" spans="1:11" x14ac:dyDescent="0.25">
      <c r="A273" s="1" t="s">
        <v>389</v>
      </c>
      <c r="B273" s="1"/>
      <c r="C273" s="1" t="s">
        <v>2867</v>
      </c>
      <c r="D273" s="1" t="s">
        <v>3404</v>
      </c>
      <c r="E273" s="1"/>
      <c r="F273">
        <v>0</v>
      </c>
      <c r="G273">
        <v>0</v>
      </c>
      <c r="H273">
        <v>5</v>
      </c>
      <c r="I273">
        <v>0</v>
      </c>
      <c r="J273">
        <v>1</v>
      </c>
      <c r="K273" s="2">
        <v>45744</v>
      </c>
    </row>
    <row r="274" spans="1:11" x14ac:dyDescent="0.25">
      <c r="A274" s="1" t="s">
        <v>389</v>
      </c>
      <c r="B274" s="1"/>
      <c r="C274" s="1" t="s">
        <v>2868</v>
      </c>
      <c r="D274" s="1" t="s">
        <v>3371</v>
      </c>
      <c r="E274" s="1"/>
      <c r="F274">
        <v>0</v>
      </c>
      <c r="G274">
        <v>0</v>
      </c>
      <c r="H274">
        <v>5</v>
      </c>
      <c r="I274">
        <v>0</v>
      </c>
      <c r="J274">
        <v>1</v>
      </c>
      <c r="K274" s="2">
        <v>45744</v>
      </c>
    </row>
    <row r="275" spans="1:11" x14ac:dyDescent="0.25">
      <c r="A275" s="1" t="s">
        <v>389</v>
      </c>
      <c r="B275" s="1"/>
      <c r="C275" s="1" t="s">
        <v>2869</v>
      </c>
      <c r="D275" s="1" t="s">
        <v>3405</v>
      </c>
      <c r="E275" s="1"/>
      <c r="F275">
        <v>0.3</v>
      </c>
      <c r="G275">
        <v>0.8</v>
      </c>
      <c r="H275">
        <v>-25</v>
      </c>
      <c r="I275">
        <v>0</v>
      </c>
      <c r="J275">
        <v>1</v>
      </c>
      <c r="K275" s="2">
        <v>45742</v>
      </c>
    </row>
    <row r="276" spans="1:11" x14ac:dyDescent="0.25">
      <c r="A276" s="1" t="s">
        <v>389</v>
      </c>
      <c r="B276" s="1"/>
      <c r="C276" s="1" t="s">
        <v>2812</v>
      </c>
      <c r="D276" s="1" t="s">
        <v>3403</v>
      </c>
      <c r="E276" s="1"/>
      <c r="F276">
        <v>0</v>
      </c>
      <c r="G276">
        <v>0</v>
      </c>
      <c r="H276">
        <v>0</v>
      </c>
      <c r="I276">
        <v>0</v>
      </c>
      <c r="J276">
        <v>1</v>
      </c>
      <c r="K276" s="2">
        <v>45744</v>
      </c>
    </row>
    <row r="277" spans="1:11" x14ac:dyDescent="0.25">
      <c r="A277" s="1" t="s">
        <v>389</v>
      </c>
      <c r="B277" s="1"/>
      <c r="C277" s="1" t="s">
        <v>2870</v>
      </c>
      <c r="D277" s="1" t="s">
        <v>3375</v>
      </c>
      <c r="E277" s="1"/>
      <c r="F277">
        <v>0.3</v>
      </c>
      <c r="G277">
        <v>0.3</v>
      </c>
      <c r="H277">
        <v>0</v>
      </c>
      <c r="I277">
        <v>0</v>
      </c>
      <c r="J277">
        <v>1</v>
      </c>
      <c r="K277" s="2">
        <v>45744</v>
      </c>
    </row>
    <row r="278" spans="1:11" x14ac:dyDescent="0.25">
      <c r="A278" s="1" t="s">
        <v>390</v>
      </c>
      <c r="B278" s="1"/>
      <c r="C278" s="1" t="s">
        <v>2867</v>
      </c>
      <c r="D278" s="1" t="s">
        <v>3404</v>
      </c>
      <c r="E278" s="1"/>
      <c r="F278">
        <v>0</v>
      </c>
      <c r="G278">
        <v>0</v>
      </c>
      <c r="H278">
        <v>5</v>
      </c>
      <c r="I278">
        <v>0</v>
      </c>
      <c r="J278">
        <v>1</v>
      </c>
      <c r="K278" s="2">
        <v>45744</v>
      </c>
    </row>
    <row r="279" spans="1:11" x14ac:dyDescent="0.25">
      <c r="A279" s="1" t="s">
        <v>390</v>
      </c>
      <c r="B279" s="1"/>
      <c r="C279" s="1" t="s">
        <v>2868</v>
      </c>
      <c r="D279" s="1" t="s">
        <v>3371</v>
      </c>
      <c r="E279" s="1"/>
      <c r="F279">
        <v>0</v>
      </c>
      <c r="G279">
        <v>0</v>
      </c>
      <c r="H279">
        <v>5</v>
      </c>
      <c r="I279">
        <v>0</v>
      </c>
      <c r="J279">
        <v>1</v>
      </c>
      <c r="K279" s="2">
        <v>45744</v>
      </c>
    </row>
    <row r="280" spans="1:11" x14ac:dyDescent="0.25">
      <c r="A280" s="1" t="s">
        <v>390</v>
      </c>
      <c r="B280" s="1"/>
      <c r="C280" s="1" t="s">
        <v>2869</v>
      </c>
      <c r="D280" s="1" t="s">
        <v>3405</v>
      </c>
      <c r="E280" s="1"/>
      <c r="F280">
        <v>0.3</v>
      </c>
      <c r="G280">
        <v>0.5</v>
      </c>
      <c r="H280">
        <v>-10</v>
      </c>
      <c r="I280">
        <v>0</v>
      </c>
      <c r="J280">
        <v>1</v>
      </c>
      <c r="K280" s="2">
        <v>45742</v>
      </c>
    </row>
    <row r="281" spans="1:11" x14ac:dyDescent="0.25">
      <c r="A281" s="1" t="s">
        <v>390</v>
      </c>
      <c r="B281" s="1"/>
      <c r="C281" s="1" t="s">
        <v>2812</v>
      </c>
      <c r="D281" s="1" t="s">
        <v>3403</v>
      </c>
      <c r="E281" s="1"/>
      <c r="F281">
        <v>0</v>
      </c>
      <c r="G281">
        <v>0</v>
      </c>
      <c r="H281">
        <v>0</v>
      </c>
      <c r="I281">
        <v>0</v>
      </c>
      <c r="J281">
        <v>1</v>
      </c>
      <c r="K281" s="2">
        <v>45744</v>
      </c>
    </row>
    <row r="282" spans="1:11" x14ac:dyDescent="0.25">
      <c r="A282" s="1" t="s">
        <v>390</v>
      </c>
      <c r="B282" s="1"/>
      <c r="C282" s="1" t="s">
        <v>2870</v>
      </c>
      <c r="D282" s="1" t="s">
        <v>3375</v>
      </c>
      <c r="E282" s="1"/>
      <c r="F282">
        <v>0.3</v>
      </c>
      <c r="G282">
        <v>0.2</v>
      </c>
      <c r="H282">
        <v>5</v>
      </c>
      <c r="I282">
        <v>0</v>
      </c>
      <c r="J282">
        <v>1</v>
      </c>
      <c r="K282" s="2">
        <v>45744</v>
      </c>
    </row>
    <row r="283" spans="1:11" x14ac:dyDescent="0.25">
      <c r="A283" s="1" t="s">
        <v>391</v>
      </c>
      <c r="B283" s="1"/>
      <c r="C283" s="1" t="s">
        <v>2867</v>
      </c>
      <c r="D283" s="1" t="s">
        <v>3404</v>
      </c>
      <c r="E283" s="1"/>
      <c r="F283">
        <v>0</v>
      </c>
      <c r="G283">
        <v>0</v>
      </c>
      <c r="H283">
        <v>5</v>
      </c>
      <c r="I283">
        <v>0</v>
      </c>
      <c r="J283">
        <v>1</v>
      </c>
      <c r="K283" s="2">
        <v>45744</v>
      </c>
    </row>
    <row r="284" spans="1:11" x14ac:dyDescent="0.25">
      <c r="A284" s="1" t="s">
        <v>391</v>
      </c>
      <c r="B284" s="1"/>
      <c r="C284" s="1" t="s">
        <v>2868</v>
      </c>
      <c r="D284" s="1" t="s">
        <v>3371</v>
      </c>
      <c r="E284" s="1"/>
      <c r="F284">
        <v>0</v>
      </c>
      <c r="G284">
        <v>0</v>
      </c>
      <c r="H284">
        <v>5</v>
      </c>
      <c r="I284">
        <v>0</v>
      </c>
      <c r="J284">
        <v>1</v>
      </c>
      <c r="K284" s="2">
        <v>45744</v>
      </c>
    </row>
    <row r="285" spans="1:11" x14ac:dyDescent="0.25">
      <c r="A285" s="1" t="s">
        <v>391</v>
      </c>
      <c r="B285" s="1"/>
      <c r="C285" s="1" t="s">
        <v>2869</v>
      </c>
      <c r="D285" s="1" t="s">
        <v>3405</v>
      </c>
      <c r="E285" s="1"/>
      <c r="F285">
        <v>0.3</v>
      </c>
      <c r="G285">
        <v>0.3</v>
      </c>
      <c r="H285">
        <v>0</v>
      </c>
      <c r="I285">
        <v>0</v>
      </c>
      <c r="J285">
        <v>1</v>
      </c>
      <c r="K285" s="2">
        <v>45742</v>
      </c>
    </row>
    <row r="286" spans="1:11" x14ac:dyDescent="0.25">
      <c r="A286" s="1" t="s">
        <v>391</v>
      </c>
      <c r="B286" s="1"/>
      <c r="C286" s="1" t="s">
        <v>2812</v>
      </c>
      <c r="D286" s="1" t="s">
        <v>3403</v>
      </c>
      <c r="E286" s="1"/>
      <c r="F286">
        <v>0</v>
      </c>
      <c r="G286">
        <v>0</v>
      </c>
      <c r="H286">
        <v>0</v>
      </c>
      <c r="I286">
        <v>0</v>
      </c>
      <c r="J286">
        <v>1</v>
      </c>
      <c r="K286" s="2">
        <v>45744</v>
      </c>
    </row>
    <row r="287" spans="1:11" x14ac:dyDescent="0.25">
      <c r="A287" s="1" t="s">
        <v>391</v>
      </c>
      <c r="B287" s="1"/>
      <c r="C287" s="1" t="s">
        <v>2870</v>
      </c>
      <c r="D287" s="1" t="s">
        <v>3375</v>
      </c>
      <c r="E287" s="1"/>
      <c r="F287">
        <v>0.3</v>
      </c>
      <c r="G287">
        <v>0.2</v>
      </c>
      <c r="H287">
        <v>5</v>
      </c>
      <c r="I287">
        <v>0</v>
      </c>
      <c r="J287">
        <v>1</v>
      </c>
      <c r="K287" s="2">
        <v>45744</v>
      </c>
    </row>
    <row r="288" spans="1:11" x14ac:dyDescent="0.25">
      <c r="A288" s="1" t="s">
        <v>391</v>
      </c>
      <c r="B288" s="1"/>
      <c r="C288" s="1" t="s">
        <v>2864</v>
      </c>
      <c r="D288" s="1" t="s">
        <v>3402</v>
      </c>
      <c r="E288" s="1"/>
      <c r="F288">
        <v>0.3</v>
      </c>
      <c r="G288">
        <v>1.9</v>
      </c>
      <c r="H288">
        <v>-65</v>
      </c>
      <c r="I288">
        <v>0</v>
      </c>
      <c r="J288">
        <v>1</v>
      </c>
      <c r="K288" s="2">
        <v>45744</v>
      </c>
    </row>
    <row r="289" spans="1:11" x14ac:dyDescent="0.25">
      <c r="A289" s="1" t="s">
        <v>702</v>
      </c>
      <c r="B289" s="1"/>
      <c r="C289" s="1" t="s">
        <v>2867</v>
      </c>
      <c r="D289" s="1" t="s">
        <v>3404</v>
      </c>
      <c r="E289" s="1"/>
      <c r="F289">
        <v>0</v>
      </c>
      <c r="G289">
        <v>0</v>
      </c>
      <c r="H289">
        <v>5</v>
      </c>
      <c r="I289">
        <v>0</v>
      </c>
      <c r="J289">
        <v>1</v>
      </c>
      <c r="K289" s="2">
        <v>45768</v>
      </c>
    </row>
    <row r="290" spans="1:11" x14ac:dyDescent="0.25">
      <c r="A290" s="1" t="s">
        <v>702</v>
      </c>
      <c r="B290" s="1"/>
      <c r="C290" s="1" t="s">
        <v>2868</v>
      </c>
      <c r="D290" s="1" t="s">
        <v>3371</v>
      </c>
      <c r="E290" s="1"/>
      <c r="F290">
        <v>0</v>
      </c>
      <c r="G290">
        <v>0</v>
      </c>
      <c r="H290">
        <v>5</v>
      </c>
      <c r="I290">
        <v>0</v>
      </c>
      <c r="J290">
        <v>1</v>
      </c>
      <c r="K290" s="2">
        <v>45768</v>
      </c>
    </row>
    <row r="291" spans="1:11" x14ac:dyDescent="0.25">
      <c r="A291" s="1" t="s">
        <v>702</v>
      </c>
      <c r="B291" s="1"/>
      <c r="C291" s="1" t="s">
        <v>2869</v>
      </c>
      <c r="D291" s="1" t="s">
        <v>3405</v>
      </c>
      <c r="E291" s="1"/>
      <c r="F291">
        <v>0.3</v>
      </c>
      <c r="G291">
        <v>1.9</v>
      </c>
      <c r="H291">
        <v>-115</v>
      </c>
      <c r="I291">
        <v>0</v>
      </c>
      <c r="J291">
        <v>1</v>
      </c>
      <c r="K291" s="2">
        <v>45768</v>
      </c>
    </row>
    <row r="292" spans="1:11" x14ac:dyDescent="0.25">
      <c r="A292" s="1" t="s">
        <v>702</v>
      </c>
      <c r="B292" s="1"/>
      <c r="C292" s="1" t="s">
        <v>2812</v>
      </c>
      <c r="D292" s="1" t="s">
        <v>3403</v>
      </c>
      <c r="E292" s="1"/>
      <c r="F292">
        <v>0</v>
      </c>
      <c r="G292">
        <v>0</v>
      </c>
      <c r="H292">
        <v>0</v>
      </c>
      <c r="I292">
        <v>0</v>
      </c>
      <c r="J292">
        <v>1</v>
      </c>
      <c r="K292" s="2">
        <v>45770</v>
      </c>
    </row>
    <row r="293" spans="1:11" x14ac:dyDescent="0.25">
      <c r="A293" s="1" t="s">
        <v>702</v>
      </c>
      <c r="B293" s="1"/>
      <c r="C293" s="1" t="s">
        <v>2870</v>
      </c>
      <c r="D293" s="1" t="s">
        <v>3375</v>
      </c>
      <c r="E293" s="1"/>
      <c r="F293">
        <v>0.3</v>
      </c>
      <c r="G293">
        <v>0.4</v>
      </c>
      <c r="H293">
        <v>-5</v>
      </c>
      <c r="I293">
        <v>0</v>
      </c>
      <c r="J293">
        <v>1</v>
      </c>
      <c r="K293" s="2">
        <v>45770</v>
      </c>
    </row>
    <row r="294" spans="1:11" x14ac:dyDescent="0.25">
      <c r="A294" s="1" t="s">
        <v>703</v>
      </c>
      <c r="B294" s="1"/>
      <c r="C294" s="1" t="s">
        <v>2867</v>
      </c>
      <c r="D294" s="1" t="s">
        <v>3404</v>
      </c>
      <c r="E294" s="1"/>
      <c r="F294">
        <v>0</v>
      </c>
      <c r="G294">
        <v>0</v>
      </c>
      <c r="H294">
        <v>5</v>
      </c>
      <c r="I294">
        <v>0</v>
      </c>
      <c r="J294">
        <v>1</v>
      </c>
      <c r="K294" s="2">
        <v>45768</v>
      </c>
    </row>
    <row r="295" spans="1:11" x14ac:dyDescent="0.25">
      <c r="A295" s="1" t="s">
        <v>703</v>
      </c>
      <c r="B295" s="1"/>
      <c r="C295" s="1" t="s">
        <v>2868</v>
      </c>
      <c r="D295" s="1" t="s">
        <v>3371</v>
      </c>
      <c r="E295" s="1"/>
      <c r="F295">
        <v>0</v>
      </c>
      <c r="G295">
        <v>0</v>
      </c>
      <c r="H295">
        <v>5</v>
      </c>
      <c r="I295">
        <v>0</v>
      </c>
      <c r="J295">
        <v>1</v>
      </c>
      <c r="K295" s="2">
        <v>45768</v>
      </c>
    </row>
    <row r="296" spans="1:11" x14ac:dyDescent="0.25">
      <c r="A296" s="1" t="s">
        <v>703</v>
      </c>
      <c r="B296" s="1"/>
      <c r="C296" s="1" t="s">
        <v>2869</v>
      </c>
      <c r="D296" s="1" t="s">
        <v>3405</v>
      </c>
      <c r="E296" s="1"/>
      <c r="F296">
        <v>0.3</v>
      </c>
      <c r="G296">
        <v>0.3</v>
      </c>
      <c r="H296">
        <v>0</v>
      </c>
      <c r="I296">
        <v>0</v>
      </c>
      <c r="J296">
        <v>1</v>
      </c>
      <c r="K296" s="2">
        <v>45768</v>
      </c>
    </row>
    <row r="297" spans="1:11" x14ac:dyDescent="0.25">
      <c r="A297" s="1" t="s">
        <v>703</v>
      </c>
      <c r="B297" s="1"/>
      <c r="C297" s="1" t="s">
        <v>2812</v>
      </c>
      <c r="D297" s="1" t="s">
        <v>3403</v>
      </c>
      <c r="E297" s="1"/>
      <c r="F297">
        <v>0</v>
      </c>
      <c r="G297">
        <v>0</v>
      </c>
      <c r="H297">
        <v>0</v>
      </c>
      <c r="I297">
        <v>0</v>
      </c>
      <c r="J297">
        <v>1</v>
      </c>
      <c r="K297" s="2">
        <v>45770</v>
      </c>
    </row>
    <row r="298" spans="1:11" x14ac:dyDescent="0.25">
      <c r="A298" s="1" t="s">
        <v>703</v>
      </c>
      <c r="B298" s="1"/>
      <c r="C298" s="1" t="s">
        <v>2870</v>
      </c>
      <c r="D298" s="1" t="s">
        <v>3375</v>
      </c>
      <c r="E298" s="1"/>
      <c r="F298">
        <v>0.3</v>
      </c>
      <c r="G298">
        <v>0.2</v>
      </c>
      <c r="H298">
        <v>5</v>
      </c>
      <c r="I298">
        <v>0</v>
      </c>
      <c r="J298">
        <v>1</v>
      </c>
      <c r="K298" s="2">
        <v>45770</v>
      </c>
    </row>
    <row r="299" spans="1:11" x14ac:dyDescent="0.25">
      <c r="A299" s="1" t="s">
        <v>704</v>
      </c>
      <c r="B299" s="1"/>
      <c r="C299" s="1" t="s">
        <v>2867</v>
      </c>
      <c r="D299" s="1" t="s">
        <v>3404</v>
      </c>
      <c r="E299" s="1"/>
      <c r="F299">
        <v>0</v>
      </c>
      <c r="G299">
        <v>0</v>
      </c>
      <c r="H299">
        <v>5</v>
      </c>
      <c r="I299">
        <v>0</v>
      </c>
      <c r="J299">
        <v>1</v>
      </c>
      <c r="K299" s="2">
        <v>45768</v>
      </c>
    </row>
    <row r="300" spans="1:11" x14ac:dyDescent="0.25">
      <c r="A300" s="1" t="s">
        <v>704</v>
      </c>
      <c r="B300" s="1"/>
      <c r="C300" s="1" t="s">
        <v>2868</v>
      </c>
      <c r="D300" s="1" t="s">
        <v>3371</v>
      </c>
      <c r="E300" s="1"/>
      <c r="F300">
        <v>0</v>
      </c>
      <c r="G300">
        <v>0</v>
      </c>
      <c r="H300">
        <v>5</v>
      </c>
      <c r="I300">
        <v>0</v>
      </c>
      <c r="J300">
        <v>1</v>
      </c>
      <c r="K300" s="2">
        <v>45768</v>
      </c>
    </row>
    <row r="301" spans="1:11" x14ac:dyDescent="0.25">
      <c r="A301" s="1" t="s">
        <v>704</v>
      </c>
      <c r="B301" s="1"/>
      <c r="C301" s="1" t="s">
        <v>2869</v>
      </c>
      <c r="D301" s="1" t="s">
        <v>3405</v>
      </c>
      <c r="E301" s="1"/>
      <c r="F301">
        <v>0.3</v>
      </c>
      <c r="G301">
        <v>0.3</v>
      </c>
      <c r="H301">
        <v>0</v>
      </c>
      <c r="I301">
        <v>0</v>
      </c>
      <c r="J301">
        <v>1</v>
      </c>
      <c r="K301" s="2">
        <v>45768</v>
      </c>
    </row>
    <row r="302" spans="1:11" x14ac:dyDescent="0.25">
      <c r="A302" s="1" t="s">
        <v>704</v>
      </c>
      <c r="B302" s="1"/>
      <c r="C302" s="1" t="s">
        <v>2812</v>
      </c>
      <c r="D302" s="1" t="s">
        <v>3403</v>
      </c>
      <c r="E302" s="1"/>
      <c r="F302">
        <v>0</v>
      </c>
      <c r="G302">
        <v>0</v>
      </c>
      <c r="H302">
        <v>0</v>
      </c>
      <c r="I302">
        <v>0</v>
      </c>
      <c r="J302">
        <v>1</v>
      </c>
      <c r="K302" s="2">
        <v>45770</v>
      </c>
    </row>
    <row r="303" spans="1:11" x14ac:dyDescent="0.25">
      <c r="A303" s="1" t="s">
        <v>704</v>
      </c>
      <c r="B303" s="1"/>
      <c r="C303" s="1" t="s">
        <v>2870</v>
      </c>
      <c r="D303" s="1" t="s">
        <v>3375</v>
      </c>
      <c r="E303" s="1"/>
      <c r="F303">
        <v>0.3</v>
      </c>
      <c r="G303">
        <v>0.3</v>
      </c>
      <c r="H303">
        <v>0</v>
      </c>
      <c r="I303">
        <v>0</v>
      </c>
      <c r="J303">
        <v>1</v>
      </c>
      <c r="K303" s="2">
        <v>45770</v>
      </c>
    </row>
    <row r="304" spans="1:11" x14ac:dyDescent="0.25">
      <c r="A304" s="1" t="s">
        <v>164</v>
      </c>
      <c r="B304" s="1"/>
      <c r="C304" s="1" t="s">
        <v>2808</v>
      </c>
      <c r="D304" s="1" t="s">
        <v>3370</v>
      </c>
      <c r="E304" s="1"/>
      <c r="F304">
        <v>0</v>
      </c>
      <c r="G304">
        <v>0</v>
      </c>
      <c r="H304">
        <v>0</v>
      </c>
      <c r="I304">
        <v>0</v>
      </c>
      <c r="J304">
        <v>1</v>
      </c>
      <c r="K304" s="2">
        <v>45782</v>
      </c>
    </row>
    <row r="305" spans="1:11" x14ac:dyDescent="0.25">
      <c r="A305" s="1" t="s">
        <v>339</v>
      </c>
      <c r="B305" s="1"/>
      <c r="C305" s="1" t="s">
        <v>2808</v>
      </c>
      <c r="D305" s="1" t="s">
        <v>3370</v>
      </c>
      <c r="E305" s="1"/>
      <c r="F305">
        <v>0</v>
      </c>
      <c r="G305">
        <v>0</v>
      </c>
      <c r="H305">
        <v>0</v>
      </c>
      <c r="I305">
        <v>0</v>
      </c>
      <c r="J305">
        <v>625</v>
      </c>
      <c r="K305" s="2">
        <v>45729</v>
      </c>
    </row>
    <row r="306" spans="1:11" x14ac:dyDescent="0.25">
      <c r="A306" s="1" t="s">
        <v>339</v>
      </c>
      <c r="B306" s="1"/>
      <c r="C306" s="1" t="s">
        <v>2871</v>
      </c>
      <c r="D306" s="1" t="s">
        <v>3404</v>
      </c>
      <c r="E306" s="1"/>
      <c r="F306">
        <v>6.3</v>
      </c>
      <c r="G306">
        <v>0</v>
      </c>
      <c r="H306">
        <v>325</v>
      </c>
      <c r="I306">
        <v>0</v>
      </c>
      <c r="J306">
        <v>625</v>
      </c>
      <c r="K306" s="2">
        <v>45735</v>
      </c>
    </row>
    <row r="307" spans="1:11" x14ac:dyDescent="0.25">
      <c r="A307" s="1" t="s">
        <v>339</v>
      </c>
      <c r="B307" s="1"/>
      <c r="C307" s="1" t="s">
        <v>2872</v>
      </c>
      <c r="D307" s="1" t="s">
        <v>3371</v>
      </c>
      <c r="E307" s="1"/>
      <c r="F307">
        <v>11.2</v>
      </c>
      <c r="G307">
        <v>12.4</v>
      </c>
      <c r="H307">
        <v>-55</v>
      </c>
      <c r="I307">
        <v>0</v>
      </c>
      <c r="J307">
        <v>625</v>
      </c>
      <c r="K307" s="2">
        <v>45735</v>
      </c>
    </row>
    <row r="308" spans="1:11" x14ac:dyDescent="0.25">
      <c r="A308" s="1" t="s">
        <v>339</v>
      </c>
      <c r="B308" s="1"/>
      <c r="C308" s="1" t="s">
        <v>2873</v>
      </c>
      <c r="D308" s="1" t="s">
        <v>3406</v>
      </c>
      <c r="E308" s="1"/>
      <c r="F308">
        <v>21.8</v>
      </c>
      <c r="G308">
        <v>48.8</v>
      </c>
      <c r="H308">
        <v>-1415</v>
      </c>
      <c r="I308">
        <v>0</v>
      </c>
      <c r="J308">
        <v>632</v>
      </c>
      <c r="K308" s="2">
        <v>45749</v>
      </c>
    </row>
    <row r="309" spans="1:11" x14ac:dyDescent="0.25">
      <c r="A309" s="1" t="s">
        <v>339</v>
      </c>
      <c r="B309" s="1"/>
      <c r="C309" s="1" t="s">
        <v>2812</v>
      </c>
      <c r="D309" s="1" t="s">
        <v>3374</v>
      </c>
      <c r="E309" s="1"/>
      <c r="F309">
        <v>0.3</v>
      </c>
      <c r="G309">
        <v>0</v>
      </c>
      <c r="H309">
        <v>20</v>
      </c>
      <c r="I309">
        <v>0</v>
      </c>
      <c r="J309">
        <v>632</v>
      </c>
      <c r="K309" s="2">
        <v>45749</v>
      </c>
    </row>
    <row r="310" spans="1:11" x14ac:dyDescent="0.25">
      <c r="A310" s="1" t="s">
        <v>339</v>
      </c>
      <c r="B310" s="1"/>
      <c r="C310" s="1" t="s">
        <v>2874</v>
      </c>
      <c r="D310" s="1" t="s">
        <v>3375</v>
      </c>
      <c r="E310" s="1"/>
      <c r="F310">
        <v>20.8</v>
      </c>
      <c r="G310">
        <v>110.9</v>
      </c>
      <c r="H310">
        <v>-4660</v>
      </c>
      <c r="I310">
        <v>0</v>
      </c>
      <c r="J310">
        <v>632</v>
      </c>
      <c r="K310" s="2">
        <v>45749</v>
      </c>
    </row>
    <row r="311" spans="1:11" x14ac:dyDescent="0.25">
      <c r="A311" s="1" t="s">
        <v>256</v>
      </c>
      <c r="B311" s="1"/>
      <c r="C311" s="1" t="s">
        <v>2875</v>
      </c>
      <c r="D311" s="1" t="s">
        <v>3406</v>
      </c>
      <c r="E311" s="1"/>
      <c r="F311">
        <v>3.7</v>
      </c>
      <c r="G311">
        <v>2.7</v>
      </c>
      <c r="H311">
        <v>75</v>
      </c>
      <c r="I311">
        <v>0</v>
      </c>
      <c r="J311">
        <v>20</v>
      </c>
      <c r="K311" s="2">
        <v>45736</v>
      </c>
    </row>
    <row r="312" spans="1:11" x14ac:dyDescent="0.25">
      <c r="A312" s="1" t="s">
        <v>256</v>
      </c>
      <c r="B312" s="1"/>
      <c r="C312" s="1" t="s">
        <v>2812</v>
      </c>
      <c r="D312" s="1" t="s">
        <v>3374</v>
      </c>
      <c r="E312" s="1"/>
      <c r="F312">
        <v>0</v>
      </c>
      <c r="G312">
        <v>0</v>
      </c>
      <c r="H312">
        <v>0</v>
      </c>
      <c r="I312">
        <v>0</v>
      </c>
      <c r="J312">
        <v>21</v>
      </c>
      <c r="K312" s="2">
        <v>45737</v>
      </c>
    </row>
    <row r="313" spans="1:11" x14ac:dyDescent="0.25">
      <c r="A313" s="1" t="s">
        <v>256</v>
      </c>
      <c r="B313" s="1"/>
      <c r="C313" s="1" t="s">
        <v>2876</v>
      </c>
      <c r="D313" s="1" t="s">
        <v>3375</v>
      </c>
      <c r="E313" s="1"/>
      <c r="F313">
        <v>0.8</v>
      </c>
      <c r="G313">
        <v>0</v>
      </c>
      <c r="H313">
        <v>60</v>
      </c>
      <c r="I313">
        <v>0</v>
      </c>
      <c r="J313">
        <v>21</v>
      </c>
      <c r="K313" s="2">
        <v>45737</v>
      </c>
    </row>
    <row r="314" spans="1:11" x14ac:dyDescent="0.25">
      <c r="A314" s="1" t="s">
        <v>256</v>
      </c>
      <c r="B314" s="1"/>
      <c r="C314" s="1" t="s">
        <v>2877</v>
      </c>
      <c r="D314" s="1" t="s">
        <v>3407</v>
      </c>
      <c r="E314" s="1"/>
      <c r="F314">
        <v>0</v>
      </c>
      <c r="G314">
        <v>0</v>
      </c>
      <c r="H314">
        <v>0</v>
      </c>
      <c r="I314">
        <v>0</v>
      </c>
      <c r="J314">
        <v>21</v>
      </c>
      <c r="K314" s="2">
        <v>45737</v>
      </c>
    </row>
    <row r="315" spans="1:11" x14ac:dyDescent="0.25">
      <c r="A315" s="1" t="s">
        <v>256</v>
      </c>
      <c r="B315" s="1"/>
      <c r="C315" s="1" t="s">
        <v>2878</v>
      </c>
      <c r="D315" s="1" t="s">
        <v>3375</v>
      </c>
      <c r="E315" s="1"/>
      <c r="F315">
        <v>0.2</v>
      </c>
      <c r="G315">
        <v>0</v>
      </c>
      <c r="H315">
        <v>10</v>
      </c>
      <c r="I315">
        <v>0</v>
      </c>
      <c r="J315">
        <v>20</v>
      </c>
      <c r="K315" s="2">
        <v>45737</v>
      </c>
    </row>
    <row r="316" spans="1:11" x14ac:dyDescent="0.25">
      <c r="A316" s="1" t="s">
        <v>229</v>
      </c>
      <c r="B316" s="1"/>
      <c r="C316" s="1" t="s">
        <v>2879</v>
      </c>
      <c r="D316" s="1" t="s">
        <v>3371</v>
      </c>
      <c r="E316" s="1"/>
      <c r="F316">
        <v>3.2</v>
      </c>
      <c r="G316">
        <v>6.8</v>
      </c>
      <c r="H316">
        <v>-140</v>
      </c>
      <c r="I316">
        <v>0</v>
      </c>
      <c r="J316">
        <v>112</v>
      </c>
      <c r="K316" s="2">
        <v>45735</v>
      </c>
    </row>
    <row r="317" spans="1:11" x14ac:dyDescent="0.25">
      <c r="A317" s="1" t="s">
        <v>229</v>
      </c>
      <c r="B317" s="1"/>
      <c r="C317" s="1" t="s">
        <v>2872</v>
      </c>
      <c r="D317" s="1" t="s">
        <v>3371</v>
      </c>
      <c r="E317" s="1"/>
      <c r="F317">
        <v>2.2000000000000002</v>
      </c>
      <c r="G317">
        <v>4.8</v>
      </c>
      <c r="H317">
        <v>-110</v>
      </c>
      <c r="I317">
        <v>0</v>
      </c>
      <c r="J317">
        <v>112</v>
      </c>
      <c r="K317" s="2">
        <v>45748</v>
      </c>
    </row>
    <row r="318" spans="1:11" x14ac:dyDescent="0.25">
      <c r="A318" s="1" t="s">
        <v>229</v>
      </c>
      <c r="B318" s="1"/>
      <c r="C318" s="1" t="s">
        <v>2880</v>
      </c>
      <c r="D318" s="1" t="s">
        <v>3386</v>
      </c>
      <c r="E318" s="1"/>
      <c r="F318">
        <v>6.7</v>
      </c>
      <c r="G318">
        <v>36.5</v>
      </c>
      <c r="H318">
        <v>-1540</v>
      </c>
      <c r="I318">
        <v>0</v>
      </c>
      <c r="J318">
        <v>112</v>
      </c>
      <c r="K318" s="2">
        <v>45748</v>
      </c>
    </row>
    <row r="319" spans="1:11" x14ac:dyDescent="0.25">
      <c r="A319" s="1" t="s">
        <v>229</v>
      </c>
      <c r="B319" s="1"/>
      <c r="C319" s="1" t="s">
        <v>2812</v>
      </c>
      <c r="D319" s="1" t="s">
        <v>3374</v>
      </c>
      <c r="E319" s="1"/>
      <c r="F319">
        <v>0</v>
      </c>
      <c r="G319">
        <v>0</v>
      </c>
      <c r="H319">
        <v>0</v>
      </c>
      <c r="I319">
        <v>0</v>
      </c>
      <c r="J319">
        <v>112</v>
      </c>
      <c r="K319" s="2">
        <v>45748</v>
      </c>
    </row>
    <row r="320" spans="1:11" x14ac:dyDescent="0.25">
      <c r="A320" s="1" t="s">
        <v>229</v>
      </c>
      <c r="B320" s="1"/>
      <c r="C320" s="1" t="s">
        <v>2881</v>
      </c>
      <c r="D320" s="1" t="s">
        <v>3375</v>
      </c>
      <c r="E320" s="1"/>
      <c r="F320">
        <v>1.7</v>
      </c>
      <c r="G320">
        <v>6.5</v>
      </c>
      <c r="H320">
        <v>-245</v>
      </c>
      <c r="I320">
        <v>0</v>
      </c>
      <c r="J320">
        <v>89</v>
      </c>
      <c r="K320" s="2">
        <v>45748</v>
      </c>
    </row>
    <row r="321" spans="1:11" x14ac:dyDescent="0.25">
      <c r="A321" s="1" t="s">
        <v>229</v>
      </c>
      <c r="B321" s="1"/>
      <c r="C321" s="1" t="s">
        <v>2882</v>
      </c>
      <c r="D321" s="1" t="s">
        <v>3389</v>
      </c>
      <c r="E321" s="1"/>
      <c r="F321">
        <v>0</v>
      </c>
      <c r="G321">
        <v>0</v>
      </c>
      <c r="H321">
        <v>0</v>
      </c>
      <c r="I321">
        <v>0</v>
      </c>
      <c r="J321">
        <v>88</v>
      </c>
      <c r="K321" s="2">
        <v>45752</v>
      </c>
    </row>
    <row r="322" spans="1:11" x14ac:dyDescent="0.25">
      <c r="A322" s="1" t="s">
        <v>532</v>
      </c>
      <c r="B322" s="1"/>
      <c r="C322" s="1" t="s">
        <v>2808</v>
      </c>
      <c r="D322" s="1" t="s">
        <v>3370</v>
      </c>
      <c r="E322" s="1"/>
      <c r="F322">
        <v>0</v>
      </c>
      <c r="G322">
        <v>0</v>
      </c>
      <c r="H322">
        <v>0</v>
      </c>
      <c r="I322">
        <v>0</v>
      </c>
      <c r="J322">
        <v>136</v>
      </c>
      <c r="K322" s="2">
        <v>45761</v>
      </c>
    </row>
    <row r="323" spans="1:11" x14ac:dyDescent="0.25">
      <c r="A323" s="1" t="s">
        <v>532</v>
      </c>
      <c r="B323" s="1"/>
      <c r="C323" s="1" t="s">
        <v>2879</v>
      </c>
      <c r="D323" s="1" t="s">
        <v>3371</v>
      </c>
      <c r="E323" s="1"/>
      <c r="F323">
        <v>3.6</v>
      </c>
      <c r="G323">
        <v>0</v>
      </c>
      <c r="H323">
        <v>235</v>
      </c>
      <c r="I323">
        <v>0</v>
      </c>
      <c r="J323">
        <v>154</v>
      </c>
      <c r="K323" s="2">
        <v>45770</v>
      </c>
    </row>
    <row r="324" spans="1:11" x14ac:dyDescent="0.25">
      <c r="A324" s="1" t="s">
        <v>532</v>
      </c>
      <c r="B324" s="1"/>
      <c r="C324" s="1" t="s">
        <v>2872</v>
      </c>
      <c r="D324" s="1" t="s">
        <v>3371</v>
      </c>
      <c r="E324" s="1"/>
      <c r="F324">
        <v>2.6</v>
      </c>
      <c r="G324">
        <v>6.4</v>
      </c>
      <c r="H324">
        <v>-170</v>
      </c>
      <c r="I324">
        <v>0</v>
      </c>
      <c r="J324">
        <v>154</v>
      </c>
      <c r="K324" s="2">
        <v>45771</v>
      </c>
    </row>
    <row r="325" spans="1:11" x14ac:dyDescent="0.25">
      <c r="A325" s="1" t="s">
        <v>532</v>
      </c>
      <c r="B325" s="1"/>
      <c r="C325" s="1" t="s">
        <v>2880</v>
      </c>
      <c r="D325" s="1" t="s">
        <v>3386</v>
      </c>
      <c r="E325" s="1"/>
      <c r="F325">
        <v>8.4</v>
      </c>
      <c r="G325">
        <v>20.3</v>
      </c>
      <c r="H325">
        <v>-595</v>
      </c>
      <c r="I325">
        <v>0</v>
      </c>
      <c r="J325">
        <v>154</v>
      </c>
      <c r="K325" s="2">
        <v>45782</v>
      </c>
    </row>
    <row r="326" spans="1:11" x14ac:dyDescent="0.25">
      <c r="A326" s="1" t="s">
        <v>532</v>
      </c>
      <c r="B326" s="1"/>
      <c r="C326" s="1" t="s">
        <v>2812</v>
      </c>
      <c r="D326" s="1" t="s">
        <v>3374</v>
      </c>
      <c r="E326" s="1"/>
      <c r="F326">
        <v>0</v>
      </c>
      <c r="G326">
        <v>0</v>
      </c>
      <c r="H326">
        <v>0</v>
      </c>
      <c r="I326">
        <v>0</v>
      </c>
      <c r="J326">
        <v>154</v>
      </c>
      <c r="K326" s="2">
        <v>45778</v>
      </c>
    </row>
    <row r="327" spans="1:11" x14ac:dyDescent="0.25">
      <c r="A327" s="1" t="s">
        <v>532</v>
      </c>
      <c r="B327" s="1"/>
      <c r="C327" s="1" t="s">
        <v>2881</v>
      </c>
      <c r="D327" s="1" t="s">
        <v>3375</v>
      </c>
      <c r="E327" s="1"/>
      <c r="F327">
        <v>2.2999999999999998</v>
      </c>
      <c r="G327">
        <v>20</v>
      </c>
      <c r="H327">
        <v>-915</v>
      </c>
      <c r="I327">
        <v>0</v>
      </c>
      <c r="J327">
        <v>123</v>
      </c>
      <c r="K327" s="2">
        <v>45787</v>
      </c>
    </row>
    <row r="328" spans="1:11" x14ac:dyDescent="0.25">
      <c r="A328" s="1" t="s">
        <v>815</v>
      </c>
      <c r="B328" s="1"/>
      <c r="C328" s="1" t="s">
        <v>2808</v>
      </c>
      <c r="D328" s="1" t="s">
        <v>3370</v>
      </c>
      <c r="E328" s="1"/>
      <c r="F328">
        <v>0</v>
      </c>
      <c r="G328">
        <v>0</v>
      </c>
      <c r="H328">
        <v>0</v>
      </c>
      <c r="I328">
        <v>0</v>
      </c>
      <c r="J328">
        <v>26</v>
      </c>
      <c r="K328" s="2">
        <v>45789</v>
      </c>
    </row>
    <row r="329" spans="1:11" x14ac:dyDescent="0.25">
      <c r="A329" s="1" t="s">
        <v>763</v>
      </c>
      <c r="B329" s="1"/>
      <c r="C329" s="1" t="s">
        <v>2808</v>
      </c>
      <c r="D329" s="1" t="s">
        <v>3370</v>
      </c>
      <c r="E329" s="1"/>
      <c r="F329">
        <v>0</v>
      </c>
      <c r="G329">
        <v>0</v>
      </c>
      <c r="H329">
        <v>0</v>
      </c>
      <c r="I329">
        <v>0</v>
      </c>
      <c r="J329">
        <v>28</v>
      </c>
      <c r="K329" s="2">
        <v>45776</v>
      </c>
    </row>
    <row r="330" spans="1:11" x14ac:dyDescent="0.25">
      <c r="A330" s="1" t="s">
        <v>763</v>
      </c>
      <c r="B330" s="1"/>
      <c r="C330" s="1" t="s">
        <v>2883</v>
      </c>
      <c r="D330" s="1" t="s">
        <v>3388</v>
      </c>
      <c r="E330" s="1"/>
      <c r="F330">
        <v>0.1</v>
      </c>
      <c r="G330">
        <v>0</v>
      </c>
      <c r="H330">
        <v>10</v>
      </c>
      <c r="I330">
        <v>0</v>
      </c>
      <c r="J330">
        <v>28</v>
      </c>
      <c r="K330" s="2">
        <v>45777</v>
      </c>
    </row>
    <row r="331" spans="1:11" x14ac:dyDescent="0.25">
      <c r="A331" s="1" t="s">
        <v>762</v>
      </c>
      <c r="B331" s="1"/>
      <c r="C331" s="1" t="s">
        <v>2808</v>
      </c>
      <c r="D331" s="1" t="s">
        <v>3370</v>
      </c>
      <c r="E331" s="1"/>
      <c r="F331">
        <v>0</v>
      </c>
      <c r="G331">
        <v>0</v>
      </c>
      <c r="H331">
        <v>0</v>
      </c>
      <c r="I331">
        <v>0</v>
      </c>
      <c r="J331">
        <v>14</v>
      </c>
      <c r="K331" s="2">
        <v>45776</v>
      </c>
    </row>
    <row r="332" spans="1:11" x14ac:dyDescent="0.25">
      <c r="A332" s="1" t="s">
        <v>589</v>
      </c>
      <c r="B332" s="1"/>
      <c r="C332" s="1" t="s">
        <v>2808</v>
      </c>
      <c r="D332" s="1" t="s">
        <v>3370</v>
      </c>
      <c r="E332" s="1"/>
      <c r="F332">
        <v>0</v>
      </c>
      <c r="G332">
        <v>0</v>
      </c>
      <c r="H332">
        <v>0</v>
      </c>
      <c r="I332">
        <v>0</v>
      </c>
      <c r="J332">
        <v>500</v>
      </c>
      <c r="K332" s="2">
        <v>45761</v>
      </c>
    </row>
    <row r="333" spans="1:11" x14ac:dyDescent="0.25">
      <c r="A333" s="1" t="s">
        <v>589</v>
      </c>
      <c r="B333" s="1"/>
      <c r="C333" s="1" t="s">
        <v>2856</v>
      </c>
      <c r="D333" s="1" t="s">
        <v>3408</v>
      </c>
      <c r="E333" s="1"/>
      <c r="F333">
        <v>1.3</v>
      </c>
      <c r="G333">
        <v>3.7</v>
      </c>
      <c r="H333">
        <v>-115</v>
      </c>
      <c r="I333">
        <v>0</v>
      </c>
      <c r="J333">
        <v>500</v>
      </c>
      <c r="K333" s="2">
        <v>45769</v>
      </c>
    </row>
    <row r="334" spans="1:11" x14ac:dyDescent="0.25">
      <c r="A334" s="1" t="s">
        <v>589</v>
      </c>
      <c r="B334" s="1"/>
      <c r="C334" s="1" t="s">
        <v>2828</v>
      </c>
      <c r="D334" s="1" t="s">
        <v>3387</v>
      </c>
      <c r="E334" s="1"/>
      <c r="F334">
        <v>5.3</v>
      </c>
      <c r="G334">
        <v>0.9</v>
      </c>
      <c r="H334">
        <v>215</v>
      </c>
      <c r="I334">
        <v>0</v>
      </c>
      <c r="J334">
        <v>500</v>
      </c>
      <c r="K334" s="2">
        <v>45772</v>
      </c>
    </row>
    <row r="335" spans="1:11" x14ac:dyDescent="0.25">
      <c r="A335" s="1" t="s">
        <v>589</v>
      </c>
      <c r="B335" s="1"/>
      <c r="C335" s="1" t="s">
        <v>2884</v>
      </c>
      <c r="D335" s="1" t="s">
        <v>3392</v>
      </c>
      <c r="E335" s="1"/>
      <c r="F335">
        <v>11.6</v>
      </c>
      <c r="G335">
        <v>4.2</v>
      </c>
      <c r="H335">
        <v>365</v>
      </c>
      <c r="I335">
        <v>0</v>
      </c>
      <c r="J335">
        <v>500</v>
      </c>
      <c r="K335" s="2">
        <v>45772</v>
      </c>
    </row>
    <row r="336" spans="1:11" x14ac:dyDescent="0.25">
      <c r="A336" s="1" t="s">
        <v>589</v>
      </c>
      <c r="B336" s="1"/>
      <c r="C336" s="1" t="s">
        <v>2816</v>
      </c>
      <c r="D336" s="1" t="s">
        <v>3372</v>
      </c>
      <c r="E336" s="1"/>
      <c r="F336">
        <v>1.3</v>
      </c>
      <c r="G336">
        <v>0.3</v>
      </c>
      <c r="H336">
        <v>50</v>
      </c>
      <c r="I336">
        <v>0</v>
      </c>
      <c r="J336">
        <v>500</v>
      </c>
      <c r="K336" s="2">
        <v>45772</v>
      </c>
    </row>
    <row r="337" spans="1:11" x14ac:dyDescent="0.25">
      <c r="A337" s="1" t="s">
        <v>589</v>
      </c>
      <c r="B337" s="1"/>
      <c r="C337" s="1" t="s">
        <v>2817</v>
      </c>
      <c r="D337" s="1" t="s">
        <v>3377</v>
      </c>
      <c r="E337" s="1"/>
      <c r="F337">
        <v>1.3</v>
      </c>
      <c r="G337">
        <v>0</v>
      </c>
      <c r="H337">
        <v>65</v>
      </c>
      <c r="I337">
        <v>0</v>
      </c>
      <c r="J337">
        <v>500</v>
      </c>
      <c r="K337" s="2">
        <v>45782</v>
      </c>
    </row>
    <row r="338" spans="1:11" x14ac:dyDescent="0.25">
      <c r="A338" s="1" t="s">
        <v>711</v>
      </c>
      <c r="B338" s="1"/>
      <c r="C338" s="1" t="s">
        <v>2808</v>
      </c>
      <c r="D338" s="1" t="s">
        <v>3370</v>
      </c>
      <c r="E338" s="1"/>
      <c r="F338">
        <v>0</v>
      </c>
      <c r="G338">
        <v>0</v>
      </c>
      <c r="H338">
        <v>0</v>
      </c>
      <c r="I338">
        <v>0</v>
      </c>
      <c r="J338">
        <v>500</v>
      </c>
      <c r="K338" s="2">
        <v>45777</v>
      </c>
    </row>
    <row r="339" spans="1:11" x14ac:dyDescent="0.25">
      <c r="A339" s="1" t="s">
        <v>711</v>
      </c>
      <c r="B339" s="1"/>
      <c r="C339" s="1" t="s">
        <v>2856</v>
      </c>
      <c r="D339" s="1" t="s">
        <v>3408</v>
      </c>
      <c r="E339" s="1"/>
      <c r="F339">
        <v>1.3</v>
      </c>
      <c r="G339">
        <v>2.7</v>
      </c>
      <c r="H339">
        <v>-70</v>
      </c>
      <c r="I339">
        <v>0</v>
      </c>
      <c r="J339">
        <v>500</v>
      </c>
      <c r="K339" s="2">
        <v>45779</v>
      </c>
    </row>
    <row r="340" spans="1:11" x14ac:dyDescent="0.25">
      <c r="A340" s="1" t="s">
        <v>711</v>
      </c>
      <c r="B340" s="1"/>
      <c r="C340" s="1" t="s">
        <v>2828</v>
      </c>
      <c r="D340" s="1" t="s">
        <v>3387</v>
      </c>
      <c r="E340" s="1"/>
      <c r="F340">
        <v>5.3</v>
      </c>
      <c r="G340">
        <v>1.7</v>
      </c>
      <c r="H340">
        <v>175</v>
      </c>
      <c r="I340">
        <v>0</v>
      </c>
      <c r="J340">
        <v>500</v>
      </c>
      <c r="K340" s="2">
        <v>45782</v>
      </c>
    </row>
    <row r="341" spans="1:11" x14ac:dyDescent="0.25">
      <c r="A341" s="1" t="s">
        <v>711</v>
      </c>
      <c r="B341" s="1"/>
      <c r="C341" s="1" t="s">
        <v>2884</v>
      </c>
      <c r="D341" s="1" t="s">
        <v>3392</v>
      </c>
      <c r="E341" s="1"/>
      <c r="F341">
        <v>11.6</v>
      </c>
      <c r="G341">
        <v>1.8</v>
      </c>
      <c r="H341">
        <v>480</v>
      </c>
      <c r="I341">
        <v>0</v>
      </c>
      <c r="J341">
        <v>500</v>
      </c>
      <c r="K341" s="2">
        <v>45782</v>
      </c>
    </row>
    <row r="342" spans="1:11" x14ac:dyDescent="0.25">
      <c r="A342" s="1" t="s">
        <v>711</v>
      </c>
      <c r="B342" s="1"/>
      <c r="C342" s="1" t="s">
        <v>2816</v>
      </c>
      <c r="D342" s="1" t="s">
        <v>3372</v>
      </c>
      <c r="E342" s="1"/>
      <c r="F342">
        <v>1.3</v>
      </c>
      <c r="G342">
        <v>0</v>
      </c>
      <c r="H342">
        <v>65</v>
      </c>
      <c r="I342">
        <v>0</v>
      </c>
      <c r="J342">
        <v>500</v>
      </c>
      <c r="K342" s="2">
        <v>45782</v>
      </c>
    </row>
    <row r="343" spans="1:11" x14ac:dyDescent="0.25">
      <c r="A343" s="1" t="s">
        <v>711</v>
      </c>
      <c r="B343" s="1"/>
      <c r="C343" s="1" t="s">
        <v>2817</v>
      </c>
      <c r="D343" s="1" t="s">
        <v>3377</v>
      </c>
      <c r="E343" s="1"/>
      <c r="F343">
        <v>1.3</v>
      </c>
      <c r="G343">
        <v>1.3</v>
      </c>
      <c r="H343">
        <v>0</v>
      </c>
      <c r="I343">
        <v>0</v>
      </c>
      <c r="J343">
        <v>500</v>
      </c>
      <c r="K343" s="2">
        <v>45784</v>
      </c>
    </row>
    <row r="344" spans="1:11" x14ac:dyDescent="0.25">
      <c r="A344" s="1" t="s">
        <v>803</v>
      </c>
      <c r="B344" s="1"/>
      <c r="C344" s="1" t="s">
        <v>2808</v>
      </c>
      <c r="D344" s="1" t="s">
        <v>3370</v>
      </c>
      <c r="E344" s="1"/>
      <c r="F344">
        <v>0</v>
      </c>
      <c r="G344">
        <v>0</v>
      </c>
      <c r="H344">
        <v>0</v>
      </c>
      <c r="I344">
        <v>0</v>
      </c>
      <c r="J344">
        <v>500</v>
      </c>
      <c r="K344" s="2">
        <v>45777</v>
      </c>
    </row>
    <row r="345" spans="1:11" x14ac:dyDescent="0.25">
      <c r="A345" s="1" t="s">
        <v>803</v>
      </c>
      <c r="B345" s="1"/>
      <c r="C345" s="1" t="s">
        <v>2856</v>
      </c>
      <c r="D345" s="1" t="s">
        <v>3408</v>
      </c>
      <c r="E345" s="1"/>
      <c r="F345">
        <v>1.3</v>
      </c>
      <c r="G345">
        <v>1.3</v>
      </c>
      <c r="H345">
        <v>0</v>
      </c>
      <c r="I345">
        <v>0</v>
      </c>
      <c r="J345">
        <v>500</v>
      </c>
      <c r="K345" s="2">
        <v>45779</v>
      </c>
    </row>
    <row r="346" spans="1:11" x14ac:dyDescent="0.25">
      <c r="A346" s="1" t="s">
        <v>803</v>
      </c>
      <c r="B346" s="1"/>
      <c r="C346" s="1" t="s">
        <v>2828</v>
      </c>
      <c r="D346" s="1" t="s">
        <v>3387</v>
      </c>
      <c r="E346" s="1"/>
      <c r="F346">
        <v>5.3</v>
      </c>
      <c r="G346">
        <v>2</v>
      </c>
      <c r="H346">
        <v>160</v>
      </c>
      <c r="I346">
        <v>0</v>
      </c>
      <c r="J346">
        <v>500</v>
      </c>
      <c r="K346" s="2">
        <v>45782</v>
      </c>
    </row>
    <row r="347" spans="1:11" x14ac:dyDescent="0.25">
      <c r="A347" s="1" t="s">
        <v>803</v>
      </c>
      <c r="B347" s="1"/>
      <c r="C347" s="1" t="s">
        <v>2884</v>
      </c>
      <c r="D347" s="1" t="s">
        <v>3392</v>
      </c>
      <c r="E347" s="1"/>
      <c r="F347">
        <v>11.6</v>
      </c>
      <c r="G347">
        <v>2</v>
      </c>
      <c r="H347">
        <v>470</v>
      </c>
      <c r="I347">
        <v>0</v>
      </c>
      <c r="J347">
        <v>500</v>
      </c>
      <c r="K347" s="2">
        <v>45782</v>
      </c>
    </row>
    <row r="348" spans="1:11" x14ac:dyDescent="0.25">
      <c r="A348" s="1" t="s">
        <v>803</v>
      </c>
      <c r="B348" s="1"/>
      <c r="C348" s="1" t="s">
        <v>2816</v>
      </c>
      <c r="D348" s="1" t="s">
        <v>3372</v>
      </c>
      <c r="E348" s="1"/>
      <c r="F348">
        <v>1.3</v>
      </c>
      <c r="G348">
        <v>0</v>
      </c>
      <c r="H348">
        <v>65</v>
      </c>
      <c r="I348">
        <v>0</v>
      </c>
      <c r="J348">
        <v>500</v>
      </c>
      <c r="K348" s="2">
        <v>45782</v>
      </c>
    </row>
    <row r="349" spans="1:11" x14ac:dyDescent="0.25">
      <c r="A349" s="1" t="s">
        <v>803</v>
      </c>
      <c r="B349" s="1"/>
      <c r="C349" s="1" t="s">
        <v>2817</v>
      </c>
      <c r="D349" s="1" t="s">
        <v>3377</v>
      </c>
      <c r="E349" s="1"/>
      <c r="F349">
        <v>1.3</v>
      </c>
      <c r="G349">
        <v>1.2</v>
      </c>
      <c r="H349">
        <v>5</v>
      </c>
      <c r="I349">
        <v>0</v>
      </c>
      <c r="J349">
        <v>500</v>
      </c>
      <c r="K349" s="2">
        <v>45789</v>
      </c>
    </row>
    <row r="350" spans="1:11" x14ac:dyDescent="0.25">
      <c r="A350" s="1" t="s">
        <v>804</v>
      </c>
      <c r="B350" s="1"/>
      <c r="C350" s="1" t="s">
        <v>2808</v>
      </c>
      <c r="D350" s="1" t="s">
        <v>3370</v>
      </c>
      <c r="E350" s="1"/>
      <c r="F350">
        <v>0</v>
      </c>
      <c r="G350">
        <v>0</v>
      </c>
      <c r="H350">
        <v>0</v>
      </c>
      <c r="I350">
        <v>0</v>
      </c>
      <c r="J350">
        <v>500</v>
      </c>
      <c r="K350" s="2">
        <v>45784</v>
      </c>
    </row>
    <row r="351" spans="1:11" x14ac:dyDescent="0.25">
      <c r="A351" s="1" t="s">
        <v>617</v>
      </c>
      <c r="B351" s="1"/>
      <c r="C351" s="1" t="s">
        <v>2808</v>
      </c>
      <c r="D351" s="1" t="s">
        <v>3370</v>
      </c>
      <c r="E351" s="1"/>
      <c r="F351">
        <v>0</v>
      </c>
      <c r="G351">
        <v>0</v>
      </c>
      <c r="H351">
        <v>0</v>
      </c>
      <c r="I351">
        <v>0</v>
      </c>
      <c r="J351">
        <v>500</v>
      </c>
      <c r="K351" s="2">
        <v>45763</v>
      </c>
    </row>
    <row r="352" spans="1:11" x14ac:dyDescent="0.25">
      <c r="A352" s="1" t="s">
        <v>617</v>
      </c>
      <c r="B352" s="1"/>
      <c r="C352" s="1" t="s">
        <v>2856</v>
      </c>
      <c r="D352" s="1" t="s">
        <v>3408</v>
      </c>
      <c r="E352" s="1"/>
      <c r="F352">
        <v>1.3</v>
      </c>
      <c r="G352">
        <v>2.2999999999999998</v>
      </c>
      <c r="H352">
        <v>-50</v>
      </c>
      <c r="I352">
        <v>0</v>
      </c>
      <c r="J352">
        <v>500</v>
      </c>
      <c r="K352" s="2">
        <v>45763</v>
      </c>
    </row>
    <row r="353" spans="1:11" x14ac:dyDescent="0.25">
      <c r="A353" s="1" t="s">
        <v>617</v>
      </c>
      <c r="B353" s="1"/>
      <c r="C353" s="1" t="s">
        <v>2828</v>
      </c>
      <c r="D353" s="1" t="s">
        <v>3387</v>
      </c>
      <c r="E353" s="1"/>
      <c r="F353">
        <v>5.3</v>
      </c>
      <c r="G353">
        <v>2.4</v>
      </c>
      <c r="H353">
        <v>145</v>
      </c>
      <c r="I353">
        <v>0</v>
      </c>
      <c r="J353">
        <v>500</v>
      </c>
      <c r="K353" s="2">
        <v>45764</v>
      </c>
    </row>
    <row r="354" spans="1:11" x14ac:dyDescent="0.25">
      <c r="A354" s="1" t="s">
        <v>617</v>
      </c>
      <c r="B354" s="1"/>
      <c r="C354" s="1" t="s">
        <v>2884</v>
      </c>
      <c r="D354" s="1" t="s">
        <v>3392</v>
      </c>
      <c r="E354" s="1"/>
      <c r="F354">
        <v>11.6</v>
      </c>
      <c r="G354">
        <v>2.4</v>
      </c>
      <c r="H354">
        <v>450</v>
      </c>
      <c r="I354">
        <v>0</v>
      </c>
      <c r="J354">
        <v>500</v>
      </c>
      <c r="K354" s="2">
        <v>45764</v>
      </c>
    </row>
    <row r="355" spans="1:11" x14ac:dyDescent="0.25">
      <c r="A355" s="1" t="s">
        <v>617</v>
      </c>
      <c r="B355" s="1"/>
      <c r="C355" s="1" t="s">
        <v>2816</v>
      </c>
      <c r="D355" s="1" t="s">
        <v>3372</v>
      </c>
      <c r="E355" s="1"/>
      <c r="F355">
        <v>1.3</v>
      </c>
      <c r="G355">
        <v>2</v>
      </c>
      <c r="H355">
        <v>-35</v>
      </c>
      <c r="I355">
        <v>0</v>
      </c>
      <c r="J355">
        <v>500</v>
      </c>
      <c r="K355" s="2">
        <v>45782</v>
      </c>
    </row>
    <row r="356" spans="1:11" x14ac:dyDescent="0.25">
      <c r="A356" s="1" t="s">
        <v>617</v>
      </c>
      <c r="B356" s="1"/>
      <c r="C356" s="1" t="s">
        <v>2817</v>
      </c>
      <c r="D356" s="1" t="s">
        <v>3377</v>
      </c>
      <c r="E356" s="1"/>
      <c r="F356">
        <v>1.3</v>
      </c>
      <c r="G356">
        <v>1.1000000000000001</v>
      </c>
      <c r="H356">
        <v>10</v>
      </c>
      <c r="I356">
        <v>0</v>
      </c>
      <c r="J356">
        <v>500</v>
      </c>
      <c r="K356" s="2">
        <v>45782</v>
      </c>
    </row>
    <row r="357" spans="1:11" x14ac:dyDescent="0.25">
      <c r="A357" s="1" t="s">
        <v>618</v>
      </c>
      <c r="B357" s="1"/>
      <c r="C357" s="1" t="s">
        <v>2808</v>
      </c>
      <c r="D357" s="1" t="s">
        <v>3370</v>
      </c>
      <c r="E357" s="1"/>
      <c r="F357">
        <v>0</v>
      </c>
      <c r="G357">
        <v>0</v>
      </c>
      <c r="H357">
        <v>0</v>
      </c>
      <c r="I357">
        <v>0</v>
      </c>
      <c r="J357">
        <v>500</v>
      </c>
      <c r="K357" s="2">
        <v>45763</v>
      </c>
    </row>
    <row r="358" spans="1:11" x14ac:dyDescent="0.25">
      <c r="A358" s="1" t="s">
        <v>618</v>
      </c>
      <c r="B358" s="1"/>
      <c r="C358" s="1" t="s">
        <v>2856</v>
      </c>
      <c r="D358" s="1" t="s">
        <v>3408</v>
      </c>
      <c r="E358" s="1"/>
      <c r="F358">
        <v>1.3</v>
      </c>
      <c r="G358">
        <v>2.1</v>
      </c>
      <c r="H358">
        <v>-40</v>
      </c>
      <c r="I358">
        <v>0</v>
      </c>
      <c r="J358">
        <v>500</v>
      </c>
      <c r="K358" s="2">
        <v>45763</v>
      </c>
    </row>
    <row r="359" spans="1:11" x14ac:dyDescent="0.25">
      <c r="A359" s="1" t="s">
        <v>618</v>
      </c>
      <c r="B359" s="1"/>
      <c r="C359" s="1" t="s">
        <v>2828</v>
      </c>
      <c r="D359" s="1" t="s">
        <v>3387</v>
      </c>
      <c r="E359" s="1"/>
      <c r="F359">
        <v>5.3</v>
      </c>
      <c r="G359">
        <v>4.7</v>
      </c>
      <c r="H359">
        <v>30</v>
      </c>
      <c r="I359">
        <v>0</v>
      </c>
      <c r="J359">
        <v>500</v>
      </c>
      <c r="K359" s="2">
        <v>45764</v>
      </c>
    </row>
    <row r="360" spans="1:11" x14ac:dyDescent="0.25">
      <c r="A360" s="1" t="s">
        <v>618</v>
      </c>
      <c r="B360" s="1"/>
      <c r="C360" s="1" t="s">
        <v>2884</v>
      </c>
      <c r="D360" s="1" t="s">
        <v>3392</v>
      </c>
      <c r="E360" s="1"/>
      <c r="F360">
        <v>11.6</v>
      </c>
      <c r="G360">
        <v>0</v>
      </c>
      <c r="H360">
        <v>570</v>
      </c>
      <c r="I360">
        <v>0</v>
      </c>
      <c r="J360">
        <v>500</v>
      </c>
      <c r="K360" s="2">
        <v>45764</v>
      </c>
    </row>
    <row r="361" spans="1:11" x14ac:dyDescent="0.25">
      <c r="A361" s="1" t="s">
        <v>618</v>
      </c>
      <c r="B361" s="1"/>
      <c r="C361" s="1" t="s">
        <v>2816</v>
      </c>
      <c r="D361" s="1" t="s">
        <v>3372</v>
      </c>
      <c r="E361" s="1"/>
      <c r="F361">
        <v>1.3</v>
      </c>
      <c r="G361">
        <v>0</v>
      </c>
      <c r="H361">
        <v>65</v>
      </c>
      <c r="I361">
        <v>0</v>
      </c>
      <c r="J361">
        <v>500</v>
      </c>
      <c r="K361" s="2">
        <v>45764</v>
      </c>
    </row>
    <row r="362" spans="1:11" x14ac:dyDescent="0.25">
      <c r="A362" s="1" t="s">
        <v>618</v>
      </c>
      <c r="B362" s="1"/>
      <c r="C362" s="1" t="s">
        <v>2817</v>
      </c>
      <c r="D362" s="1" t="s">
        <v>3377</v>
      </c>
      <c r="E362" s="1"/>
      <c r="F362">
        <v>1.3</v>
      </c>
      <c r="G362">
        <v>0</v>
      </c>
      <c r="H362">
        <v>65</v>
      </c>
      <c r="I362">
        <v>0</v>
      </c>
      <c r="J362">
        <v>500</v>
      </c>
      <c r="K362" s="2">
        <v>45782</v>
      </c>
    </row>
    <row r="363" spans="1:11" x14ac:dyDescent="0.25">
      <c r="A363" s="1" t="s">
        <v>631</v>
      </c>
      <c r="B363" s="1"/>
      <c r="C363" s="1" t="s">
        <v>2808</v>
      </c>
      <c r="D363" s="1" t="s">
        <v>3370</v>
      </c>
      <c r="E363" s="1"/>
      <c r="F363">
        <v>0</v>
      </c>
      <c r="G363">
        <v>0</v>
      </c>
      <c r="H363">
        <v>0</v>
      </c>
      <c r="I363">
        <v>0</v>
      </c>
      <c r="J363">
        <v>500</v>
      </c>
      <c r="K363" s="2">
        <v>45763</v>
      </c>
    </row>
    <row r="364" spans="1:11" x14ac:dyDescent="0.25">
      <c r="A364" s="1" t="s">
        <v>631</v>
      </c>
      <c r="B364" s="1"/>
      <c r="C364" s="1" t="s">
        <v>2856</v>
      </c>
      <c r="D364" s="1" t="s">
        <v>3408</v>
      </c>
      <c r="E364" s="1"/>
      <c r="F364">
        <v>1.3</v>
      </c>
      <c r="G364">
        <v>2.5</v>
      </c>
      <c r="H364">
        <v>-60</v>
      </c>
      <c r="I364">
        <v>0</v>
      </c>
      <c r="J364">
        <v>500</v>
      </c>
      <c r="K364" s="2">
        <v>45765</v>
      </c>
    </row>
    <row r="365" spans="1:11" x14ac:dyDescent="0.25">
      <c r="A365" s="1" t="s">
        <v>631</v>
      </c>
      <c r="B365" s="1"/>
      <c r="C365" s="1" t="s">
        <v>2828</v>
      </c>
      <c r="D365" s="1" t="s">
        <v>3387</v>
      </c>
      <c r="E365" s="1"/>
      <c r="F365">
        <v>5.3</v>
      </c>
      <c r="G365">
        <v>1.8</v>
      </c>
      <c r="H365">
        <v>170</v>
      </c>
      <c r="I365">
        <v>0</v>
      </c>
      <c r="J365">
        <v>500</v>
      </c>
      <c r="K365" s="2">
        <v>45765</v>
      </c>
    </row>
    <row r="366" spans="1:11" x14ac:dyDescent="0.25">
      <c r="A366" s="1" t="s">
        <v>631</v>
      </c>
      <c r="B366" s="1"/>
      <c r="C366" s="1" t="s">
        <v>2884</v>
      </c>
      <c r="D366" s="1" t="s">
        <v>3392</v>
      </c>
      <c r="E366" s="1"/>
      <c r="F366">
        <v>11.6</v>
      </c>
      <c r="G366">
        <v>1.8</v>
      </c>
      <c r="H366">
        <v>480</v>
      </c>
      <c r="I366">
        <v>0</v>
      </c>
      <c r="J366">
        <v>500</v>
      </c>
      <c r="K366" s="2">
        <v>45765</v>
      </c>
    </row>
    <row r="367" spans="1:11" x14ac:dyDescent="0.25">
      <c r="A367" s="1" t="s">
        <v>631</v>
      </c>
      <c r="B367" s="1"/>
      <c r="C367" s="1" t="s">
        <v>2816</v>
      </c>
      <c r="D367" s="1" t="s">
        <v>3372</v>
      </c>
      <c r="E367" s="1"/>
      <c r="F367">
        <v>1.3</v>
      </c>
      <c r="G367">
        <v>0</v>
      </c>
      <c r="H367">
        <v>65</v>
      </c>
      <c r="I367">
        <v>0</v>
      </c>
      <c r="J367">
        <v>500</v>
      </c>
      <c r="K367" s="2">
        <v>45765</v>
      </c>
    </row>
    <row r="368" spans="1:11" x14ac:dyDescent="0.25">
      <c r="A368" s="1" t="s">
        <v>631</v>
      </c>
      <c r="B368" s="1"/>
      <c r="C368" s="1" t="s">
        <v>2817</v>
      </c>
      <c r="D368" s="1" t="s">
        <v>3377</v>
      </c>
      <c r="E368" s="1"/>
      <c r="F368">
        <v>1.3</v>
      </c>
      <c r="G368">
        <v>1</v>
      </c>
      <c r="H368">
        <v>15</v>
      </c>
      <c r="I368">
        <v>0</v>
      </c>
      <c r="J368">
        <v>500</v>
      </c>
      <c r="K368" s="2">
        <v>45782</v>
      </c>
    </row>
    <row r="369" spans="1:11" x14ac:dyDescent="0.25">
      <c r="A369" s="1" t="s">
        <v>642</v>
      </c>
      <c r="B369" s="1"/>
      <c r="C369" s="1" t="s">
        <v>2808</v>
      </c>
      <c r="D369" s="1" t="s">
        <v>3370</v>
      </c>
      <c r="E369" s="1"/>
      <c r="F369">
        <v>0</v>
      </c>
      <c r="G369">
        <v>0</v>
      </c>
      <c r="H369">
        <v>0</v>
      </c>
      <c r="I369">
        <v>0</v>
      </c>
      <c r="J369">
        <v>500</v>
      </c>
      <c r="K369" s="2">
        <v>45770</v>
      </c>
    </row>
    <row r="370" spans="1:11" x14ac:dyDescent="0.25">
      <c r="A370" s="1" t="s">
        <v>642</v>
      </c>
      <c r="B370" s="1"/>
      <c r="C370" s="1" t="s">
        <v>2856</v>
      </c>
      <c r="D370" s="1" t="s">
        <v>3408</v>
      </c>
      <c r="E370" s="1"/>
      <c r="F370">
        <v>1.3</v>
      </c>
      <c r="G370">
        <v>3.2</v>
      </c>
      <c r="H370">
        <v>-95</v>
      </c>
      <c r="I370">
        <v>0</v>
      </c>
      <c r="J370">
        <v>500</v>
      </c>
      <c r="K370" s="2">
        <v>45771</v>
      </c>
    </row>
    <row r="371" spans="1:11" x14ac:dyDescent="0.25">
      <c r="A371" s="1" t="s">
        <v>642</v>
      </c>
      <c r="B371" s="1"/>
      <c r="C371" s="1" t="s">
        <v>2828</v>
      </c>
      <c r="D371" s="1" t="s">
        <v>3387</v>
      </c>
      <c r="E371" s="1"/>
      <c r="F371">
        <v>5.3</v>
      </c>
      <c r="G371">
        <v>0.2</v>
      </c>
      <c r="H371">
        <v>245</v>
      </c>
      <c r="I371">
        <v>0</v>
      </c>
      <c r="J371">
        <v>500</v>
      </c>
      <c r="K371" s="2">
        <v>45772</v>
      </c>
    </row>
    <row r="372" spans="1:11" x14ac:dyDescent="0.25">
      <c r="A372" s="1" t="s">
        <v>642</v>
      </c>
      <c r="B372" s="1"/>
      <c r="C372" s="1" t="s">
        <v>2884</v>
      </c>
      <c r="D372" s="1" t="s">
        <v>3392</v>
      </c>
      <c r="E372" s="1"/>
      <c r="F372">
        <v>11.6</v>
      </c>
      <c r="G372">
        <v>3.4</v>
      </c>
      <c r="H372">
        <v>405</v>
      </c>
      <c r="I372">
        <v>0</v>
      </c>
      <c r="J372">
        <v>500</v>
      </c>
      <c r="K372" s="2">
        <v>45771</v>
      </c>
    </row>
    <row r="373" spans="1:11" x14ac:dyDescent="0.25">
      <c r="A373" s="1" t="s">
        <v>642</v>
      </c>
      <c r="B373" s="1"/>
      <c r="C373" s="1" t="s">
        <v>2816</v>
      </c>
      <c r="D373" s="1" t="s">
        <v>3372</v>
      </c>
      <c r="E373" s="1"/>
      <c r="F373">
        <v>1.3</v>
      </c>
      <c r="G373">
        <v>0.2</v>
      </c>
      <c r="H373">
        <v>55</v>
      </c>
      <c r="I373">
        <v>0</v>
      </c>
      <c r="J373">
        <v>500</v>
      </c>
      <c r="K373" s="2">
        <v>45772</v>
      </c>
    </row>
    <row r="374" spans="1:11" x14ac:dyDescent="0.25">
      <c r="A374" s="1" t="s">
        <v>642</v>
      </c>
      <c r="B374" s="1"/>
      <c r="C374" s="1" t="s">
        <v>2817</v>
      </c>
      <c r="D374" s="1" t="s">
        <v>3377</v>
      </c>
      <c r="E374" s="1"/>
      <c r="F374">
        <v>1.3</v>
      </c>
      <c r="G374">
        <v>0.8</v>
      </c>
      <c r="H374">
        <v>25</v>
      </c>
      <c r="I374">
        <v>0</v>
      </c>
      <c r="J374">
        <v>500</v>
      </c>
      <c r="K374" s="2">
        <v>45782</v>
      </c>
    </row>
    <row r="375" spans="1:11" x14ac:dyDescent="0.25">
      <c r="A375" s="1" t="s">
        <v>661</v>
      </c>
      <c r="B375" s="1"/>
      <c r="C375" s="1" t="s">
        <v>2808</v>
      </c>
      <c r="D375" s="1" t="s">
        <v>3370</v>
      </c>
      <c r="E375" s="1"/>
      <c r="F375">
        <v>0</v>
      </c>
      <c r="G375">
        <v>0</v>
      </c>
      <c r="H375">
        <v>0</v>
      </c>
      <c r="I375">
        <v>0</v>
      </c>
      <c r="J375">
        <v>500</v>
      </c>
      <c r="K375" s="2">
        <v>45771</v>
      </c>
    </row>
    <row r="376" spans="1:11" x14ac:dyDescent="0.25">
      <c r="A376" s="1" t="s">
        <v>661</v>
      </c>
      <c r="B376" s="1"/>
      <c r="C376" s="1" t="s">
        <v>2856</v>
      </c>
      <c r="D376" s="1" t="s">
        <v>3408</v>
      </c>
      <c r="E376" s="1"/>
      <c r="F376">
        <v>1.3</v>
      </c>
      <c r="G376">
        <v>2</v>
      </c>
      <c r="H376">
        <v>-35</v>
      </c>
      <c r="I376">
        <v>0</v>
      </c>
      <c r="J376">
        <v>500</v>
      </c>
      <c r="K376" s="2">
        <v>45772</v>
      </c>
    </row>
    <row r="377" spans="1:11" x14ac:dyDescent="0.25">
      <c r="A377" s="1" t="s">
        <v>661</v>
      </c>
      <c r="B377" s="1"/>
      <c r="C377" s="1" t="s">
        <v>2828</v>
      </c>
      <c r="D377" s="1" t="s">
        <v>3387</v>
      </c>
      <c r="E377" s="1"/>
      <c r="F377">
        <v>5.3</v>
      </c>
      <c r="G377">
        <v>3.5</v>
      </c>
      <c r="H377">
        <v>85</v>
      </c>
      <c r="I377">
        <v>0</v>
      </c>
      <c r="J377">
        <v>500</v>
      </c>
      <c r="K377" s="2">
        <v>45776</v>
      </c>
    </row>
    <row r="378" spans="1:11" x14ac:dyDescent="0.25">
      <c r="A378" s="1" t="s">
        <v>661</v>
      </c>
      <c r="B378" s="1"/>
      <c r="C378" s="1" t="s">
        <v>2884</v>
      </c>
      <c r="D378" s="1" t="s">
        <v>3392</v>
      </c>
      <c r="E378" s="1"/>
      <c r="F378">
        <v>11.6</v>
      </c>
      <c r="G378">
        <v>0</v>
      </c>
      <c r="H378">
        <v>565</v>
      </c>
      <c r="I378">
        <v>0</v>
      </c>
      <c r="J378">
        <v>500</v>
      </c>
      <c r="K378" s="2">
        <v>45776</v>
      </c>
    </row>
    <row r="379" spans="1:11" x14ac:dyDescent="0.25">
      <c r="A379" s="1" t="s">
        <v>661</v>
      </c>
      <c r="B379" s="1"/>
      <c r="C379" s="1" t="s">
        <v>2816</v>
      </c>
      <c r="D379" s="1" t="s">
        <v>3372</v>
      </c>
      <c r="E379" s="1"/>
      <c r="F379">
        <v>1.3</v>
      </c>
      <c r="G379">
        <v>0.7</v>
      </c>
      <c r="H379">
        <v>35</v>
      </c>
      <c r="I379">
        <v>0</v>
      </c>
      <c r="J379">
        <v>501</v>
      </c>
      <c r="K379" s="2">
        <v>45777</v>
      </c>
    </row>
    <row r="380" spans="1:11" x14ac:dyDescent="0.25">
      <c r="A380" s="1" t="s">
        <v>661</v>
      </c>
      <c r="B380" s="1"/>
      <c r="C380" s="1" t="s">
        <v>2817</v>
      </c>
      <c r="D380" s="1" t="s">
        <v>3377</v>
      </c>
      <c r="E380" s="1"/>
      <c r="F380">
        <v>1.3</v>
      </c>
      <c r="G380">
        <v>1.2</v>
      </c>
      <c r="H380">
        <v>5</v>
      </c>
      <c r="I380">
        <v>0</v>
      </c>
      <c r="J380">
        <v>500</v>
      </c>
      <c r="K380" s="2">
        <v>45784</v>
      </c>
    </row>
    <row r="381" spans="1:11" x14ac:dyDescent="0.25">
      <c r="A381" s="1" t="s">
        <v>662</v>
      </c>
      <c r="B381" s="1"/>
      <c r="C381" s="1" t="s">
        <v>2808</v>
      </c>
      <c r="D381" s="1" t="s">
        <v>3370</v>
      </c>
      <c r="E381" s="1"/>
      <c r="F381">
        <v>0</v>
      </c>
      <c r="G381">
        <v>0</v>
      </c>
      <c r="H381">
        <v>0</v>
      </c>
      <c r="I381">
        <v>0</v>
      </c>
      <c r="J381">
        <v>500</v>
      </c>
      <c r="K381" s="2">
        <v>45771</v>
      </c>
    </row>
    <row r="382" spans="1:11" x14ac:dyDescent="0.25">
      <c r="A382" s="1" t="s">
        <v>662</v>
      </c>
      <c r="B382" s="1"/>
      <c r="C382" s="1" t="s">
        <v>2856</v>
      </c>
      <c r="D382" s="1" t="s">
        <v>3408</v>
      </c>
      <c r="E382" s="1"/>
      <c r="F382">
        <v>1.3</v>
      </c>
      <c r="G382">
        <v>2</v>
      </c>
      <c r="H382">
        <v>-35</v>
      </c>
      <c r="I382">
        <v>0</v>
      </c>
      <c r="J382">
        <v>500</v>
      </c>
      <c r="K382" s="2">
        <v>45776</v>
      </c>
    </row>
    <row r="383" spans="1:11" x14ac:dyDescent="0.25">
      <c r="A383" s="1" t="s">
        <v>662</v>
      </c>
      <c r="B383" s="1"/>
      <c r="C383" s="1" t="s">
        <v>2828</v>
      </c>
      <c r="D383" s="1" t="s">
        <v>3387</v>
      </c>
      <c r="E383" s="1"/>
      <c r="F383">
        <v>5.3</v>
      </c>
      <c r="G383">
        <v>1.7</v>
      </c>
      <c r="H383">
        <v>175</v>
      </c>
      <c r="I383">
        <v>0</v>
      </c>
      <c r="J383">
        <v>500</v>
      </c>
      <c r="K383" s="2">
        <v>45777</v>
      </c>
    </row>
    <row r="384" spans="1:11" x14ac:dyDescent="0.25">
      <c r="A384" s="1" t="s">
        <v>662</v>
      </c>
      <c r="B384" s="1"/>
      <c r="C384" s="1" t="s">
        <v>2884</v>
      </c>
      <c r="D384" s="1" t="s">
        <v>3392</v>
      </c>
      <c r="E384" s="1"/>
      <c r="F384">
        <v>11.6</v>
      </c>
      <c r="G384">
        <v>0.1</v>
      </c>
      <c r="H384">
        <v>560</v>
      </c>
      <c r="I384">
        <v>0</v>
      </c>
      <c r="J384">
        <v>500</v>
      </c>
      <c r="K384" s="2">
        <v>45777</v>
      </c>
    </row>
    <row r="385" spans="1:11" x14ac:dyDescent="0.25">
      <c r="A385" s="1" t="s">
        <v>662</v>
      </c>
      <c r="B385" s="1"/>
      <c r="C385" s="1" t="s">
        <v>2816</v>
      </c>
      <c r="D385" s="1" t="s">
        <v>3372</v>
      </c>
      <c r="E385" s="1"/>
      <c r="F385">
        <v>1.3</v>
      </c>
      <c r="G385">
        <v>0.3</v>
      </c>
      <c r="H385">
        <v>50</v>
      </c>
      <c r="I385">
        <v>0</v>
      </c>
      <c r="J385">
        <v>500</v>
      </c>
      <c r="K385" s="2">
        <v>45777</v>
      </c>
    </row>
    <row r="386" spans="1:11" x14ac:dyDescent="0.25">
      <c r="A386" s="1" t="s">
        <v>662</v>
      </c>
      <c r="B386" s="1"/>
      <c r="C386" s="1" t="s">
        <v>2817</v>
      </c>
      <c r="D386" s="1" t="s">
        <v>3377</v>
      </c>
      <c r="E386" s="1"/>
      <c r="F386">
        <v>1.3</v>
      </c>
      <c r="G386">
        <v>1.4</v>
      </c>
      <c r="H386">
        <v>-5</v>
      </c>
      <c r="I386">
        <v>0</v>
      </c>
      <c r="J386">
        <v>500</v>
      </c>
      <c r="K386" s="2">
        <v>45784</v>
      </c>
    </row>
    <row r="387" spans="1:11" x14ac:dyDescent="0.25">
      <c r="A387" s="1" t="s">
        <v>743</v>
      </c>
      <c r="B387" s="1"/>
      <c r="C387" s="1" t="s">
        <v>2808</v>
      </c>
      <c r="D387" s="1" t="s">
        <v>3370</v>
      </c>
      <c r="E387" s="1"/>
      <c r="F387">
        <v>0</v>
      </c>
      <c r="G387">
        <v>0</v>
      </c>
      <c r="H387">
        <v>0</v>
      </c>
      <c r="I387">
        <v>0</v>
      </c>
      <c r="J387">
        <v>500</v>
      </c>
      <c r="K387" s="2">
        <v>45777</v>
      </c>
    </row>
    <row r="388" spans="1:11" x14ac:dyDescent="0.25">
      <c r="A388" s="1" t="s">
        <v>743</v>
      </c>
      <c r="B388" s="1"/>
      <c r="C388" s="1" t="s">
        <v>2856</v>
      </c>
      <c r="D388" s="1" t="s">
        <v>3408</v>
      </c>
      <c r="E388" s="1"/>
      <c r="F388">
        <v>1.3</v>
      </c>
      <c r="G388">
        <v>1.8</v>
      </c>
      <c r="H388">
        <v>-25</v>
      </c>
      <c r="I388">
        <v>0</v>
      </c>
      <c r="J388">
        <v>500</v>
      </c>
      <c r="K388" s="2">
        <v>45778</v>
      </c>
    </row>
    <row r="389" spans="1:11" x14ac:dyDescent="0.25">
      <c r="A389" s="1" t="s">
        <v>743</v>
      </c>
      <c r="B389" s="1"/>
      <c r="C389" s="1" t="s">
        <v>2828</v>
      </c>
      <c r="D389" s="1" t="s">
        <v>3387</v>
      </c>
      <c r="E389" s="1"/>
      <c r="F389">
        <v>5.3</v>
      </c>
      <c r="G389">
        <v>2</v>
      </c>
      <c r="H389">
        <v>160</v>
      </c>
      <c r="I389">
        <v>0</v>
      </c>
      <c r="J389">
        <v>500</v>
      </c>
      <c r="K389" s="2">
        <v>45779</v>
      </c>
    </row>
    <row r="390" spans="1:11" x14ac:dyDescent="0.25">
      <c r="A390" s="1" t="s">
        <v>743</v>
      </c>
      <c r="B390" s="1"/>
      <c r="C390" s="1" t="s">
        <v>2884</v>
      </c>
      <c r="D390" s="1" t="s">
        <v>3392</v>
      </c>
      <c r="E390" s="1"/>
      <c r="F390">
        <v>11.6</v>
      </c>
      <c r="G390">
        <v>2</v>
      </c>
      <c r="H390">
        <v>470</v>
      </c>
      <c r="I390">
        <v>0</v>
      </c>
      <c r="J390">
        <v>500</v>
      </c>
      <c r="K390" s="2">
        <v>45779</v>
      </c>
    </row>
    <row r="391" spans="1:11" x14ac:dyDescent="0.25">
      <c r="A391" s="1" t="s">
        <v>743</v>
      </c>
      <c r="B391" s="1"/>
      <c r="C391" s="1" t="s">
        <v>2816</v>
      </c>
      <c r="D391" s="1" t="s">
        <v>3372</v>
      </c>
      <c r="E391" s="1"/>
      <c r="F391">
        <v>1.3</v>
      </c>
      <c r="G391">
        <v>0.3</v>
      </c>
      <c r="H391">
        <v>55</v>
      </c>
      <c r="I391">
        <v>0</v>
      </c>
      <c r="J391">
        <v>500</v>
      </c>
      <c r="K391" s="2">
        <v>45784</v>
      </c>
    </row>
    <row r="392" spans="1:11" x14ac:dyDescent="0.25">
      <c r="A392" s="1" t="s">
        <v>743</v>
      </c>
      <c r="B392" s="1"/>
      <c r="C392" s="1" t="s">
        <v>2817</v>
      </c>
      <c r="D392" s="1" t="s">
        <v>3377</v>
      </c>
      <c r="E392" s="1"/>
      <c r="F392">
        <v>1.3</v>
      </c>
      <c r="G392">
        <v>1</v>
      </c>
      <c r="H392">
        <v>15</v>
      </c>
      <c r="I392">
        <v>0</v>
      </c>
      <c r="J392">
        <v>500</v>
      </c>
      <c r="K392" s="2">
        <v>45784</v>
      </c>
    </row>
    <row r="393" spans="1:11" x14ac:dyDescent="0.25">
      <c r="A393" s="1" t="s">
        <v>925</v>
      </c>
      <c r="B393" s="1"/>
      <c r="C393" s="1" t="s">
        <v>2808</v>
      </c>
      <c r="D393" s="1" t="s">
        <v>3370</v>
      </c>
      <c r="E393" s="1"/>
      <c r="F393">
        <v>0</v>
      </c>
      <c r="G393">
        <v>0</v>
      </c>
      <c r="H393">
        <v>0</v>
      </c>
      <c r="I393">
        <v>0</v>
      </c>
      <c r="J393">
        <v>500</v>
      </c>
      <c r="K393" s="2">
        <v>45784</v>
      </c>
    </row>
    <row r="394" spans="1:11" x14ac:dyDescent="0.25">
      <c r="A394" s="1" t="s">
        <v>925</v>
      </c>
      <c r="B394" s="1"/>
      <c r="C394" s="1" t="s">
        <v>2856</v>
      </c>
      <c r="D394" s="1" t="s">
        <v>3408</v>
      </c>
      <c r="E394" s="1"/>
      <c r="F394">
        <v>1.3</v>
      </c>
      <c r="G394">
        <v>1.6</v>
      </c>
      <c r="H394">
        <v>-15</v>
      </c>
      <c r="I394">
        <v>0</v>
      </c>
      <c r="J394">
        <v>500</v>
      </c>
      <c r="K394" s="2">
        <v>45789</v>
      </c>
    </row>
    <row r="395" spans="1:11" x14ac:dyDescent="0.25">
      <c r="A395" s="1" t="s">
        <v>925</v>
      </c>
      <c r="B395" s="1"/>
      <c r="C395" s="1" t="s">
        <v>2828</v>
      </c>
      <c r="D395" s="1" t="s">
        <v>3387</v>
      </c>
      <c r="E395" s="1"/>
      <c r="F395">
        <v>5.3</v>
      </c>
      <c r="G395">
        <v>3.4</v>
      </c>
      <c r="H395">
        <v>95</v>
      </c>
      <c r="I395">
        <v>0</v>
      </c>
      <c r="J395">
        <v>500</v>
      </c>
      <c r="K395" s="2">
        <v>45789</v>
      </c>
    </row>
    <row r="396" spans="1:11" x14ac:dyDescent="0.25">
      <c r="A396" s="1" t="s">
        <v>925</v>
      </c>
      <c r="B396" s="1"/>
      <c r="C396" s="1" t="s">
        <v>2884</v>
      </c>
      <c r="D396" s="1" t="s">
        <v>3392</v>
      </c>
      <c r="E396" s="1"/>
      <c r="F396">
        <v>11.6</v>
      </c>
      <c r="G396">
        <v>0.9</v>
      </c>
      <c r="H396">
        <v>525</v>
      </c>
      <c r="I396">
        <v>0</v>
      </c>
      <c r="J396">
        <v>500</v>
      </c>
      <c r="K396" s="2">
        <v>45789</v>
      </c>
    </row>
    <row r="397" spans="1:11" x14ac:dyDescent="0.25">
      <c r="A397" s="1" t="s">
        <v>925</v>
      </c>
      <c r="B397" s="1"/>
      <c r="C397" s="1" t="s">
        <v>2816</v>
      </c>
      <c r="D397" s="1" t="s">
        <v>3372</v>
      </c>
      <c r="E397" s="1"/>
      <c r="F397">
        <v>1.3</v>
      </c>
      <c r="G397">
        <v>0</v>
      </c>
      <c r="H397">
        <v>65</v>
      </c>
      <c r="I397">
        <v>0</v>
      </c>
      <c r="J397">
        <v>500</v>
      </c>
      <c r="K397" s="2">
        <v>45789</v>
      </c>
    </row>
    <row r="398" spans="1:11" x14ac:dyDescent="0.25">
      <c r="A398" s="1" t="s">
        <v>924</v>
      </c>
      <c r="B398" s="1"/>
      <c r="C398" s="1" t="s">
        <v>2808</v>
      </c>
      <c r="D398" s="1" t="s">
        <v>3370</v>
      </c>
      <c r="E398" s="1"/>
      <c r="F398">
        <v>0</v>
      </c>
      <c r="G398">
        <v>0</v>
      </c>
      <c r="H398">
        <v>0</v>
      </c>
      <c r="I398">
        <v>0</v>
      </c>
      <c r="J398">
        <v>500</v>
      </c>
      <c r="K398" s="2">
        <v>45785</v>
      </c>
    </row>
    <row r="399" spans="1:11" x14ac:dyDescent="0.25">
      <c r="A399" s="1" t="s">
        <v>924</v>
      </c>
      <c r="B399" s="1"/>
      <c r="C399" s="1" t="s">
        <v>2856</v>
      </c>
      <c r="D399" s="1" t="s">
        <v>3408</v>
      </c>
      <c r="E399" s="1"/>
      <c r="F399">
        <v>1.3</v>
      </c>
      <c r="G399">
        <v>1.7</v>
      </c>
      <c r="H399">
        <v>-15</v>
      </c>
      <c r="I399">
        <v>0</v>
      </c>
      <c r="J399">
        <v>500</v>
      </c>
      <c r="K399" s="2">
        <v>45789</v>
      </c>
    </row>
    <row r="400" spans="1:11" x14ac:dyDescent="0.25">
      <c r="A400" s="1" t="s">
        <v>924</v>
      </c>
      <c r="B400" s="1"/>
      <c r="C400" s="1" t="s">
        <v>2828</v>
      </c>
      <c r="D400" s="1" t="s">
        <v>3387</v>
      </c>
      <c r="E400" s="1"/>
      <c r="F400">
        <v>5.3</v>
      </c>
      <c r="G400">
        <v>0</v>
      </c>
      <c r="H400">
        <v>260</v>
      </c>
      <c r="I400">
        <v>0</v>
      </c>
      <c r="J400">
        <v>500</v>
      </c>
      <c r="K400" s="2">
        <v>45789</v>
      </c>
    </row>
    <row r="401" spans="1:11" x14ac:dyDescent="0.25">
      <c r="A401" s="1" t="s">
        <v>963</v>
      </c>
      <c r="B401" s="1"/>
      <c r="C401" s="1" t="s">
        <v>2808</v>
      </c>
      <c r="D401" s="1" t="s">
        <v>3370</v>
      </c>
      <c r="E401" s="1"/>
      <c r="F401">
        <v>0</v>
      </c>
      <c r="G401">
        <v>0</v>
      </c>
      <c r="H401">
        <v>0</v>
      </c>
      <c r="I401">
        <v>0</v>
      </c>
      <c r="J401">
        <v>500</v>
      </c>
      <c r="K401" s="2">
        <v>45789</v>
      </c>
    </row>
    <row r="402" spans="1:11" x14ac:dyDescent="0.25">
      <c r="A402" s="1" t="s">
        <v>963</v>
      </c>
      <c r="B402" s="1"/>
      <c r="C402" s="1" t="s">
        <v>2856</v>
      </c>
      <c r="D402" s="1" t="s">
        <v>3408</v>
      </c>
      <c r="E402" s="1"/>
      <c r="F402">
        <v>1.3</v>
      </c>
      <c r="G402">
        <v>0</v>
      </c>
      <c r="H402">
        <v>65</v>
      </c>
      <c r="I402">
        <v>0</v>
      </c>
      <c r="J402">
        <v>500</v>
      </c>
      <c r="K402" s="2">
        <v>45789</v>
      </c>
    </row>
    <row r="403" spans="1:11" x14ac:dyDescent="0.25">
      <c r="A403" s="1" t="s">
        <v>457</v>
      </c>
      <c r="B403" s="1"/>
      <c r="C403" s="1" t="s">
        <v>2828</v>
      </c>
      <c r="D403" s="1" t="s">
        <v>3409</v>
      </c>
      <c r="E403" s="1"/>
      <c r="F403">
        <v>5.3</v>
      </c>
      <c r="G403">
        <v>3.8</v>
      </c>
      <c r="H403">
        <v>75</v>
      </c>
      <c r="I403">
        <v>0</v>
      </c>
      <c r="J403">
        <v>500</v>
      </c>
      <c r="K403" s="2">
        <v>45765</v>
      </c>
    </row>
    <row r="404" spans="1:11" x14ac:dyDescent="0.25">
      <c r="A404" s="1" t="s">
        <v>457</v>
      </c>
      <c r="B404" s="1"/>
      <c r="C404" s="1" t="s">
        <v>2885</v>
      </c>
      <c r="D404" s="1" t="s">
        <v>3380</v>
      </c>
      <c r="E404" s="1"/>
      <c r="F404">
        <v>11.6</v>
      </c>
      <c r="G404">
        <v>9.6</v>
      </c>
      <c r="H404">
        <v>100</v>
      </c>
      <c r="I404">
        <v>0</v>
      </c>
      <c r="J404">
        <v>500</v>
      </c>
      <c r="K404" s="2">
        <v>45768</v>
      </c>
    </row>
    <row r="405" spans="1:11" x14ac:dyDescent="0.25">
      <c r="A405" s="1" t="s">
        <v>457</v>
      </c>
      <c r="B405" s="1"/>
      <c r="C405" s="1" t="s">
        <v>2886</v>
      </c>
      <c r="D405" s="1" t="s">
        <v>3409</v>
      </c>
      <c r="E405" s="1"/>
      <c r="F405">
        <v>5.3</v>
      </c>
      <c r="G405">
        <v>2.8</v>
      </c>
      <c r="H405">
        <v>125</v>
      </c>
      <c r="I405">
        <v>0</v>
      </c>
      <c r="J405">
        <v>500</v>
      </c>
      <c r="K405" s="2">
        <v>45768</v>
      </c>
    </row>
    <row r="406" spans="1:11" x14ac:dyDescent="0.25">
      <c r="A406" s="1" t="s">
        <v>457</v>
      </c>
      <c r="B406" s="1"/>
      <c r="C406" s="1" t="s">
        <v>2816</v>
      </c>
      <c r="D406" s="1" t="s">
        <v>3372</v>
      </c>
      <c r="E406" s="1"/>
      <c r="F406">
        <v>1.3</v>
      </c>
      <c r="G406">
        <v>0</v>
      </c>
      <c r="H406">
        <v>65</v>
      </c>
      <c r="I406">
        <v>0</v>
      </c>
      <c r="J406">
        <v>500</v>
      </c>
      <c r="K406" s="2">
        <v>45768</v>
      </c>
    </row>
    <row r="407" spans="1:11" x14ac:dyDescent="0.25">
      <c r="A407" s="1" t="s">
        <v>457</v>
      </c>
      <c r="B407" s="1"/>
      <c r="C407" s="1" t="s">
        <v>2817</v>
      </c>
      <c r="D407" s="1" t="s">
        <v>3377</v>
      </c>
      <c r="E407" s="1"/>
      <c r="F407">
        <v>2.2999999999999998</v>
      </c>
      <c r="G407">
        <v>1.4</v>
      </c>
      <c r="H407">
        <v>45</v>
      </c>
      <c r="I407">
        <v>0</v>
      </c>
      <c r="J407">
        <v>500</v>
      </c>
      <c r="K407" s="2">
        <v>45782</v>
      </c>
    </row>
    <row r="408" spans="1:11" x14ac:dyDescent="0.25">
      <c r="A408" s="1" t="s">
        <v>647</v>
      </c>
      <c r="B408" s="1"/>
      <c r="C408" s="1" t="s">
        <v>2828</v>
      </c>
      <c r="D408" s="1" t="s">
        <v>3409</v>
      </c>
      <c r="E408" s="1"/>
      <c r="F408">
        <v>5.3</v>
      </c>
      <c r="G408">
        <v>2.9</v>
      </c>
      <c r="H408">
        <v>115</v>
      </c>
      <c r="I408">
        <v>0</v>
      </c>
      <c r="J408">
        <v>500</v>
      </c>
      <c r="K408" s="2">
        <v>45784</v>
      </c>
    </row>
    <row r="409" spans="1:11" x14ac:dyDescent="0.25">
      <c r="A409" s="1" t="s">
        <v>647</v>
      </c>
      <c r="B409" s="1"/>
      <c r="C409" s="1" t="s">
        <v>2885</v>
      </c>
      <c r="D409" s="1" t="s">
        <v>3380</v>
      </c>
      <c r="E409" s="1"/>
      <c r="F409">
        <v>11.6</v>
      </c>
      <c r="G409">
        <v>3.5</v>
      </c>
      <c r="H409">
        <v>400</v>
      </c>
      <c r="I409">
        <v>0</v>
      </c>
      <c r="J409">
        <v>500</v>
      </c>
      <c r="K409" s="2">
        <v>45784</v>
      </c>
    </row>
    <row r="410" spans="1:11" x14ac:dyDescent="0.25">
      <c r="A410" s="1" t="s">
        <v>647</v>
      </c>
      <c r="B410" s="1"/>
      <c r="C410" s="1" t="s">
        <v>2886</v>
      </c>
      <c r="D410" s="1" t="s">
        <v>3409</v>
      </c>
      <c r="E410" s="1"/>
      <c r="F410">
        <v>5.3</v>
      </c>
      <c r="G410">
        <v>1.9</v>
      </c>
      <c r="H410">
        <v>165</v>
      </c>
      <c r="I410">
        <v>0</v>
      </c>
      <c r="J410">
        <v>500</v>
      </c>
      <c r="K410" s="2">
        <v>45784</v>
      </c>
    </row>
    <row r="411" spans="1:11" x14ac:dyDescent="0.25">
      <c r="A411" s="1" t="s">
        <v>647</v>
      </c>
      <c r="B411" s="1"/>
      <c r="C411" s="1" t="s">
        <v>2816</v>
      </c>
      <c r="D411" s="1" t="s">
        <v>3372</v>
      </c>
      <c r="E411" s="1"/>
      <c r="F411">
        <v>1.3</v>
      </c>
      <c r="G411">
        <v>0.4</v>
      </c>
      <c r="H411">
        <v>45</v>
      </c>
      <c r="I411">
        <v>0</v>
      </c>
      <c r="J411">
        <v>500</v>
      </c>
      <c r="K411" s="2">
        <v>45785</v>
      </c>
    </row>
    <row r="412" spans="1:11" x14ac:dyDescent="0.25">
      <c r="A412" s="1" t="s">
        <v>647</v>
      </c>
      <c r="B412" s="1"/>
      <c r="C412" s="1" t="s">
        <v>2817</v>
      </c>
      <c r="D412" s="1" t="s">
        <v>3377</v>
      </c>
      <c r="E412" s="1"/>
      <c r="F412">
        <v>2.2999999999999998</v>
      </c>
      <c r="G412">
        <v>0.4</v>
      </c>
      <c r="H412">
        <v>90</v>
      </c>
      <c r="I412">
        <v>0</v>
      </c>
      <c r="J412">
        <v>500</v>
      </c>
      <c r="K412" s="2">
        <v>45785</v>
      </c>
    </row>
    <row r="413" spans="1:11" x14ac:dyDescent="0.25">
      <c r="A413" s="1" t="s">
        <v>890</v>
      </c>
      <c r="B413" s="1"/>
      <c r="C413" s="1" t="s">
        <v>2808</v>
      </c>
      <c r="D413" s="1" t="s">
        <v>3370</v>
      </c>
      <c r="E413" s="1"/>
      <c r="F413">
        <v>0</v>
      </c>
      <c r="G413">
        <v>0</v>
      </c>
      <c r="H413">
        <v>0</v>
      </c>
      <c r="I413">
        <v>0</v>
      </c>
      <c r="J413">
        <v>25</v>
      </c>
      <c r="K413" s="2">
        <v>45782</v>
      </c>
    </row>
    <row r="414" spans="1:11" x14ac:dyDescent="0.25">
      <c r="A414" s="1" t="s">
        <v>890</v>
      </c>
      <c r="B414" s="1"/>
      <c r="C414" s="1" t="s">
        <v>2887</v>
      </c>
      <c r="D414" s="1" t="s">
        <v>3410</v>
      </c>
      <c r="E414" s="1"/>
      <c r="F414">
        <v>0.1</v>
      </c>
      <c r="G414">
        <v>0.2</v>
      </c>
      <c r="H414">
        <v>0</v>
      </c>
      <c r="I414">
        <v>0</v>
      </c>
      <c r="J414">
        <v>25</v>
      </c>
      <c r="K414" s="2">
        <v>45784</v>
      </c>
    </row>
    <row r="415" spans="1:11" x14ac:dyDescent="0.25">
      <c r="A415" s="1" t="s">
        <v>890</v>
      </c>
      <c r="B415" s="1"/>
      <c r="C415" s="1" t="s">
        <v>2888</v>
      </c>
      <c r="D415" s="1" t="s">
        <v>3380</v>
      </c>
      <c r="E415" s="1"/>
      <c r="F415">
        <v>0.7</v>
      </c>
      <c r="G415">
        <v>0.4</v>
      </c>
      <c r="H415">
        <v>15</v>
      </c>
      <c r="I415">
        <v>0</v>
      </c>
      <c r="J415">
        <v>25</v>
      </c>
      <c r="K415" s="2">
        <v>45783</v>
      </c>
    </row>
    <row r="416" spans="1:11" x14ac:dyDescent="0.25">
      <c r="A416" s="1" t="s">
        <v>890</v>
      </c>
      <c r="B416" s="1"/>
      <c r="C416" s="1" t="s">
        <v>2889</v>
      </c>
      <c r="D416" s="1" t="s">
        <v>3387</v>
      </c>
      <c r="E416" s="1"/>
      <c r="F416">
        <v>0.7</v>
      </c>
      <c r="G416">
        <v>0.9</v>
      </c>
      <c r="H416">
        <v>-10</v>
      </c>
      <c r="I416">
        <v>0</v>
      </c>
      <c r="J416">
        <v>25</v>
      </c>
      <c r="K416" s="2">
        <v>45786</v>
      </c>
    </row>
    <row r="417" spans="1:11" x14ac:dyDescent="0.25">
      <c r="A417" s="1" t="s">
        <v>890</v>
      </c>
      <c r="B417" s="1"/>
      <c r="C417" s="1" t="s">
        <v>2851</v>
      </c>
      <c r="D417" s="1" t="s">
        <v>3385</v>
      </c>
      <c r="E417" s="1"/>
      <c r="F417">
        <v>0.3</v>
      </c>
      <c r="G417">
        <v>0.1</v>
      </c>
      <c r="H417">
        <v>10</v>
      </c>
      <c r="I417">
        <v>0</v>
      </c>
      <c r="J417">
        <v>25</v>
      </c>
      <c r="K417" s="2">
        <v>45786</v>
      </c>
    </row>
    <row r="418" spans="1:11" x14ac:dyDescent="0.25">
      <c r="A418" s="1" t="s">
        <v>890</v>
      </c>
      <c r="B418" s="1"/>
      <c r="C418" s="1" t="s">
        <v>2890</v>
      </c>
      <c r="D418" s="1" t="s">
        <v>3387</v>
      </c>
      <c r="E418" s="1"/>
      <c r="F418">
        <v>0.3</v>
      </c>
      <c r="G418">
        <v>0</v>
      </c>
      <c r="H418">
        <v>20</v>
      </c>
      <c r="I418">
        <v>0</v>
      </c>
      <c r="J418">
        <v>25</v>
      </c>
      <c r="K418" s="2">
        <v>45786</v>
      </c>
    </row>
    <row r="419" spans="1:11" x14ac:dyDescent="0.25">
      <c r="A419" s="1" t="s">
        <v>890</v>
      </c>
      <c r="B419" s="1"/>
      <c r="C419" s="1" t="s">
        <v>2891</v>
      </c>
      <c r="D419" s="1" t="s">
        <v>3372</v>
      </c>
      <c r="E419" s="1"/>
      <c r="F419">
        <v>1</v>
      </c>
      <c r="G419">
        <v>0.6</v>
      </c>
      <c r="H419">
        <v>25</v>
      </c>
      <c r="I419">
        <v>0</v>
      </c>
      <c r="J419">
        <v>25</v>
      </c>
      <c r="K419" s="2">
        <v>45786</v>
      </c>
    </row>
    <row r="420" spans="1:11" x14ac:dyDescent="0.25">
      <c r="A420" s="1" t="s">
        <v>889</v>
      </c>
      <c r="B420" s="1"/>
      <c r="C420" s="1" t="s">
        <v>2808</v>
      </c>
      <c r="D420" s="1" t="s">
        <v>3370</v>
      </c>
      <c r="E420" s="1"/>
      <c r="F420">
        <v>0</v>
      </c>
      <c r="G420">
        <v>0</v>
      </c>
      <c r="H420">
        <v>0</v>
      </c>
      <c r="I420">
        <v>0</v>
      </c>
      <c r="J420">
        <v>50</v>
      </c>
      <c r="K420" s="2">
        <v>45782</v>
      </c>
    </row>
    <row r="421" spans="1:11" x14ac:dyDescent="0.25">
      <c r="A421" s="1" t="s">
        <v>889</v>
      </c>
      <c r="B421" s="1"/>
      <c r="C421" s="1" t="s">
        <v>2887</v>
      </c>
      <c r="D421" s="1" t="s">
        <v>3410</v>
      </c>
      <c r="E421" s="1"/>
      <c r="F421">
        <v>0.3</v>
      </c>
      <c r="G421">
        <v>3.1</v>
      </c>
      <c r="H421">
        <v>-135</v>
      </c>
      <c r="I421">
        <v>0</v>
      </c>
      <c r="J421">
        <v>50</v>
      </c>
      <c r="K421" s="2">
        <v>45784</v>
      </c>
    </row>
    <row r="422" spans="1:11" x14ac:dyDescent="0.25">
      <c r="A422" s="1" t="s">
        <v>889</v>
      </c>
      <c r="B422" s="1"/>
      <c r="C422" s="1" t="s">
        <v>2888</v>
      </c>
      <c r="D422" s="1" t="s">
        <v>3380</v>
      </c>
      <c r="E422" s="1"/>
      <c r="F422">
        <v>1.2</v>
      </c>
      <c r="G422">
        <v>0.7</v>
      </c>
      <c r="H422">
        <v>30</v>
      </c>
      <c r="I422">
        <v>0</v>
      </c>
      <c r="J422">
        <v>50</v>
      </c>
      <c r="K422" s="2">
        <v>45785</v>
      </c>
    </row>
    <row r="423" spans="1:11" x14ac:dyDescent="0.25">
      <c r="A423" s="1" t="s">
        <v>889</v>
      </c>
      <c r="B423" s="1"/>
      <c r="C423" s="1" t="s">
        <v>2889</v>
      </c>
      <c r="D423" s="1" t="s">
        <v>3387</v>
      </c>
      <c r="E423" s="1"/>
      <c r="F423">
        <v>1.1000000000000001</v>
      </c>
      <c r="G423">
        <v>0.3</v>
      </c>
      <c r="H423">
        <v>40</v>
      </c>
      <c r="I423">
        <v>0</v>
      </c>
      <c r="J423">
        <v>50</v>
      </c>
      <c r="K423" s="2">
        <v>45785</v>
      </c>
    </row>
    <row r="424" spans="1:11" x14ac:dyDescent="0.25">
      <c r="A424" s="1" t="s">
        <v>889</v>
      </c>
      <c r="B424" s="1"/>
      <c r="C424" s="1" t="s">
        <v>2851</v>
      </c>
      <c r="D424" s="1" t="s">
        <v>3385</v>
      </c>
      <c r="E424" s="1"/>
      <c r="F424">
        <v>0.3</v>
      </c>
      <c r="G424">
        <v>0</v>
      </c>
      <c r="H424">
        <v>15</v>
      </c>
      <c r="I424">
        <v>0</v>
      </c>
      <c r="J424">
        <v>50</v>
      </c>
      <c r="K424" s="2">
        <v>45785</v>
      </c>
    </row>
    <row r="425" spans="1:11" x14ac:dyDescent="0.25">
      <c r="A425" s="1" t="s">
        <v>889</v>
      </c>
      <c r="B425" s="1"/>
      <c r="C425" s="1" t="s">
        <v>2890</v>
      </c>
      <c r="D425" s="1" t="s">
        <v>3387</v>
      </c>
      <c r="E425" s="1"/>
      <c r="F425">
        <v>0.4</v>
      </c>
      <c r="G425">
        <v>0</v>
      </c>
      <c r="H425">
        <v>20</v>
      </c>
      <c r="I425">
        <v>0</v>
      </c>
      <c r="J425">
        <v>50</v>
      </c>
      <c r="K425" s="2">
        <v>45786</v>
      </c>
    </row>
    <row r="426" spans="1:11" x14ac:dyDescent="0.25">
      <c r="A426" s="1" t="s">
        <v>889</v>
      </c>
      <c r="B426" s="1"/>
      <c r="C426" s="1" t="s">
        <v>2891</v>
      </c>
      <c r="D426" s="1" t="s">
        <v>3372</v>
      </c>
      <c r="E426" s="1"/>
      <c r="F426">
        <v>1</v>
      </c>
      <c r="G426">
        <v>0</v>
      </c>
      <c r="H426">
        <v>55</v>
      </c>
      <c r="I426">
        <v>0</v>
      </c>
      <c r="J426">
        <v>50</v>
      </c>
      <c r="K426" s="2">
        <v>45786</v>
      </c>
    </row>
    <row r="427" spans="1:11" x14ac:dyDescent="0.25">
      <c r="A427" s="1" t="s">
        <v>891</v>
      </c>
      <c r="B427" s="1"/>
      <c r="C427" s="1" t="s">
        <v>2808</v>
      </c>
      <c r="D427" s="1" t="s">
        <v>3370</v>
      </c>
      <c r="E427" s="1"/>
      <c r="F427">
        <v>0</v>
      </c>
      <c r="G427">
        <v>0</v>
      </c>
      <c r="H427">
        <v>0</v>
      </c>
      <c r="I427">
        <v>0</v>
      </c>
      <c r="J427">
        <v>24</v>
      </c>
      <c r="K427" s="2">
        <v>45782</v>
      </c>
    </row>
    <row r="428" spans="1:11" x14ac:dyDescent="0.25">
      <c r="A428" s="1" t="s">
        <v>891</v>
      </c>
      <c r="B428" s="1"/>
      <c r="C428" s="1" t="s">
        <v>2887</v>
      </c>
      <c r="D428" s="1" t="s">
        <v>3410</v>
      </c>
      <c r="E428" s="1"/>
      <c r="F428">
        <v>0.1</v>
      </c>
      <c r="G428">
        <v>0.6</v>
      </c>
      <c r="H428">
        <v>-20</v>
      </c>
      <c r="I428">
        <v>0</v>
      </c>
      <c r="J428">
        <v>24</v>
      </c>
      <c r="K428" s="2">
        <v>45784</v>
      </c>
    </row>
    <row r="429" spans="1:11" x14ac:dyDescent="0.25">
      <c r="A429" s="1" t="s">
        <v>891</v>
      </c>
      <c r="B429" s="1"/>
      <c r="C429" s="1" t="s">
        <v>2888</v>
      </c>
      <c r="D429" s="1" t="s">
        <v>3380</v>
      </c>
      <c r="E429" s="1"/>
      <c r="F429">
        <v>0.7</v>
      </c>
      <c r="G429">
        <v>0.8</v>
      </c>
      <c r="H429">
        <v>0</v>
      </c>
      <c r="I429">
        <v>0</v>
      </c>
      <c r="J429">
        <v>24</v>
      </c>
      <c r="K429" s="2">
        <v>45784</v>
      </c>
    </row>
    <row r="430" spans="1:11" x14ac:dyDescent="0.25">
      <c r="A430" s="1" t="s">
        <v>891</v>
      </c>
      <c r="B430" s="1"/>
      <c r="C430" s="1" t="s">
        <v>2889</v>
      </c>
      <c r="D430" s="1" t="s">
        <v>3387</v>
      </c>
      <c r="E430" s="1"/>
      <c r="F430">
        <v>0.7</v>
      </c>
      <c r="G430">
        <v>0</v>
      </c>
      <c r="H430">
        <v>35</v>
      </c>
      <c r="I430">
        <v>0</v>
      </c>
      <c r="J430">
        <v>24</v>
      </c>
      <c r="K430" s="2">
        <v>45785</v>
      </c>
    </row>
    <row r="431" spans="1:11" x14ac:dyDescent="0.25">
      <c r="A431" s="1" t="s">
        <v>891</v>
      </c>
      <c r="B431" s="1"/>
      <c r="C431" s="1" t="s">
        <v>2851</v>
      </c>
      <c r="D431" s="1" t="s">
        <v>3385</v>
      </c>
      <c r="E431" s="1"/>
      <c r="F431">
        <v>0.3</v>
      </c>
      <c r="G431">
        <v>0.2</v>
      </c>
      <c r="H431">
        <v>5</v>
      </c>
      <c r="I431">
        <v>0</v>
      </c>
      <c r="J431">
        <v>24</v>
      </c>
      <c r="K431" s="2">
        <v>45785</v>
      </c>
    </row>
    <row r="432" spans="1:11" x14ac:dyDescent="0.25">
      <c r="A432" s="1" t="s">
        <v>891</v>
      </c>
      <c r="B432" s="1"/>
      <c r="C432" s="1" t="s">
        <v>2890</v>
      </c>
      <c r="D432" s="1" t="s">
        <v>3387</v>
      </c>
      <c r="E432" s="1"/>
      <c r="F432">
        <v>0.3</v>
      </c>
      <c r="G432">
        <v>0.2</v>
      </c>
      <c r="H432">
        <v>10</v>
      </c>
      <c r="I432">
        <v>0</v>
      </c>
      <c r="J432">
        <v>24</v>
      </c>
      <c r="K432" s="2">
        <v>45785</v>
      </c>
    </row>
    <row r="433" spans="1:11" x14ac:dyDescent="0.25">
      <c r="A433" s="1" t="s">
        <v>891</v>
      </c>
      <c r="B433" s="1"/>
      <c r="C433" s="1" t="s">
        <v>2891</v>
      </c>
      <c r="D433" s="1" t="s">
        <v>3372</v>
      </c>
      <c r="E433" s="1"/>
      <c r="F433">
        <v>1</v>
      </c>
      <c r="G433">
        <v>1.5</v>
      </c>
      <c r="H433">
        <v>-25</v>
      </c>
      <c r="I433">
        <v>0</v>
      </c>
      <c r="J433">
        <v>24</v>
      </c>
      <c r="K433" s="2">
        <v>45785</v>
      </c>
    </row>
    <row r="434" spans="1:11" x14ac:dyDescent="0.25">
      <c r="A434" s="1" t="s">
        <v>944</v>
      </c>
      <c r="B434" s="1"/>
      <c r="C434" s="1" t="s">
        <v>2808</v>
      </c>
      <c r="D434" s="1" t="s">
        <v>3370</v>
      </c>
      <c r="E434" s="1"/>
      <c r="F434">
        <v>0</v>
      </c>
      <c r="G434">
        <v>0</v>
      </c>
      <c r="H434">
        <v>0</v>
      </c>
      <c r="I434">
        <v>0</v>
      </c>
      <c r="J434">
        <v>25</v>
      </c>
      <c r="K434" s="2">
        <v>45786</v>
      </c>
    </row>
    <row r="435" spans="1:11" x14ac:dyDescent="0.25">
      <c r="A435" s="1" t="s">
        <v>635</v>
      </c>
      <c r="B435" s="1"/>
      <c r="C435" s="1" t="s">
        <v>2808</v>
      </c>
      <c r="D435" s="1" t="s">
        <v>3370</v>
      </c>
      <c r="E435" s="1"/>
      <c r="F435">
        <v>0</v>
      </c>
      <c r="G435">
        <v>0</v>
      </c>
      <c r="H435">
        <v>0</v>
      </c>
      <c r="I435">
        <v>0</v>
      </c>
      <c r="J435">
        <v>100</v>
      </c>
      <c r="K435" s="2">
        <v>45762</v>
      </c>
    </row>
    <row r="436" spans="1:11" x14ac:dyDescent="0.25">
      <c r="A436" s="1" t="s">
        <v>635</v>
      </c>
      <c r="B436" s="1"/>
      <c r="C436" s="1" t="s">
        <v>2892</v>
      </c>
      <c r="D436" s="1" t="s">
        <v>3411</v>
      </c>
      <c r="E436" s="1"/>
      <c r="F436">
        <v>2.7</v>
      </c>
      <c r="G436">
        <v>3.2</v>
      </c>
      <c r="H436">
        <v>-20</v>
      </c>
      <c r="I436">
        <v>0</v>
      </c>
      <c r="J436">
        <v>100</v>
      </c>
      <c r="K436" s="2">
        <v>45768</v>
      </c>
    </row>
    <row r="437" spans="1:11" x14ac:dyDescent="0.25">
      <c r="A437" s="1" t="s">
        <v>635</v>
      </c>
      <c r="B437" s="1"/>
      <c r="C437" s="1" t="s">
        <v>2893</v>
      </c>
      <c r="D437" s="1" t="s">
        <v>3387</v>
      </c>
      <c r="E437" s="1"/>
      <c r="F437">
        <v>1.9</v>
      </c>
      <c r="G437">
        <v>2.7</v>
      </c>
      <c r="H437">
        <v>-35</v>
      </c>
      <c r="I437">
        <v>0</v>
      </c>
      <c r="J437">
        <v>100</v>
      </c>
      <c r="K437" s="2">
        <v>45768</v>
      </c>
    </row>
    <row r="438" spans="1:11" x14ac:dyDescent="0.25">
      <c r="A438" s="1" t="s">
        <v>635</v>
      </c>
      <c r="B438" s="1"/>
      <c r="C438" s="1" t="s">
        <v>2894</v>
      </c>
      <c r="D438" s="1" t="s">
        <v>3385</v>
      </c>
      <c r="E438" s="1"/>
      <c r="F438">
        <v>2.5</v>
      </c>
      <c r="G438">
        <v>0.9</v>
      </c>
      <c r="H438">
        <v>85</v>
      </c>
      <c r="I438">
        <v>0</v>
      </c>
      <c r="J438">
        <v>100</v>
      </c>
      <c r="K438" s="2">
        <v>45769</v>
      </c>
    </row>
    <row r="439" spans="1:11" x14ac:dyDescent="0.25">
      <c r="A439" s="1" t="s">
        <v>635</v>
      </c>
      <c r="B439" s="1"/>
      <c r="C439" s="1" t="s">
        <v>2895</v>
      </c>
      <c r="D439" s="1" t="s">
        <v>3387</v>
      </c>
      <c r="E439" s="1"/>
      <c r="F439">
        <v>2.2999999999999998</v>
      </c>
      <c r="G439">
        <v>6.7</v>
      </c>
      <c r="H439">
        <v>-215</v>
      </c>
      <c r="I439">
        <v>0</v>
      </c>
      <c r="J439">
        <v>100</v>
      </c>
      <c r="K439" s="2">
        <v>45770</v>
      </c>
    </row>
    <row r="440" spans="1:11" x14ac:dyDescent="0.25">
      <c r="A440" s="1" t="s">
        <v>635</v>
      </c>
      <c r="B440" s="1"/>
      <c r="C440" s="1" t="s">
        <v>2848</v>
      </c>
      <c r="D440" s="1" t="s">
        <v>3372</v>
      </c>
      <c r="E440" s="1"/>
      <c r="F440">
        <v>1</v>
      </c>
      <c r="G440">
        <v>4.2</v>
      </c>
      <c r="H440">
        <v>-160</v>
      </c>
      <c r="I440">
        <v>0</v>
      </c>
      <c r="J440">
        <v>100</v>
      </c>
      <c r="K440" s="2">
        <v>45770</v>
      </c>
    </row>
    <row r="441" spans="1:11" x14ac:dyDescent="0.25">
      <c r="A441" s="1" t="s">
        <v>635</v>
      </c>
      <c r="B441" s="1"/>
      <c r="C441" s="1" t="s">
        <v>2896</v>
      </c>
      <c r="D441" s="1" t="s">
        <v>3377</v>
      </c>
      <c r="E441" s="1"/>
      <c r="F441">
        <v>1.5</v>
      </c>
      <c r="G441">
        <v>3.8</v>
      </c>
      <c r="H441">
        <v>-105</v>
      </c>
      <c r="I441">
        <v>0</v>
      </c>
      <c r="J441">
        <v>100</v>
      </c>
      <c r="K441" s="2">
        <v>45784</v>
      </c>
    </row>
    <row r="442" spans="1:11" x14ac:dyDescent="0.25">
      <c r="A442" s="1" t="s">
        <v>896</v>
      </c>
      <c r="B442" s="1"/>
      <c r="C442" s="1" t="s">
        <v>2808</v>
      </c>
      <c r="D442" s="1" t="s">
        <v>3370</v>
      </c>
      <c r="E442" s="1"/>
      <c r="F442">
        <v>0</v>
      </c>
      <c r="G442">
        <v>0</v>
      </c>
      <c r="H442">
        <v>0</v>
      </c>
      <c r="I442">
        <v>0</v>
      </c>
      <c r="J442">
        <v>102</v>
      </c>
      <c r="K442" s="2">
        <v>45783</v>
      </c>
    </row>
    <row r="443" spans="1:11" x14ac:dyDescent="0.25">
      <c r="A443" s="1" t="s">
        <v>896</v>
      </c>
      <c r="B443" s="1"/>
      <c r="C443" s="1" t="s">
        <v>2892</v>
      </c>
      <c r="D443" s="1" t="s">
        <v>3411</v>
      </c>
      <c r="E443" s="1"/>
      <c r="F443">
        <v>2.8</v>
      </c>
      <c r="G443">
        <v>6.7</v>
      </c>
      <c r="H443">
        <v>-190</v>
      </c>
      <c r="I443">
        <v>0</v>
      </c>
      <c r="J443">
        <v>102</v>
      </c>
      <c r="K443" s="2">
        <v>45786</v>
      </c>
    </row>
    <row r="444" spans="1:11" x14ac:dyDescent="0.25">
      <c r="A444" s="1" t="s">
        <v>896</v>
      </c>
      <c r="B444" s="1"/>
      <c r="C444" s="1" t="s">
        <v>2893</v>
      </c>
      <c r="D444" s="1" t="s">
        <v>3387</v>
      </c>
      <c r="E444" s="1"/>
      <c r="F444">
        <v>2</v>
      </c>
      <c r="G444">
        <v>2.5</v>
      </c>
      <c r="H444">
        <v>-25</v>
      </c>
      <c r="I444">
        <v>0</v>
      </c>
      <c r="J444">
        <v>102</v>
      </c>
      <c r="K444" s="2">
        <v>45786</v>
      </c>
    </row>
    <row r="445" spans="1:11" x14ac:dyDescent="0.25">
      <c r="A445" s="1" t="s">
        <v>897</v>
      </c>
      <c r="B445" s="1"/>
      <c r="C445" s="1" t="s">
        <v>2808</v>
      </c>
      <c r="D445" s="1" t="s">
        <v>3370</v>
      </c>
      <c r="E445" s="1"/>
      <c r="F445">
        <v>0</v>
      </c>
      <c r="G445">
        <v>0</v>
      </c>
      <c r="H445">
        <v>0</v>
      </c>
      <c r="I445">
        <v>0</v>
      </c>
      <c r="J445">
        <v>36</v>
      </c>
      <c r="K445" s="2">
        <v>45783</v>
      </c>
    </row>
    <row r="446" spans="1:11" x14ac:dyDescent="0.25">
      <c r="A446" s="1" t="s">
        <v>777</v>
      </c>
      <c r="B446" s="1"/>
      <c r="C446" s="1" t="s">
        <v>2808</v>
      </c>
      <c r="D446" s="1" t="s">
        <v>3370</v>
      </c>
      <c r="E446" s="1"/>
      <c r="F446">
        <v>0</v>
      </c>
      <c r="G446">
        <v>0</v>
      </c>
      <c r="H446">
        <v>0</v>
      </c>
      <c r="I446">
        <v>0</v>
      </c>
      <c r="J446">
        <v>275</v>
      </c>
      <c r="K446" s="2">
        <v>45776</v>
      </c>
    </row>
    <row r="447" spans="1:11" x14ac:dyDescent="0.25">
      <c r="A447" s="1" t="s">
        <v>777</v>
      </c>
      <c r="B447" s="1"/>
      <c r="C447" s="1" t="s">
        <v>2897</v>
      </c>
      <c r="D447" s="1" t="s">
        <v>3380</v>
      </c>
      <c r="E447" s="1"/>
      <c r="F447">
        <v>12.9</v>
      </c>
      <c r="G447">
        <v>8</v>
      </c>
      <c r="H447">
        <v>240</v>
      </c>
      <c r="I447">
        <v>0</v>
      </c>
      <c r="J447">
        <v>275</v>
      </c>
      <c r="K447" s="2">
        <v>45777</v>
      </c>
    </row>
    <row r="448" spans="1:11" x14ac:dyDescent="0.25">
      <c r="A448" s="1" t="s">
        <v>777</v>
      </c>
      <c r="B448" s="1"/>
      <c r="C448" s="1" t="s">
        <v>2816</v>
      </c>
      <c r="D448" s="1" t="s">
        <v>3372</v>
      </c>
      <c r="E448" s="1"/>
      <c r="F448">
        <v>0.3</v>
      </c>
      <c r="G448">
        <v>0.5</v>
      </c>
      <c r="H448">
        <v>-10</v>
      </c>
      <c r="I448">
        <v>0</v>
      </c>
      <c r="J448">
        <v>275</v>
      </c>
      <c r="K448" s="2">
        <v>45777</v>
      </c>
    </row>
    <row r="449" spans="1:11" x14ac:dyDescent="0.25">
      <c r="A449" s="1" t="s">
        <v>777</v>
      </c>
      <c r="B449" s="1"/>
      <c r="C449" s="1" t="s">
        <v>2817</v>
      </c>
      <c r="D449" s="1" t="s">
        <v>3377</v>
      </c>
      <c r="E449" s="1"/>
      <c r="F449">
        <v>0.3</v>
      </c>
      <c r="G449">
        <v>1.1000000000000001</v>
      </c>
      <c r="H449">
        <v>-40</v>
      </c>
      <c r="I449">
        <v>0</v>
      </c>
      <c r="J449">
        <v>275</v>
      </c>
      <c r="K449" s="2">
        <v>45785</v>
      </c>
    </row>
    <row r="450" spans="1:11" x14ac:dyDescent="0.25">
      <c r="A450" s="1" t="s">
        <v>823</v>
      </c>
      <c r="B450" s="1"/>
      <c r="C450" s="1" t="s">
        <v>2808</v>
      </c>
      <c r="D450" s="1" t="s">
        <v>3370</v>
      </c>
      <c r="E450" s="1"/>
      <c r="F450">
        <v>0</v>
      </c>
      <c r="G450">
        <v>0</v>
      </c>
      <c r="H450">
        <v>0</v>
      </c>
      <c r="I450">
        <v>0</v>
      </c>
      <c r="J450">
        <v>100</v>
      </c>
      <c r="K450" s="2">
        <v>45778</v>
      </c>
    </row>
    <row r="451" spans="1:11" x14ac:dyDescent="0.25">
      <c r="A451" s="1" t="s">
        <v>823</v>
      </c>
      <c r="B451" s="1"/>
      <c r="C451" s="1" t="s">
        <v>2828</v>
      </c>
      <c r="D451" s="1" t="s">
        <v>3380</v>
      </c>
      <c r="E451" s="1"/>
      <c r="F451">
        <v>5.2</v>
      </c>
      <c r="G451">
        <v>4.8</v>
      </c>
      <c r="H451">
        <v>20</v>
      </c>
      <c r="I451">
        <v>0</v>
      </c>
      <c r="J451">
        <v>100</v>
      </c>
      <c r="K451" s="2">
        <v>45779</v>
      </c>
    </row>
    <row r="452" spans="1:11" x14ac:dyDescent="0.25">
      <c r="A452" s="1" t="s">
        <v>823</v>
      </c>
      <c r="B452" s="1"/>
      <c r="C452" s="1" t="s">
        <v>2816</v>
      </c>
      <c r="D452" s="1" t="s">
        <v>3372</v>
      </c>
      <c r="E452" s="1"/>
      <c r="F452">
        <v>0.3</v>
      </c>
      <c r="G452">
        <v>0.7</v>
      </c>
      <c r="H452">
        <v>-20</v>
      </c>
      <c r="I452">
        <v>0</v>
      </c>
      <c r="J452">
        <v>100</v>
      </c>
      <c r="K452" s="2">
        <v>45779</v>
      </c>
    </row>
    <row r="453" spans="1:11" x14ac:dyDescent="0.25">
      <c r="A453" s="1" t="s">
        <v>824</v>
      </c>
      <c r="B453" s="1"/>
      <c r="C453" s="1" t="s">
        <v>2808</v>
      </c>
      <c r="D453" s="1" t="s">
        <v>3370</v>
      </c>
      <c r="E453" s="1"/>
      <c r="F453">
        <v>0</v>
      </c>
      <c r="G453">
        <v>0</v>
      </c>
      <c r="H453">
        <v>0</v>
      </c>
      <c r="I453">
        <v>0</v>
      </c>
      <c r="J453">
        <v>250</v>
      </c>
      <c r="K453" s="2">
        <v>45778</v>
      </c>
    </row>
    <row r="454" spans="1:11" x14ac:dyDescent="0.25">
      <c r="A454" s="1" t="s">
        <v>824</v>
      </c>
      <c r="B454" s="1"/>
      <c r="C454" s="1" t="s">
        <v>2828</v>
      </c>
      <c r="D454" s="1" t="s">
        <v>3380</v>
      </c>
      <c r="E454" s="1"/>
      <c r="F454">
        <v>12.6</v>
      </c>
      <c r="G454">
        <v>6.1</v>
      </c>
      <c r="H454">
        <v>320</v>
      </c>
      <c r="I454">
        <v>0</v>
      </c>
      <c r="J454">
        <v>250</v>
      </c>
      <c r="K454" s="2">
        <v>45782</v>
      </c>
    </row>
    <row r="455" spans="1:11" x14ac:dyDescent="0.25">
      <c r="A455" s="1" t="s">
        <v>824</v>
      </c>
      <c r="B455" s="1"/>
      <c r="C455" s="1" t="s">
        <v>2816</v>
      </c>
      <c r="D455" s="1" t="s">
        <v>3372</v>
      </c>
      <c r="E455" s="1"/>
      <c r="F455">
        <v>0.3</v>
      </c>
      <c r="G455">
        <v>1.6</v>
      </c>
      <c r="H455">
        <v>-65</v>
      </c>
      <c r="I455">
        <v>0</v>
      </c>
      <c r="J455">
        <v>250</v>
      </c>
      <c r="K455" s="2">
        <v>45782</v>
      </c>
    </row>
    <row r="456" spans="1:11" x14ac:dyDescent="0.25">
      <c r="A456" s="1" t="s">
        <v>845</v>
      </c>
      <c r="B456" s="1"/>
      <c r="C456" s="1" t="s">
        <v>2808</v>
      </c>
      <c r="D456" s="1" t="s">
        <v>3370</v>
      </c>
      <c r="E456" s="1"/>
      <c r="F456">
        <v>0</v>
      </c>
      <c r="G456">
        <v>0</v>
      </c>
      <c r="H456">
        <v>0</v>
      </c>
      <c r="I456">
        <v>0</v>
      </c>
      <c r="J456">
        <v>500</v>
      </c>
      <c r="K456" s="2">
        <v>45779</v>
      </c>
    </row>
    <row r="457" spans="1:11" x14ac:dyDescent="0.25">
      <c r="A457" s="1" t="s">
        <v>845</v>
      </c>
      <c r="B457" s="1"/>
      <c r="C457" s="1" t="s">
        <v>2898</v>
      </c>
      <c r="D457" s="1" t="s">
        <v>3380</v>
      </c>
      <c r="E457" s="1"/>
      <c r="F457">
        <v>9</v>
      </c>
      <c r="G457">
        <v>11</v>
      </c>
      <c r="H457">
        <v>-95</v>
      </c>
      <c r="I457">
        <v>0</v>
      </c>
      <c r="J457">
        <v>500</v>
      </c>
      <c r="K457" s="2">
        <v>45782</v>
      </c>
    </row>
    <row r="458" spans="1:11" x14ac:dyDescent="0.25">
      <c r="A458" s="1" t="s">
        <v>845</v>
      </c>
      <c r="B458" s="1"/>
      <c r="C458" s="1" t="s">
        <v>2899</v>
      </c>
      <c r="D458" s="1" t="s">
        <v>3372</v>
      </c>
      <c r="E458" s="1"/>
      <c r="F458">
        <v>0.3</v>
      </c>
      <c r="G458">
        <v>1</v>
      </c>
      <c r="H458">
        <v>-35</v>
      </c>
      <c r="I458">
        <v>0</v>
      </c>
      <c r="J458">
        <v>500</v>
      </c>
      <c r="K458" s="2">
        <v>45782</v>
      </c>
    </row>
    <row r="459" spans="1:11" x14ac:dyDescent="0.25">
      <c r="A459" s="1" t="s">
        <v>848</v>
      </c>
      <c r="B459" s="1"/>
      <c r="C459" s="1" t="s">
        <v>2808</v>
      </c>
      <c r="D459" s="1" t="s">
        <v>3370</v>
      </c>
      <c r="E459" s="1"/>
      <c r="F459">
        <v>0</v>
      </c>
      <c r="G459">
        <v>0</v>
      </c>
      <c r="H459">
        <v>0</v>
      </c>
      <c r="I459">
        <v>0</v>
      </c>
      <c r="J459">
        <v>500</v>
      </c>
      <c r="K459" s="2">
        <v>45779</v>
      </c>
    </row>
    <row r="460" spans="1:11" x14ac:dyDescent="0.25">
      <c r="A460" s="1" t="s">
        <v>848</v>
      </c>
      <c r="B460" s="1"/>
      <c r="C460" s="1" t="s">
        <v>2898</v>
      </c>
      <c r="D460" s="1" t="s">
        <v>3380</v>
      </c>
      <c r="E460" s="1"/>
      <c r="F460">
        <v>9</v>
      </c>
      <c r="G460">
        <v>12.7</v>
      </c>
      <c r="H460">
        <v>-175</v>
      </c>
      <c r="I460">
        <v>0</v>
      </c>
      <c r="J460">
        <v>500</v>
      </c>
      <c r="K460" s="2">
        <v>45782</v>
      </c>
    </row>
    <row r="461" spans="1:11" x14ac:dyDescent="0.25">
      <c r="A461" s="1" t="s">
        <v>848</v>
      </c>
      <c r="B461" s="1"/>
      <c r="C461" s="1" t="s">
        <v>2899</v>
      </c>
      <c r="D461" s="1" t="s">
        <v>3372</v>
      </c>
      <c r="E461" s="1"/>
      <c r="F461">
        <v>0.3</v>
      </c>
      <c r="G461">
        <v>0.5</v>
      </c>
      <c r="H461">
        <v>-10</v>
      </c>
      <c r="I461">
        <v>0</v>
      </c>
      <c r="J461">
        <v>500</v>
      </c>
      <c r="K461" s="2">
        <v>45782</v>
      </c>
    </row>
    <row r="462" spans="1:11" x14ac:dyDescent="0.25">
      <c r="A462" s="1" t="s">
        <v>846</v>
      </c>
      <c r="B462" s="1"/>
      <c r="C462" s="1" t="s">
        <v>2808</v>
      </c>
      <c r="D462" s="1" t="s">
        <v>3370</v>
      </c>
      <c r="E462" s="1"/>
      <c r="F462">
        <v>0</v>
      </c>
      <c r="G462">
        <v>0</v>
      </c>
      <c r="H462">
        <v>0</v>
      </c>
      <c r="I462">
        <v>0</v>
      </c>
      <c r="J462">
        <v>500</v>
      </c>
      <c r="K462" s="2">
        <v>45779</v>
      </c>
    </row>
    <row r="463" spans="1:11" x14ac:dyDescent="0.25">
      <c r="A463" s="1" t="s">
        <v>846</v>
      </c>
      <c r="B463" s="1"/>
      <c r="C463" s="1" t="s">
        <v>2898</v>
      </c>
      <c r="D463" s="1" t="s">
        <v>3380</v>
      </c>
      <c r="E463" s="1"/>
      <c r="F463">
        <v>9</v>
      </c>
      <c r="G463">
        <v>9.6</v>
      </c>
      <c r="H463">
        <v>-25</v>
      </c>
      <c r="I463">
        <v>0</v>
      </c>
      <c r="J463">
        <v>500</v>
      </c>
      <c r="K463" s="2">
        <v>45783</v>
      </c>
    </row>
    <row r="464" spans="1:11" x14ac:dyDescent="0.25">
      <c r="A464" s="1" t="s">
        <v>846</v>
      </c>
      <c r="B464" s="1"/>
      <c r="C464" s="1" t="s">
        <v>2899</v>
      </c>
      <c r="D464" s="1" t="s">
        <v>3372</v>
      </c>
      <c r="E464" s="1"/>
      <c r="F464">
        <v>0.3</v>
      </c>
      <c r="G464">
        <v>0.5</v>
      </c>
      <c r="H464">
        <v>-10</v>
      </c>
      <c r="I464">
        <v>0</v>
      </c>
      <c r="J464">
        <v>500</v>
      </c>
      <c r="K464" s="2">
        <v>45783</v>
      </c>
    </row>
    <row r="465" spans="1:11" x14ac:dyDescent="0.25">
      <c r="A465" s="1" t="s">
        <v>847</v>
      </c>
      <c r="B465" s="1"/>
      <c r="C465" s="1" t="s">
        <v>2808</v>
      </c>
      <c r="D465" s="1" t="s">
        <v>3370</v>
      </c>
      <c r="E465" s="1"/>
      <c r="F465">
        <v>0</v>
      </c>
      <c r="G465">
        <v>0</v>
      </c>
      <c r="H465">
        <v>0</v>
      </c>
      <c r="I465">
        <v>0</v>
      </c>
      <c r="J465">
        <v>500</v>
      </c>
      <c r="K465" s="2">
        <v>45779</v>
      </c>
    </row>
    <row r="466" spans="1:11" x14ac:dyDescent="0.25">
      <c r="A466" s="1" t="s">
        <v>847</v>
      </c>
      <c r="B466" s="1"/>
      <c r="C466" s="1" t="s">
        <v>2898</v>
      </c>
      <c r="D466" s="1" t="s">
        <v>3380</v>
      </c>
      <c r="E466" s="1"/>
      <c r="F466">
        <v>9</v>
      </c>
      <c r="G466">
        <v>9</v>
      </c>
      <c r="H466">
        <v>5</v>
      </c>
      <c r="I466">
        <v>0</v>
      </c>
      <c r="J466">
        <v>500</v>
      </c>
      <c r="K466" s="2">
        <v>45783</v>
      </c>
    </row>
    <row r="467" spans="1:11" x14ac:dyDescent="0.25">
      <c r="A467" s="1" t="s">
        <v>847</v>
      </c>
      <c r="B467" s="1"/>
      <c r="C467" s="1" t="s">
        <v>2899</v>
      </c>
      <c r="D467" s="1" t="s">
        <v>3372</v>
      </c>
      <c r="E467" s="1"/>
      <c r="F467">
        <v>0.3</v>
      </c>
      <c r="G467">
        <v>0.4</v>
      </c>
      <c r="H467">
        <v>-5</v>
      </c>
      <c r="I467">
        <v>0</v>
      </c>
      <c r="J467">
        <v>500</v>
      </c>
      <c r="K467" s="2">
        <v>45783</v>
      </c>
    </row>
    <row r="468" spans="1:11" x14ac:dyDescent="0.25">
      <c r="A468" s="1" t="s">
        <v>973</v>
      </c>
      <c r="B468" s="1"/>
      <c r="C468" s="1" t="s">
        <v>2808</v>
      </c>
      <c r="D468" s="1" t="s">
        <v>3370</v>
      </c>
      <c r="E468" s="1"/>
      <c r="F468">
        <v>0</v>
      </c>
      <c r="G468">
        <v>0</v>
      </c>
      <c r="H468">
        <v>0</v>
      </c>
      <c r="I468">
        <v>0</v>
      </c>
      <c r="J468">
        <v>100</v>
      </c>
      <c r="K468" s="2">
        <v>45789</v>
      </c>
    </row>
    <row r="469" spans="1:11" x14ac:dyDescent="0.25">
      <c r="A469" s="1" t="s">
        <v>884</v>
      </c>
      <c r="B469" s="1"/>
      <c r="C469" s="1" t="s">
        <v>2808</v>
      </c>
      <c r="D469" s="1" t="s">
        <v>3370</v>
      </c>
      <c r="E469" s="1"/>
      <c r="F469">
        <v>0</v>
      </c>
      <c r="G469">
        <v>0</v>
      </c>
      <c r="H469">
        <v>0</v>
      </c>
      <c r="I469">
        <v>0</v>
      </c>
      <c r="J469">
        <v>250</v>
      </c>
      <c r="K469" s="2">
        <v>45783</v>
      </c>
    </row>
    <row r="470" spans="1:11" x14ac:dyDescent="0.25">
      <c r="A470" s="1" t="s">
        <v>884</v>
      </c>
      <c r="B470" s="1"/>
      <c r="C470" s="1" t="s">
        <v>2900</v>
      </c>
      <c r="D470" s="1" t="s">
        <v>3376</v>
      </c>
      <c r="E470" s="1"/>
      <c r="F470">
        <v>3.8</v>
      </c>
      <c r="G470">
        <v>9.8000000000000007</v>
      </c>
      <c r="H470">
        <v>-290</v>
      </c>
      <c r="I470">
        <v>0</v>
      </c>
      <c r="J470">
        <v>250</v>
      </c>
      <c r="K470" s="2">
        <v>45784</v>
      </c>
    </row>
    <row r="471" spans="1:11" x14ac:dyDescent="0.25">
      <c r="A471" s="1" t="s">
        <v>884</v>
      </c>
      <c r="B471" s="1"/>
      <c r="C471" s="1" t="s">
        <v>2816</v>
      </c>
      <c r="D471" s="1" t="s">
        <v>3372</v>
      </c>
      <c r="E471" s="1"/>
      <c r="F471">
        <v>0.3</v>
      </c>
      <c r="G471">
        <v>0</v>
      </c>
      <c r="H471">
        <v>15</v>
      </c>
      <c r="I471">
        <v>0</v>
      </c>
      <c r="J471">
        <v>250</v>
      </c>
      <c r="K471" s="2">
        <v>45784</v>
      </c>
    </row>
    <row r="472" spans="1:11" x14ac:dyDescent="0.25">
      <c r="A472" s="1" t="s">
        <v>884</v>
      </c>
      <c r="B472" s="1"/>
      <c r="C472" s="1" t="s">
        <v>2817</v>
      </c>
      <c r="D472" s="1" t="s">
        <v>3377</v>
      </c>
      <c r="E472" s="1"/>
      <c r="F472">
        <v>0.3</v>
      </c>
      <c r="G472">
        <v>0.8</v>
      </c>
      <c r="H472">
        <v>-25</v>
      </c>
      <c r="I472">
        <v>0</v>
      </c>
      <c r="J472">
        <v>250</v>
      </c>
      <c r="K472" s="2">
        <v>45784</v>
      </c>
    </row>
    <row r="473" spans="1:11" x14ac:dyDescent="0.25">
      <c r="A473" s="1" t="s">
        <v>516</v>
      </c>
      <c r="B473" s="1"/>
      <c r="C473" s="1" t="s">
        <v>2808</v>
      </c>
      <c r="D473" s="1" t="s">
        <v>3370</v>
      </c>
      <c r="E473" s="1"/>
      <c r="F473">
        <v>0</v>
      </c>
      <c r="G473">
        <v>0</v>
      </c>
      <c r="H473">
        <v>0</v>
      </c>
      <c r="I473">
        <v>0</v>
      </c>
      <c r="J473">
        <v>250</v>
      </c>
      <c r="K473" s="2">
        <v>45779</v>
      </c>
    </row>
    <row r="474" spans="1:11" x14ac:dyDescent="0.25">
      <c r="A474" s="1" t="s">
        <v>516</v>
      </c>
      <c r="B474" s="1"/>
      <c r="C474" s="1" t="s">
        <v>2900</v>
      </c>
      <c r="D474" s="1" t="s">
        <v>3376</v>
      </c>
      <c r="E474" s="1"/>
      <c r="F474">
        <v>8.4</v>
      </c>
      <c r="G474">
        <v>8.3000000000000007</v>
      </c>
      <c r="H474">
        <v>10</v>
      </c>
      <c r="I474">
        <v>0</v>
      </c>
      <c r="J474">
        <v>250</v>
      </c>
      <c r="K474" s="2">
        <v>45783</v>
      </c>
    </row>
    <row r="475" spans="1:11" x14ac:dyDescent="0.25">
      <c r="A475" s="1" t="s">
        <v>516</v>
      </c>
      <c r="B475" s="1"/>
      <c r="C475" s="1" t="s">
        <v>2816</v>
      </c>
      <c r="D475" s="1" t="s">
        <v>3372</v>
      </c>
      <c r="E475" s="1"/>
      <c r="F475">
        <v>0.3</v>
      </c>
      <c r="G475">
        <v>0.6</v>
      </c>
      <c r="H475">
        <v>-15</v>
      </c>
      <c r="I475">
        <v>0</v>
      </c>
      <c r="J475">
        <v>250</v>
      </c>
      <c r="K475" s="2">
        <v>45783</v>
      </c>
    </row>
    <row r="476" spans="1:11" x14ac:dyDescent="0.25">
      <c r="A476" s="1" t="s">
        <v>516</v>
      </c>
      <c r="B476" s="1"/>
      <c r="C476" s="1" t="s">
        <v>2817</v>
      </c>
      <c r="D476" s="1" t="s">
        <v>3377</v>
      </c>
      <c r="E476" s="1"/>
      <c r="F476">
        <v>0.3</v>
      </c>
      <c r="G476">
        <v>0.8</v>
      </c>
      <c r="H476">
        <v>-25</v>
      </c>
      <c r="I476">
        <v>0</v>
      </c>
      <c r="J476">
        <v>250</v>
      </c>
      <c r="K476" s="2">
        <v>45784</v>
      </c>
    </row>
    <row r="477" spans="1:11" x14ac:dyDescent="0.25">
      <c r="A477" s="1" t="s">
        <v>885</v>
      </c>
      <c r="B477" s="1"/>
      <c r="C477" s="1" t="s">
        <v>2808</v>
      </c>
      <c r="D477" s="1" t="s">
        <v>3370</v>
      </c>
      <c r="E477" s="1"/>
      <c r="F477">
        <v>0</v>
      </c>
      <c r="G477">
        <v>0</v>
      </c>
      <c r="H477">
        <v>0</v>
      </c>
      <c r="I477">
        <v>0</v>
      </c>
      <c r="J477">
        <v>250</v>
      </c>
      <c r="K477" s="2">
        <v>45783</v>
      </c>
    </row>
    <row r="478" spans="1:11" x14ac:dyDescent="0.25">
      <c r="A478" s="1" t="s">
        <v>885</v>
      </c>
      <c r="B478" s="1"/>
      <c r="C478" s="1" t="s">
        <v>2900</v>
      </c>
      <c r="D478" s="1" t="s">
        <v>3376</v>
      </c>
      <c r="E478" s="1"/>
      <c r="F478">
        <v>8.4</v>
      </c>
      <c r="G478">
        <v>7.3</v>
      </c>
      <c r="H478">
        <v>55</v>
      </c>
      <c r="I478">
        <v>0</v>
      </c>
      <c r="J478">
        <v>250</v>
      </c>
      <c r="K478" s="2">
        <v>45784</v>
      </c>
    </row>
    <row r="479" spans="1:11" x14ac:dyDescent="0.25">
      <c r="A479" s="1" t="s">
        <v>885</v>
      </c>
      <c r="B479" s="1"/>
      <c r="C479" s="1" t="s">
        <v>2816</v>
      </c>
      <c r="D479" s="1" t="s">
        <v>3372</v>
      </c>
      <c r="E479" s="1"/>
      <c r="F479">
        <v>0.3</v>
      </c>
      <c r="G479">
        <v>0.1</v>
      </c>
      <c r="H479">
        <v>10</v>
      </c>
      <c r="I479">
        <v>0</v>
      </c>
      <c r="J479">
        <v>250</v>
      </c>
      <c r="K479" s="2">
        <v>45784</v>
      </c>
    </row>
    <row r="480" spans="1:11" x14ac:dyDescent="0.25">
      <c r="A480" s="1" t="s">
        <v>865</v>
      </c>
      <c r="B480" s="1"/>
      <c r="C480" s="1" t="s">
        <v>2808</v>
      </c>
      <c r="D480" s="1" t="s">
        <v>3370</v>
      </c>
      <c r="E480" s="1"/>
      <c r="F480">
        <v>0</v>
      </c>
      <c r="G480">
        <v>0</v>
      </c>
      <c r="H480">
        <v>0</v>
      </c>
      <c r="I480">
        <v>0</v>
      </c>
      <c r="J480">
        <v>250</v>
      </c>
      <c r="K480" s="2">
        <v>45783</v>
      </c>
    </row>
    <row r="481" spans="1:11" x14ac:dyDescent="0.25">
      <c r="A481" s="1" t="s">
        <v>865</v>
      </c>
      <c r="B481" s="1"/>
      <c r="C481" s="1" t="s">
        <v>2900</v>
      </c>
      <c r="D481" s="1" t="s">
        <v>3376</v>
      </c>
      <c r="E481" s="1"/>
      <c r="F481">
        <v>8.4</v>
      </c>
      <c r="G481">
        <v>5.4</v>
      </c>
      <c r="H481">
        <v>145</v>
      </c>
      <c r="I481">
        <v>0</v>
      </c>
      <c r="J481">
        <v>250</v>
      </c>
      <c r="K481" s="2">
        <v>45785</v>
      </c>
    </row>
    <row r="482" spans="1:11" x14ac:dyDescent="0.25">
      <c r="A482" s="1" t="s">
        <v>865</v>
      </c>
      <c r="B482" s="1"/>
      <c r="C482" s="1" t="s">
        <v>2816</v>
      </c>
      <c r="D482" s="1" t="s">
        <v>3372</v>
      </c>
      <c r="E482" s="1"/>
      <c r="F482">
        <v>0.3</v>
      </c>
      <c r="G482">
        <v>0</v>
      </c>
      <c r="H482">
        <v>15</v>
      </c>
      <c r="I482">
        <v>0</v>
      </c>
      <c r="J482">
        <v>250</v>
      </c>
      <c r="K482" s="2">
        <v>45785</v>
      </c>
    </row>
    <row r="483" spans="1:11" x14ac:dyDescent="0.25">
      <c r="A483" s="1" t="s">
        <v>676</v>
      </c>
      <c r="B483" s="1"/>
      <c r="C483" s="1" t="s">
        <v>2808</v>
      </c>
      <c r="D483" s="1" t="s">
        <v>3370</v>
      </c>
      <c r="E483" s="1"/>
      <c r="F483">
        <v>0</v>
      </c>
      <c r="G483">
        <v>0</v>
      </c>
      <c r="H483">
        <v>0</v>
      </c>
      <c r="I483">
        <v>0</v>
      </c>
      <c r="J483">
        <v>100</v>
      </c>
      <c r="K483" s="2">
        <v>45772</v>
      </c>
    </row>
    <row r="484" spans="1:11" x14ac:dyDescent="0.25">
      <c r="A484" s="1" t="s">
        <v>676</v>
      </c>
      <c r="B484" s="1"/>
      <c r="C484" s="1" t="s">
        <v>2900</v>
      </c>
      <c r="D484" s="1" t="s">
        <v>3376</v>
      </c>
      <c r="E484" s="1"/>
      <c r="F484">
        <v>1.9</v>
      </c>
      <c r="G484">
        <v>4.2</v>
      </c>
      <c r="H484">
        <v>-115</v>
      </c>
      <c r="I484">
        <v>0</v>
      </c>
      <c r="J484">
        <v>100</v>
      </c>
      <c r="K484" s="2">
        <v>45779</v>
      </c>
    </row>
    <row r="485" spans="1:11" x14ac:dyDescent="0.25">
      <c r="A485" s="1" t="s">
        <v>676</v>
      </c>
      <c r="B485" s="1"/>
      <c r="C485" s="1" t="s">
        <v>2816</v>
      </c>
      <c r="D485" s="1" t="s">
        <v>3372</v>
      </c>
      <c r="E485" s="1"/>
      <c r="F485">
        <v>0.3</v>
      </c>
      <c r="G485">
        <v>0.5</v>
      </c>
      <c r="H485">
        <v>-10</v>
      </c>
      <c r="I485">
        <v>0</v>
      </c>
      <c r="J485">
        <v>100</v>
      </c>
      <c r="K485" s="2">
        <v>45779</v>
      </c>
    </row>
    <row r="486" spans="1:11" x14ac:dyDescent="0.25">
      <c r="A486" s="1" t="s">
        <v>676</v>
      </c>
      <c r="B486" s="1"/>
      <c r="C486" s="1" t="s">
        <v>2817</v>
      </c>
      <c r="D486" s="1" t="s">
        <v>3377</v>
      </c>
      <c r="E486" s="1"/>
      <c r="F486">
        <v>0.3</v>
      </c>
      <c r="G486">
        <v>0</v>
      </c>
      <c r="H486">
        <v>15</v>
      </c>
      <c r="I486">
        <v>0</v>
      </c>
      <c r="J486">
        <v>100</v>
      </c>
      <c r="K486" s="2">
        <v>45784</v>
      </c>
    </row>
    <row r="487" spans="1:11" x14ac:dyDescent="0.25">
      <c r="A487" s="1" t="s">
        <v>369</v>
      </c>
      <c r="B487" s="1"/>
      <c r="C487" s="1" t="s">
        <v>2808</v>
      </c>
      <c r="D487" s="1" t="s">
        <v>3370</v>
      </c>
      <c r="E487" s="1"/>
      <c r="F487">
        <v>0</v>
      </c>
      <c r="G487">
        <v>0</v>
      </c>
      <c r="H487">
        <v>0</v>
      </c>
      <c r="I487">
        <v>0</v>
      </c>
      <c r="J487">
        <v>100</v>
      </c>
      <c r="K487" s="2">
        <v>45741</v>
      </c>
    </row>
    <row r="488" spans="1:11" x14ac:dyDescent="0.25">
      <c r="A488" s="1" t="s">
        <v>369</v>
      </c>
      <c r="B488" s="1"/>
      <c r="C488" s="1" t="s">
        <v>2901</v>
      </c>
      <c r="D488" s="1" t="s">
        <v>3393</v>
      </c>
      <c r="E488" s="1"/>
      <c r="F488">
        <v>4.9000000000000004</v>
      </c>
      <c r="G488">
        <v>3.7</v>
      </c>
      <c r="H488">
        <v>65</v>
      </c>
      <c r="I488">
        <v>0</v>
      </c>
      <c r="J488">
        <v>100</v>
      </c>
      <c r="K488" s="2">
        <v>45747</v>
      </c>
    </row>
    <row r="489" spans="1:11" x14ac:dyDescent="0.25">
      <c r="A489" s="1" t="s">
        <v>369</v>
      </c>
      <c r="B489" s="1"/>
      <c r="C489" s="1" t="s">
        <v>2817</v>
      </c>
      <c r="D489" s="1" t="s">
        <v>3377</v>
      </c>
      <c r="E489" s="1"/>
      <c r="F489">
        <v>1.6</v>
      </c>
      <c r="G489">
        <v>3.5</v>
      </c>
      <c r="H489">
        <v>-90</v>
      </c>
      <c r="I489">
        <v>0</v>
      </c>
      <c r="J489">
        <v>100</v>
      </c>
      <c r="K489" s="2">
        <v>45782</v>
      </c>
    </row>
    <row r="490" spans="1:11" x14ac:dyDescent="0.25">
      <c r="A490" s="1" t="s">
        <v>369</v>
      </c>
      <c r="B490" s="1"/>
      <c r="C490" s="1" t="s">
        <v>2816</v>
      </c>
      <c r="D490" s="1" t="s">
        <v>3372</v>
      </c>
      <c r="E490" s="1"/>
      <c r="F490">
        <v>0</v>
      </c>
      <c r="G490">
        <v>2.9</v>
      </c>
      <c r="H490">
        <v>-140</v>
      </c>
      <c r="I490">
        <v>0</v>
      </c>
      <c r="J490">
        <v>100</v>
      </c>
      <c r="K490" s="2">
        <v>45768</v>
      </c>
    </row>
    <row r="491" spans="1:11" x14ac:dyDescent="0.25">
      <c r="A491" s="1" t="s">
        <v>802</v>
      </c>
      <c r="B491" s="1"/>
      <c r="C491" s="1" t="s">
        <v>2808</v>
      </c>
      <c r="D491" s="1" t="s">
        <v>3370</v>
      </c>
      <c r="E491" s="1"/>
      <c r="F491">
        <v>0</v>
      </c>
      <c r="G491">
        <v>0</v>
      </c>
      <c r="H491">
        <v>0</v>
      </c>
      <c r="I491">
        <v>0</v>
      </c>
      <c r="J491">
        <v>250</v>
      </c>
      <c r="K491" s="2">
        <v>45785</v>
      </c>
    </row>
    <row r="492" spans="1:11" x14ac:dyDescent="0.25">
      <c r="A492" s="1" t="s">
        <v>802</v>
      </c>
      <c r="B492" s="1"/>
      <c r="C492" s="1" t="s">
        <v>2902</v>
      </c>
      <c r="D492" s="1" t="s">
        <v>3376</v>
      </c>
      <c r="E492" s="1"/>
      <c r="F492">
        <v>33</v>
      </c>
      <c r="G492">
        <v>8.1</v>
      </c>
      <c r="H492">
        <v>1215</v>
      </c>
      <c r="I492">
        <v>0</v>
      </c>
      <c r="J492">
        <v>250</v>
      </c>
      <c r="K492" s="2">
        <v>45789</v>
      </c>
    </row>
    <row r="493" spans="1:11" x14ac:dyDescent="0.25">
      <c r="A493" s="1" t="s">
        <v>802</v>
      </c>
      <c r="B493" s="1"/>
      <c r="C493" s="1" t="s">
        <v>2816</v>
      </c>
      <c r="D493" s="1" t="s">
        <v>3372</v>
      </c>
      <c r="E493" s="1"/>
      <c r="F493">
        <v>0.3</v>
      </c>
      <c r="G493">
        <v>0.1</v>
      </c>
      <c r="H493">
        <v>10</v>
      </c>
      <c r="I493">
        <v>0</v>
      </c>
      <c r="J493">
        <v>250</v>
      </c>
      <c r="K493" s="2">
        <v>45786</v>
      </c>
    </row>
    <row r="494" spans="1:11" x14ac:dyDescent="0.25">
      <c r="A494" s="1" t="s">
        <v>826</v>
      </c>
      <c r="B494" s="1"/>
      <c r="C494" s="1" t="s">
        <v>2808</v>
      </c>
      <c r="D494" s="1" t="s">
        <v>3370</v>
      </c>
      <c r="E494" s="1"/>
      <c r="F494">
        <v>0</v>
      </c>
      <c r="G494">
        <v>0</v>
      </c>
      <c r="H494">
        <v>0</v>
      </c>
      <c r="I494">
        <v>0</v>
      </c>
      <c r="J494">
        <v>26</v>
      </c>
      <c r="K494" s="2">
        <v>45785</v>
      </c>
    </row>
    <row r="495" spans="1:11" x14ac:dyDescent="0.25">
      <c r="A495" s="1" t="s">
        <v>826</v>
      </c>
      <c r="B495" s="1"/>
      <c r="C495" s="1" t="s">
        <v>2903</v>
      </c>
      <c r="D495" s="1" t="s">
        <v>3412</v>
      </c>
      <c r="E495" s="1"/>
      <c r="F495">
        <v>0.3</v>
      </c>
      <c r="G495">
        <v>0.6</v>
      </c>
      <c r="H495">
        <v>-20</v>
      </c>
      <c r="I495">
        <v>0</v>
      </c>
      <c r="J495">
        <v>26</v>
      </c>
      <c r="K495" s="2">
        <v>45785</v>
      </c>
    </row>
    <row r="496" spans="1:11" x14ac:dyDescent="0.25">
      <c r="A496" s="1" t="s">
        <v>826</v>
      </c>
      <c r="B496" s="1"/>
      <c r="C496" s="1" t="s">
        <v>2904</v>
      </c>
      <c r="D496" s="1" t="s">
        <v>3413</v>
      </c>
      <c r="E496" s="1"/>
      <c r="F496">
        <v>0.3</v>
      </c>
      <c r="G496">
        <v>0.6</v>
      </c>
      <c r="H496">
        <v>-15</v>
      </c>
      <c r="I496">
        <v>0</v>
      </c>
      <c r="J496">
        <v>26</v>
      </c>
      <c r="K496" s="2">
        <v>45785</v>
      </c>
    </row>
    <row r="497" spans="1:11" x14ac:dyDescent="0.25">
      <c r="A497" s="1" t="s">
        <v>826</v>
      </c>
      <c r="B497" s="1"/>
      <c r="C497" s="1" t="s">
        <v>2905</v>
      </c>
      <c r="D497" s="1" t="s">
        <v>3414</v>
      </c>
      <c r="E497" s="1"/>
      <c r="F497">
        <v>0.3</v>
      </c>
      <c r="G497">
        <v>0.6</v>
      </c>
      <c r="H497">
        <v>-15</v>
      </c>
      <c r="I497">
        <v>0</v>
      </c>
      <c r="J497">
        <v>26</v>
      </c>
      <c r="K497" s="2">
        <v>45785</v>
      </c>
    </row>
    <row r="498" spans="1:11" x14ac:dyDescent="0.25">
      <c r="A498" s="1" t="s">
        <v>826</v>
      </c>
      <c r="B498" s="1"/>
      <c r="C498" s="1" t="s">
        <v>2903</v>
      </c>
      <c r="D498" s="1" t="s">
        <v>3412</v>
      </c>
      <c r="E498" s="1"/>
      <c r="F498">
        <v>0.3</v>
      </c>
      <c r="G498">
        <v>0.6</v>
      </c>
      <c r="H498">
        <v>-20</v>
      </c>
      <c r="I498">
        <v>0</v>
      </c>
      <c r="J498">
        <v>26</v>
      </c>
      <c r="K498" s="2">
        <v>45785</v>
      </c>
    </row>
    <row r="499" spans="1:11" x14ac:dyDescent="0.25">
      <c r="A499" s="1" t="s">
        <v>826</v>
      </c>
      <c r="B499" s="1"/>
      <c r="C499" s="1" t="s">
        <v>2906</v>
      </c>
      <c r="D499" s="1" t="s">
        <v>3388</v>
      </c>
      <c r="E499" s="1"/>
      <c r="F499">
        <v>0.2</v>
      </c>
      <c r="G499">
        <v>0.2</v>
      </c>
      <c r="H499">
        <v>5</v>
      </c>
      <c r="I499">
        <v>0</v>
      </c>
      <c r="J499">
        <v>26</v>
      </c>
      <c r="K499" s="2">
        <v>45785</v>
      </c>
    </row>
    <row r="500" spans="1:11" x14ac:dyDescent="0.25">
      <c r="A500" s="1" t="s">
        <v>826</v>
      </c>
      <c r="B500" s="1"/>
      <c r="C500" s="1" t="s">
        <v>2907</v>
      </c>
      <c r="D500" s="1" t="s">
        <v>3415</v>
      </c>
      <c r="E500" s="1"/>
      <c r="F500">
        <v>4.7</v>
      </c>
      <c r="G500">
        <v>15.9</v>
      </c>
      <c r="H500">
        <v>-585</v>
      </c>
      <c r="I500">
        <v>0</v>
      </c>
      <c r="J500">
        <v>26</v>
      </c>
      <c r="K500" s="2">
        <v>45785</v>
      </c>
    </row>
    <row r="501" spans="1:11" x14ac:dyDescent="0.25">
      <c r="A501" s="1" t="s">
        <v>826</v>
      </c>
      <c r="B501" s="1"/>
      <c r="C501" s="1" t="s">
        <v>2908</v>
      </c>
      <c r="D501" s="1" t="s">
        <v>3391</v>
      </c>
      <c r="E501" s="1"/>
      <c r="F501">
        <v>1.8</v>
      </c>
      <c r="G501">
        <v>3</v>
      </c>
      <c r="H501">
        <v>-65</v>
      </c>
      <c r="I501">
        <v>0</v>
      </c>
      <c r="J501">
        <v>25</v>
      </c>
      <c r="K501" s="2">
        <v>45789</v>
      </c>
    </row>
    <row r="502" spans="1:11" x14ac:dyDescent="0.25">
      <c r="A502" s="1" t="s">
        <v>826</v>
      </c>
      <c r="B502" s="1"/>
      <c r="C502" s="1" t="s">
        <v>2909</v>
      </c>
      <c r="D502" s="1" t="s">
        <v>3388</v>
      </c>
      <c r="E502" s="1"/>
      <c r="F502">
        <v>0.9</v>
      </c>
      <c r="G502">
        <v>1.4</v>
      </c>
      <c r="H502">
        <v>-25</v>
      </c>
      <c r="I502">
        <v>0</v>
      </c>
      <c r="J502">
        <v>25</v>
      </c>
      <c r="K502" s="2">
        <v>45785</v>
      </c>
    </row>
    <row r="503" spans="1:11" x14ac:dyDescent="0.25">
      <c r="A503" s="1" t="s">
        <v>826</v>
      </c>
      <c r="B503" s="1"/>
      <c r="C503" s="1" t="s">
        <v>2910</v>
      </c>
      <c r="D503" s="1" t="s">
        <v>3416</v>
      </c>
      <c r="E503" s="1"/>
      <c r="F503">
        <v>0.7</v>
      </c>
      <c r="G503">
        <v>2.1</v>
      </c>
      <c r="H503">
        <v>-65</v>
      </c>
      <c r="I503">
        <v>0</v>
      </c>
      <c r="J503">
        <v>25</v>
      </c>
      <c r="K503" s="2">
        <v>45789</v>
      </c>
    </row>
    <row r="504" spans="1:11" x14ac:dyDescent="0.25">
      <c r="A504" s="1" t="s">
        <v>826</v>
      </c>
      <c r="B504" s="1"/>
      <c r="C504" s="1" t="s">
        <v>2911</v>
      </c>
      <c r="D504" s="1" t="s">
        <v>3388</v>
      </c>
      <c r="E504" s="1"/>
      <c r="F504">
        <v>0.3</v>
      </c>
      <c r="G504">
        <v>3.3</v>
      </c>
      <c r="H504">
        <v>-190</v>
      </c>
      <c r="I504">
        <v>0</v>
      </c>
      <c r="J504">
        <v>25</v>
      </c>
      <c r="K504" s="2">
        <v>45789</v>
      </c>
    </row>
    <row r="505" spans="1:11" x14ac:dyDescent="0.25">
      <c r="A505" s="1" t="s">
        <v>197</v>
      </c>
      <c r="B505" s="1"/>
      <c r="C505" s="1" t="s">
        <v>2912</v>
      </c>
      <c r="D505" s="1" t="s">
        <v>3375</v>
      </c>
      <c r="E505" s="1"/>
      <c r="F505">
        <v>40</v>
      </c>
      <c r="G505">
        <v>72.2</v>
      </c>
      <c r="H505">
        <v>-1665</v>
      </c>
      <c r="I505">
        <v>0</v>
      </c>
      <c r="J505">
        <v>2400</v>
      </c>
      <c r="K505" s="2">
        <v>45734</v>
      </c>
    </row>
    <row r="506" spans="1:11" x14ac:dyDescent="0.25">
      <c r="A506" s="1" t="s">
        <v>197</v>
      </c>
      <c r="B506" s="1"/>
      <c r="C506" s="1" t="s">
        <v>2853</v>
      </c>
      <c r="D506" s="1" t="s">
        <v>3417</v>
      </c>
      <c r="E506" s="1"/>
      <c r="F506">
        <v>4.3</v>
      </c>
      <c r="G506">
        <v>0</v>
      </c>
      <c r="H506">
        <v>225</v>
      </c>
      <c r="I506">
        <v>0</v>
      </c>
      <c r="J506">
        <v>2400</v>
      </c>
      <c r="K506" s="2">
        <v>45734</v>
      </c>
    </row>
    <row r="507" spans="1:11" x14ac:dyDescent="0.25">
      <c r="A507" s="1" t="s">
        <v>222</v>
      </c>
      <c r="B507" s="1"/>
      <c r="C507" s="1" t="s">
        <v>2913</v>
      </c>
      <c r="D507" s="1" t="s">
        <v>3386</v>
      </c>
      <c r="E507" s="1"/>
      <c r="F507">
        <v>38.5</v>
      </c>
      <c r="G507">
        <v>152.1</v>
      </c>
      <c r="H507">
        <v>-5875</v>
      </c>
      <c r="I507">
        <v>0</v>
      </c>
      <c r="J507">
        <v>2848</v>
      </c>
      <c r="K507" s="2">
        <v>45744</v>
      </c>
    </row>
    <row r="508" spans="1:11" x14ac:dyDescent="0.25">
      <c r="A508" s="1" t="s">
        <v>222</v>
      </c>
      <c r="B508" s="1"/>
      <c r="C508" s="1" t="s">
        <v>2812</v>
      </c>
      <c r="D508" s="1" t="s">
        <v>3374</v>
      </c>
      <c r="E508" s="1"/>
      <c r="F508">
        <v>0.3</v>
      </c>
      <c r="G508">
        <v>0</v>
      </c>
      <c r="H508">
        <v>20</v>
      </c>
      <c r="I508">
        <v>0</v>
      </c>
      <c r="J508">
        <v>2848</v>
      </c>
      <c r="K508" s="2">
        <v>45744</v>
      </c>
    </row>
    <row r="509" spans="1:11" x14ac:dyDescent="0.25">
      <c r="A509" s="1" t="s">
        <v>222</v>
      </c>
      <c r="B509" s="1"/>
      <c r="C509" s="1" t="s">
        <v>2912</v>
      </c>
      <c r="D509" s="1" t="s">
        <v>3375</v>
      </c>
      <c r="E509" s="1"/>
      <c r="F509">
        <v>43.8</v>
      </c>
      <c r="G509">
        <v>77.2</v>
      </c>
      <c r="H509">
        <v>-1725</v>
      </c>
      <c r="I509">
        <v>0</v>
      </c>
      <c r="J509">
        <v>2877</v>
      </c>
      <c r="K509" s="2">
        <v>45748</v>
      </c>
    </row>
    <row r="510" spans="1:11" x14ac:dyDescent="0.25">
      <c r="A510" s="1" t="s">
        <v>222</v>
      </c>
      <c r="B510" s="1"/>
      <c r="C510" s="1" t="s">
        <v>2848</v>
      </c>
      <c r="D510" s="1" t="s">
        <v>3372</v>
      </c>
      <c r="E510" s="1"/>
      <c r="F510">
        <v>1</v>
      </c>
      <c r="G510">
        <v>0.2</v>
      </c>
      <c r="H510">
        <v>40</v>
      </c>
      <c r="I510">
        <v>0</v>
      </c>
      <c r="J510">
        <v>2848</v>
      </c>
      <c r="K510" s="2">
        <v>45744</v>
      </c>
    </row>
    <row r="511" spans="1:11" x14ac:dyDescent="0.25">
      <c r="A511" s="1" t="s">
        <v>222</v>
      </c>
      <c r="B511" s="1"/>
      <c r="C511" s="1" t="s">
        <v>2853</v>
      </c>
      <c r="D511" s="1" t="s">
        <v>3417</v>
      </c>
      <c r="E511" s="1"/>
      <c r="F511">
        <v>4.5999999999999996</v>
      </c>
      <c r="G511">
        <v>0</v>
      </c>
      <c r="H511">
        <v>245</v>
      </c>
      <c r="I511">
        <v>0</v>
      </c>
      <c r="J511">
        <v>2848</v>
      </c>
      <c r="K511" s="2">
        <v>45744</v>
      </c>
    </row>
    <row r="512" spans="1:11" x14ac:dyDescent="0.25">
      <c r="A512" s="1" t="s">
        <v>427</v>
      </c>
      <c r="B512" s="1"/>
      <c r="C512" s="1" t="s">
        <v>2808</v>
      </c>
      <c r="D512" s="1" t="s">
        <v>3370</v>
      </c>
      <c r="E512" s="1"/>
      <c r="F512">
        <v>0</v>
      </c>
      <c r="G512">
        <v>0</v>
      </c>
      <c r="H512">
        <v>0</v>
      </c>
      <c r="I512">
        <v>0</v>
      </c>
      <c r="J512">
        <v>60</v>
      </c>
      <c r="K512" s="2">
        <v>45756</v>
      </c>
    </row>
    <row r="513" spans="1:11" x14ac:dyDescent="0.25">
      <c r="A513" s="1" t="s">
        <v>427</v>
      </c>
      <c r="B513" s="1"/>
      <c r="C513" s="1" t="s">
        <v>2914</v>
      </c>
      <c r="D513" s="1" t="s">
        <v>3389</v>
      </c>
      <c r="E513" s="1"/>
      <c r="F513">
        <v>0</v>
      </c>
      <c r="G513">
        <v>0</v>
      </c>
      <c r="H513">
        <v>35</v>
      </c>
      <c r="I513">
        <v>0</v>
      </c>
      <c r="J513">
        <v>60</v>
      </c>
      <c r="K513" s="2">
        <v>45763</v>
      </c>
    </row>
    <row r="514" spans="1:11" x14ac:dyDescent="0.25">
      <c r="A514" s="1" t="s">
        <v>427</v>
      </c>
      <c r="B514" s="1"/>
      <c r="C514" s="1" t="s">
        <v>2848</v>
      </c>
      <c r="D514" s="1" t="s">
        <v>3372</v>
      </c>
      <c r="E514" s="1"/>
      <c r="F514">
        <v>0.3</v>
      </c>
      <c r="G514">
        <v>0</v>
      </c>
      <c r="H514">
        <v>15</v>
      </c>
      <c r="I514">
        <v>0</v>
      </c>
      <c r="J514">
        <v>60</v>
      </c>
      <c r="K514" s="2">
        <v>45768</v>
      </c>
    </row>
    <row r="515" spans="1:11" x14ac:dyDescent="0.25">
      <c r="A515" s="1" t="s">
        <v>893</v>
      </c>
      <c r="B515" s="1"/>
      <c r="C515" s="1" t="s">
        <v>2808</v>
      </c>
      <c r="D515" s="1" t="s">
        <v>3370</v>
      </c>
      <c r="E515" s="1"/>
      <c r="F515">
        <v>0</v>
      </c>
      <c r="G515">
        <v>0</v>
      </c>
      <c r="H515">
        <v>0</v>
      </c>
      <c r="I515">
        <v>0</v>
      </c>
      <c r="J515">
        <v>61</v>
      </c>
      <c r="K515" s="2">
        <v>45783</v>
      </c>
    </row>
    <row r="516" spans="1:11" x14ac:dyDescent="0.25">
      <c r="A516" s="1" t="s">
        <v>893</v>
      </c>
      <c r="B516" s="1"/>
      <c r="C516" s="1" t="s">
        <v>2914</v>
      </c>
      <c r="D516" s="1" t="s">
        <v>3389</v>
      </c>
      <c r="E516" s="1"/>
      <c r="F516">
        <v>0</v>
      </c>
      <c r="G516">
        <v>0</v>
      </c>
      <c r="H516">
        <v>40</v>
      </c>
      <c r="I516">
        <v>0</v>
      </c>
      <c r="J516">
        <v>61</v>
      </c>
      <c r="K516" s="2">
        <v>45789</v>
      </c>
    </row>
    <row r="517" spans="1:11" x14ac:dyDescent="0.25">
      <c r="A517" s="1" t="s">
        <v>882</v>
      </c>
      <c r="B517" s="1"/>
      <c r="C517" s="1" t="s">
        <v>2808</v>
      </c>
      <c r="D517" s="1" t="s">
        <v>3370</v>
      </c>
      <c r="E517" s="1"/>
      <c r="F517">
        <v>0</v>
      </c>
      <c r="G517">
        <v>0</v>
      </c>
      <c r="H517">
        <v>0</v>
      </c>
      <c r="I517">
        <v>0</v>
      </c>
      <c r="J517">
        <v>891</v>
      </c>
      <c r="K517" s="2">
        <v>45783</v>
      </c>
    </row>
    <row r="518" spans="1:11" x14ac:dyDescent="0.25">
      <c r="A518" s="1" t="s">
        <v>882</v>
      </c>
      <c r="B518" s="1"/>
      <c r="C518" s="1" t="s">
        <v>2915</v>
      </c>
      <c r="D518" s="1" t="s">
        <v>3418</v>
      </c>
      <c r="E518" s="1"/>
      <c r="F518">
        <v>7.2</v>
      </c>
      <c r="G518">
        <v>10.7</v>
      </c>
      <c r="H518">
        <v>-165</v>
      </c>
      <c r="I518">
        <v>514</v>
      </c>
      <c r="J518">
        <v>377</v>
      </c>
      <c r="K518" s="2">
        <v>45784</v>
      </c>
    </row>
    <row r="519" spans="1:11" x14ac:dyDescent="0.25">
      <c r="A519" s="1" t="s">
        <v>882</v>
      </c>
      <c r="B519" s="1"/>
      <c r="C519" s="1" t="s">
        <v>2812</v>
      </c>
      <c r="D519" s="1" t="s">
        <v>3374</v>
      </c>
      <c r="E519" s="1"/>
      <c r="F519">
        <v>0</v>
      </c>
      <c r="G519">
        <v>0</v>
      </c>
      <c r="H519">
        <v>0</v>
      </c>
      <c r="I519">
        <v>0</v>
      </c>
      <c r="J519">
        <v>377</v>
      </c>
      <c r="K519" s="2">
        <v>45786</v>
      </c>
    </row>
    <row r="520" spans="1:11" x14ac:dyDescent="0.25">
      <c r="A520" s="1" t="s">
        <v>882</v>
      </c>
      <c r="B520" s="1"/>
      <c r="C520" s="1" t="s">
        <v>2916</v>
      </c>
      <c r="D520" s="1" t="s">
        <v>3391</v>
      </c>
      <c r="E520" s="1"/>
      <c r="F520">
        <v>22.5</v>
      </c>
      <c r="G520">
        <v>7.5</v>
      </c>
      <c r="H520">
        <v>830</v>
      </c>
      <c r="I520">
        <v>0</v>
      </c>
      <c r="J520">
        <v>306</v>
      </c>
      <c r="K520" s="2">
        <v>45786</v>
      </c>
    </row>
    <row r="521" spans="1:11" x14ac:dyDescent="0.25">
      <c r="A521" s="1" t="s">
        <v>726</v>
      </c>
      <c r="B521" s="1"/>
      <c r="C521" s="1" t="s">
        <v>2808</v>
      </c>
      <c r="D521" s="1" t="s">
        <v>3370</v>
      </c>
      <c r="E521" s="1"/>
      <c r="F521">
        <v>0</v>
      </c>
      <c r="G521">
        <v>0</v>
      </c>
      <c r="H521">
        <v>0</v>
      </c>
      <c r="I521">
        <v>0</v>
      </c>
      <c r="J521">
        <v>608</v>
      </c>
      <c r="K521" s="2">
        <v>45776</v>
      </c>
    </row>
    <row r="522" spans="1:11" x14ac:dyDescent="0.25">
      <c r="A522" s="1" t="s">
        <v>726</v>
      </c>
      <c r="B522" s="1"/>
      <c r="C522" s="1" t="s">
        <v>2917</v>
      </c>
      <c r="D522" s="1" t="s">
        <v>3418</v>
      </c>
      <c r="E522" s="1"/>
      <c r="F522">
        <v>4.9000000000000004</v>
      </c>
      <c r="G522">
        <v>12.9</v>
      </c>
      <c r="H522">
        <v>-390</v>
      </c>
      <c r="I522">
        <v>0</v>
      </c>
      <c r="J522">
        <v>608</v>
      </c>
      <c r="K522" s="2">
        <v>45776</v>
      </c>
    </row>
    <row r="523" spans="1:11" x14ac:dyDescent="0.25">
      <c r="A523" s="1" t="s">
        <v>579</v>
      </c>
      <c r="B523" s="1"/>
      <c r="C523" s="1" t="s">
        <v>2808</v>
      </c>
      <c r="D523" s="1" t="s">
        <v>3370</v>
      </c>
      <c r="E523" s="1"/>
      <c r="F523">
        <v>0</v>
      </c>
      <c r="G523">
        <v>0</v>
      </c>
      <c r="H523">
        <v>0</v>
      </c>
      <c r="I523">
        <v>0</v>
      </c>
      <c r="J523">
        <v>360</v>
      </c>
      <c r="K523" s="2">
        <v>45761</v>
      </c>
    </row>
    <row r="524" spans="1:11" x14ac:dyDescent="0.25">
      <c r="A524" s="1" t="s">
        <v>579</v>
      </c>
      <c r="B524" s="1"/>
      <c r="C524" s="1" t="s">
        <v>2918</v>
      </c>
      <c r="D524" s="1" t="s">
        <v>3388</v>
      </c>
      <c r="E524" s="1"/>
      <c r="F524">
        <v>0.5</v>
      </c>
      <c r="G524">
        <v>0.5</v>
      </c>
      <c r="H524">
        <v>-5</v>
      </c>
      <c r="I524">
        <v>0</v>
      </c>
      <c r="J524">
        <v>360</v>
      </c>
      <c r="K524" s="2">
        <v>45758</v>
      </c>
    </row>
    <row r="525" spans="1:11" x14ac:dyDescent="0.25">
      <c r="A525" s="1" t="s">
        <v>579</v>
      </c>
      <c r="B525" s="1"/>
      <c r="C525" s="1" t="s">
        <v>2919</v>
      </c>
      <c r="D525" s="1" t="s">
        <v>3388</v>
      </c>
      <c r="E525" s="1"/>
      <c r="F525">
        <v>0.5</v>
      </c>
      <c r="G525">
        <v>2.5</v>
      </c>
      <c r="H525">
        <v>-125</v>
      </c>
      <c r="I525">
        <v>0</v>
      </c>
      <c r="J525">
        <v>360</v>
      </c>
      <c r="K525" s="2">
        <v>45761</v>
      </c>
    </row>
    <row r="526" spans="1:11" x14ac:dyDescent="0.25">
      <c r="A526" s="1" t="s">
        <v>579</v>
      </c>
      <c r="B526" s="1"/>
      <c r="C526" s="1" t="s">
        <v>2920</v>
      </c>
      <c r="D526" s="1" t="s">
        <v>3415</v>
      </c>
      <c r="E526" s="1"/>
      <c r="F526">
        <v>6</v>
      </c>
      <c r="G526">
        <v>16.899999999999999</v>
      </c>
      <c r="H526">
        <v>-575</v>
      </c>
      <c r="I526">
        <v>2</v>
      </c>
      <c r="J526">
        <v>358</v>
      </c>
      <c r="K526" s="2">
        <v>45762</v>
      </c>
    </row>
    <row r="527" spans="1:11" x14ac:dyDescent="0.25">
      <c r="A527" s="1" t="s">
        <v>579</v>
      </c>
      <c r="B527" s="1"/>
      <c r="C527" s="1" t="s">
        <v>2812</v>
      </c>
      <c r="D527" s="1" t="s">
        <v>3374</v>
      </c>
      <c r="E527" s="1"/>
      <c r="F527">
        <v>2</v>
      </c>
      <c r="G527">
        <v>0</v>
      </c>
      <c r="H527">
        <v>105</v>
      </c>
      <c r="I527">
        <v>0</v>
      </c>
      <c r="J527">
        <v>358</v>
      </c>
      <c r="K527" s="2">
        <v>45768</v>
      </c>
    </row>
    <row r="528" spans="1:11" x14ac:dyDescent="0.25">
      <c r="A528" s="1" t="s">
        <v>579</v>
      </c>
      <c r="B528" s="1"/>
      <c r="C528" s="1" t="s">
        <v>2921</v>
      </c>
      <c r="D528" s="1" t="s">
        <v>3391</v>
      </c>
      <c r="E528" s="1"/>
      <c r="F528">
        <v>3.6</v>
      </c>
      <c r="G528">
        <v>13.6</v>
      </c>
      <c r="H528">
        <v>-545</v>
      </c>
      <c r="I528">
        <v>0</v>
      </c>
      <c r="J528">
        <v>358</v>
      </c>
      <c r="K528" s="2">
        <v>45768</v>
      </c>
    </row>
    <row r="529" spans="1:11" x14ac:dyDescent="0.25">
      <c r="A529" s="1" t="s">
        <v>579</v>
      </c>
      <c r="B529" s="1"/>
      <c r="C529" s="1" t="s">
        <v>2922</v>
      </c>
      <c r="D529" s="1" t="s">
        <v>3371</v>
      </c>
      <c r="E529" s="1"/>
      <c r="F529">
        <v>2</v>
      </c>
      <c r="G529">
        <v>2.5</v>
      </c>
      <c r="H529">
        <v>-20</v>
      </c>
      <c r="I529">
        <v>0</v>
      </c>
      <c r="J529">
        <v>358</v>
      </c>
      <c r="K529" s="2">
        <v>45772</v>
      </c>
    </row>
    <row r="530" spans="1:11" x14ac:dyDescent="0.25">
      <c r="A530" s="1" t="s">
        <v>579</v>
      </c>
      <c r="B530" s="1"/>
      <c r="C530" s="1" t="s">
        <v>2923</v>
      </c>
      <c r="D530" s="1" t="s">
        <v>3419</v>
      </c>
      <c r="E530" s="1"/>
      <c r="F530">
        <v>3</v>
      </c>
      <c r="G530">
        <v>0.3</v>
      </c>
      <c r="H530">
        <v>150</v>
      </c>
      <c r="I530">
        <v>0</v>
      </c>
      <c r="J530">
        <v>358</v>
      </c>
      <c r="K530" s="2">
        <v>45772</v>
      </c>
    </row>
    <row r="531" spans="1:11" x14ac:dyDescent="0.25">
      <c r="A531" s="1" t="s">
        <v>579</v>
      </c>
      <c r="B531" s="1"/>
      <c r="C531" s="1" t="s">
        <v>2924</v>
      </c>
      <c r="D531" s="1" t="s">
        <v>3372</v>
      </c>
      <c r="E531" s="1"/>
      <c r="F531">
        <v>1</v>
      </c>
      <c r="G531">
        <v>0</v>
      </c>
      <c r="H531">
        <v>55</v>
      </c>
      <c r="I531">
        <v>0</v>
      </c>
      <c r="J531">
        <v>358</v>
      </c>
      <c r="K531" s="2">
        <v>45772</v>
      </c>
    </row>
    <row r="532" spans="1:11" x14ac:dyDescent="0.25">
      <c r="A532" s="1" t="s">
        <v>632</v>
      </c>
      <c r="B532" s="1"/>
      <c r="C532" s="1" t="s">
        <v>2808</v>
      </c>
      <c r="D532" s="1" t="s">
        <v>3370</v>
      </c>
      <c r="E532" s="1"/>
      <c r="F532">
        <v>0</v>
      </c>
      <c r="G532">
        <v>0</v>
      </c>
      <c r="H532">
        <v>0</v>
      </c>
      <c r="I532">
        <v>0</v>
      </c>
      <c r="J532">
        <v>1968</v>
      </c>
      <c r="K532" s="2">
        <v>45762</v>
      </c>
    </row>
    <row r="533" spans="1:11" x14ac:dyDescent="0.25">
      <c r="A533" s="1" t="s">
        <v>632</v>
      </c>
      <c r="B533" s="1"/>
      <c r="C533" s="1" t="s">
        <v>2918</v>
      </c>
      <c r="D533" s="1" t="s">
        <v>3388</v>
      </c>
      <c r="E533" s="1"/>
      <c r="F533">
        <v>2.5</v>
      </c>
      <c r="G533">
        <v>0.3</v>
      </c>
      <c r="H533">
        <v>140</v>
      </c>
      <c r="I533">
        <v>0</v>
      </c>
      <c r="J533">
        <v>1968</v>
      </c>
      <c r="K533" s="2">
        <v>45771</v>
      </c>
    </row>
    <row r="534" spans="1:11" x14ac:dyDescent="0.25">
      <c r="A534" s="1" t="s">
        <v>632</v>
      </c>
      <c r="B534" s="1"/>
      <c r="C534" s="1" t="s">
        <v>2833</v>
      </c>
      <c r="D534" s="1" t="s">
        <v>3388</v>
      </c>
      <c r="E534" s="1"/>
      <c r="F534">
        <v>2.5</v>
      </c>
      <c r="G534">
        <v>8.6</v>
      </c>
      <c r="H534">
        <v>-380</v>
      </c>
      <c r="I534">
        <v>0</v>
      </c>
      <c r="J534">
        <v>1968</v>
      </c>
      <c r="K534" s="2">
        <v>45771</v>
      </c>
    </row>
    <row r="535" spans="1:11" x14ac:dyDescent="0.25">
      <c r="A535" s="1" t="s">
        <v>632</v>
      </c>
      <c r="B535" s="1"/>
      <c r="C535" s="1" t="s">
        <v>2915</v>
      </c>
      <c r="D535" s="1" t="s">
        <v>3415</v>
      </c>
      <c r="E535" s="1"/>
      <c r="F535">
        <v>19.399999999999999</v>
      </c>
      <c r="G535">
        <v>63.8</v>
      </c>
      <c r="H535">
        <v>-2455</v>
      </c>
      <c r="I535">
        <v>0</v>
      </c>
      <c r="J535">
        <v>1968</v>
      </c>
      <c r="K535" s="2">
        <v>45771</v>
      </c>
    </row>
    <row r="536" spans="1:11" x14ac:dyDescent="0.25">
      <c r="A536" s="1" t="s">
        <v>632</v>
      </c>
      <c r="B536" s="1"/>
      <c r="C536" s="1" t="s">
        <v>2812</v>
      </c>
      <c r="D536" s="1" t="s">
        <v>3374</v>
      </c>
      <c r="E536" s="1"/>
      <c r="F536">
        <v>0</v>
      </c>
      <c r="G536">
        <v>0.8</v>
      </c>
      <c r="H536">
        <v>-35</v>
      </c>
      <c r="I536">
        <v>0</v>
      </c>
      <c r="J536">
        <v>1968</v>
      </c>
      <c r="K536" s="2">
        <v>45778</v>
      </c>
    </row>
    <row r="537" spans="1:11" x14ac:dyDescent="0.25">
      <c r="A537" s="1" t="s">
        <v>632</v>
      </c>
      <c r="B537" s="1"/>
      <c r="C537" s="1" t="s">
        <v>2921</v>
      </c>
      <c r="D537" s="1" t="s">
        <v>3391</v>
      </c>
      <c r="E537" s="1"/>
      <c r="F537">
        <v>19.899999999999999</v>
      </c>
      <c r="G537">
        <v>58.2</v>
      </c>
      <c r="H537">
        <v>-2085</v>
      </c>
      <c r="I537">
        <v>0</v>
      </c>
      <c r="J537">
        <v>1952</v>
      </c>
      <c r="K537" s="2">
        <v>45778</v>
      </c>
    </row>
    <row r="538" spans="1:11" x14ac:dyDescent="0.25">
      <c r="A538" s="1" t="s">
        <v>632</v>
      </c>
      <c r="B538" s="1"/>
      <c r="C538" s="1" t="s">
        <v>2925</v>
      </c>
      <c r="D538" s="1" t="s">
        <v>3371</v>
      </c>
      <c r="E538" s="1"/>
      <c r="F538">
        <v>0.2</v>
      </c>
      <c r="G538">
        <v>11.6</v>
      </c>
      <c r="H538">
        <v>-585</v>
      </c>
      <c r="I538">
        <v>0</v>
      </c>
      <c r="J538">
        <v>1952</v>
      </c>
      <c r="K538" s="2">
        <v>45778</v>
      </c>
    </row>
    <row r="539" spans="1:11" x14ac:dyDescent="0.25">
      <c r="A539" s="1" t="s">
        <v>632</v>
      </c>
      <c r="B539" s="1"/>
      <c r="C539" s="1" t="s">
        <v>2817</v>
      </c>
      <c r="D539" s="1" t="s">
        <v>3419</v>
      </c>
      <c r="E539" s="1"/>
      <c r="F539">
        <v>16.399999999999999</v>
      </c>
      <c r="G539">
        <v>0</v>
      </c>
      <c r="H539">
        <v>900</v>
      </c>
      <c r="I539">
        <v>0</v>
      </c>
      <c r="J539">
        <v>1952</v>
      </c>
      <c r="K539" s="2">
        <v>45778</v>
      </c>
    </row>
    <row r="540" spans="1:11" x14ac:dyDescent="0.25">
      <c r="A540" s="1" t="s">
        <v>947</v>
      </c>
      <c r="B540" s="1"/>
      <c r="C540" s="1" t="s">
        <v>2808</v>
      </c>
      <c r="D540" s="1" t="s">
        <v>3370</v>
      </c>
      <c r="E540" s="1"/>
      <c r="F540">
        <v>0</v>
      </c>
      <c r="G540">
        <v>0</v>
      </c>
      <c r="H540">
        <v>0</v>
      </c>
      <c r="I540">
        <v>0</v>
      </c>
      <c r="J540">
        <v>1560</v>
      </c>
      <c r="K540" s="2">
        <v>45786</v>
      </c>
    </row>
    <row r="541" spans="1:11" x14ac:dyDescent="0.25">
      <c r="A541" s="1" t="s">
        <v>947</v>
      </c>
      <c r="B541" s="1"/>
      <c r="C541" s="1" t="s">
        <v>2918</v>
      </c>
      <c r="D541" s="1" t="s">
        <v>3388</v>
      </c>
      <c r="E541" s="1"/>
      <c r="F541">
        <v>2</v>
      </c>
      <c r="G541">
        <v>3.3</v>
      </c>
      <c r="H541">
        <v>-85</v>
      </c>
      <c r="I541">
        <v>0</v>
      </c>
      <c r="J541">
        <v>1560</v>
      </c>
      <c r="K541" s="2">
        <v>45786</v>
      </c>
    </row>
    <row r="542" spans="1:11" x14ac:dyDescent="0.25">
      <c r="A542" s="1" t="s">
        <v>272</v>
      </c>
      <c r="B542" s="1"/>
      <c r="C542" s="1" t="s">
        <v>2915</v>
      </c>
      <c r="D542" s="1" t="s">
        <v>3415</v>
      </c>
      <c r="E542" s="1"/>
      <c r="F542">
        <v>3.7</v>
      </c>
      <c r="G542">
        <v>10</v>
      </c>
      <c r="H542">
        <v>-320</v>
      </c>
      <c r="I542">
        <v>-1</v>
      </c>
      <c r="J542">
        <v>81</v>
      </c>
      <c r="K542" s="2">
        <v>45751</v>
      </c>
    </row>
    <row r="543" spans="1:11" x14ac:dyDescent="0.25">
      <c r="A543" s="1" t="s">
        <v>272</v>
      </c>
      <c r="B543" s="1"/>
      <c r="C543" s="1" t="s">
        <v>2812</v>
      </c>
      <c r="D543" s="1" t="s">
        <v>3374</v>
      </c>
      <c r="E543" s="1"/>
      <c r="F543">
        <v>0</v>
      </c>
      <c r="G543">
        <v>0</v>
      </c>
      <c r="H543">
        <v>0</v>
      </c>
      <c r="I543">
        <v>0</v>
      </c>
      <c r="J543">
        <v>81</v>
      </c>
      <c r="K543" s="2">
        <v>45751</v>
      </c>
    </row>
    <row r="544" spans="1:11" x14ac:dyDescent="0.25">
      <c r="A544" s="1" t="s">
        <v>272</v>
      </c>
      <c r="B544" s="1"/>
      <c r="C544" s="1" t="s">
        <v>2921</v>
      </c>
      <c r="D544" s="1" t="s">
        <v>3391</v>
      </c>
      <c r="E544" s="1"/>
      <c r="F544">
        <v>1.1000000000000001</v>
      </c>
      <c r="G544">
        <v>1</v>
      </c>
      <c r="H544">
        <v>10</v>
      </c>
      <c r="I544">
        <v>1</v>
      </c>
      <c r="J544">
        <v>80</v>
      </c>
      <c r="K544" s="2">
        <v>45751</v>
      </c>
    </row>
    <row r="545" spans="1:11" x14ac:dyDescent="0.25">
      <c r="A545" s="1" t="s">
        <v>272</v>
      </c>
      <c r="B545" s="1"/>
      <c r="C545" s="1" t="s">
        <v>2817</v>
      </c>
      <c r="D545" s="1" t="s">
        <v>3419</v>
      </c>
      <c r="E545" s="1"/>
      <c r="F545">
        <v>0.7</v>
      </c>
      <c r="G545">
        <v>0.1</v>
      </c>
      <c r="H545">
        <v>30</v>
      </c>
      <c r="I545">
        <v>0</v>
      </c>
      <c r="J545">
        <v>80</v>
      </c>
      <c r="K545" s="2">
        <v>45751</v>
      </c>
    </row>
    <row r="546" spans="1:11" x14ac:dyDescent="0.25">
      <c r="A546" s="1" t="s">
        <v>776</v>
      </c>
      <c r="B546" s="1"/>
      <c r="C546" s="1" t="s">
        <v>2808</v>
      </c>
      <c r="D546" s="1" t="s">
        <v>3370</v>
      </c>
      <c r="E546" s="1"/>
      <c r="F546">
        <v>0</v>
      </c>
      <c r="G546">
        <v>0</v>
      </c>
      <c r="H546">
        <v>0</v>
      </c>
      <c r="I546">
        <v>0</v>
      </c>
      <c r="J546">
        <v>198</v>
      </c>
      <c r="K546" s="2">
        <v>45776</v>
      </c>
    </row>
    <row r="547" spans="1:11" x14ac:dyDescent="0.25">
      <c r="A547" s="1" t="s">
        <v>776</v>
      </c>
      <c r="B547" s="1"/>
      <c r="C547" s="1" t="s">
        <v>2926</v>
      </c>
      <c r="D547" s="1" t="s">
        <v>3371</v>
      </c>
      <c r="E547" s="1"/>
      <c r="F547">
        <v>0.7</v>
      </c>
      <c r="G547">
        <v>0.2</v>
      </c>
      <c r="H547">
        <v>30</v>
      </c>
      <c r="I547">
        <v>0</v>
      </c>
      <c r="J547">
        <v>198</v>
      </c>
      <c r="K547" s="2">
        <v>45777</v>
      </c>
    </row>
    <row r="548" spans="1:11" x14ac:dyDescent="0.25">
      <c r="A548" s="1" t="s">
        <v>776</v>
      </c>
      <c r="B548" s="1"/>
      <c r="C548" s="1" t="s">
        <v>2927</v>
      </c>
      <c r="D548" s="1" t="s">
        <v>3406</v>
      </c>
      <c r="E548" s="1"/>
      <c r="F548">
        <v>6.1</v>
      </c>
      <c r="G548">
        <v>31.3</v>
      </c>
      <c r="H548">
        <v>-1270</v>
      </c>
      <c r="I548">
        <v>10</v>
      </c>
      <c r="J548">
        <v>188</v>
      </c>
      <c r="K548" s="2">
        <v>45778</v>
      </c>
    </row>
    <row r="549" spans="1:11" x14ac:dyDescent="0.25">
      <c r="A549" s="1" t="s">
        <v>776</v>
      </c>
      <c r="B549" s="1"/>
      <c r="C549" s="1" t="s">
        <v>2812</v>
      </c>
      <c r="D549" s="1" t="s">
        <v>3374</v>
      </c>
      <c r="E549" s="1"/>
      <c r="F549">
        <v>0.3</v>
      </c>
      <c r="G549">
        <v>0</v>
      </c>
      <c r="H549">
        <v>20</v>
      </c>
      <c r="I549">
        <v>0</v>
      </c>
      <c r="J549">
        <v>188</v>
      </c>
      <c r="K549" s="2">
        <v>45779</v>
      </c>
    </row>
    <row r="550" spans="1:11" x14ac:dyDescent="0.25">
      <c r="A550" s="1" t="s">
        <v>776</v>
      </c>
      <c r="B550" s="1"/>
      <c r="C550" s="1" t="s">
        <v>2928</v>
      </c>
      <c r="D550" s="1" t="s">
        <v>3391</v>
      </c>
      <c r="E550" s="1"/>
      <c r="F550">
        <v>3.5</v>
      </c>
      <c r="G550">
        <v>16.3</v>
      </c>
      <c r="H550">
        <v>-700</v>
      </c>
      <c r="I550">
        <v>3</v>
      </c>
      <c r="J550">
        <v>185</v>
      </c>
      <c r="K550" s="2">
        <v>45789</v>
      </c>
    </row>
    <row r="551" spans="1:11" x14ac:dyDescent="0.25">
      <c r="A551" s="1" t="s">
        <v>912</v>
      </c>
      <c r="B551" s="1"/>
      <c r="C551" s="1" t="s">
        <v>2808</v>
      </c>
      <c r="D551" s="1" t="s">
        <v>3370</v>
      </c>
      <c r="E551" s="1"/>
      <c r="F551">
        <v>0</v>
      </c>
      <c r="G551">
        <v>0</v>
      </c>
      <c r="H551">
        <v>0</v>
      </c>
      <c r="I551">
        <v>0</v>
      </c>
      <c r="J551">
        <v>192</v>
      </c>
      <c r="K551" s="2">
        <v>45785</v>
      </c>
    </row>
    <row r="552" spans="1:11" x14ac:dyDescent="0.25">
      <c r="A552" s="1" t="s">
        <v>912</v>
      </c>
      <c r="B552" s="1"/>
      <c r="C552" s="1" t="s">
        <v>2926</v>
      </c>
      <c r="D552" s="1" t="s">
        <v>3388</v>
      </c>
      <c r="E552" s="1"/>
      <c r="F552">
        <v>0.7</v>
      </c>
      <c r="G552">
        <v>0</v>
      </c>
      <c r="H552">
        <v>45</v>
      </c>
      <c r="I552">
        <v>0</v>
      </c>
      <c r="J552">
        <v>196</v>
      </c>
      <c r="K552" s="2">
        <v>45789</v>
      </c>
    </row>
    <row r="553" spans="1:11" x14ac:dyDescent="0.25">
      <c r="A553" s="1" t="s">
        <v>912</v>
      </c>
      <c r="B553" s="1"/>
      <c r="C553" s="1" t="s">
        <v>2929</v>
      </c>
      <c r="D553" s="1" t="s">
        <v>3406</v>
      </c>
      <c r="E553" s="1"/>
      <c r="F553">
        <v>7</v>
      </c>
      <c r="G553">
        <v>9</v>
      </c>
      <c r="H553">
        <v>-80</v>
      </c>
      <c r="I553">
        <v>0</v>
      </c>
      <c r="J553">
        <v>193</v>
      </c>
      <c r="K553" s="2">
        <v>45789</v>
      </c>
    </row>
    <row r="554" spans="1:11" x14ac:dyDescent="0.25">
      <c r="A554" s="1" t="s">
        <v>912</v>
      </c>
      <c r="B554" s="1"/>
      <c r="C554" s="1" t="s">
        <v>2812</v>
      </c>
      <c r="D554" s="1" t="s">
        <v>3374</v>
      </c>
      <c r="E554" s="1"/>
      <c r="F554">
        <v>0</v>
      </c>
      <c r="G554">
        <v>0</v>
      </c>
      <c r="H554">
        <v>0</v>
      </c>
      <c r="I554">
        <v>0</v>
      </c>
      <c r="J554">
        <v>192</v>
      </c>
      <c r="K554" s="2">
        <v>45789</v>
      </c>
    </row>
    <row r="555" spans="1:11" x14ac:dyDescent="0.25">
      <c r="A555" s="1" t="s">
        <v>110</v>
      </c>
      <c r="B555" s="1"/>
      <c r="C555" s="1" t="s">
        <v>2808</v>
      </c>
      <c r="D555" s="1" t="s">
        <v>3370</v>
      </c>
      <c r="E555" s="1"/>
      <c r="F555">
        <v>0</v>
      </c>
      <c r="G555">
        <v>0</v>
      </c>
      <c r="H555">
        <v>0</v>
      </c>
      <c r="I555">
        <v>0</v>
      </c>
      <c r="J555">
        <v>64</v>
      </c>
      <c r="K555" s="2">
        <v>45779</v>
      </c>
    </row>
    <row r="556" spans="1:11" x14ac:dyDescent="0.25">
      <c r="A556" s="1" t="s">
        <v>110</v>
      </c>
      <c r="B556" s="1"/>
      <c r="C556" s="1" t="s">
        <v>2930</v>
      </c>
      <c r="D556" s="1" t="s">
        <v>3391</v>
      </c>
      <c r="E556" s="1"/>
      <c r="F556">
        <v>0</v>
      </c>
      <c r="G556">
        <v>0.5</v>
      </c>
      <c r="H556">
        <v>-25</v>
      </c>
      <c r="I556">
        <v>0</v>
      </c>
      <c r="J556">
        <v>64</v>
      </c>
      <c r="K556" s="2">
        <v>45783</v>
      </c>
    </row>
    <row r="557" spans="1:11" x14ac:dyDescent="0.25">
      <c r="A557" s="1" t="s">
        <v>110</v>
      </c>
      <c r="B557" s="1"/>
      <c r="C557" s="1" t="s">
        <v>2918</v>
      </c>
      <c r="D557" s="1" t="s">
        <v>3388</v>
      </c>
      <c r="E557" s="1"/>
      <c r="F557">
        <v>0.3</v>
      </c>
      <c r="G557">
        <v>0.3</v>
      </c>
      <c r="H557">
        <v>0</v>
      </c>
      <c r="I557">
        <v>0</v>
      </c>
      <c r="J557">
        <v>64</v>
      </c>
      <c r="K557" s="2">
        <v>45779</v>
      </c>
    </row>
    <row r="558" spans="1:11" x14ac:dyDescent="0.25">
      <c r="A558" s="1" t="s">
        <v>110</v>
      </c>
      <c r="B558" s="1"/>
      <c r="C558" s="1" t="s">
        <v>2931</v>
      </c>
      <c r="D558" s="1" t="s">
        <v>3388</v>
      </c>
      <c r="E558" s="1"/>
      <c r="F558">
        <v>0.3</v>
      </c>
      <c r="G558">
        <v>1.4</v>
      </c>
      <c r="H558">
        <v>-70</v>
      </c>
      <c r="I558">
        <v>0</v>
      </c>
      <c r="J558">
        <v>64</v>
      </c>
      <c r="K558" s="2">
        <v>45782</v>
      </c>
    </row>
    <row r="559" spans="1:11" x14ac:dyDescent="0.25">
      <c r="A559" s="1" t="s">
        <v>110</v>
      </c>
      <c r="B559" s="1"/>
      <c r="C559" s="1" t="s">
        <v>2915</v>
      </c>
      <c r="D559" s="1" t="s">
        <v>3415</v>
      </c>
      <c r="E559" s="1"/>
      <c r="F559">
        <v>3.3</v>
      </c>
      <c r="G559">
        <v>2.2999999999999998</v>
      </c>
      <c r="H559">
        <v>85</v>
      </c>
      <c r="I559">
        <v>0</v>
      </c>
      <c r="J559">
        <v>64</v>
      </c>
      <c r="K559" s="2">
        <v>45784</v>
      </c>
    </row>
    <row r="560" spans="1:11" x14ac:dyDescent="0.25">
      <c r="A560" s="1" t="s">
        <v>110</v>
      </c>
      <c r="B560" s="1"/>
      <c r="C560" s="1" t="s">
        <v>2932</v>
      </c>
      <c r="D560" s="1" t="s">
        <v>3391</v>
      </c>
      <c r="E560" s="1"/>
      <c r="F560">
        <v>0</v>
      </c>
      <c r="G560">
        <v>0</v>
      </c>
      <c r="H560">
        <v>0</v>
      </c>
      <c r="I560">
        <v>0</v>
      </c>
      <c r="J560">
        <v>64</v>
      </c>
      <c r="K560" s="2">
        <v>45784</v>
      </c>
    </row>
    <row r="561" spans="1:11" x14ac:dyDescent="0.25">
      <c r="A561" s="1" t="s">
        <v>110</v>
      </c>
      <c r="B561" s="1"/>
      <c r="C561" s="1" t="s">
        <v>2812</v>
      </c>
      <c r="D561" s="1" t="s">
        <v>3374</v>
      </c>
      <c r="E561" s="1"/>
      <c r="F561">
        <v>0.3</v>
      </c>
      <c r="G561">
        <v>0</v>
      </c>
      <c r="H561">
        <v>20</v>
      </c>
      <c r="I561">
        <v>0</v>
      </c>
      <c r="J561">
        <v>64</v>
      </c>
      <c r="K561" s="2">
        <v>45784</v>
      </c>
    </row>
    <row r="562" spans="1:11" x14ac:dyDescent="0.25">
      <c r="A562" s="1" t="s">
        <v>110</v>
      </c>
      <c r="B562" s="1"/>
      <c r="C562" s="1" t="s">
        <v>2933</v>
      </c>
      <c r="D562" s="1" t="s">
        <v>3391</v>
      </c>
      <c r="E562" s="1"/>
      <c r="F562">
        <v>0</v>
      </c>
      <c r="G562">
        <v>1</v>
      </c>
      <c r="H562">
        <v>-50</v>
      </c>
      <c r="I562">
        <v>0</v>
      </c>
      <c r="J562">
        <v>64</v>
      </c>
      <c r="K562" s="2">
        <v>45786</v>
      </c>
    </row>
    <row r="563" spans="1:11" x14ac:dyDescent="0.25">
      <c r="A563" s="1" t="s">
        <v>252</v>
      </c>
      <c r="B563" s="1"/>
      <c r="C563" s="1" t="s">
        <v>2871</v>
      </c>
      <c r="D563" s="1" t="s">
        <v>3404</v>
      </c>
      <c r="E563" s="1"/>
      <c r="F563">
        <v>6.5</v>
      </c>
      <c r="G563">
        <v>53</v>
      </c>
      <c r="H563">
        <v>-2395</v>
      </c>
      <c r="I563">
        <v>120</v>
      </c>
      <c r="J563">
        <v>4888</v>
      </c>
      <c r="K563" s="2">
        <v>45757</v>
      </c>
    </row>
    <row r="564" spans="1:11" x14ac:dyDescent="0.25">
      <c r="A564" s="1" t="s">
        <v>252</v>
      </c>
      <c r="B564" s="1"/>
      <c r="C564" s="1" t="s">
        <v>2872</v>
      </c>
      <c r="D564" s="1" t="s">
        <v>3371</v>
      </c>
      <c r="E564" s="1"/>
      <c r="F564">
        <v>6.5</v>
      </c>
      <c r="G564">
        <v>21.4</v>
      </c>
      <c r="H564">
        <v>-765</v>
      </c>
      <c r="I564">
        <v>0</v>
      </c>
      <c r="J564">
        <v>4888</v>
      </c>
      <c r="K564" s="2">
        <v>45757</v>
      </c>
    </row>
    <row r="565" spans="1:11" x14ac:dyDescent="0.25">
      <c r="A565" s="1" t="s">
        <v>252</v>
      </c>
      <c r="B565" s="1"/>
      <c r="C565" s="1" t="s">
        <v>2873</v>
      </c>
      <c r="D565" s="1" t="s">
        <v>3420</v>
      </c>
      <c r="E565" s="1"/>
      <c r="F565">
        <v>80.8</v>
      </c>
      <c r="G565">
        <v>66.900000000000006</v>
      </c>
      <c r="H565">
        <v>775</v>
      </c>
      <c r="I565">
        <v>11</v>
      </c>
      <c r="J565">
        <v>4877</v>
      </c>
      <c r="K565" s="2">
        <v>45757</v>
      </c>
    </row>
    <row r="566" spans="1:11" x14ac:dyDescent="0.25">
      <c r="A566" s="1" t="s">
        <v>252</v>
      </c>
      <c r="B566" s="1"/>
      <c r="C566" s="1" t="s">
        <v>2812</v>
      </c>
      <c r="D566" s="1" t="s">
        <v>3374</v>
      </c>
      <c r="E566" s="1"/>
      <c r="F566">
        <v>0.3</v>
      </c>
      <c r="G566">
        <v>16.899999999999999</v>
      </c>
      <c r="H566">
        <v>-855</v>
      </c>
      <c r="I566">
        <v>0</v>
      </c>
      <c r="J566">
        <v>4877</v>
      </c>
      <c r="K566" s="2">
        <v>45757</v>
      </c>
    </row>
    <row r="567" spans="1:11" x14ac:dyDescent="0.25">
      <c r="A567" s="1" t="s">
        <v>252</v>
      </c>
      <c r="B567" s="1"/>
      <c r="C567" s="1" t="s">
        <v>2934</v>
      </c>
      <c r="D567" s="1" t="s">
        <v>3375</v>
      </c>
      <c r="E567" s="1"/>
      <c r="F567">
        <v>83.7</v>
      </c>
      <c r="G567">
        <v>182.8</v>
      </c>
      <c r="H567">
        <v>-5120</v>
      </c>
      <c r="I567">
        <v>0</v>
      </c>
      <c r="J567">
        <v>4877</v>
      </c>
      <c r="K567" s="2">
        <v>45757</v>
      </c>
    </row>
    <row r="568" spans="1:11" x14ac:dyDescent="0.25">
      <c r="A568" s="1" t="s">
        <v>252</v>
      </c>
      <c r="B568" s="1"/>
      <c r="C568" s="1" t="s">
        <v>2816</v>
      </c>
      <c r="D568" s="1" t="s">
        <v>3372</v>
      </c>
      <c r="E568" s="1"/>
      <c r="F568">
        <v>0.5</v>
      </c>
      <c r="G568">
        <v>0.4</v>
      </c>
      <c r="H568">
        <v>5</v>
      </c>
      <c r="I568">
        <v>0</v>
      </c>
      <c r="J568">
        <v>4877</v>
      </c>
      <c r="K568" s="2">
        <v>45757</v>
      </c>
    </row>
    <row r="569" spans="1:11" x14ac:dyDescent="0.25">
      <c r="A569" s="1" t="s">
        <v>271</v>
      </c>
      <c r="B569" s="1"/>
      <c r="C569" s="1" t="s">
        <v>2871</v>
      </c>
      <c r="D569" s="1" t="s">
        <v>3404</v>
      </c>
      <c r="E569" s="1"/>
      <c r="F569">
        <v>6.1</v>
      </c>
      <c r="G569">
        <v>4.0999999999999996</v>
      </c>
      <c r="H569">
        <v>110</v>
      </c>
      <c r="I569">
        <v>0</v>
      </c>
      <c r="J569">
        <v>4640</v>
      </c>
      <c r="K569" s="2">
        <v>45735</v>
      </c>
    </row>
    <row r="570" spans="1:11" x14ac:dyDescent="0.25">
      <c r="A570" s="1" t="s">
        <v>271</v>
      </c>
      <c r="B570" s="1"/>
      <c r="C570" s="1" t="s">
        <v>2872</v>
      </c>
      <c r="D570" s="1" t="s">
        <v>3371</v>
      </c>
      <c r="E570" s="1"/>
      <c r="F570">
        <v>6.1</v>
      </c>
      <c r="G570">
        <v>2.4</v>
      </c>
      <c r="H570">
        <v>195</v>
      </c>
      <c r="I570">
        <v>0</v>
      </c>
      <c r="J570">
        <v>4640</v>
      </c>
      <c r="K570" s="2">
        <v>45735</v>
      </c>
    </row>
    <row r="571" spans="1:11" x14ac:dyDescent="0.25">
      <c r="A571" s="1" t="s">
        <v>271</v>
      </c>
      <c r="B571" s="1"/>
      <c r="C571" s="1" t="s">
        <v>2873</v>
      </c>
      <c r="D571" s="1" t="s">
        <v>3420</v>
      </c>
      <c r="E571" s="1"/>
      <c r="F571">
        <v>75</v>
      </c>
      <c r="G571">
        <v>79.5</v>
      </c>
      <c r="H571">
        <v>-175</v>
      </c>
      <c r="I571">
        <v>0</v>
      </c>
      <c r="J571">
        <v>4624</v>
      </c>
      <c r="K571" s="2">
        <v>45737</v>
      </c>
    </row>
    <row r="572" spans="1:11" x14ac:dyDescent="0.25">
      <c r="A572" s="1" t="s">
        <v>271</v>
      </c>
      <c r="B572" s="1"/>
      <c r="C572" s="1" t="s">
        <v>2812</v>
      </c>
      <c r="D572" s="1" t="s">
        <v>3374</v>
      </c>
      <c r="E572" s="1"/>
      <c r="F572">
        <v>0.3</v>
      </c>
      <c r="G572">
        <v>0.1</v>
      </c>
      <c r="H572">
        <v>20</v>
      </c>
      <c r="I572">
        <v>0</v>
      </c>
      <c r="J572">
        <v>4640</v>
      </c>
      <c r="K572" s="2">
        <v>45737</v>
      </c>
    </row>
    <row r="573" spans="1:11" x14ac:dyDescent="0.25">
      <c r="A573" s="1" t="s">
        <v>271</v>
      </c>
      <c r="B573" s="1"/>
      <c r="C573" s="1" t="s">
        <v>2870</v>
      </c>
      <c r="D573" s="1" t="s">
        <v>3375</v>
      </c>
      <c r="E573" s="1"/>
      <c r="F573">
        <v>77.599999999999994</v>
      </c>
      <c r="G573">
        <v>104.1</v>
      </c>
      <c r="H573">
        <v>-1360</v>
      </c>
      <c r="I573">
        <v>0</v>
      </c>
      <c r="J573">
        <v>4640</v>
      </c>
      <c r="K573" s="2">
        <v>45744</v>
      </c>
    </row>
    <row r="574" spans="1:11" x14ac:dyDescent="0.25">
      <c r="A574" s="1" t="s">
        <v>275</v>
      </c>
      <c r="B574" s="1"/>
      <c r="C574" s="1" t="s">
        <v>2871</v>
      </c>
      <c r="D574" s="1" t="s">
        <v>3404</v>
      </c>
      <c r="E574" s="1"/>
      <c r="F574">
        <v>6.1</v>
      </c>
      <c r="G574">
        <v>0</v>
      </c>
      <c r="H574">
        <v>320</v>
      </c>
      <c r="I574">
        <v>0</v>
      </c>
      <c r="J574">
        <v>4640</v>
      </c>
      <c r="K574" s="2">
        <v>45737</v>
      </c>
    </row>
    <row r="575" spans="1:11" x14ac:dyDescent="0.25">
      <c r="A575" s="1" t="s">
        <v>275</v>
      </c>
      <c r="B575" s="1"/>
      <c r="C575" s="1" t="s">
        <v>2872</v>
      </c>
      <c r="D575" s="1" t="s">
        <v>3371</v>
      </c>
      <c r="E575" s="1"/>
      <c r="F575">
        <v>6.1</v>
      </c>
      <c r="G575">
        <v>4.7</v>
      </c>
      <c r="H575">
        <v>80</v>
      </c>
      <c r="I575">
        <v>0</v>
      </c>
      <c r="J575">
        <v>4640</v>
      </c>
      <c r="K575" s="2">
        <v>45737</v>
      </c>
    </row>
    <row r="576" spans="1:11" x14ac:dyDescent="0.25">
      <c r="A576" s="1" t="s">
        <v>275</v>
      </c>
      <c r="B576" s="1"/>
      <c r="C576" s="1" t="s">
        <v>2873</v>
      </c>
      <c r="D576" s="1" t="s">
        <v>3420</v>
      </c>
      <c r="E576" s="1"/>
      <c r="F576">
        <v>75</v>
      </c>
      <c r="G576">
        <v>72.3</v>
      </c>
      <c r="H576">
        <v>180</v>
      </c>
      <c r="I576">
        <v>0</v>
      </c>
      <c r="J576">
        <v>4640</v>
      </c>
      <c r="K576" s="2">
        <v>45747</v>
      </c>
    </row>
    <row r="577" spans="1:11" x14ac:dyDescent="0.25">
      <c r="A577" s="1" t="s">
        <v>275</v>
      </c>
      <c r="B577" s="1"/>
      <c r="C577" s="1" t="s">
        <v>2812</v>
      </c>
      <c r="D577" s="1" t="s">
        <v>3374</v>
      </c>
      <c r="E577" s="1"/>
      <c r="F577">
        <v>0.3</v>
      </c>
      <c r="G577">
        <v>0</v>
      </c>
      <c r="H577">
        <v>20</v>
      </c>
      <c r="I577">
        <v>0</v>
      </c>
      <c r="J577">
        <v>4640</v>
      </c>
      <c r="K577" s="2">
        <v>45750</v>
      </c>
    </row>
    <row r="578" spans="1:11" x14ac:dyDescent="0.25">
      <c r="A578" s="1" t="s">
        <v>275</v>
      </c>
      <c r="B578" s="1"/>
      <c r="C578" s="1" t="s">
        <v>2870</v>
      </c>
      <c r="D578" s="1" t="s">
        <v>3375</v>
      </c>
      <c r="E578" s="1"/>
      <c r="F578">
        <v>77.599999999999994</v>
      </c>
      <c r="G578">
        <v>44.8</v>
      </c>
      <c r="H578">
        <v>1705</v>
      </c>
      <c r="I578">
        <v>0</v>
      </c>
      <c r="J578">
        <v>4640</v>
      </c>
      <c r="K578" s="2">
        <v>45758</v>
      </c>
    </row>
    <row r="579" spans="1:11" x14ac:dyDescent="0.25">
      <c r="A579" s="1" t="s">
        <v>275</v>
      </c>
      <c r="B579" s="1"/>
      <c r="C579" s="1" t="s">
        <v>2816</v>
      </c>
      <c r="D579" s="1" t="s">
        <v>3372</v>
      </c>
      <c r="E579" s="1"/>
      <c r="F579">
        <v>0.5</v>
      </c>
      <c r="G579">
        <v>1.9</v>
      </c>
      <c r="H579">
        <v>-70</v>
      </c>
      <c r="I579">
        <v>0</v>
      </c>
      <c r="J579">
        <v>4640</v>
      </c>
      <c r="K579" s="2">
        <v>45758</v>
      </c>
    </row>
    <row r="580" spans="1:11" x14ac:dyDescent="0.25">
      <c r="A580" s="1" t="s">
        <v>420</v>
      </c>
      <c r="B580" s="1"/>
      <c r="C580" s="1" t="s">
        <v>2808</v>
      </c>
      <c r="D580" s="1" t="s">
        <v>3370</v>
      </c>
      <c r="E580" s="1"/>
      <c r="F580">
        <v>0</v>
      </c>
      <c r="G580">
        <v>0</v>
      </c>
      <c r="H580">
        <v>0</v>
      </c>
      <c r="I580">
        <v>0</v>
      </c>
      <c r="J580">
        <v>4640</v>
      </c>
      <c r="K580" s="2">
        <v>45740</v>
      </c>
    </row>
    <row r="581" spans="1:11" x14ac:dyDescent="0.25">
      <c r="A581" s="1" t="s">
        <v>420</v>
      </c>
      <c r="B581" s="1"/>
      <c r="C581" s="1" t="s">
        <v>2871</v>
      </c>
      <c r="D581" s="1" t="s">
        <v>3404</v>
      </c>
      <c r="E581" s="1"/>
      <c r="F581">
        <v>6.1</v>
      </c>
      <c r="G581">
        <v>0</v>
      </c>
      <c r="H581">
        <v>320</v>
      </c>
      <c r="I581">
        <v>0</v>
      </c>
      <c r="J581">
        <v>4640</v>
      </c>
      <c r="K581" s="2">
        <v>45744</v>
      </c>
    </row>
    <row r="582" spans="1:11" x14ac:dyDescent="0.25">
      <c r="A582" s="1" t="s">
        <v>420</v>
      </c>
      <c r="B582" s="1"/>
      <c r="C582" s="1" t="s">
        <v>2872</v>
      </c>
      <c r="D582" s="1" t="s">
        <v>3371</v>
      </c>
      <c r="E582" s="1"/>
      <c r="F582">
        <v>6.1</v>
      </c>
      <c r="G582">
        <v>19.8</v>
      </c>
      <c r="H582">
        <v>-705</v>
      </c>
      <c r="I582">
        <v>0</v>
      </c>
      <c r="J582">
        <v>4640</v>
      </c>
      <c r="K582" s="2">
        <v>45750</v>
      </c>
    </row>
    <row r="583" spans="1:11" x14ac:dyDescent="0.25">
      <c r="A583" s="1" t="s">
        <v>420</v>
      </c>
      <c r="B583" s="1"/>
      <c r="C583" s="1" t="s">
        <v>2873</v>
      </c>
      <c r="D583" s="1" t="s">
        <v>3420</v>
      </c>
      <c r="E583" s="1"/>
      <c r="F583">
        <v>75</v>
      </c>
      <c r="G583">
        <v>83</v>
      </c>
      <c r="H583">
        <v>-355</v>
      </c>
      <c r="I583">
        <v>0</v>
      </c>
      <c r="J583">
        <v>4640</v>
      </c>
      <c r="K583" s="2">
        <v>45750</v>
      </c>
    </row>
    <row r="584" spans="1:11" x14ac:dyDescent="0.25">
      <c r="A584" s="1" t="s">
        <v>420</v>
      </c>
      <c r="B584" s="1"/>
      <c r="C584" s="1" t="s">
        <v>2812</v>
      </c>
      <c r="D584" s="1" t="s">
        <v>3374</v>
      </c>
      <c r="E584" s="1"/>
      <c r="F584">
        <v>0.3</v>
      </c>
      <c r="G584">
        <v>0</v>
      </c>
      <c r="H584">
        <v>20</v>
      </c>
      <c r="I584">
        <v>0</v>
      </c>
      <c r="J584">
        <v>4640</v>
      </c>
      <c r="K584" s="2">
        <v>45750</v>
      </c>
    </row>
    <row r="585" spans="1:11" x14ac:dyDescent="0.25">
      <c r="A585" s="1" t="s">
        <v>420</v>
      </c>
      <c r="B585" s="1"/>
      <c r="C585" s="1" t="s">
        <v>2870</v>
      </c>
      <c r="D585" s="1" t="s">
        <v>3375</v>
      </c>
      <c r="E585" s="1"/>
      <c r="F585">
        <v>77.599999999999994</v>
      </c>
      <c r="G585">
        <v>140.5</v>
      </c>
      <c r="H585">
        <v>-3250</v>
      </c>
      <c r="I585">
        <v>14</v>
      </c>
      <c r="J585">
        <v>4626</v>
      </c>
      <c r="K585" s="2">
        <v>45784</v>
      </c>
    </row>
    <row r="586" spans="1:11" x14ac:dyDescent="0.25">
      <c r="A586" s="1" t="s">
        <v>462</v>
      </c>
      <c r="B586" s="1"/>
      <c r="C586" s="1" t="s">
        <v>2808</v>
      </c>
      <c r="D586" s="1" t="s">
        <v>3370</v>
      </c>
      <c r="E586" s="1"/>
      <c r="F586">
        <v>0</v>
      </c>
      <c r="G586">
        <v>0</v>
      </c>
      <c r="H586">
        <v>0</v>
      </c>
      <c r="I586">
        <v>0</v>
      </c>
      <c r="J586">
        <v>4640</v>
      </c>
      <c r="K586" s="2">
        <v>45749</v>
      </c>
    </row>
    <row r="587" spans="1:11" x14ac:dyDescent="0.25">
      <c r="A587" s="1" t="s">
        <v>462</v>
      </c>
      <c r="B587" s="1"/>
      <c r="C587" s="1" t="s">
        <v>2871</v>
      </c>
      <c r="D587" s="1" t="s">
        <v>3404</v>
      </c>
      <c r="E587" s="1"/>
      <c r="F587">
        <v>6.1</v>
      </c>
      <c r="G587">
        <v>0.1</v>
      </c>
      <c r="H587">
        <v>315</v>
      </c>
      <c r="I587">
        <v>0</v>
      </c>
      <c r="J587">
        <v>4640</v>
      </c>
      <c r="K587" s="2">
        <v>45783</v>
      </c>
    </row>
    <row r="588" spans="1:11" x14ac:dyDescent="0.25">
      <c r="A588" s="1" t="s">
        <v>462</v>
      </c>
      <c r="B588" s="1"/>
      <c r="C588" s="1" t="s">
        <v>2872</v>
      </c>
      <c r="D588" s="1" t="s">
        <v>3371</v>
      </c>
      <c r="E588" s="1"/>
      <c r="F588">
        <v>6.1</v>
      </c>
      <c r="G588">
        <v>11.1</v>
      </c>
      <c r="H588">
        <v>-250</v>
      </c>
      <c r="I588">
        <v>0</v>
      </c>
      <c r="J588">
        <v>4640</v>
      </c>
      <c r="K588" s="2">
        <v>45783</v>
      </c>
    </row>
    <row r="589" spans="1:11" x14ac:dyDescent="0.25">
      <c r="A589" s="1" t="s">
        <v>462</v>
      </c>
      <c r="B589" s="1"/>
      <c r="C589" s="1" t="s">
        <v>2873</v>
      </c>
      <c r="D589" s="1" t="s">
        <v>3420</v>
      </c>
      <c r="E589" s="1"/>
      <c r="F589">
        <v>75</v>
      </c>
      <c r="G589">
        <v>63.8</v>
      </c>
      <c r="H589">
        <v>585</v>
      </c>
      <c r="I589">
        <v>0</v>
      </c>
      <c r="J589">
        <v>4640</v>
      </c>
      <c r="K589" s="2">
        <v>45763</v>
      </c>
    </row>
    <row r="590" spans="1:11" x14ac:dyDescent="0.25">
      <c r="A590" s="1" t="s">
        <v>462</v>
      </c>
      <c r="B590" s="1"/>
      <c r="C590" s="1" t="s">
        <v>2812</v>
      </c>
      <c r="D590" s="1" t="s">
        <v>3374</v>
      </c>
      <c r="E590" s="1"/>
      <c r="F590">
        <v>0.3</v>
      </c>
      <c r="G590">
        <v>0</v>
      </c>
      <c r="H590">
        <v>20</v>
      </c>
      <c r="I590">
        <v>0</v>
      </c>
      <c r="J590">
        <v>4640</v>
      </c>
      <c r="K590" s="2">
        <v>45783</v>
      </c>
    </row>
    <row r="591" spans="1:11" x14ac:dyDescent="0.25">
      <c r="A591" s="1" t="s">
        <v>421</v>
      </c>
      <c r="B591" s="1"/>
      <c r="C591" s="1" t="s">
        <v>2808</v>
      </c>
      <c r="D591" s="1" t="s">
        <v>3370</v>
      </c>
      <c r="E591" s="1"/>
      <c r="F591">
        <v>0</v>
      </c>
      <c r="G591">
        <v>0</v>
      </c>
      <c r="H591">
        <v>0</v>
      </c>
      <c r="I591">
        <v>0</v>
      </c>
      <c r="J591">
        <v>16</v>
      </c>
      <c r="K591" s="2">
        <v>45740</v>
      </c>
    </row>
    <row r="592" spans="1:11" x14ac:dyDescent="0.25">
      <c r="A592" s="1" t="s">
        <v>421</v>
      </c>
      <c r="B592" s="1"/>
      <c r="C592" s="1" t="s">
        <v>2935</v>
      </c>
      <c r="D592" s="1" t="s">
        <v>3421</v>
      </c>
      <c r="E592" s="1"/>
      <c r="F592">
        <v>0.7</v>
      </c>
      <c r="G592">
        <v>2.2999999999999998</v>
      </c>
      <c r="H592">
        <v>-100</v>
      </c>
      <c r="I592">
        <v>0</v>
      </c>
      <c r="J592">
        <v>16</v>
      </c>
      <c r="K592" s="2">
        <v>45750</v>
      </c>
    </row>
    <row r="593" spans="1:11" x14ac:dyDescent="0.25">
      <c r="A593" s="1" t="s">
        <v>421</v>
      </c>
      <c r="B593" s="1"/>
      <c r="C593" s="1" t="s">
        <v>2872</v>
      </c>
      <c r="D593" s="1" t="s">
        <v>3371</v>
      </c>
      <c r="E593" s="1"/>
      <c r="F593">
        <v>0.3</v>
      </c>
      <c r="G593">
        <v>0</v>
      </c>
      <c r="H593">
        <v>20</v>
      </c>
      <c r="I593">
        <v>0</v>
      </c>
      <c r="J593">
        <v>16</v>
      </c>
      <c r="K593" s="2">
        <v>45750</v>
      </c>
    </row>
    <row r="594" spans="1:11" x14ac:dyDescent="0.25">
      <c r="A594" s="1" t="s">
        <v>421</v>
      </c>
      <c r="B594" s="1"/>
      <c r="C594" s="1" t="s">
        <v>2873</v>
      </c>
      <c r="D594" s="1" t="s">
        <v>3420</v>
      </c>
      <c r="E594" s="1"/>
      <c r="F594">
        <v>2.8</v>
      </c>
      <c r="G594">
        <v>2.1</v>
      </c>
      <c r="H594">
        <v>95</v>
      </c>
      <c r="I594">
        <v>0</v>
      </c>
      <c r="J594">
        <v>16</v>
      </c>
      <c r="K594" s="2">
        <v>45751</v>
      </c>
    </row>
    <row r="595" spans="1:11" x14ac:dyDescent="0.25">
      <c r="A595" s="1" t="s">
        <v>421</v>
      </c>
      <c r="B595" s="1"/>
      <c r="C595" s="1" t="s">
        <v>2812</v>
      </c>
      <c r="D595" s="1" t="s">
        <v>3374</v>
      </c>
      <c r="E595" s="1"/>
      <c r="F595">
        <v>0.3</v>
      </c>
      <c r="G595">
        <v>0</v>
      </c>
      <c r="H595">
        <v>20</v>
      </c>
      <c r="I595">
        <v>0</v>
      </c>
      <c r="J595">
        <v>16</v>
      </c>
      <c r="K595" s="2">
        <v>45754</v>
      </c>
    </row>
    <row r="596" spans="1:11" x14ac:dyDescent="0.25">
      <c r="A596" s="1" t="s">
        <v>421</v>
      </c>
      <c r="B596" s="1"/>
      <c r="C596" s="1" t="s">
        <v>2870</v>
      </c>
      <c r="D596" s="1" t="s">
        <v>3375</v>
      </c>
      <c r="E596" s="1"/>
      <c r="F596">
        <v>0.5</v>
      </c>
      <c r="G596">
        <v>0</v>
      </c>
      <c r="H596">
        <v>35</v>
      </c>
      <c r="I596">
        <v>0</v>
      </c>
      <c r="J596">
        <v>16</v>
      </c>
      <c r="K596" s="2">
        <v>45754</v>
      </c>
    </row>
    <row r="597" spans="1:11" x14ac:dyDescent="0.25">
      <c r="A597" s="1" t="s">
        <v>231</v>
      </c>
      <c r="B597" s="1"/>
      <c r="C597" s="1" t="s">
        <v>2872</v>
      </c>
      <c r="D597" s="1" t="s">
        <v>3371</v>
      </c>
      <c r="E597" s="1"/>
      <c r="F597">
        <v>2.2000000000000002</v>
      </c>
      <c r="G597">
        <v>3.9</v>
      </c>
      <c r="H597">
        <v>-85</v>
      </c>
      <c r="I597">
        <v>0</v>
      </c>
      <c r="J597">
        <v>1520</v>
      </c>
      <c r="K597" s="2">
        <v>45756</v>
      </c>
    </row>
    <row r="598" spans="1:11" x14ac:dyDescent="0.25">
      <c r="A598" s="1" t="s">
        <v>231</v>
      </c>
      <c r="B598" s="1"/>
      <c r="C598" s="1" t="s">
        <v>2873</v>
      </c>
      <c r="D598" s="1" t="s">
        <v>3420</v>
      </c>
      <c r="E598" s="1"/>
      <c r="F598">
        <v>7.3</v>
      </c>
      <c r="G598">
        <v>17.899999999999999</v>
      </c>
      <c r="H598">
        <v>-575</v>
      </c>
      <c r="I598">
        <v>0</v>
      </c>
      <c r="J598">
        <v>1520</v>
      </c>
      <c r="K598" s="2">
        <v>45756</v>
      </c>
    </row>
    <row r="599" spans="1:11" x14ac:dyDescent="0.25">
      <c r="A599" s="1" t="s">
        <v>231</v>
      </c>
      <c r="B599" s="1"/>
      <c r="C599" s="1" t="s">
        <v>2812</v>
      </c>
      <c r="D599" s="1" t="s">
        <v>3374</v>
      </c>
      <c r="E599" s="1"/>
      <c r="F599">
        <v>0.3</v>
      </c>
      <c r="G599">
        <v>0</v>
      </c>
      <c r="H599">
        <v>20</v>
      </c>
      <c r="I599">
        <v>0</v>
      </c>
      <c r="J599">
        <v>1520</v>
      </c>
      <c r="K599" s="2">
        <v>45756</v>
      </c>
    </row>
    <row r="600" spans="1:11" x14ac:dyDescent="0.25">
      <c r="A600" s="1" t="s">
        <v>231</v>
      </c>
      <c r="B600" s="1"/>
      <c r="C600" s="1" t="s">
        <v>2870</v>
      </c>
      <c r="D600" s="1" t="s">
        <v>3375</v>
      </c>
      <c r="E600" s="1"/>
      <c r="F600">
        <v>25.6</v>
      </c>
      <c r="G600">
        <v>25.7</v>
      </c>
      <c r="H600">
        <v>0</v>
      </c>
      <c r="I600">
        <v>0</v>
      </c>
      <c r="J600">
        <v>1520</v>
      </c>
      <c r="K600" s="2">
        <v>45756</v>
      </c>
    </row>
    <row r="601" spans="1:11" x14ac:dyDescent="0.25">
      <c r="A601" s="1" t="s">
        <v>438</v>
      </c>
      <c r="B601" s="1"/>
      <c r="C601" s="1" t="s">
        <v>2808</v>
      </c>
      <c r="D601" s="1" t="s">
        <v>3370</v>
      </c>
      <c r="E601" s="1"/>
      <c r="F601">
        <v>0</v>
      </c>
      <c r="G601">
        <v>0</v>
      </c>
      <c r="H601">
        <v>0</v>
      </c>
      <c r="I601">
        <v>0</v>
      </c>
      <c r="J601">
        <v>3040</v>
      </c>
      <c r="K601" s="2">
        <v>45743</v>
      </c>
    </row>
    <row r="602" spans="1:11" x14ac:dyDescent="0.25">
      <c r="A602" s="1" t="s">
        <v>438</v>
      </c>
      <c r="B602" s="1"/>
      <c r="C602" s="1" t="s">
        <v>2871</v>
      </c>
      <c r="D602" s="1" t="s">
        <v>3404</v>
      </c>
      <c r="E602" s="1"/>
      <c r="F602">
        <v>4.0999999999999996</v>
      </c>
      <c r="G602">
        <v>0</v>
      </c>
      <c r="H602">
        <v>215</v>
      </c>
      <c r="I602">
        <v>0</v>
      </c>
      <c r="J602">
        <v>3040</v>
      </c>
      <c r="K602" s="2">
        <v>45758</v>
      </c>
    </row>
    <row r="603" spans="1:11" x14ac:dyDescent="0.25">
      <c r="A603" s="1" t="s">
        <v>438</v>
      </c>
      <c r="B603" s="1"/>
      <c r="C603" s="1" t="s">
        <v>2872</v>
      </c>
      <c r="D603" s="1" t="s">
        <v>3371</v>
      </c>
      <c r="E603" s="1"/>
      <c r="F603">
        <v>4.0999999999999996</v>
      </c>
      <c r="G603">
        <v>5.5</v>
      </c>
      <c r="H603">
        <v>-65</v>
      </c>
      <c r="I603">
        <v>0</v>
      </c>
      <c r="J603">
        <v>3040</v>
      </c>
      <c r="K603" s="2">
        <v>45756</v>
      </c>
    </row>
    <row r="604" spans="1:11" x14ac:dyDescent="0.25">
      <c r="A604" s="1" t="s">
        <v>438</v>
      </c>
      <c r="B604" s="1"/>
      <c r="C604" s="1" t="s">
        <v>2873</v>
      </c>
      <c r="D604" s="1" t="s">
        <v>3420</v>
      </c>
      <c r="E604" s="1"/>
      <c r="F604">
        <v>12</v>
      </c>
      <c r="G604">
        <v>66.900000000000006</v>
      </c>
      <c r="H604">
        <v>-2810</v>
      </c>
      <c r="I604">
        <v>0</v>
      </c>
      <c r="J604">
        <v>3040</v>
      </c>
      <c r="K604" s="2">
        <v>45758</v>
      </c>
    </row>
    <row r="605" spans="1:11" x14ac:dyDescent="0.25">
      <c r="A605" s="1" t="s">
        <v>438</v>
      </c>
      <c r="B605" s="1"/>
      <c r="C605" s="1" t="s">
        <v>2812</v>
      </c>
      <c r="D605" s="1" t="s">
        <v>3374</v>
      </c>
      <c r="E605" s="1"/>
      <c r="F605">
        <v>0.3</v>
      </c>
      <c r="G605">
        <v>0</v>
      </c>
      <c r="H605">
        <v>20</v>
      </c>
      <c r="I605">
        <v>0</v>
      </c>
      <c r="J605">
        <v>3040</v>
      </c>
      <c r="K605" s="2">
        <v>45758</v>
      </c>
    </row>
    <row r="606" spans="1:11" x14ac:dyDescent="0.25">
      <c r="A606" s="1" t="s">
        <v>597</v>
      </c>
      <c r="B606" s="1"/>
      <c r="C606" s="1" t="s">
        <v>2808</v>
      </c>
      <c r="D606" s="1" t="s">
        <v>3370</v>
      </c>
      <c r="E606" s="1"/>
      <c r="F606">
        <v>0</v>
      </c>
      <c r="G606">
        <v>0</v>
      </c>
      <c r="H606">
        <v>0</v>
      </c>
      <c r="I606">
        <v>0</v>
      </c>
      <c r="J606">
        <v>3040</v>
      </c>
      <c r="K606" s="2">
        <v>45765</v>
      </c>
    </row>
    <row r="607" spans="1:11" x14ac:dyDescent="0.25">
      <c r="A607" s="1" t="s">
        <v>463</v>
      </c>
      <c r="B607" s="1"/>
      <c r="C607" s="1" t="s">
        <v>2808</v>
      </c>
      <c r="D607" s="1" t="s">
        <v>3370</v>
      </c>
      <c r="E607" s="1"/>
      <c r="F607">
        <v>0</v>
      </c>
      <c r="G607">
        <v>0</v>
      </c>
      <c r="H607">
        <v>0</v>
      </c>
      <c r="I607">
        <v>0</v>
      </c>
      <c r="J607">
        <v>1520</v>
      </c>
      <c r="K607" s="2">
        <v>45749</v>
      </c>
    </row>
    <row r="608" spans="1:11" x14ac:dyDescent="0.25">
      <c r="A608" s="1" t="s">
        <v>463</v>
      </c>
      <c r="B608" s="1"/>
      <c r="C608" s="1" t="s">
        <v>2871</v>
      </c>
      <c r="D608" s="1" t="s">
        <v>3404</v>
      </c>
      <c r="E608" s="1"/>
      <c r="F608">
        <v>0.3</v>
      </c>
      <c r="G608">
        <v>0</v>
      </c>
      <c r="H608">
        <v>20</v>
      </c>
      <c r="I608">
        <v>0</v>
      </c>
      <c r="J608">
        <v>1520</v>
      </c>
      <c r="K608" s="2">
        <v>45783</v>
      </c>
    </row>
    <row r="609" spans="1:11" x14ac:dyDescent="0.25">
      <c r="A609" s="1" t="s">
        <v>463</v>
      </c>
      <c r="B609" s="1"/>
      <c r="C609" s="1" t="s">
        <v>2872</v>
      </c>
      <c r="D609" s="1" t="s">
        <v>3371</v>
      </c>
      <c r="E609" s="1"/>
      <c r="F609">
        <v>0.3</v>
      </c>
      <c r="G609">
        <v>7</v>
      </c>
      <c r="H609">
        <v>-345</v>
      </c>
      <c r="I609">
        <v>0</v>
      </c>
      <c r="J609">
        <v>1520</v>
      </c>
      <c r="K609" s="2">
        <v>45786</v>
      </c>
    </row>
    <row r="610" spans="1:11" x14ac:dyDescent="0.25">
      <c r="A610" s="1" t="s">
        <v>372</v>
      </c>
      <c r="B610" s="1"/>
      <c r="C610" s="1" t="s">
        <v>2808</v>
      </c>
      <c r="D610" s="1" t="s">
        <v>3370</v>
      </c>
      <c r="E610" s="1"/>
      <c r="F610">
        <v>0</v>
      </c>
      <c r="G610">
        <v>0</v>
      </c>
      <c r="H610">
        <v>0</v>
      </c>
      <c r="I610">
        <v>0</v>
      </c>
      <c r="J610">
        <v>300</v>
      </c>
      <c r="K610" s="2">
        <v>45740</v>
      </c>
    </row>
    <row r="611" spans="1:11" x14ac:dyDescent="0.25">
      <c r="A611" s="1" t="s">
        <v>372</v>
      </c>
      <c r="B611" s="1"/>
      <c r="C611" s="1" t="s">
        <v>2936</v>
      </c>
      <c r="D611" s="1" t="s">
        <v>3401</v>
      </c>
      <c r="E611" s="1"/>
      <c r="F611">
        <v>11</v>
      </c>
      <c r="G611">
        <v>7.7</v>
      </c>
      <c r="H611">
        <v>165</v>
      </c>
      <c r="I611">
        <v>0</v>
      </c>
      <c r="J611">
        <v>300</v>
      </c>
      <c r="K611" s="2">
        <v>45750</v>
      </c>
    </row>
    <row r="612" spans="1:11" x14ac:dyDescent="0.25">
      <c r="A612" s="1" t="s">
        <v>372</v>
      </c>
      <c r="B612" s="1"/>
      <c r="C612" s="1" t="s">
        <v>2937</v>
      </c>
      <c r="D612" s="1" t="s">
        <v>3388</v>
      </c>
      <c r="E612" s="1"/>
      <c r="F612">
        <v>0.8</v>
      </c>
      <c r="G612">
        <v>0.2</v>
      </c>
      <c r="H612">
        <v>35</v>
      </c>
      <c r="I612">
        <v>0</v>
      </c>
      <c r="J612">
        <v>300</v>
      </c>
      <c r="K612" s="2">
        <v>45758</v>
      </c>
    </row>
    <row r="613" spans="1:11" x14ac:dyDescent="0.25">
      <c r="A613" s="1" t="s">
        <v>372</v>
      </c>
      <c r="B613" s="1"/>
      <c r="C613" s="1" t="s">
        <v>2816</v>
      </c>
      <c r="D613" s="1" t="s">
        <v>3372</v>
      </c>
      <c r="E613" s="1"/>
      <c r="F613">
        <v>1</v>
      </c>
      <c r="G613">
        <v>0</v>
      </c>
      <c r="H613">
        <v>55</v>
      </c>
      <c r="I613">
        <v>0</v>
      </c>
      <c r="J613">
        <v>300</v>
      </c>
      <c r="K613" s="2">
        <v>45761</v>
      </c>
    </row>
    <row r="614" spans="1:11" x14ac:dyDescent="0.25">
      <c r="A614" s="1" t="s">
        <v>372</v>
      </c>
      <c r="B614" s="1"/>
      <c r="C614" s="1" t="s">
        <v>2817</v>
      </c>
      <c r="D614" s="1" t="s">
        <v>3377</v>
      </c>
      <c r="E614" s="1"/>
      <c r="F614">
        <v>0.3</v>
      </c>
      <c r="G614">
        <v>0.3</v>
      </c>
      <c r="H614">
        <v>0</v>
      </c>
      <c r="I614">
        <v>0</v>
      </c>
      <c r="J614">
        <v>300</v>
      </c>
      <c r="K614" s="2">
        <v>45768</v>
      </c>
    </row>
    <row r="615" spans="1:11" x14ac:dyDescent="0.25">
      <c r="A615" s="1" t="s">
        <v>965</v>
      </c>
      <c r="B615" s="1"/>
      <c r="C615" s="1" t="s">
        <v>2808</v>
      </c>
      <c r="D615" s="1" t="s">
        <v>3370</v>
      </c>
      <c r="E615" s="1"/>
      <c r="F615">
        <v>0</v>
      </c>
      <c r="G615">
        <v>0</v>
      </c>
      <c r="H615">
        <v>0</v>
      </c>
      <c r="I615">
        <v>0</v>
      </c>
      <c r="J615">
        <v>300</v>
      </c>
      <c r="K615" s="2">
        <v>45789</v>
      </c>
    </row>
    <row r="616" spans="1:11" x14ac:dyDescent="0.25">
      <c r="A616" s="1" t="s">
        <v>967</v>
      </c>
      <c r="B616" s="1"/>
      <c r="C616" s="1" t="s">
        <v>2808</v>
      </c>
      <c r="D616" s="1" t="s">
        <v>3370</v>
      </c>
      <c r="E616" s="1"/>
      <c r="F616">
        <v>0</v>
      </c>
      <c r="G616">
        <v>0</v>
      </c>
      <c r="H616">
        <v>0</v>
      </c>
      <c r="I616">
        <v>0</v>
      </c>
      <c r="J616">
        <v>300</v>
      </c>
      <c r="K616" s="2">
        <v>45789</v>
      </c>
    </row>
    <row r="617" spans="1:11" x14ac:dyDescent="0.25">
      <c r="A617" s="1" t="s">
        <v>969</v>
      </c>
      <c r="B617" s="1"/>
      <c r="C617" s="1" t="s">
        <v>2808</v>
      </c>
      <c r="D617" s="1" t="s">
        <v>3370</v>
      </c>
      <c r="E617" s="1"/>
      <c r="F617">
        <v>0</v>
      </c>
      <c r="G617">
        <v>0</v>
      </c>
      <c r="H617">
        <v>0</v>
      </c>
      <c r="I617">
        <v>0</v>
      </c>
      <c r="J617">
        <v>300</v>
      </c>
      <c r="K617" s="2">
        <v>45789</v>
      </c>
    </row>
    <row r="618" spans="1:11" x14ac:dyDescent="0.25">
      <c r="A618" s="1" t="s">
        <v>972</v>
      </c>
      <c r="B618" s="1"/>
      <c r="C618" s="1" t="s">
        <v>2808</v>
      </c>
      <c r="D618" s="1" t="s">
        <v>3370</v>
      </c>
      <c r="E618" s="1"/>
      <c r="F618">
        <v>0</v>
      </c>
      <c r="G618">
        <v>0</v>
      </c>
      <c r="H618">
        <v>0</v>
      </c>
      <c r="I618">
        <v>0</v>
      </c>
      <c r="J618">
        <v>300</v>
      </c>
      <c r="K618" s="2">
        <v>45789</v>
      </c>
    </row>
    <row r="619" spans="1:11" x14ac:dyDescent="0.25">
      <c r="A619" s="1" t="s">
        <v>974</v>
      </c>
      <c r="B619" s="1"/>
      <c r="C619" s="1" t="s">
        <v>2808</v>
      </c>
      <c r="D619" s="1" t="s">
        <v>3370</v>
      </c>
      <c r="E619" s="1"/>
      <c r="F619">
        <v>0</v>
      </c>
      <c r="G619">
        <v>0</v>
      </c>
      <c r="H619">
        <v>0</v>
      </c>
      <c r="I619">
        <v>0</v>
      </c>
      <c r="J619">
        <v>300</v>
      </c>
      <c r="K619" s="2">
        <v>45789</v>
      </c>
    </row>
    <row r="620" spans="1:11" x14ac:dyDescent="0.25">
      <c r="A620" s="1" t="s">
        <v>971</v>
      </c>
      <c r="B620" s="1"/>
      <c r="C620" s="1" t="s">
        <v>2808</v>
      </c>
      <c r="D620" s="1" t="s">
        <v>3370</v>
      </c>
      <c r="E620" s="1"/>
      <c r="F620">
        <v>0</v>
      </c>
      <c r="G620">
        <v>0</v>
      </c>
      <c r="H620">
        <v>0</v>
      </c>
      <c r="I620">
        <v>0</v>
      </c>
      <c r="J620">
        <v>300</v>
      </c>
      <c r="K620" s="2">
        <v>45789</v>
      </c>
    </row>
    <row r="621" spans="1:11" x14ac:dyDescent="0.25">
      <c r="A621" s="1" t="s">
        <v>964</v>
      </c>
      <c r="B621" s="1"/>
      <c r="C621" s="1" t="s">
        <v>2808</v>
      </c>
      <c r="D621" s="1" t="s">
        <v>3370</v>
      </c>
      <c r="E621" s="1"/>
      <c r="F621">
        <v>0</v>
      </c>
      <c r="G621">
        <v>0</v>
      </c>
      <c r="H621">
        <v>0</v>
      </c>
      <c r="I621">
        <v>0</v>
      </c>
      <c r="J621">
        <v>300</v>
      </c>
      <c r="K621" s="2">
        <v>45789</v>
      </c>
    </row>
    <row r="622" spans="1:11" x14ac:dyDescent="0.25">
      <c r="A622" s="1" t="s">
        <v>966</v>
      </c>
      <c r="B622" s="1"/>
      <c r="C622" s="1" t="s">
        <v>2808</v>
      </c>
      <c r="D622" s="1" t="s">
        <v>3370</v>
      </c>
      <c r="E622" s="1"/>
      <c r="F622">
        <v>0</v>
      </c>
      <c r="G622">
        <v>0</v>
      </c>
      <c r="H622">
        <v>0</v>
      </c>
      <c r="I622">
        <v>0</v>
      </c>
      <c r="J622">
        <v>300</v>
      </c>
      <c r="K622" s="2">
        <v>45789</v>
      </c>
    </row>
    <row r="623" spans="1:11" x14ac:dyDescent="0.25">
      <c r="A623" s="1" t="s">
        <v>968</v>
      </c>
      <c r="B623" s="1"/>
      <c r="C623" s="1" t="s">
        <v>2808</v>
      </c>
      <c r="D623" s="1" t="s">
        <v>3370</v>
      </c>
      <c r="E623" s="1"/>
      <c r="F623">
        <v>0</v>
      </c>
      <c r="G623">
        <v>0</v>
      </c>
      <c r="H623">
        <v>0</v>
      </c>
      <c r="I623">
        <v>0</v>
      </c>
      <c r="J623">
        <v>300</v>
      </c>
      <c r="K623" s="2">
        <v>45789</v>
      </c>
    </row>
    <row r="624" spans="1:11" x14ac:dyDescent="0.25">
      <c r="A624" s="1" t="s">
        <v>977</v>
      </c>
      <c r="B624" s="1"/>
      <c r="C624" s="1" t="s">
        <v>2808</v>
      </c>
      <c r="D624" s="1" t="s">
        <v>3370</v>
      </c>
      <c r="E624" s="1"/>
      <c r="F624">
        <v>0</v>
      </c>
      <c r="G624">
        <v>0</v>
      </c>
      <c r="H624">
        <v>0</v>
      </c>
      <c r="I624">
        <v>0</v>
      </c>
      <c r="J624">
        <v>300</v>
      </c>
      <c r="K624" s="2">
        <v>45789</v>
      </c>
    </row>
    <row r="625" spans="1:11" x14ac:dyDescent="0.25">
      <c r="A625" s="1" t="s">
        <v>970</v>
      </c>
      <c r="B625" s="1"/>
      <c r="C625" s="1" t="s">
        <v>2808</v>
      </c>
      <c r="D625" s="1" t="s">
        <v>3370</v>
      </c>
      <c r="E625" s="1"/>
      <c r="F625">
        <v>0</v>
      </c>
      <c r="G625">
        <v>0</v>
      </c>
      <c r="H625">
        <v>0</v>
      </c>
      <c r="I625">
        <v>0</v>
      </c>
      <c r="J625">
        <v>300</v>
      </c>
      <c r="K625" s="2">
        <v>45789</v>
      </c>
    </row>
    <row r="626" spans="1:11" x14ac:dyDescent="0.25">
      <c r="A626" s="1" t="s">
        <v>975</v>
      </c>
      <c r="B626" s="1"/>
      <c r="C626" s="1" t="s">
        <v>2808</v>
      </c>
      <c r="D626" s="1" t="s">
        <v>3370</v>
      </c>
      <c r="E626" s="1"/>
      <c r="F626">
        <v>0</v>
      </c>
      <c r="G626">
        <v>0</v>
      </c>
      <c r="H626">
        <v>0</v>
      </c>
      <c r="I626">
        <v>0</v>
      </c>
      <c r="J626">
        <v>300</v>
      </c>
      <c r="K626" s="2">
        <v>45789</v>
      </c>
    </row>
    <row r="627" spans="1:11" x14ac:dyDescent="0.25">
      <c r="A627" s="1" t="s">
        <v>243</v>
      </c>
      <c r="B627" s="1"/>
      <c r="C627" s="1" t="s">
        <v>2808</v>
      </c>
      <c r="D627" s="1" t="s">
        <v>3370</v>
      </c>
      <c r="E627" s="1"/>
      <c r="F627">
        <v>0</v>
      </c>
      <c r="G627">
        <v>0</v>
      </c>
      <c r="H627">
        <v>0</v>
      </c>
      <c r="I627">
        <v>0</v>
      </c>
      <c r="J627">
        <v>39</v>
      </c>
      <c r="K627" s="2">
        <v>45777</v>
      </c>
    </row>
    <row r="628" spans="1:11" x14ac:dyDescent="0.25">
      <c r="A628" s="1" t="s">
        <v>243</v>
      </c>
      <c r="B628" s="1"/>
      <c r="C628" s="1" t="s">
        <v>2938</v>
      </c>
      <c r="D628" s="1" t="s">
        <v>3388</v>
      </c>
      <c r="E628" s="1"/>
      <c r="F628">
        <v>5.6</v>
      </c>
      <c r="G628">
        <v>7.5</v>
      </c>
      <c r="H628">
        <v>-120</v>
      </c>
      <c r="I628">
        <v>0</v>
      </c>
      <c r="J628">
        <v>48</v>
      </c>
      <c r="K628" s="2">
        <v>45737</v>
      </c>
    </row>
    <row r="629" spans="1:11" x14ac:dyDescent="0.25">
      <c r="A629" s="1" t="s">
        <v>243</v>
      </c>
      <c r="B629" s="1"/>
      <c r="C629" s="1" t="s">
        <v>2939</v>
      </c>
      <c r="D629" s="1" t="s">
        <v>3415</v>
      </c>
      <c r="E629" s="1"/>
      <c r="F629">
        <v>12.8</v>
      </c>
      <c r="G629">
        <v>3</v>
      </c>
      <c r="H629">
        <v>570</v>
      </c>
      <c r="I629">
        <v>0</v>
      </c>
      <c r="J629">
        <v>3</v>
      </c>
      <c r="K629" s="2">
        <v>45733</v>
      </c>
    </row>
    <row r="630" spans="1:11" x14ac:dyDescent="0.25">
      <c r="A630" s="1" t="s">
        <v>243</v>
      </c>
      <c r="B630" s="1"/>
      <c r="C630" s="1" t="s">
        <v>2940</v>
      </c>
      <c r="D630" s="1" t="s">
        <v>3422</v>
      </c>
      <c r="E630" s="1"/>
      <c r="F630">
        <v>1</v>
      </c>
      <c r="G630">
        <v>3.2</v>
      </c>
      <c r="H630">
        <v>-90</v>
      </c>
      <c r="I630">
        <v>0</v>
      </c>
      <c r="J630">
        <v>3</v>
      </c>
      <c r="K630" s="2">
        <v>45741</v>
      </c>
    </row>
    <row r="631" spans="1:11" x14ac:dyDescent="0.25">
      <c r="A631" s="1" t="s">
        <v>243</v>
      </c>
      <c r="B631" s="1"/>
      <c r="C631" s="1" t="s">
        <v>2915</v>
      </c>
      <c r="D631" s="1" t="s">
        <v>3415</v>
      </c>
      <c r="E631" s="1"/>
      <c r="F631">
        <v>12.8</v>
      </c>
      <c r="G631">
        <v>59.6</v>
      </c>
      <c r="H631">
        <v>-2725</v>
      </c>
      <c r="I631">
        <v>0</v>
      </c>
      <c r="J631">
        <v>39</v>
      </c>
      <c r="K631" s="2">
        <v>45765</v>
      </c>
    </row>
    <row r="632" spans="1:11" x14ac:dyDescent="0.25">
      <c r="A632" s="1" t="s">
        <v>243</v>
      </c>
      <c r="B632" s="1"/>
      <c r="C632" s="1" t="s">
        <v>2941</v>
      </c>
      <c r="D632" s="1" t="s">
        <v>3391</v>
      </c>
      <c r="E632" s="1"/>
      <c r="F632">
        <v>17.7</v>
      </c>
      <c r="G632">
        <v>12.5</v>
      </c>
      <c r="H632">
        <v>290</v>
      </c>
      <c r="I632">
        <v>0</v>
      </c>
      <c r="J632">
        <v>39</v>
      </c>
      <c r="K632" s="2">
        <v>45777</v>
      </c>
    </row>
    <row r="633" spans="1:11" x14ac:dyDescent="0.25">
      <c r="A633" s="1" t="s">
        <v>243</v>
      </c>
      <c r="B633" s="1"/>
      <c r="C633" s="1" t="s">
        <v>2942</v>
      </c>
      <c r="D633" s="1" t="s">
        <v>3422</v>
      </c>
      <c r="E633" s="1"/>
      <c r="F633">
        <v>27.9</v>
      </c>
      <c r="G633">
        <v>21</v>
      </c>
      <c r="H633">
        <v>290</v>
      </c>
      <c r="I633">
        <v>0</v>
      </c>
      <c r="J633">
        <v>39</v>
      </c>
      <c r="K633" s="2">
        <v>45777</v>
      </c>
    </row>
    <row r="634" spans="1:11" x14ac:dyDescent="0.25">
      <c r="A634" s="1" t="s">
        <v>243</v>
      </c>
      <c r="B634" s="1"/>
      <c r="C634" s="1" t="s">
        <v>2816</v>
      </c>
      <c r="D634" s="1" t="s">
        <v>3372</v>
      </c>
      <c r="E634" s="1"/>
      <c r="F634">
        <v>1</v>
      </c>
      <c r="G634">
        <v>0.2</v>
      </c>
      <c r="H634">
        <v>45</v>
      </c>
      <c r="I634">
        <v>0</v>
      </c>
      <c r="J634">
        <v>39</v>
      </c>
      <c r="K634" s="2">
        <v>45777</v>
      </c>
    </row>
    <row r="635" spans="1:11" x14ac:dyDescent="0.25">
      <c r="A635" s="1" t="s">
        <v>243</v>
      </c>
      <c r="B635" s="1"/>
      <c r="C635" s="1" t="s">
        <v>2943</v>
      </c>
      <c r="D635" s="1" t="s">
        <v>3423</v>
      </c>
      <c r="E635" s="1"/>
      <c r="F635">
        <v>0</v>
      </c>
      <c r="G635">
        <v>35.5</v>
      </c>
      <c r="H635">
        <v>0</v>
      </c>
      <c r="I635">
        <v>0</v>
      </c>
      <c r="J635">
        <v>39</v>
      </c>
      <c r="K635" s="2">
        <v>45783</v>
      </c>
    </row>
    <row r="636" spans="1:11" x14ac:dyDescent="0.25">
      <c r="A636" s="1" t="s">
        <v>825</v>
      </c>
      <c r="B636" s="1"/>
      <c r="C636" s="1" t="s">
        <v>2808</v>
      </c>
      <c r="D636" s="1" t="s">
        <v>3370</v>
      </c>
      <c r="E636" s="1"/>
      <c r="F636">
        <v>0</v>
      </c>
      <c r="G636">
        <v>0</v>
      </c>
      <c r="H636">
        <v>0</v>
      </c>
      <c r="I636">
        <v>0</v>
      </c>
      <c r="J636">
        <v>15</v>
      </c>
      <c r="K636" s="2">
        <v>45779</v>
      </c>
    </row>
    <row r="637" spans="1:11" x14ac:dyDescent="0.25">
      <c r="A637" s="1" t="s">
        <v>825</v>
      </c>
      <c r="B637" s="1"/>
      <c r="C637" s="1" t="s">
        <v>2944</v>
      </c>
      <c r="D637" s="1" t="s">
        <v>3388</v>
      </c>
      <c r="E637" s="1"/>
      <c r="F637">
        <v>0.2</v>
      </c>
      <c r="G637">
        <v>1.7</v>
      </c>
      <c r="H637">
        <v>-90</v>
      </c>
      <c r="I637">
        <v>0</v>
      </c>
      <c r="J637">
        <v>15</v>
      </c>
      <c r="K637" s="2">
        <v>45779</v>
      </c>
    </row>
    <row r="638" spans="1:11" x14ac:dyDescent="0.25">
      <c r="A638" s="1" t="s">
        <v>825</v>
      </c>
      <c r="B638" s="1"/>
      <c r="C638" s="1" t="s">
        <v>2945</v>
      </c>
      <c r="D638" s="1" t="s">
        <v>3412</v>
      </c>
      <c r="E638" s="1"/>
      <c r="F638">
        <v>2.2999999999999998</v>
      </c>
      <c r="G638">
        <v>1.7</v>
      </c>
      <c r="H638">
        <v>40</v>
      </c>
      <c r="I638">
        <v>0</v>
      </c>
      <c r="J638">
        <v>15</v>
      </c>
      <c r="K638" s="2">
        <v>45779</v>
      </c>
    </row>
    <row r="639" spans="1:11" x14ac:dyDescent="0.25">
      <c r="A639" s="1" t="s">
        <v>825</v>
      </c>
      <c r="B639" s="1"/>
      <c r="C639" s="1" t="s">
        <v>2946</v>
      </c>
      <c r="D639" s="1" t="s">
        <v>3389</v>
      </c>
      <c r="E639" s="1"/>
      <c r="F639">
        <v>0</v>
      </c>
      <c r="G639">
        <v>0</v>
      </c>
      <c r="H639">
        <v>-160</v>
      </c>
      <c r="I639">
        <v>0</v>
      </c>
      <c r="J639">
        <v>15</v>
      </c>
      <c r="K639" s="2">
        <v>45789</v>
      </c>
    </row>
    <row r="640" spans="1:11" x14ac:dyDescent="0.25">
      <c r="A640" s="1" t="s">
        <v>825</v>
      </c>
      <c r="B640" s="1"/>
      <c r="C640" s="1" t="s">
        <v>2946</v>
      </c>
      <c r="D640" s="1" t="s">
        <v>3389</v>
      </c>
      <c r="E640" s="1"/>
      <c r="F640">
        <v>0</v>
      </c>
      <c r="G640">
        <v>0</v>
      </c>
      <c r="H640">
        <v>-425</v>
      </c>
      <c r="I640">
        <v>0</v>
      </c>
      <c r="J640">
        <v>15</v>
      </c>
      <c r="K640" s="2">
        <v>45789</v>
      </c>
    </row>
    <row r="641" spans="1:11" x14ac:dyDescent="0.25">
      <c r="A641" s="1" t="s">
        <v>551</v>
      </c>
      <c r="B641" s="1"/>
      <c r="C641" s="1" t="s">
        <v>2808</v>
      </c>
      <c r="D641" s="1" t="s">
        <v>3370</v>
      </c>
      <c r="E641" s="1"/>
      <c r="F641">
        <v>0</v>
      </c>
      <c r="G641">
        <v>0</v>
      </c>
      <c r="H641">
        <v>0</v>
      </c>
      <c r="I641">
        <v>0</v>
      </c>
      <c r="J641">
        <v>120</v>
      </c>
      <c r="K641" s="2">
        <v>45757</v>
      </c>
    </row>
    <row r="642" spans="1:11" x14ac:dyDescent="0.25">
      <c r="A642" s="1" t="s">
        <v>551</v>
      </c>
      <c r="B642" s="1"/>
      <c r="C642" s="1" t="s">
        <v>2947</v>
      </c>
      <c r="D642" s="1" t="s">
        <v>3389</v>
      </c>
      <c r="E642" s="1"/>
      <c r="F642">
        <v>0</v>
      </c>
      <c r="G642">
        <v>0</v>
      </c>
      <c r="H642">
        <v>-190</v>
      </c>
      <c r="I642">
        <v>0</v>
      </c>
      <c r="J642">
        <v>120</v>
      </c>
      <c r="K642" s="2">
        <v>45765</v>
      </c>
    </row>
    <row r="643" spans="1:11" x14ac:dyDescent="0.25">
      <c r="A643" s="1" t="s">
        <v>551</v>
      </c>
      <c r="B643" s="1"/>
      <c r="C643" s="1" t="s">
        <v>2948</v>
      </c>
      <c r="D643" s="1" t="s">
        <v>3388</v>
      </c>
      <c r="E643" s="1"/>
      <c r="F643">
        <v>4.5</v>
      </c>
      <c r="G643">
        <v>8.3000000000000007</v>
      </c>
      <c r="H643">
        <v>-235</v>
      </c>
      <c r="I643">
        <v>0</v>
      </c>
      <c r="J643">
        <v>120</v>
      </c>
      <c r="K643" s="2">
        <v>45778</v>
      </c>
    </row>
    <row r="644" spans="1:11" x14ac:dyDescent="0.25">
      <c r="A644" s="1" t="s">
        <v>551</v>
      </c>
      <c r="B644" s="1"/>
      <c r="C644" s="1" t="s">
        <v>2817</v>
      </c>
      <c r="D644" s="1" t="s">
        <v>3424</v>
      </c>
      <c r="E644" s="1"/>
      <c r="F644">
        <v>0.5</v>
      </c>
      <c r="G644">
        <v>1.4</v>
      </c>
      <c r="H644">
        <v>-45</v>
      </c>
      <c r="I644">
        <v>0</v>
      </c>
      <c r="J644">
        <v>120</v>
      </c>
      <c r="K644" s="2">
        <v>45783</v>
      </c>
    </row>
    <row r="645" spans="1:11" x14ac:dyDescent="0.25">
      <c r="A645" s="1" t="s">
        <v>552</v>
      </c>
      <c r="B645" s="1"/>
      <c r="C645" s="1" t="s">
        <v>2808</v>
      </c>
      <c r="D645" s="1" t="s">
        <v>3370</v>
      </c>
      <c r="E645" s="1"/>
      <c r="F645">
        <v>0</v>
      </c>
      <c r="G645">
        <v>0</v>
      </c>
      <c r="H645">
        <v>0</v>
      </c>
      <c r="I645">
        <v>0</v>
      </c>
      <c r="J645">
        <v>131</v>
      </c>
      <c r="K645" s="2">
        <v>45782</v>
      </c>
    </row>
    <row r="646" spans="1:11" x14ac:dyDescent="0.25">
      <c r="A646" s="1" t="s">
        <v>552</v>
      </c>
      <c r="B646" s="1"/>
      <c r="C646" s="1" t="s">
        <v>2947</v>
      </c>
      <c r="D646" s="1" t="s">
        <v>3389</v>
      </c>
      <c r="E646" s="1"/>
      <c r="F646">
        <v>0</v>
      </c>
      <c r="G646">
        <v>0</v>
      </c>
      <c r="H646">
        <v>-210</v>
      </c>
      <c r="I646">
        <v>0</v>
      </c>
      <c r="J646">
        <v>131</v>
      </c>
      <c r="K646" s="2">
        <v>45782</v>
      </c>
    </row>
    <row r="647" spans="1:11" x14ac:dyDescent="0.25">
      <c r="A647" s="1" t="s">
        <v>552</v>
      </c>
      <c r="B647" s="1"/>
      <c r="C647" s="1" t="s">
        <v>2948</v>
      </c>
      <c r="D647" s="1" t="s">
        <v>3388</v>
      </c>
      <c r="E647" s="1"/>
      <c r="F647">
        <v>4.8</v>
      </c>
      <c r="G647">
        <v>3.7</v>
      </c>
      <c r="H647">
        <v>70</v>
      </c>
      <c r="I647">
        <v>0</v>
      </c>
      <c r="J647">
        <v>131</v>
      </c>
      <c r="K647" s="2">
        <v>45782</v>
      </c>
    </row>
    <row r="648" spans="1:11" x14ac:dyDescent="0.25">
      <c r="A648" s="1" t="s">
        <v>552</v>
      </c>
      <c r="B648" s="1"/>
      <c r="C648" s="1" t="s">
        <v>2817</v>
      </c>
      <c r="D648" s="1" t="s">
        <v>3424</v>
      </c>
      <c r="E648" s="1"/>
      <c r="F648">
        <v>0.5</v>
      </c>
      <c r="G648">
        <v>1.4</v>
      </c>
      <c r="H648">
        <v>-45</v>
      </c>
      <c r="I648">
        <v>0</v>
      </c>
      <c r="J648">
        <v>131</v>
      </c>
      <c r="K648" s="2">
        <v>45783</v>
      </c>
    </row>
    <row r="649" spans="1:11" x14ac:dyDescent="0.25">
      <c r="A649" s="1" t="s">
        <v>588</v>
      </c>
      <c r="B649" s="1"/>
      <c r="C649" s="1" t="s">
        <v>2808</v>
      </c>
      <c r="D649" s="1" t="s">
        <v>3370</v>
      </c>
      <c r="E649" s="1"/>
      <c r="F649">
        <v>0</v>
      </c>
      <c r="G649">
        <v>0</v>
      </c>
      <c r="H649">
        <v>0</v>
      </c>
      <c r="I649">
        <v>0</v>
      </c>
      <c r="J649">
        <v>160</v>
      </c>
      <c r="K649" s="2">
        <v>45778</v>
      </c>
    </row>
    <row r="650" spans="1:11" x14ac:dyDescent="0.25">
      <c r="A650" s="1" t="s">
        <v>588</v>
      </c>
      <c r="B650" s="1"/>
      <c r="C650" s="1" t="s">
        <v>2949</v>
      </c>
      <c r="D650" s="1" t="s">
        <v>3388</v>
      </c>
      <c r="E650" s="1"/>
      <c r="F650">
        <v>0</v>
      </c>
      <c r="G650">
        <v>0</v>
      </c>
      <c r="H650">
        <v>0</v>
      </c>
      <c r="I650">
        <v>0</v>
      </c>
      <c r="J650">
        <v>160</v>
      </c>
      <c r="K650" s="2">
        <v>45782</v>
      </c>
    </row>
    <row r="651" spans="1:11" x14ac:dyDescent="0.25">
      <c r="A651" s="1" t="s">
        <v>588</v>
      </c>
      <c r="B651" s="1"/>
      <c r="C651" s="1" t="s">
        <v>2949</v>
      </c>
      <c r="D651" s="1" t="s">
        <v>3371</v>
      </c>
      <c r="E651" s="1"/>
      <c r="F651">
        <v>0</v>
      </c>
      <c r="G651">
        <v>0</v>
      </c>
      <c r="H651">
        <v>0</v>
      </c>
      <c r="I651">
        <v>0</v>
      </c>
      <c r="J651">
        <v>0</v>
      </c>
      <c r="K651" s="2">
        <v>45784</v>
      </c>
    </row>
    <row r="652" spans="1:11" x14ac:dyDescent="0.25">
      <c r="A652" s="1" t="s">
        <v>588</v>
      </c>
      <c r="B652" s="1"/>
      <c r="C652" s="1" t="s">
        <v>2949</v>
      </c>
      <c r="D652" s="1" t="s">
        <v>3371</v>
      </c>
      <c r="E652" s="1"/>
      <c r="F652">
        <v>0</v>
      </c>
      <c r="G652">
        <v>0</v>
      </c>
      <c r="H652">
        <v>0</v>
      </c>
      <c r="I652">
        <v>0</v>
      </c>
      <c r="J652">
        <v>95</v>
      </c>
      <c r="K652" s="2">
        <v>45784</v>
      </c>
    </row>
    <row r="653" spans="1:11" x14ac:dyDescent="0.25">
      <c r="A653" s="1" t="s">
        <v>588</v>
      </c>
      <c r="B653" s="1"/>
      <c r="C653" s="1" t="s">
        <v>2949</v>
      </c>
      <c r="D653" s="1" t="s">
        <v>3374</v>
      </c>
      <c r="E653" s="1"/>
      <c r="F653">
        <v>0.3</v>
      </c>
      <c r="G653">
        <v>0</v>
      </c>
      <c r="H653">
        <v>20</v>
      </c>
      <c r="I653">
        <v>0</v>
      </c>
      <c r="J653">
        <v>0</v>
      </c>
      <c r="K653" s="2">
        <v>45784</v>
      </c>
    </row>
    <row r="654" spans="1:11" x14ac:dyDescent="0.25">
      <c r="A654" s="1" t="s">
        <v>588</v>
      </c>
      <c r="B654" s="1"/>
      <c r="C654" s="1" t="s">
        <v>2950</v>
      </c>
      <c r="D654" s="1" t="s">
        <v>3386</v>
      </c>
      <c r="E654" s="1"/>
      <c r="F654">
        <v>5.7</v>
      </c>
      <c r="G654">
        <v>0.3</v>
      </c>
      <c r="H654">
        <v>365</v>
      </c>
      <c r="I654">
        <v>0</v>
      </c>
      <c r="J654">
        <v>8</v>
      </c>
      <c r="K654" s="2">
        <v>45784</v>
      </c>
    </row>
    <row r="655" spans="1:11" x14ac:dyDescent="0.25">
      <c r="A655" s="1" t="s">
        <v>588</v>
      </c>
      <c r="B655" s="1"/>
      <c r="C655" s="1" t="s">
        <v>2951</v>
      </c>
      <c r="D655" s="1" t="s">
        <v>3374</v>
      </c>
      <c r="E655" s="1"/>
      <c r="F655">
        <v>0.3</v>
      </c>
      <c r="G655">
        <v>0.3</v>
      </c>
      <c r="H655">
        <v>5</v>
      </c>
      <c r="I655">
        <v>0</v>
      </c>
      <c r="J655">
        <v>8</v>
      </c>
      <c r="K655" s="2">
        <v>45784</v>
      </c>
    </row>
    <row r="656" spans="1:11" x14ac:dyDescent="0.25">
      <c r="A656" s="1" t="s">
        <v>588</v>
      </c>
      <c r="B656" s="1"/>
      <c r="C656" s="1" t="s">
        <v>2952</v>
      </c>
      <c r="D656" s="1" t="s">
        <v>3375</v>
      </c>
      <c r="E656" s="1"/>
      <c r="F656">
        <v>3.6</v>
      </c>
      <c r="G656">
        <v>0</v>
      </c>
      <c r="H656">
        <v>185</v>
      </c>
      <c r="I656">
        <v>0</v>
      </c>
      <c r="J656">
        <v>2</v>
      </c>
      <c r="K656" s="2">
        <v>45786</v>
      </c>
    </row>
    <row r="657" spans="1:11" x14ac:dyDescent="0.25">
      <c r="A657" s="1" t="s">
        <v>435</v>
      </c>
      <c r="B657" s="1"/>
      <c r="C657" s="1" t="s">
        <v>2808</v>
      </c>
      <c r="D657" s="1" t="s">
        <v>3370</v>
      </c>
      <c r="E657" s="1"/>
      <c r="F657">
        <v>0</v>
      </c>
      <c r="G657">
        <v>0</v>
      </c>
      <c r="H657">
        <v>0</v>
      </c>
      <c r="I657">
        <v>0</v>
      </c>
      <c r="J657">
        <v>27</v>
      </c>
      <c r="K657" s="2">
        <v>45742</v>
      </c>
    </row>
    <row r="658" spans="1:11" x14ac:dyDescent="0.25">
      <c r="A658" s="1" t="s">
        <v>435</v>
      </c>
      <c r="B658" s="1"/>
      <c r="C658" s="1" t="s">
        <v>2953</v>
      </c>
      <c r="D658" s="1" t="s">
        <v>3386</v>
      </c>
      <c r="E658" s="1"/>
      <c r="F658">
        <v>0</v>
      </c>
      <c r="G658">
        <v>0</v>
      </c>
      <c r="H658">
        <v>0</v>
      </c>
      <c r="I658">
        <v>0</v>
      </c>
      <c r="J658">
        <v>7</v>
      </c>
      <c r="K658" s="2">
        <v>45744</v>
      </c>
    </row>
    <row r="659" spans="1:11" x14ac:dyDescent="0.25">
      <c r="A659" s="1" t="s">
        <v>435</v>
      </c>
      <c r="B659" s="1"/>
      <c r="C659" s="1" t="s">
        <v>2951</v>
      </c>
      <c r="D659" s="1" t="s">
        <v>3374</v>
      </c>
      <c r="E659" s="1"/>
      <c r="F659">
        <v>0</v>
      </c>
      <c r="G659">
        <v>0</v>
      </c>
      <c r="H659">
        <v>0</v>
      </c>
      <c r="I659">
        <v>0</v>
      </c>
      <c r="J659">
        <v>2</v>
      </c>
      <c r="K659" s="2">
        <v>45747</v>
      </c>
    </row>
    <row r="660" spans="1:11" x14ac:dyDescent="0.25">
      <c r="A660" s="1" t="s">
        <v>435</v>
      </c>
      <c r="B660" s="1"/>
      <c r="C660" s="1" t="s">
        <v>2952</v>
      </c>
      <c r="D660" s="1" t="s">
        <v>3375</v>
      </c>
      <c r="E660" s="1"/>
      <c r="F660">
        <v>0.4</v>
      </c>
      <c r="G660">
        <v>0</v>
      </c>
      <c r="H660">
        <v>25</v>
      </c>
      <c r="I660">
        <v>0</v>
      </c>
      <c r="J660">
        <v>2</v>
      </c>
      <c r="K660" s="2">
        <v>45747</v>
      </c>
    </row>
    <row r="661" spans="1:11" x14ac:dyDescent="0.25">
      <c r="A661" s="1" t="s">
        <v>435</v>
      </c>
      <c r="B661" s="1"/>
      <c r="C661" s="1" t="s">
        <v>2954</v>
      </c>
      <c r="D661" s="1" t="s">
        <v>3387</v>
      </c>
      <c r="E661" s="1"/>
      <c r="F661">
        <v>0</v>
      </c>
      <c r="G661">
        <v>0</v>
      </c>
      <c r="H661">
        <v>0</v>
      </c>
      <c r="I661">
        <v>0</v>
      </c>
      <c r="J661">
        <v>2</v>
      </c>
      <c r="K661" s="2">
        <v>45747</v>
      </c>
    </row>
    <row r="662" spans="1:11" x14ac:dyDescent="0.25">
      <c r="A662" s="1" t="s">
        <v>435</v>
      </c>
      <c r="B662" s="1"/>
      <c r="C662" s="1" t="s">
        <v>2873</v>
      </c>
      <c r="D662" s="1" t="s">
        <v>3386</v>
      </c>
      <c r="E662" s="1"/>
      <c r="F662">
        <v>2.2000000000000002</v>
      </c>
      <c r="G662">
        <v>2.6</v>
      </c>
      <c r="H662">
        <v>-25</v>
      </c>
      <c r="I662">
        <v>0</v>
      </c>
      <c r="J662">
        <v>18</v>
      </c>
      <c r="K662" s="2">
        <v>45777</v>
      </c>
    </row>
    <row r="663" spans="1:11" x14ac:dyDescent="0.25">
      <c r="A663" s="1" t="s">
        <v>471</v>
      </c>
      <c r="B663" s="1"/>
      <c r="C663" s="1" t="s">
        <v>2808</v>
      </c>
      <c r="D663" s="1" t="s">
        <v>3370</v>
      </c>
      <c r="E663" s="1"/>
      <c r="F663">
        <v>0</v>
      </c>
      <c r="G663">
        <v>0</v>
      </c>
      <c r="H663">
        <v>0</v>
      </c>
      <c r="I663">
        <v>0</v>
      </c>
      <c r="J663">
        <v>33</v>
      </c>
      <c r="K663" s="2">
        <v>45748</v>
      </c>
    </row>
    <row r="664" spans="1:11" x14ac:dyDescent="0.25">
      <c r="A664" s="1" t="s">
        <v>471</v>
      </c>
      <c r="B664" s="1"/>
      <c r="C664" s="1" t="s">
        <v>2949</v>
      </c>
      <c r="D664" s="1" t="s">
        <v>3388</v>
      </c>
      <c r="E664" s="1"/>
      <c r="F664">
        <v>0</v>
      </c>
      <c r="G664">
        <v>0</v>
      </c>
      <c r="H664">
        <v>0</v>
      </c>
      <c r="I664">
        <v>0</v>
      </c>
      <c r="J664">
        <v>2</v>
      </c>
      <c r="K664" s="2">
        <v>45768</v>
      </c>
    </row>
    <row r="665" spans="1:11" x14ac:dyDescent="0.25">
      <c r="A665" s="1" t="s">
        <v>471</v>
      </c>
      <c r="B665" s="1"/>
      <c r="C665" s="1" t="s">
        <v>2949</v>
      </c>
      <c r="D665" s="1" t="s">
        <v>3371</v>
      </c>
      <c r="E665" s="1"/>
      <c r="F665">
        <v>0</v>
      </c>
      <c r="G665">
        <v>0</v>
      </c>
      <c r="H665">
        <v>0</v>
      </c>
      <c r="I665">
        <v>0</v>
      </c>
      <c r="J665">
        <v>2</v>
      </c>
      <c r="K665" s="2">
        <v>45768</v>
      </c>
    </row>
    <row r="666" spans="1:11" x14ac:dyDescent="0.25">
      <c r="A666" s="1" t="s">
        <v>471</v>
      </c>
      <c r="B666" s="1"/>
      <c r="C666" s="1" t="s">
        <v>2949</v>
      </c>
      <c r="D666" s="1" t="s">
        <v>3371</v>
      </c>
      <c r="E666" s="1"/>
      <c r="F666">
        <v>0</v>
      </c>
      <c r="G666">
        <v>0</v>
      </c>
      <c r="H666">
        <v>0</v>
      </c>
      <c r="I666">
        <v>0</v>
      </c>
      <c r="J666">
        <v>2</v>
      </c>
      <c r="K666" s="2">
        <v>45768</v>
      </c>
    </row>
    <row r="667" spans="1:11" x14ac:dyDescent="0.25">
      <c r="A667" s="1" t="s">
        <v>471</v>
      </c>
      <c r="B667" s="1"/>
      <c r="C667" s="1" t="s">
        <v>2949</v>
      </c>
      <c r="D667" s="1" t="s">
        <v>3374</v>
      </c>
      <c r="E667" s="1"/>
      <c r="F667">
        <v>0</v>
      </c>
      <c r="G667">
        <v>0</v>
      </c>
      <c r="H667">
        <v>0</v>
      </c>
      <c r="I667">
        <v>0</v>
      </c>
      <c r="J667">
        <v>2</v>
      </c>
      <c r="K667" s="2">
        <v>45768</v>
      </c>
    </row>
    <row r="668" spans="1:11" x14ac:dyDescent="0.25">
      <c r="A668" s="1" t="s">
        <v>471</v>
      </c>
      <c r="B668" s="1"/>
      <c r="C668" s="1" t="s">
        <v>2953</v>
      </c>
      <c r="D668" s="1" t="s">
        <v>3386</v>
      </c>
      <c r="E668" s="1"/>
      <c r="F668">
        <v>0</v>
      </c>
      <c r="G668">
        <v>1.4</v>
      </c>
      <c r="H668">
        <v>-100</v>
      </c>
      <c r="I668">
        <v>0</v>
      </c>
      <c r="J668">
        <v>2</v>
      </c>
      <c r="K668" s="2">
        <v>45768</v>
      </c>
    </row>
    <row r="669" spans="1:11" x14ac:dyDescent="0.25">
      <c r="A669" s="1" t="s">
        <v>471</v>
      </c>
      <c r="B669" s="1"/>
      <c r="C669" s="1" t="s">
        <v>2951</v>
      </c>
      <c r="D669" s="1" t="s">
        <v>3374</v>
      </c>
      <c r="E669" s="1"/>
      <c r="F669">
        <v>0</v>
      </c>
      <c r="G669">
        <v>0</v>
      </c>
      <c r="H669">
        <v>0</v>
      </c>
      <c r="I669">
        <v>0</v>
      </c>
      <c r="J669">
        <v>2</v>
      </c>
      <c r="K669" s="2">
        <v>45768</v>
      </c>
    </row>
    <row r="670" spans="1:11" x14ac:dyDescent="0.25">
      <c r="A670" s="1" t="s">
        <v>471</v>
      </c>
      <c r="B670" s="1"/>
      <c r="C670" s="1" t="s">
        <v>2952</v>
      </c>
      <c r="D670" s="1" t="s">
        <v>3375</v>
      </c>
      <c r="E670" s="1"/>
      <c r="F670">
        <v>0.7</v>
      </c>
      <c r="G670">
        <v>0</v>
      </c>
      <c r="H670">
        <v>40</v>
      </c>
      <c r="I670">
        <v>0</v>
      </c>
      <c r="J670">
        <v>2</v>
      </c>
      <c r="K670" s="2">
        <v>45768</v>
      </c>
    </row>
    <row r="671" spans="1:11" x14ac:dyDescent="0.25">
      <c r="A671" s="1" t="s">
        <v>471</v>
      </c>
      <c r="B671" s="1"/>
      <c r="C671" s="1" t="s">
        <v>2954</v>
      </c>
      <c r="D671" s="1" t="s">
        <v>3387</v>
      </c>
      <c r="E671" s="1"/>
      <c r="F671">
        <v>0</v>
      </c>
      <c r="G671">
        <v>0</v>
      </c>
      <c r="H671">
        <v>0</v>
      </c>
      <c r="I671">
        <v>0</v>
      </c>
      <c r="J671">
        <v>0</v>
      </c>
      <c r="K671" s="2">
        <v>45784</v>
      </c>
    </row>
    <row r="672" spans="1:11" x14ac:dyDescent="0.25">
      <c r="A672" s="1" t="s">
        <v>471</v>
      </c>
      <c r="B672" s="1"/>
      <c r="C672" s="1" t="s">
        <v>2955</v>
      </c>
      <c r="D672" s="1" t="s">
        <v>3425</v>
      </c>
      <c r="E672" s="1"/>
      <c r="F672">
        <v>0</v>
      </c>
      <c r="G672">
        <v>0</v>
      </c>
      <c r="H672">
        <v>0</v>
      </c>
      <c r="I672">
        <v>0</v>
      </c>
      <c r="J672">
        <v>2</v>
      </c>
      <c r="K672" s="2">
        <v>45784</v>
      </c>
    </row>
    <row r="673" spans="1:11" x14ac:dyDescent="0.25">
      <c r="A673" s="1" t="s">
        <v>471</v>
      </c>
      <c r="B673" s="1"/>
      <c r="C673" s="1" t="s">
        <v>2956</v>
      </c>
      <c r="D673" s="1" t="s">
        <v>3388</v>
      </c>
      <c r="E673" s="1"/>
      <c r="F673">
        <v>0.4</v>
      </c>
      <c r="G673">
        <v>0</v>
      </c>
      <c r="H673">
        <v>30</v>
      </c>
      <c r="I673">
        <v>0</v>
      </c>
      <c r="J673">
        <v>33</v>
      </c>
      <c r="K673" s="2">
        <v>45784</v>
      </c>
    </row>
    <row r="674" spans="1:11" x14ac:dyDescent="0.25">
      <c r="A674" s="1" t="s">
        <v>471</v>
      </c>
      <c r="B674" s="1"/>
      <c r="C674" s="1" t="s">
        <v>2957</v>
      </c>
      <c r="D674" s="1" t="s">
        <v>3371</v>
      </c>
      <c r="E674" s="1"/>
      <c r="F674">
        <v>0.3</v>
      </c>
      <c r="G674">
        <v>0</v>
      </c>
      <c r="H674">
        <v>20</v>
      </c>
      <c r="I674">
        <v>0</v>
      </c>
      <c r="J674">
        <v>33</v>
      </c>
      <c r="K674" s="2">
        <v>45784</v>
      </c>
    </row>
    <row r="675" spans="1:11" x14ac:dyDescent="0.25">
      <c r="A675" s="1" t="s">
        <v>471</v>
      </c>
      <c r="B675" s="1"/>
      <c r="C675" s="1" t="s">
        <v>2872</v>
      </c>
      <c r="D675" s="1" t="s">
        <v>3371</v>
      </c>
      <c r="E675" s="1"/>
      <c r="F675">
        <v>0.8</v>
      </c>
      <c r="G675">
        <v>0</v>
      </c>
      <c r="H675">
        <v>45</v>
      </c>
      <c r="I675">
        <v>0</v>
      </c>
      <c r="J675">
        <v>33</v>
      </c>
      <c r="K675" s="2">
        <v>45784</v>
      </c>
    </row>
    <row r="676" spans="1:11" x14ac:dyDescent="0.25">
      <c r="A676" s="1" t="s">
        <v>471</v>
      </c>
      <c r="B676" s="1"/>
      <c r="C676" s="1" t="s">
        <v>2872</v>
      </c>
      <c r="D676" s="1" t="s">
        <v>3374</v>
      </c>
      <c r="E676" s="1"/>
      <c r="F676">
        <v>0</v>
      </c>
      <c r="G676">
        <v>0</v>
      </c>
      <c r="H676">
        <v>0</v>
      </c>
      <c r="I676">
        <v>0</v>
      </c>
      <c r="J676">
        <v>33</v>
      </c>
      <c r="K676" s="2">
        <v>45784</v>
      </c>
    </row>
    <row r="677" spans="1:11" x14ac:dyDescent="0.25">
      <c r="A677" s="1" t="s">
        <v>471</v>
      </c>
      <c r="B677" s="1"/>
      <c r="C677" s="1" t="s">
        <v>2873</v>
      </c>
      <c r="D677" s="1" t="s">
        <v>3386</v>
      </c>
      <c r="E677" s="1"/>
      <c r="F677">
        <v>2.2999999999999998</v>
      </c>
      <c r="G677">
        <v>0.9</v>
      </c>
      <c r="H677">
        <v>120</v>
      </c>
      <c r="I677">
        <v>3</v>
      </c>
      <c r="J677">
        <v>30</v>
      </c>
      <c r="K677" s="2">
        <v>45783</v>
      </c>
    </row>
    <row r="678" spans="1:11" x14ac:dyDescent="0.25">
      <c r="A678" s="1" t="s">
        <v>471</v>
      </c>
      <c r="B678" s="1"/>
      <c r="C678" s="1" t="s">
        <v>2812</v>
      </c>
      <c r="D678" s="1" t="s">
        <v>3374</v>
      </c>
      <c r="E678" s="1"/>
      <c r="F678">
        <v>0</v>
      </c>
      <c r="G678">
        <v>0</v>
      </c>
      <c r="H678">
        <v>0</v>
      </c>
      <c r="I678">
        <v>0</v>
      </c>
      <c r="J678">
        <v>30</v>
      </c>
      <c r="K678" s="2">
        <v>45784</v>
      </c>
    </row>
    <row r="679" spans="1:11" x14ac:dyDescent="0.25">
      <c r="A679" s="1" t="s">
        <v>471</v>
      </c>
      <c r="B679" s="1"/>
      <c r="C679" s="1" t="s">
        <v>2870</v>
      </c>
      <c r="D679" s="1" t="s">
        <v>3375</v>
      </c>
      <c r="E679" s="1"/>
      <c r="F679">
        <v>0.8</v>
      </c>
      <c r="G679">
        <v>0</v>
      </c>
      <c r="H679">
        <v>45</v>
      </c>
      <c r="I679">
        <v>0</v>
      </c>
      <c r="J679">
        <v>27</v>
      </c>
      <c r="K679" s="2">
        <v>45785</v>
      </c>
    </row>
    <row r="680" spans="1:11" x14ac:dyDescent="0.25">
      <c r="A680" s="1" t="s">
        <v>500</v>
      </c>
      <c r="B680" s="1"/>
      <c r="C680" s="1" t="s">
        <v>2808</v>
      </c>
      <c r="D680" s="1" t="s">
        <v>3370</v>
      </c>
      <c r="E680" s="1"/>
      <c r="F680">
        <v>0</v>
      </c>
      <c r="G680">
        <v>0</v>
      </c>
      <c r="H680">
        <v>0</v>
      </c>
      <c r="I680">
        <v>0</v>
      </c>
      <c r="J680">
        <v>2</v>
      </c>
      <c r="K680" s="2">
        <v>45761</v>
      </c>
    </row>
    <row r="681" spans="1:11" x14ac:dyDescent="0.25">
      <c r="A681" s="1" t="s">
        <v>500</v>
      </c>
      <c r="B681" s="1"/>
      <c r="C681" s="1" t="s">
        <v>2949</v>
      </c>
      <c r="D681" s="1" t="s">
        <v>3388</v>
      </c>
      <c r="E681" s="1"/>
      <c r="F681">
        <v>0</v>
      </c>
      <c r="G681">
        <v>0</v>
      </c>
      <c r="H681">
        <v>0</v>
      </c>
      <c r="I681">
        <v>0</v>
      </c>
      <c r="J681">
        <v>8</v>
      </c>
      <c r="K681" s="2">
        <v>45782</v>
      </c>
    </row>
    <row r="682" spans="1:11" x14ac:dyDescent="0.25">
      <c r="A682" s="1" t="s">
        <v>500</v>
      </c>
      <c r="B682" s="1"/>
      <c r="C682" s="1" t="s">
        <v>2949</v>
      </c>
      <c r="D682" s="1" t="s">
        <v>3371</v>
      </c>
      <c r="E682" s="1"/>
      <c r="F682">
        <v>0</v>
      </c>
      <c r="G682">
        <v>0</v>
      </c>
      <c r="H682">
        <v>0</v>
      </c>
      <c r="I682">
        <v>0</v>
      </c>
      <c r="J682">
        <v>8</v>
      </c>
      <c r="K682" s="2">
        <v>45784</v>
      </c>
    </row>
    <row r="683" spans="1:11" x14ac:dyDescent="0.25">
      <c r="A683" s="1" t="s">
        <v>500</v>
      </c>
      <c r="B683" s="1"/>
      <c r="C683" s="1" t="s">
        <v>2949</v>
      </c>
      <c r="D683" s="1" t="s">
        <v>3371</v>
      </c>
      <c r="E683" s="1"/>
      <c r="F683">
        <v>0</v>
      </c>
      <c r="G683">
        <v>0</v>
      </c>
      <c r="H683">
        <v>0</v>
      </c>
      <c r="I683">
        <v>0</v>
      </c>
      <c r="J683">
        <v>8</v>
      </c>
      <c r="K683" s="2">
        <v>45783</v>
      </c>
    </row>
    <row r="684" spans="1:11" x14ac:dyDescent="0.25">
      <c r="A684" s="1" t="s">
        <v>500</v>
      </c>
      <c r="B684" s="1"/>
      <c r="C684" s="1" t="s">
        <v>2949</v>
      </c>
      <c r="D684" s="1" t="s">
        <v>3374</v>
      </c>
      <c r="E684" s="1"/>
      <c r="F684">
        <v>0</v>
      </c>
      <c r="G684">
        <v>0</v>
      </c>
      <c r="H684">
        <v>0</v>
      </c>
      <c r="I684">
        <v>0</v>
      </c>
      <c r="J684">
        <v>8</v>
      </c>
      <c r="K684" s="2">
        <v>45784</v>
      </c>
    </row>
    <row r="685" spans="1:11" x14ac:dyDescent="0.25">
      <c r="A685" s="1" t="s">
        <v>500</v>
      </c>
      <c r="B685" s="1"/>
      <c r="C685" s="1" t="s">
        <v>2953</v>
      </c>
      <c r="D685" s="1" t="s">
        <v>3386</v>
      </c>
      <c r="E685" s="1"/>
      <c r="F685">
        <v>0</v>
      </c>
      <c r="G685">
        <v>0</v>
      </c>
      <c r="H685">
        <v>0</v>
      </c>
      <c r="I685">
        <v>0</v>
      </c>
      <c r="J685">
        <v>3</v>
      </c>
      <c r="K685" s="2">
        <v>45784</v>
      </c>
    </row>
    <row r="686" spans="1:11" x14ac:dyDescent="0.25">
      <c r="A686" s="1" t="s">
        <v>500</v>
      </c>
      <c r="B686" s="1"/>
      <c r="C686" s="1" t="s">
        <v>2951</v>
      </c>
      <c r="D686" s="1" t="s">
        <v>3374</v>
      </c>
      <c r="E686" s="1"/>
      <c r="F686">
        <v>0</v>
      </c>
      <c r="G686">
        <v>0</v>
      </c>
      <c r="H686">
        <v>0</v>
      </c>
      <c r="I686">
        <v>0</v>
      </c>
      <c r="J686">
        <v>2</v>
      </c>
      <c r="K686" s="2">
        <v>45786</v>
      </c>
    </row>
    <row r="687" spans="1:11" x14ac:dyDescent="0.25">
      <c r="A687" s="1" t="s">
        <v>500</v>
      </c>
      <c r="B687" s="1"/>
      <c r="C687" s="1" t="s">
        <v>2952</v>
      </c>
      <c r="D687" s="1" t="s">
        <v>3375</v>
      </c>
      <c r="E687" s="1"/>
      <c r="F687">
        <v>0</v>
      </c>
      <c r="G687">
        <v>0</v>
      </c>
      <c r="H687">
        <v>5</v>
      </c>
      <c r="I687">
        <v>0</v>
      </c>
      <c r="J687">
        <v>2</v>
      </c>
      <c r="K687" s="2">
        <v>45786</v>
      </c>
    </row>
    <row r="688" spans="1:11" x14ac:dyDescent="0.25">
      <c r="A688" s="1" t="s">
        <v>500</v>
      </c>
      <c r="B688" s="1"/>
      <c r="C688" s="1" t="s">
        <v>2956</v>
      </c>
      <c r="D688" s="1" t="s">
        <v>3388</v>
      </c>
      <c r="E688" s="1"/>
      <c r="F688">
        <v>0.1</v>
      </c>
      <c r="G688">
        <v>0</v>
      </c>
      <c r="H688">
        <v>10</v>
      </c>
      <c r="I688">
        <v>0</v>
      </c>
      <c r="J688">
        <v>2</v>
      </c>
      <c r="K688" s="2">
        <v>45786</v>
      </c>
    </row>
    <row r="689" spans="1:11" x14ac:dyDescent="0.25">
      <c r="A689" s="1" t="s">
        <v>500</v>
      </c>
      <c r="B689" s="1"/>
      <c r="C689" s="1" t="s">
        <v>2957</v>
      </c>
      <c r="D689" s="1" t="s">
        <v>3371</v>
      </c>
      <c r="E689" s="1"/>
      <c r="F689">
        <v>0.1</v>
      </c>
      <c r="G689">
        <v>0</v>
      </c>
      <c r="H689">
        <v>10</v>
      </c>
      <c r="I689">
        <v>0</v>
      </c>
      <c r="J689">
        <v>2</v>
      </c>
      <c r="K689" s="2">
        <v>45786</v>
      </c>
    </row>
    <row r="690" spans="1:11" x14ac:dyDescent="0.25">
      <c r="A690" s="1" t="s">
        <v>500</v>
      </c>
      <c r="B690" s="1"/>
      <c r="C690" s="1" t="s">
        <v>2872</v>
      </c>
      <c r="D690" s="1" t="s">
        <v>3371</v>
      </c>
      <c r="E690" s="1"/>
      <c r="F690">
        <v>0.1</v>
      </c>
      <c r="G690">
        <v>0</v>
      </c>
      <c r="H690">
        <v>10</v>
      </c>
      <c r="I690">
        <v>0</v>
      </c>
      <c r="J690">
        <v>2</v>
      </c>
      <c r="K690" s="2">
        <v>45786</v>
      </c>
    </row>
    <row r="691" spans="1:11" x14ac:dyDescent="0.25">
      <c r="A691" s="1" t="s">
        <v>500</v>
      </c>
      <c r="B691" s="1"/>
      <c r="C691" s="1" t="s">
        <v>2872</v>
      </c>
      <c r="D691" s="1" t="s">
        <v>3374</v>
      </c>
      <c r="E691" s="1"/>
      <c r="F691">
        <v>0</v>
      </c>
      <c r="G691">
        <v>0</v>
      </c>
      <c r="H691">
        <v>0</v>
      </c>
      <c r="I691">
        <v>0</v>
      </c>
      <c r="J691">
        <v>2</v>
      </c>
      <c r="K691" s="2">
        <v>45786</v>
      </c>
    </row>
    <row r="692" spans="1:11" x14ac:dyDescent="0.25">
      <c r="A692" s="1" t="s">
        <v>500</v>
      </c>
      <c r="B692" s="1"/>
      <c r="C692" s="1" t="s">
        <v>2873</v>
      </c>
      <c r="D692" s="1" t="s">
        <v>3386</v>
      </c>
      <c r="E692" s="1"/>
      <c r="F692">
        <v>2</v>
      </c>
      <c r="G692">
        <v>0.4</v>
      </c>
      <c r="H692">
        <v>130</v>
      </c>
      <c r="I692">
        <v>0</v>
      </c>
      <c r="J692">
        <v>2</v>
      </c>
      <c r="K692" s="2">
        <v>45786</v>
      </c>
    </row>
    <row r="693" spans="1:11" x14ac:dyDescent="0.25">
      <c r="A693" s="1" t="s">
        <v>894</v>
      </c>
      <c r="B693" s="1"/>
      <c r="C693" s="1" t="s">
        <v>2808</v>
      </c>
      <c r="D693" s="1" t="s">
        <v>3370</v>
      </c>
      <c r="E693" s="1"/>
      <c r="F693">
        <v>0</v>
      </c>
      <c r="G693">
        <v>0</v>
      </c>
      <c r="H693">
        <v>0</v>
      </c>
      <c r="I693">
        <v>0</v>
      </c>
      <c r="J693">
        <v>19</v>
      </c>
      <c r="K693" s="2">
        <v>45782</v>
      </c>
    </row>
    <row r="694" spans="1:11" x14ac:dyDescent="0.25">
      <c r="A694" s="1" t="s">
        <v>894</v>
      </c>
      <c r="B694" s="1"/>
      <c r="C694" s="1" t="s">
        <v>2949</v>
      </c>
      <c r="D694" s="1" t="s">
        <v>3388</v>
      </c>
      <c r="E694" s="1"/>
      <c r="F694">
        <v>0</v>
      </c>
      <c r="G694">
        <v>0</v>
      </c>
      <c r="H694">
        <v>0</v>
      </c>
      <c r="I694">
        <v>0</v>
      </c>
      <c r="J694">
        <v>19</v>
      </c>
      <c r="K694" s="2">
        <v>45782</v>
      </c>
    </row>
    <row r="695" spans="1:11" x14ac:dyDescent="0.25">
      <c r="A695" s="1" t="s">
        <v>894</v>
      </c>
      <c r="B695" s="1"/>
      <c r="C695" s="1" t="s">
        <v>2949</v>
      </c>
      <c r="D695" s="1" t="s">
        <v>3371</v>
      </c>
      <c r="E695" s="1"/>
      <c r="F695">
        <v>0</v>
      </c>
      <c r="G695">
        <v>0</v>
      </c>
      <c r="H695">
        <v>0</v>
      </c>
      <c r="I695">
        <v>0</v>
      </c>
      <c r="J695">
        <v>19</v>
      </c>
      <c r="K695" s="2">
        <v>45783</v>
      </c>
    </row>
    <row r="696" spans="1:11" x14ac:dyDescent="0.25">
      <c r="A696" s="1" t="s">
        <v>894</v>
      </c>
      <c r="B696" s="1"/>
      <c r="C696" s="1" t="s">
        <v>2953</v>
      </c>
      <c r="D696" s="1" t="s">
        <v>3386</v>
      </c>
      <c r="E696" s="1"/>
      <c r="F696">
        <v>0</v>
      </c>
      <c r="G696">
        <v>0.9</v>
      </c>
      <c r="H696">
        <v>-50</v>
      </c>
      <c r="I696">
        <v>0</v>
      </c>
      <c r="J696">
        <v>14</v>
      </c>
      <c r="K696" s="2">
        <v>45785</v>
      </c>
    </row>
    <row r="697" spans="1:11" x14ac:dyDescent="0.25">
      <c r="A697" s="1" t="s">
        <v>941</v>
      </c>
      <c r="B697" s="1"/>
      <c r="C697" s="1" t="s">
        <v>2808</v>
      </c>
      <c r="D697" s="1" t="s">
        <v>3370</v>
      </c>
      <c r="E697" s="1"/>
      <c r="F697">
        <v>0</v>
      </c>
      <c r="G697">
        <v>0</v>
      </c>
      <c r="H697">
        <v>0</v>
      </c>
      <c r="I697">
        <v>0</v>
      </c>
      <c r="J697">
        <v>24</v>
      </c>
      <c r="K697" s="2">
        <v>45786</v>
      </c>
    </row>
    <row r="698" spans="1:11" x14ac:dyDescent="0.25">
      <c r="A698" s="1" t="s">
        <v>236</v>
      </c>
      <c r="B698" s="1"/>
      <c r="C698" s="1" t="s">
        <v>2955</v>
      </c>
      <c r="D698" s="1" t="s">
        <v>3425</v>
      </c>
      <c r="E698" s="1"/>
      <c r="F698">
        <v>0</v>
      </c>
      <c r="G698">
        <v>1.1000000000000001</v>
      </c>
      <c r="H698">
        <v>-45</v>
      </c>
      <c r="I698">
        <v>0</v>
      </c>
      <c r="J698">
        <v>2</v>
      </c>
      <c r="K698" s="2">
        <v>45741</v>
      </c>
    </row>
    <row r="699" spans="1:11" x14ac:dyDescent="0.25">
      <c r="A699" s="1" t="s">
        <v>236</v>
      </c>
      <c r="B699" s="1"/>
      <c r="C699" s="1" t="s">
        <v>2956</v>
      </c>
      <c r="D699" s="1" t="s">
        <v>3388</v>
      </c>
      <c r="E699" s="1"/>
      <c r="F699">
        <v>5.0999999999999996</v>
      </c>
      <c r="G699">
        <v>3.9</v>
      </c>
      <c r="H699">
        <v>75</v>
      </c>
      <c r="I699">
        <v>0</v>
      </c>
      <c r="J699">
        <v>500</v>
      </c>
      <c r="K699" s="2">
        <v>45741</v>
      </c>
    </row>
    <row r="700" spans="1:11" x14ac:dyDescent="0.25">
      <c r="A700" s="1" t="s">
        <v>236</v>
      </c>
      <c r="B700" s="1"/>
      <c r="C700" s="1" t="s">
        <v>2957</v>
      </c>
      <c r="D700" s="1" t="s">
        <v>3371</v>
      </c>
      <c r="E700" s="1"/>
      <c r="F700">
        <v>2.6</v>
      </c>
      <c r="G700">
        <v>2</v>
      </c>
      <c r="H700">
        <v>35</v>
      </c>
      <c r="I700">
        <v>0</v>
      </c>
      <c r="J700">
        <v>500</v>
      </c>
      <c r="K700" s="2">
        <v>45741</v>
      </c>
    </row>
    <row r="701" spans="1:11" x14ac:dyDescent="0.25">
      <c r="A701" s="1" t="s">
        <v>236</v>
      </c>
      <c r="B701" s="1"/>
      <c r="C701" s="1" t="s">
        <v>2872</v>
      </c>
      <c r="D701" s="1" t="s">
        <v>3371</v>
      </c>
      <c r="E701" s="1"/>
      <c r="F701">
        <v>10.1</v>
      </c>
      <c r="G701">
        <v>0</v>
      </c>
      <c r="H701">
        <v>530</v>
      </c>
      <c r="I701">
        <v>0</v>
      </c>
      <c r="J701">
        <v>500</v>
      </c>
      <c r="K701" s="2">
        <v>45741</v>
      </c>
    </row>
    <row r="702" spans="1:11" x14ac:dyDescent="0.25">
      <c r="A702" s="1" t="s">
        <v>236</v>
      </c>
      <c r="B702" s="1"/>
      <c r="C702" s="1" t="s">
        <v>2872</v>
      </c>
      <c r="D702" s="1" t="s">
        <v>3374</v>
      </c>
      <c r="E702" s="1"/>
      <c r="F702">
        <v>0</v>
      </c>
      <c r="G702">
        <v>0</v>
      </c>
      <c r="H702">
        <v>0</v>
      </c>
      <c r="I702">
        <v>0</v>
      </c>
      <c r="J702">
        <v>500</v>
      </c>
      <c r="K702" s="2">
        <v>45741</v>
      </c>
    </row>
    <row r="703" spans="1:11" x14ac:dyDescent="0.25">
      <c r="A703" s="1" t="s">
        <v>236</v>
      </c>
      <c r="B703" s="1"/>
      <c r="C703" s="1" t="s">
        <v>2873</v>
      </c>
      <c r="D703" s="1" t="s">
        <v>3386</v>
      </c>
      <c r="E703" s="1"/>
      <c r="F703">
        <v>7.2</v>
      </c>
      <c r="G703">
        <v>26.7</v>
      </c>
      <c r="H703">
        <v>-990</v>
      </c>
      <c r="I703">
        <v>27</v>
      </c>
      <c r="J703">
        <v>473</v>
      </c>
      <c r="K703" s="2">
        <v>45741</v>
      </c>
    </row>
    <row r="704" spans="1:11" x14ac:dyDescent="0.25">
      <c r="A704" s="1" t="s">
        <v>236</v>
      </c>
      <c r="B704" s="1"/>
      <c r="C704" s="1" t="s">
        <v>2812</v>
      </c>
      <c r="D704" s="1" t="s">
        <v>3374</v>
      </c>
      <c r="E704" s="1"/>
      <c r="F704">
        <v>0</v>
      </c>
      <c r="G704">
        <v>0.1</v>
      </c>
      <c r="H704">
        <v>0</v>
      </c>
      <c r="I704">
        <v>0</v>
      </c>
      <c r="J704">
        <v>473</v>
      </c>
      <c r="K704" s="2">
        <v>45741</v>
      </c>
    </row>
    <row r="705" spans="1:11" x14ac:dyDescent="0.25">
      <c r="A705" s="1" t="s">
        <v>236</v>
      </c>
      <c r="B705" s="1"/>
      <c r="C705" s="1" t="s">
        <v>2870</v>
      </c>
      <c r="D705" s="1" t="s">
        <v>3375</v>
      </c>
      <c r="E705" s="1"/>
      <c r="F705">
        <v>11.2</v>
      </c>
      <c r="G705">
        <v>18.7</v>
      </c>
      <c r="H705">
        <v>-385</v>
      </c>
      <c r="I705">
        <v>35</v>
      </c>
      <c r="J705">
        <v>438</v>
      </c>
      <c r="K705" s="2">
        <v>45744</v>
      </c>
    </row>
    <row r="706" spans="1:11" x14ac:dyDescent="0.25">
      <c r="A706" s="1" t="s">
        <v>204</v>
      </c>
      <c r="B706" s="1"/>
      <c r="C706" s="1" t="s">
        <v>2949</v>
      </c>
      <c r="D706" s="1" t="s">
        <v>3388</v>
      </c>
      <c r="E706" s="1"/>
      <c r="F706">
        <v>0</v>
      </c>
      <c r="G706">
        <v>0</v>
      </c>
      <c r="H706">
        <v>0</v>
      </c>
      <c r="I706">
        <v>0</v>
      </c>
      <c r="J706">
        <v>0</v>
      </c>
      <c r="K706" s="2">
        <v>45764</v>
      </c>
    </row>
    <row r="707" spans="1:11" x14ac:dyDescent="0.25">
      <c r="A707" s="1" t="s">
        <v>204</v>
      </c>
      <c r="B707" s="1"/>
      <c r="C707" s="1" t="s">
        <v>2949</v>
      </c>
      <c r="D707" s="1" t="s">
        <v>3371</v>
      </c>
      <c r="E707" s="1"/>
      <c r="F707">
        <v>0</v>
      </c>
      <c r="G707">
        <v>0</v>
      </c>
      <c r="H707">
        <v>0</v>
      </c>
      <c r="I707">
        <v>0</v>
      </c>
      <c r="J707">
        <v>0</v>
      </c>
      <c r="K707" s="2">
        <v>45764</v>
      </c>
    </row>
    <row r="708" spans="1:11" x14ac:dyDescent="0.25">
      <c r="A708" s="1" t="s">
        <v>204</v>
      </c>
      <c r="B708" s="1"/>
      <c r="C708" s="1" t="s">
        <v>2949</v>
      </c>
      <c r="D708" s="1" t="s">
        <v>3371</v>
      </c>
      <c r="E708" s="1"/>
      <c r="F708">
        <v>0</v>
      </c>
      <c r="G708">
        <v>0</v>
      </c>
      <c r="H708">
        <v>0</v>
      </c>
      <c r="I708">
        <v>0</v>
      </c>
      <c r="J708">
        <v>0</v>
      </c>
      <c r="K708" s="2">
        <v>45764</v>
      </c>
    </row>
    <row r="709" spans="1:11" x14ac:dyDescent="0.25">
      <c r="A709" s="1" t="s">
        <v>204</v>
      </c>
      <c r="B709" s="1"/>
      <c r="C709" s="1" t="s">
        <v>2949</v>
      </c>
      <c r="D709" s="1" t="s">
        <v>3374</v>
      </c>
      <c r="E709" s="1"/>
      <c r="F709">
        <v>0.3</v>
      </c>
      <c r="G709">
        <v>0</v>
      </c>
      <c r="H709">
        <v>20</v>
      </c>
      <c r="I709">
        <v>0</v>
      </c>
      <c r="J709">
        <v>0</v>
      </c>
      <c r="K709" s="2">
        <v>45764</v>
      </c>
    </row>
    <row r="710" spans="1:11" x14ac:dyDescent="0.25">
      <c r="A710" s="1" t="s">
        <v>204</v>
      </c>
      <c r="B710" s="1"/>
      <c r="C710" s="1" t="s">
        <v>2953</v>
      </c>
      <c r="D710" s="1" t="s">
        <v>3386</v>
      </c>
      <c r="E710" s="1"/>
      <c r="F710">
        <v>0</v>
      </c>
      <c r="G710">
        <v>0.9</v>
      </c>
      <c r="H710">
        <v>-65</v>
      </c>
      <c r="I710">
        <v>0</v>
      </c>
      <c r="J710">
        <v>16</v>
      </c>
      <c r="K710" s="2">
        <v>45748</v>
      </c>
    </row>
    <row r="711" spans="1:11" x14ac:dyDescent="0.25">
      <c r="A711" s="1" t="s">
        <v>204</v>
      </c>
      <c r="B711" s="1"/>
      <c r="C711" s="1" t="s">
        <v>2955</v>
      </c>
      <c r="D711" s="1" t="s">
        <v>3425</v>
      </c>
      <c r="E711" s="1"/>
      <c r="F711">
        <v>0</v>
      </c>
      <c r="G711">
        <v>2.2999999999999998</v>
      </c>
      <c r="H711">
        <v>-95</v>
      </c>
      <c r="I711">
        <v>0</v>
      </c>
      <c r="J711">
        <v>2</v>
      </c>
      <c r="K711" s="2">
        <v>45772</v>
      </c>
    </row>
    <row r="712" spans="1:11" x14ac:dyDescent="0.25">
      <c r="A712" s="1" t="s">
        <v>204</v>
      </c>
      <c r="B712" s="1"/>
      <c r="C712" s="1" t="s">
        <v>2956</v>
      </c>
      <c r="D712" s="1" t="s">
        <v>3388</v>
      </c>
      <c r="E712" s="1"/>
      <c r="F712">
        <v>1.1000000000000001</v>
      </c>
      <c r="G712">
        <v>0</v>
      </c>
      <c r="H712">
        <v>70</v>
      </c>
      <c r="I712">
        <v>0</v>
      </c>
      <c r="J712">
        <v>97</v>
      </c>
      <c r="K712" s="2">
        <v>45772</v>
      </c>
    </row>
    <row r="713" spans="1:11" x14ac:dyDescent="0.25">
      <c r="A713" s="1" t="s">
        <v>204</v>
      </c>
      <c r="B713" s="1"/>
      <c r="C713" s="1" t="s">
        <v>2957</v>
      </c>
      <c r="D713" s="1" t="s">
        <v>3371</v>
      </c>
      <c r="E713" s="1"/>
      <c r="F713">
        <v>0.6</v>
      </c>
      <c r="G713">
        <v>0</v>
      </c>
      <c r="H713">
        <v>35</v>
      </c>
      <c r="I713">
        <v>0</v>
      </c>
      <c r="J713">
        <v>97</v>
      </c>
      <c r="K713" s="2">
        <v>45772</v>
      </c>
    </row>
    <row r="714" spans="1:11" x14ac:dyDescent="0.25">
      <c r="A714" s="1" t="s">
        <v>204</v>
      </c>
      <c r="B714" s="1"/>
      <c r="C714" s="1" t="s">
        <v>2872</v>
      </c>
      <c r="D714" s="1" t="s">
        <v>3371</v>
      </c>
      <c r="E714" s="1"/>
      <c r="F714">
        <v>2</v>
      </c>
      <c r="G714">
        <v>0</v>
      </c>
      <c r="H714">
        <v>110</v>
      </c>
      <c r="I714">
        <v>0</v>
      </c>
      <c r="J714">
        <v>97</v>
      </c>
      <c r="K714" s="2">
        <v>45772</v>
      </c>
    </row>
    <row r="715" spans="1:11" x14ac:dyDescent="0.25">
      <c r="A715" s="1" t="s">
        <v>204</v>
      </c>
      <c r="B715" s="1"/>
      <c r="C715" s="1" t="s">
        <v>2872</v>
      </c>
      <c r="D715" s="1" t="s">
        <v>3374</v>
      </c>
      <c r="E715" s="1"/>
      <c r="F715">
        <v>0.3</v>
      </c>
      <c r="G715">
        <v>0</v>
      </c>
      <c r="H715">
        <v>20</v>
      </c>
      <c r="I715">
        <v>0</v>
      </c>
      <c r="J715">
        <v>97</v>
      </c>
      <c r="K715" s="2">
        <v>45772</v>
      </c>
    </row>
    <row r="716" spans="1:11" x14ac:dyDescent="0.25">
      <c r="A716" s="1" t="s">
        <v>204</v>
      </c>
      <c r="B716" s="1"/>
      <c r="C716" s="1" t="s">
        <v>2873</v>
      </c>
      <c r="D716" s="1" t="s">
        <v>3386</v>
      </c>
      <c r="E716" s="1"/>
      <c r="F716">
        <v>3</v>
      </c>
      <c r="G716">
        <v>9.3000000000000007</v>
      </c>
      <c r="H716">
        <v>-355</v>
      </c>
      <c r="I716">
        <v>9</v>
      </c>
      <c r="J716">
        <v>88</v>
      </c>
      <c r="K716" s="2">
        <v>45772</v>
      </c>
    </row>
    <row r="717" spans="1:11" x14ac:dyDescent="0.25">
      <c r="A717" s="1" t="s">
        <v>204</v>
      </c>
      <c r="B717" s="1"/>
      <c r="C717" s="1" t="s">
        <v>2812</v>
      </c>
      <c r="D717" s="1" t="s">
        <v>3374</v>
      </c>
      <c r="E717" s="1"/>
      <c r="F717">
        <v>0.3</v>
      </c>
      <c r="G717">
        <v>0</v>
      </c>
      <c r="H717">
        <v>20</v>
      </c>
      <c r="I717">
        <v>0</v>
      </c>
      <c r="J717">
        <v>88</v>
      </c>
      <c r="K717" s="2">
        <v>45772</v>
      </c>
    </row>
    <row r="718" spans="1:11" x14ac:dyDescent="0.25">
      <c r="A718" s="1" t="s">
        <v>233</v>
      </c>
      <c r="B718" s="1"/>
      <c r="C718" s="1" t="s">
        <v>2953</v>
      </c>
      <c r="D718" s="1" t="s">
        <v>3386</v>
      </c>
      <c r="E718" s="1"/>
      <c r="F718">
        <v>0</v>
      </c>
      <c r="G718">
        <v>1.8</v>
      </c>
      <c r="H718">
        <v>-120</v>
      </c>
      <c r="I718">
        <v>4</v>
      </c>
      <c r="J718">
        <v>10</v>
      </c>
      <c r="K718" s="2">
        <v>45785</v>
      </c>
    </row>
    <row r="719" spans="1:11" x14ac:dyDescent="0.25">
      <c r="A719" s="1" t="s">
        <v>233</v>
      </c>
      <c r="B719" s="1"/>
      <c r="C719" s="1" t="s">
        <v>2951</v>
      </c>
      <c r="D719" s="1" t="s">
        <v>3374</v>
      </c>
      <c r="E719" s="1"/>
      <c r="F719">
        <v>0.3</v>
      </c>
      <c r="G719">
        <v>0</v>
      </c>
      <c r="H719">
        <v>20</v>
      </c>
      <c r="I719">
        <v>0</v>
      </c>
      <c r="J719">
        <v>9</v>
      </c>
      <c r="K719" s="2">
        <v>45783</v>
      </c>
    </row>
    <row r="720" spans="1:11" x14ac:dyDescent="0.25">
      <c r="A720" s="1" t="s">
        <v>233</v>
      </c>
      <c r="B720" s="1"/>
      <c r="C720" s="1" t="s">
        <v>2952</v>
      </c>
      <c r="D720" s="1" t="s">
        <v>3375</v>
      </c>
      <c r="E720" s="1"/>
      <c r="F720">
        <v>0.9</v>
      </c>
      <c r="G720">
        <v>0</v>
      </c>
      <c r="H720">
        <v>50</v>
      </c>
      <c r="I720">
        <v>0</v>
      </c>
      <c r="J720">
        <v>4</v>
      </c>
      <c r="K720" s="2">
        <v>45783</v>
      </c>
    </row>
    <row r="721" spans="1:11" x14ac:dyDescent="0.25">
      <c r="A721" s="1" t="s">
        <v>233</v>
      </c>
      <c r="B721" s="1"/>
      <c r="C721" s="1" t="s">
        <v>2954</v>
      </c>
      <c r="D721" s="1" t="s">
        <v>3387</v>
      </c>
      <c r="E721" s="1"/>
      <c r="F721">
        <v>0</v>
      </c>
      <c r="G721">
        <v>0.2</v>
      </c>
      <c r="H721">
        <v>-10</v>
      </c>
      <c r="I721">
        <v>0</v>
      </c>
      <c r="J721">
        <v>2</v>
      </c>
      <c r="K721" s="2">
        <v>45785</v>
      </c>
    </row>
    <row r="722" spans="1:11" x14ac:dyDescent="0.25">
      <c r="A722" s="1" t="s">
        <v>233</v>
      </c>
      <c r="B722" s="1"/>
      <c r="C722" s="1" t="s">
        <v>2955</v>
      </c>
      <c r="D722" s="1" t="s">
        <v>3425</v>
      </c>
      <c r="E722" s="1"/>
      <c r="F722">
        <v>0</v>
      </c>
      <c r="G722">
        <v>3</v>
      </c>
      <c r="H722">
        <v>-125</v>
      </c>
      <c r="I722">
        <v>0</v>
      </c>
      <c r="J722">
        <v>2</v>
      </c>
      <c r="K722" s="2">
        <v>45785</v>
      </c>
    </row>
    <row r="723" spans="1:11" x14ac:dyDescent="0.25">
      <c r="A723" s="1" t="s">
        <v>233</v>
      </c>
      <c r="B723" s="1"/>
      <c r="C723" s="1" t="s">
        <v>2956</v>
      </c>
      <c r="D723" s="1" t="s">
        <v>3388</v>
      </c>
      <c r="E723" s="1"/>
      <c r="F723">
        <v>0.5</v>
      </c>
      <c r="G723">
        <v>0</v>
      </c>
      <c r="H723">
        <v>35</v>
      </c>
      <c r="I723">
        <v>0</v>
      </c>
      <c r="J723">
        <v>36</v>
      </c>
      <c r="K723" s="2">
        <v>45785</v>
      </c>
    </row>
    <row r="724" spans="1:11" x14ac:dyDescent="0.25">
      <c r="A724" s="1" t="s">
        <v>233</v>
      </c>
      <c r="B724" s="1"/>
      <c r="C724" s="1" t="s">
        <v>2957</v>
      </c>
      <c r="D724" s="1" t="s">
        <v>3371</v>
      </c>
      <c r="E724" s="1"/>
      <c r="F724">
        <v>0.3</v>
      </c>
      <c r="G724">
        <v>0</v>
      </c>
      <c r="H724">
        <v>20</v>
      </c>
      <c r="I724">
        <v>0</v>
      </c>
      <c r="J724">
        <v>36</v>
      </c>
      <c r="K724" s="2">
        <v>45785</v>
      </c>
    </row>
    <row r="725" spans="1:11" x14ac:dyDescent="0.25">
      <c r="A725" s="1" t="s">
        <v>233</v>
      </c>
      <c r="B725" s="1"/>
      <c r="C725" s="1" t="s">
        <v>2872</v>
      </c>
      <c r="D725" s="1" t="s">
        <v>3371</v>
      </c>
      <c r="E725" s="1"/>
      <c r="F725">
        <v>0.9</v>
      </c>
      <c r="G725">
        <v>0</v>
      </c>
      <c r="H725">
        <v>50</v>
      </c>
      <c r="I725">
        <v>0</v>
      </c>
      <c r="J725">
        <v>36</v>
      </c>
      <c r="K725" s="2">
        <v>45785</v>
      </c>
    </row>
    <row r="726" spans="1:11" x14ac:dyDescent="0.25">
      <c r="A726" s="1" t="s">
        <v>233</v>
      </c>
      <c r="B726" s="1"/>
      <c r="C726" s="1" t="s">
        <v>2872</v>
      </c>
      <c r="D726" s="1" t="s">
        <v>3374</v>
      </c>
      <c r="E726" s="1"/>
      <c r="F726">
        <v>0.3</v>
      </c>
      <c r="G726">
        <v>0</v>
      </c>
      <c r="H726">
        <v>20</v>
      </c>
      <c r="I726">
        <v>0</v>
      </c>
      <c r="J726">
        <v>36</v>
      </c>
      <c r="K726" s="2">
        <v>45785</v>
      </c>
    </row>
    <row r="727" spans="1:11" x14ac:dyDescent="0.25">
      <c r="A727" s="1" t="s">
        <v>233</v>
      </c>
      <c r="B727" s="1"/>
      <c r="C727" s="1" t="s">
        <v>2873</v>
      </c>
      <c r="D727" s="1" t="s">
        <v>3386</v>
      </c>
      <c r="E727" s="1"/>
      <c r="F727">
        <v>2.4</v>
      </c>
      <c r="G727">
        <v>1.1000000000000001</v>
      </c>
      <c r="H727">
        <v>100</v>
      </c>
      <c r="I727">
        <v>0</v>
      </c>
      <c r="J727">
        <v>36</v>
      </c>
      <c r="K727" s="2">
        <v>45786</v>
      </c>
    </row>
    <row r="728" spans="1:11" x14ac:dyDescent="0.25">
      <c r="A728" s="1" t="s">
        <v>504</v>
      </c>
      <c r="B728" s="1"/>
      <c r="C728" s="1" t="s">
        <v>2808</v>
      </c>
      <c r="D728" s="1" t="s">
        <v>3370</v>
      </c>
      <c r="E728" s="1"/>
      <c r="F728">
        <v>0</v>
      </c>
      <c r="G728">
        <v>0</v>
      </c>
      <c r="H728">
        <v>0</v>
      </c>
      <c r="I728">
        <v>0</v>
      </c>
      <c r="J728">
        <v>480</v>
      </c>
      <c r="K728" s="2">
        <v>45751</v>
      </c>
    </row>
    <row r="729" spans="1:11" x14ac:dyDescent="0.25">
      <c r="A729" s="1" t="s">
        <v>504</v>
      </c>
      <c r="B729" s="1"/>
      <c r="C729" s="1" t="s">
        <v>2918</v>
      </c>
      <c r="D729" s="1" t="s">
        <v>3388</v>
      </c>
      <c r="E729" s="1"/>
      <c r="F729">
        <v>1.2</v>
      </c>
      <c r="G729">
        <v>1.1000000000000001</v>
      </c>
      <c r="H729">
        <v>10</v>
      </c>
      <c r="I729">
        <v>0</v>
      </c>
      <c r="J729">
        <v>492</v>
      </c>
      <c r="K729" s="2">
        <v>45784</v>
      </c>
    </row>
    <row r="730" spans="1:11" x14ac:dyDescent="0.25">
      <c r="A730" s="1" t="s">
        <v>504</v>
      </c>
      <c r="B730" s="1"/>
      <c r="C730" s="1" t="s">
        <v>2868</v>
      </c>
      <c r="D730" s="1" t="s">
        <v>3388</v>
      </c>
      <c r="E730" s="1"/>
      <c r="F730">
        <v>4.4000000000000004</v>
      </c>
      <c r="G730">
        <v>7.3</v>
      </c>
      <c r="H730">
        <v>-180</v>
      </c>
      <c r="I730">
        <v>0</v>
      </c>
      <c r="J730">
        <v>492</v>
      </c>
      <c r="K730" s="2">
        <v>45784</v>
      </c>
    </row>
    <row r="731" spans="1:11" x14ac:dyDescent="0.25">
      <c r="A731" s="1" t="s">
        <v>504</v>
      </c>
      <c r="B731" s="1"/>
      <c r="C731" s="1" t="s">
        <v>2958</v>
      </c>
      <c r="D731" s="1" t="s">
        <v>3386</v>
      </c>
      <c r="E731" s="1"/>
      <c r="F731">
        <v>9</v>
      </c>
      <c r="G731">
        <v>22.6</v>
      </c>
      <c r="H731">
        <v>-690</v>
      </c>
      <c r="I731">
        <v>16</v>
      </c>
      <c r="J731">
        <v>476</v>
      </c>
      <c r="K731" s="2">
        <v>45784</v>
      </c>
    </row>
    <row r="732" spans="1:11" x14ac:dyDescent="0.25">
      <c r="A732" s="1" t="s">
        <v>504</v>
      </c>
      <c r="B732" s="1"/>
      <c r="C732" s="1" t="s">
        <v>2870</v>
      </c>
      <c r="D732" s="1" t="s">
        <v>3375</v>
      </c>
      <c r="E732" s="1"/>
      <c r="F732">
        <v>7.2</v>
      </c>
      <c r="G732">
        <v>22.3</v>
      </c>
      <c r="H732">
        <v>-780</v>
      </c>
      <c r="I732">
        <v>0</v>
      </c>
      <c r="J732">
        <v>476</v>
      </c>
      <c r="K732" s="2">
        <v>45784</v>
      </c>
    </row>
    <row r="733" spans="1:11" x14ac:dyDescent="0.25">
      <c r="A733" s="1" t="s">
        <v>329</v>
      </c>
      <c r="B733" s="1"/>
      <c r="C733" s="1" t="s">
        <v>2959</v>
      </c>
      <c r="D733" s="1" t="s">
        <v>3404</v>
      </c>
      <c r="E733" s="1"/>
      <c r="F733">
        <v>2</v>
      </c>
      <c r="G733">
        <v>2.9</v>
      </c>
      <c r="H733">
        <v>0</v>
      </c>
      <c r="I733">
        <v>0</v>
      </c>
      <c r="J733">
        <v>256</v>
      </c>
      <c r="K733" s="2">
        <v>45775</v>
      </c>
    </row>
    <row r="734" spans="1:11" x14ac:dyDescent="0.25">
      <c r="A734" s="1" t="s">
        <v>329</v>
      </c>
      <c r="B734" s="1"/>
      <c r="C734" s="1" t="s">
        <v>2868</v>
      </c>
      <c r="D734" s="1" t="s">
        <v>3371</v>
      </c>
      <c r="E734" s="1"/>
      <c r="F734">
        <v>3.3</v>
      </c>
      <c r="G734">
        <v>1.1000000000000001</v>
      </c>
      <c r="H734">
        <v>160</v>
      </c>
      <c r="I734">
        <v>0</v>
      </c>
      <c r="J734">
        <v>256</v>
      </c>
      <c r="K734" s="2">
        <v>45779</v>
      </c>
    </row>
    <row r="735" spans="1:11" x14ac:dyDescent="0.25">
      <c r="A735" s="1" t="s">
        <v>329</v>
      </c>
      <c r="B735" s="1"/>
      <c r="C735" s="1" t="s">
        <v>2960</v>
      </c>
      <c r="D735" s="1" t="s">
        <v>3386</v>
      </c>
      <c r="E735" s="1"/>
      <c r="F735">
        <v>6.2</v>
      </c>
      <c r="G735">
        <v>11.9</v>
      </c>
      <c r="H735">
        <v>-255</v>
      </c>
      <c r="I735">
        <v>0</v>
      </c>
      <c r="J735">
        <v>256</v>
      </c>
      <c r="K735" s="2">
        <v>45775</v>
      </c>
    </row>
    <row r="736" spans="1:11" x14ac:dyDescent="0.25">
      <c r="A736" s="1" t="s">
        <v>329</v>
      </c>
      <c r="B736" s="1"/>
      <c r="C736" s="1" t="s">
        <v>2812</v>
      </c>
      <c r="D736" s="1" t="s">
        <v>3374</v>
      </c>
      <c r="E736" s="1"/>
      <c r="F736">
        <v>0.3</v>
      </c>
      <c r="G736">
        <v>0</v>
      </c>
      <c r="H736">
        <v>20</v>
      </c>
      <c r="I736">
        <v>0</v>
      </c>
      <c r="J736">
        <v>256</v>
      </c>
      <c r="K736" s="2">
        <v>45775</v>
      </c>
    </row>
    <row r="737" spans="1:11" x14ac:dyDescent="0.25">
      <c r="A737" s="1" t="s">
        <v>718</v>
      </c>
      <c r="B737" s="1"/>
      <c r="C737" s="1" t="s">
        <v>2808</v>
      </c>
      <c r="D737" s="1" t="s">
        <v>3370</v>
      </c>
      <c r="E737" s="1"/>
      <c r="F737">
        <v>0</v>
      </c>
      <c r="G737">
        <v>0</v>
      </c>
      <c r="H737">
        <v>0</v>
      </c>
      <c r="I737">
        <v>0</v>
      </c>
      <c r="J737">
        <v>142</v>
      </c>
      <c r="K737" s="2">
        <v>45770</v>
      </c>
    </row>
    <row r="738" spans="1:11" x14ac:dyDescent="0.25">
      <c r="A738" s="1" t="s">
        <v>718</v>
      </c>
      <c r="B738" s="1"/>
      <c r="C738" s="1" t="s">
        <v>2926</v>
      </c>
      <c r="D738" s="1" t="s">
        <v>3388</v>
      </c>
      <c r="E738" s="1"/>
      <c r="F738">
        <v>3.6</v>
      </c>
      <c r="G738">
        <v>17.899999999999999</v>
      </c>
      <c r="H738">
        <v>-895</v>
      </c>
      <c r="I738">
        <v>0</v>
      </c>
      <c r="J738">
        <v>142</v>
      </c>
      <c r="K738" s="2">
        <v>45771</v>
      </c>
    </row>
    <row r="739" spans="1:11" x14ac:dyDescent="0.25">
      <c r="A739" s="1" t="s">
        <v>134</v>
      </c>
      <c r="B739" s="1"/>
      <c r="C739" s="1" t="s">
        <v>2808</v>
      </c>
      <c r="D739" s="1" t="s">
        <v>3370</v>
      </c>
      <c r="E739" s="1"/>
      <c r="F739">
        <v>0</v>
      </c>
      <c r="G739">
        <v>0</v>
      </c>
      <c r="H739">
        <v>0</v>
      </c>
      <c r="I739">
        <v>0</v>
      </c>
      <c r="J739">
        <v>8</v>
      </c>
      <c r="K739" s="2">
        <v>45744</v>
      </c>
    </row>
    <row r="740" spans="1:11" x14ac:dyDescent="0.25">
      <c r="A740" s="1" t="s">
        <v>134</v>
      </c>
      <c r="B740" s="1"/>
      <c r="C740" s="1" t="s">
        <v>2918</v>
      </c>
      <c r="D740" s="1" t="s">
        <v>3412</v>
      </c>
      <c r="E740" s="1"/>
      <c r="F740">
        <v>0</v>
      </c>
      <c r="G740">
        <v>0</v>
      </c>
      <c r="H740">
        <v>5</v>
      </c>
      <c r="I740">
        <v>0</v>
      </c>
      <c r="J740">
        <v>0</v>
      </c>
      <c r="K740" s="2">
        <v>45751</v>
      </c>
    </row>
    <row r="741" spans="1:11" x14ac:dyDescent="0.25">
      <c r="A741" s="1" t="s">
        <v>134</v>
      </c>
      <c r="B741" s="1"/>
      <c r="C741" s="1" t="s">
        <v>2926</v>
      </c>
      <c r="D741" s="1" t="s">
        <v>3388</v>
      </c>
      <c r="E741" s="1"/>
      <c r="F741">
        <v>0.1</v>
      </c>
      <c r="G741">
        <v>4.4000000000000004</v>
      </c>
      <c r="H741">
        <v>-265</v>
      </c>
      <c r="I741">
        <v>0</v>
      </c>
      <c r="J741">
        <v>8</v>
      </c>
      <c r="K741" s="2">
        <v>45748</v>
      </c>
    </row>
    <row r="742" spans="1:11" x14ac:dyDescent="0.25">
      <c r="A742" s="1" t="s">
        <v>134</v>
      </c>
      <c r="B742" s="1"/>
      <c r="C742" s="1" t="s">
        <v>2953</v>
      </c>
      <c r="D742" s="1" t="s">
        <v>3426</v>
      </c>
      <c r="E742" s="1"/>
      <c r="F742">
        <v>3</v>
      </c>
      <c r="G742">
        <v>3.8</v>
      </c>
      <c r="H742">
        <v>-70</v>
      </c>
      <c r="I742">
        <v>0</v>
      </c>
      <c r="J742">
        <v>8</v>
      </c>
      <c r="K742" s="2">
        <v>45758</v>
      </c>
    </row>
    <row r="743" spans="1:11" x14ac:dyDescent="0.25">
      <c r="A743" s="1" t="s">
        <v>134</v>
      </c>
      <c r="B743" s="1"/>
      <c r="C743" s="1" t="s">
        <v>2961</v>
      </c>
      <c r="D743" s="1" t="s">
        <v>3427</v>
      </c>
      <c r="E743" s="1"/>
      <c r="F743">
        <v>2.5</v>
      </c>
      <c r="G743">
        <v>1.2</v>
      </c>
      <c r="H743">
        <v>55</v>
      </c>
      <c r="I743">
        <v>0</v>
      </c>
      <c r="J743">
        <v>4</v>
      </c>
      <c r="K743" s="2">
        <v>45765</v>
      </c>
    </row>
    <row r="744" spans="1:11" x14ac:dyDescent="0.25">
      <c r="A744" s="1" t="s">
        <v>134</v>
      </c>
      <c r="B744" s="1"/>
      <c r="C744" s="1" t="s">
        <v>2962</v>
      </c>
      <c r="D744" s="1" t="s">
        <v>3426</v>
      </c>
      <c r="E744" s="1"/>
      <c r="F744">
        <v>4</v>
      </c>
      <c r="G744">
        <v>1.4</v>
      </c>
      <c r="H744">
        <v>175</v>
      </c>
      <c r="I744">
        <v>0</v>
      </c>
      <c r="J744">
        <v>0</v>
      </c>
      <c r="K744" s="2">
        <v>45765</v>
      </c>
    </row>
    <row r="745" spans="1:11" x14ac:dyDescent="0.25">
      <c r="A745" s="1" t="s">
        <v>931</v>
      </c>
      <c r="B745" s="1"/>
      <c r="C745" s="1" t="s">
        <v>2808</v>
      </c>
      <c r="D745" s="1" t="s">
        <v>3370</v>
      </c>
      <c r="E745" s="1"/>
      <c r="F745">
        <v>0</v>
      </c>
      <c r="G745">
        <v>0</v>
      </c>
      <c r="H745">
        <v>0</v>
      </c>
      <c r="I745">
        <v>0</v>
      </c>
      <c r="J745">
        <v>60</v>
      </c>
      <c r="K745" s="2">
        <v>45784</v>
      </c>
    </row>
    <row r="746" spans="1:11" x14ac:dyDescent="0.25">
      <c r="A746" s="1" t="s">
        <v>931</v>
      </c>
      <c r="B746" s="1"/>
      <c r="C746" s="1" t="s">
        <v>2918</v>
      </c>
      <c r="D746" s="1" t="s">
        <v>3412</v>
      </c>
      <c r="E746" s="1"/>
      <c r="F746">
        <v>0.1</v>
      </c>
      <c r="G746">
        <v>0.9</v>
      </c>
      <c r="H746">
        <v>-50</v>
      </c>
      <c r="I746">
        <v>0</v>
      </c>
      <c r="J746">
        <v>60</v>
      </c>
      <c r="K746" s="2">
        <v>45785</v>
      </c>
    </row>
    <row r="747" spans="1:11" x14ac:dyDescent="0.25">
      <c r="A747" s="1" t="s">
        <v>931</v>
      </c>
      <c r="B747" s="1"/>
      <c r="C747" s="1" t="s">
        <v>2926</v>
      </c>
      <c r="D747" s="1" t="s">
        <v>3388</v>
      </c>
      <c r="E747" s="1"/>
      <c r="F747">
        <v>0.9</v>
      </c>
      <c r="G747">
        <v>4.2</v>
      </c>
      <c r="H747">
        <v>-200</v>
      </c>
      <c r="I747">
        <v>0</v>
      </c>
      <c r="J747">
        <v>60</v>
      </c>
      <c r="K747" s="2">
        <v>45785</v>
      </c>
    </row>
    <row r="748" spans="1:11" x14ac:dyDescent="0.25">
      <c r="A748" s="1" t="s">
        <v>866</v>
      </c>
      <c r="B748" s="1"/>
      <c r="C748" s="1" t="s">
        <v>2808</v>
      </c>
      <c r="D748" s="1" t="s">
        <v>3370</v>
      </c>
      <c r="E748" s="1"/>
      <c r="F748">
        <v>0</v>
      </c>
      <c r="G748">
        <v>0</v>
      </c>
      <c r="H748">
        <v>0</v>
      </c>
      <c r="I748">
        <v>0</v>
      </c>
      <c r="J748">
        <v>100</v>
      </c>
      <c r="K748" s="2">
        <v>45782</v>
      </c>
    </row>
    <row r="749" spans="1:11" x14ac:dyDescent="0.25">
      <c r="A749" s="1" t="s">
        <v>228</v>
      </c>
      <c r="B749" s="1"/>
      <c r="C749" s="1" t="s">
        <v>2963</v>
      </c>
      <c r="D749" s="1" t="s">
        <v>3404</v>
      </c>
      <c r="E749" s="1"/>
      <c r="F749">
        <v>1.3</v>
      </c>
      <c r="G749">
        <v>15.3</v>
      </c>
      <c r="H749">
        <v>-715</v>
      </c>
      <c r="I749">
        <v>5</v>
      </c>
      <c r="J749">
        <v>124</v>
      </c>
      <c r="K749" s="2">
        <v>45742</v>
      </c>
    </row>
    <row r="750" spans="1:11" x14ac:dyDescent="0.25">
      <c r="A750" s="1" t="s">
        <v>228</v>
      </c>
      <c r="B750" s="1"/>
      <c r="C750" s="1" t="s">
        <v>2926</v>
      </c>
      <c r="D750" s="1" t="s">
        <v>3371</v>
      </c>
      <c r="E750" s="1"/>
      <c r="F750">
        <v>0</v>
      </c>
      <c r="G750">
        <v>0</v>
      </c>
      <c r="H750">
        <v>5</v>
      </c>
      <c r="I750">
        <v>0</v>
      </c>
      <c r="J750">
        <v>124</v>
      </c>
      <c r="K750" s="2">
        <v>45742</v>
      </c>
    </row>
    <row r="751" spans="1:11" x14ac:dyDescent="0.25">
      <c r="A751" s="1" t="s">
        <v>228</v>
      </c>
      <c r="B751" s="1"/>
      <c r="C751" s="1" t="s">
        <v>2869</v>
      </c>
      <c r="D751" s="1" t="s">
        <v>3386</v>
      </c>
      <c r="E751" s="1"/>
      <c r="F751">
        <v>5.4</v>
      </c>
      <c r="G751">
        <v>4.5999999999999996</v>
      </c>
      <c r="H751">
        <v>70</v>
      </c>
      <c r="I751">
        <v>0</v>
      </c>
      <c r="J751">
        <v>124</v>
      </c>
      <c r="K751" s="2">
        <v>45742</v>
      </c>
    </row>
    <row r="752" spans="1:11" x14ac:dyDescent="0.25">
      <c r="A752" s="1" t="s">
        <v>228</v>
      </c>
      <c r="B752" s="1"/>
      <c r="C752" s="1" t="s">
        <v>2964</v>
      </c>
      <c r="D752" s="1" t="s">
        <v>3374</v>
      </c>
      <c r="E752" s="1"/>
      <c r="F752">
        <v>0.3</v>
      </c>
      <c r="G752">
        <v>0</v>
      </c>
      <c r="H752">
        <v>20</v>
      </c>
      <c r="I752">
        <v>0</v>
      </c>
      <c r="J752">
        <v>124</v>
      </c>
      <c r="K752" s="2">
        <v>45742</v>
      </c>
    </row>
    <row r="753" spans="1:11" x14ac:dyDescent="0.25">
      <c r="A753" s="1" t="s">
        <v>228</v>
      </c>
      <c r="B753" s="1"/>
      <c r="C753" s="1" t="s">
        <v>2870</v>
      </c>
      <c r="D753" s="1" t="s">
        <v>3375</v>
      </c>
      <c r="E753" s="1"/>
      <c r="F753">
        <v>3.5</v>
      </c>
      <c r="G753">
        <v>0.5</v>
      </c>
      <c r="H753">
        <v>160</v>
      </c>
      <c r="I753">
        <v>1</v>
      </c>
      <c r="J753">
        <v>123</v>
      </c>
      <c r="K753" s="2">
        <v>45742</v>
      </c>
    </row>
    <row r="754" spans="1:11" x14ac:dyDescent="0.25">
      <c r="A754" s="1" t="s">
        <v>978</v>
      </c>
      <c r="B754" s="1"/>
      <c r="C754" s="1" t="s">
        <v>2808</v>
      </c>
      <c r="D754" s="1" t="s">
        <v>3370</v>
      </c>
      <c r="E754" s="1"/>
      <c r="F754">
        <v>0</v>
      </c>
      <c r="G754">
        <v>0</v>
      </c>
      <c r="H754">
        <v>0</v>
      </c>
      <c r="I754">
        <v>0</v>
      </c>
      <c r="J754">
        <v>600</v>
      </c>
      <c r="K754" s="2">
        <v>45789</v>
      </c>
    </row>
    <row r="755" spans="1:11" x14ac:dyDescent="0.25">
      <c r="A755" s="1" t="s">
        <v>545</v>
      </c>
      <c r="B755" s="1"/>
      <c r="C755" s="1" t="s">
        <v>2808</v>
      </c>
      <c r="D755" s="1" t="s">
        <v>3370</v>
      </c>
      <c r="E755" s="1"/>
      <c r="F755">
        <v>0</v>
      </c>
      <c r="G755">
        <v>0</v>
      </c>
      <c r="H755">
        <v>0</v>
      </c>
      <c r="I755">
        <v>0</v>
      </c>
      <c r="J755">
        <v>200</v>
      </c>
      <c r="K755" s="2">
        <v>45769</v>
      </c>
    </row>
    <row r="756" spans="1:11" x14ac:dyDescent="0.25">
      <c r="A756" s="1" t="s">
        <v>545</v>
      </c>
      <c r="B756" s="1"/>
      <c r="C756" s="1" t="s">
        <v>2965</v>
      </c>
      <c r="D756" s="1" t="s">
        <v>3404</v>
      </c>
      <c r="E756" s="1"/>
      <c r="F756">
        <v>16.8</v>
      </c>
      <c r="G756">
        <v>2.5</v>
      </c>
      <c r="H756">
        <v>750</v>
      </c>
      <c r="I756">
        <v>0</v>
      </c>
      <c r="J756">
        <v>200</v>
      </c>
      <c r="K756" s="2">
        <v>45789</v>
      </c>
    </row>
    <row r="757" spans="1:11" x14ac:dyDescent="0.25">
      <c r="A757" s="1" t="s">
        <v>545</v>
      </c>
      <c r="B757" s="1"/>
      <c r="C757" s="1" t="s">
        <v>2966</v>
      </c>
      <c r="D757" s="1" t="s">
        <v>3406</v>
      </c>
      <c r="E757" s="1"/>
      <c r="F757">
        <v>1.2</v>
      </c>
      <c r="G757">
        <v>0.9</v>
      </c>
      <c r="H757">
        <v>15</v>
      </c>
      <c r="I757">
        <v>0</v>
      </c>
      <c r="J757">
        <v>3</v>
      </c>
      <c r="K757" s="2">
        <v>45770</v>
      </c>
    </row>
    <row r="758" spans="1:11" x14ac:dyDescent="0.25">
      <c r="A758" s="1" t="s">
        <v>545</v>
      </c>
      <c r="B758" s="1"/>
      <c r="C758" s="1" t="s">
        <v>2812</v>
      </c>
      <c r="D758" s="1" t="s">
        <v>3374</v>
      </c>
      <c r="E758" s="1"/>
      <c r="F758">
        <v>0</v>
      </c>
      <c r="G758">
        <v>0</v>
      </c>
      <c r="H758">
        <v>0</v>
      </c>
      <c r="I758">
        <v>0</v>
      </c>
      <c r="J758">
        <v>3</v>
      </c>
      <c r="K758" s="2">
        <v>45771</v>
      </c>
    </row>
    <row r="759" spans="1:11" x14ac:dyDescent="0.25">
      <c r="A759" s="1" t="s">
        <v>545</v>
      </c>
      <c r="B759" s="1"/>
      <c r="C759" s="1" t="s">
        <v>2967</v>
      </c>
      <c r="D759" s="1" t="s">
        <v>3375</v>
      </c>
      <c r="E759" s="1"/>
      <c r="F759">
        <v>24</v>
      </c>
      <c r="G759">
        <v>0</v>
      </c>
      <c r="H759">
        <v>1245</v>
      </c>
      <c r="I759">
        <v>0</v>
      </c>
      <c r="J759">
        <v>3</v>
      </c>
      <c r="K759" s="2">
        <v>45771</v>
      </c>
    </row>
    <row r="760" spans="1:11" x14ac:dyDescent="0.25">
      <c r="A760" s="1" t="s">
        <v>545</v>
      </c>
      <c r="B760" s="1"/>
      <c r="C760" s="1" t="s">
        <v>2968</v>
      </c>
      <c r="D760" s="1" t="s">
        <v>3428</v>
      </c>
      <c r="E760" s="1"/>
      <c r="F760">
        <v>29.1</v>
      </c>
      <c r="G760">
        <v>0.9</v>
      </c>
      <c r="H760">
        <v>1185</v>
      </c>
      <c r="I760">
        <v>0</v>
      </c>
      <c r="J760">
        <v>3</v>
      </c>
      <c r="K760" s="2">
        <v>45789</v>
      </c>
    </row>
    <row r="761" spans="1:11" x14ac:dyDescent="0.25">
      <c r="A761" s="1" t="s">
        <v>545</v>
      </c>
      <c r="B761" s="1"/>
      <c r="C761" s="1" t="s">
        <v>2969</v>
      </c>
      <c r="D761" s="1" t="s">
        <v>3371</v>
      </c>
      <c r="E761" s="1"/>
      <c r="F761">
        <v>16.8</v>
      </c>
      <c r="G761">
        <v>0</v>
      </c>
      <c r="H761">
        <v>880</v>
      </c>
      <c r="I761">
        <v>0</v>
      </c>
      <c r="J761">
        <v>200</v>
      </c>
      <c r="K761" s="2">
        <v>45779</v>
      </c>
    </row>
    <row r="762" spans="1:11" x14ac:dyDescent="0.25">
      <c r="A762" s="1" t="s">
        <v>545</v>
      </c>
      <c r="B762" s="1"/>
      <c r="C762" s="1" t="s">
        <v>2970</v>
      </c>
      <c r="D762" s="1" t="s">
        <v>3406</v>
      </c>
      <c r="E762" s="1"/>
      <c r="F762">
        <v>6.2</v>
      </c>
      <c r="G762">
        <v>25.9</v>
      </c>
      <c r="H762">
        <v>-970</v>
      </c>
      <c r="I762">
        <v>0</v>
      </c>
      <c r="J762">
        <v>200</v>
      </c>
      <c r="K762" s="2">
        <v>45776</v>
      </c>
    </row>
    <row r="763" spans="1:11" x14ac:dyDescent="0.25">
      <c r="A763" s="1" t="s">
        <v>545</v>
      </c>
      <c r="B763" s="1"/>
      <c r="C763" s="1" t="s">
        <v>2971</v>
      </c>
      <c r="D763" s="1" t="s">
        <v>3374</v>
      </c>
      <c r="E763" s="1"/>
      <c r="F763">
        <v>0</v>
      </c>
      <c r="G763">
        <v>0</v>
      </c>
      <c r="H763">
        <v>0</v>
      </c>
      <c r="I763">
        <v>0</v>
      </c>
      <c r="J763">
        <v>200</v>
      </c>
      <c r="K763" s="2">
        <v>45779</v>
      </c>
    </row>
    <row r="764" spans="1:11" x14ac:dyDescent="0.25">
      <c r="A764" s="1" t="s">
        <v>106</v>
      </c>
      <c r="B764" s="1"/>
      <c r="C764" s="1" t="s">
        <v>2808</v>
      </c>
      <c r="D764" s="1" t="s">
        <v>3370</v>
      </c>
      <c r="E764" s="1"/>
      <c r="F764">
        <v>0</v>
      </c>
      <c r="G764">
        <v>0</v>
      </c>
      <c r="H764">
        <v>0</v>
      </c>
      <c r="I764">
        <v>0</v>
      </c>
      <c r="J764">
        <v>48</v>
      </c>
      <c r="K764" s="2">
        <v>45785</v>
      </c>
    </row>
    <row r="765" spans="1:11" x14ac:dyDescent="0.25">
      <c r="A765" s="1" t="s">
        <v>106</v>
      </c>
      <c r="B765" s="1"/>
      <c r="C765" s="1" t="s">
        <v>2918</v>
      </c>
      <c r="D765" s="1" t="s">
        <v>3388</v>
      </c>
      <c r="E765" s="1"/>
      <c r="F765">
        <v>1.2</v>
      </c>
      <c r="G765">
        <v>1.1000000000000001</v>
      </c>
      <c r="H765">
        <v>15</v>
      </c>
      <c r="I765">
        <v>0</v>
      </c>
      <c r="J765">
        <v>48</v>
      </c>
      <c r="K765" s="2">
        <v>45785</v>
      </c>
    </row>
    <row r="766" spans="1:11" x14ac:dyDescent="0.25">
      <c r="A766" s="1" t="s">
        <v>107</v>
      </c>
      <c r="B766" s="1"/>
      <c r="C766" s="1" t="s">
        <v>2808</v>
      </c>
      <c r="D766" s="1" t="s">
        <v>3370</v>
      </c>
      <c r="E766" s="1"/>
      <c r="F766">
        <v>0</v>
      </c>
      <c r="G766">
        <v>0</v>
      </c>
      <c r="H766">
        <v>0</v>
      </c>
      <c r="I766">
        <v>0</v>
      </c>
      <c r="J766">
        <v>32</v>
      </c>
      <c r="K766" s="2">
        <v>45785</v>
      </c>
    </row>
    <row r="767" spans="1:11" x14ac:dyDescent="0.25">
      <c r="A767" s="1" t="s">
        <v>107</v>
      </c>
      <c r="B767" s="1"/>
      <c r="C767" s="1" t="s">
        <v>2918</v>
      </c>
      <c r="D767" s="1" t="s">
        <v>3388</v>
      </c>
      <c r="E767" s="1"/>
      <c r="F767">
        <v>1.2</v>
      </c>
      <c r="G767">
        <v>1.1000000000000001</v>
      </c>
      <c r="H767">
        <v>10</v>
      </c>
      <c r="I767">
        <v>0</v>
      </c>
      <c r="J767">
        <v>32</v>
      </c>
      <c r="K767" s="2">
        <v>45785</v>
      </c>
    </row>
    <row r="768" spans="1:11" x14ac:dyDescent="0.25">
      <c r="A768" s="1" t="s">
        <v>107</v>
      </c>
      <c r="B768" s="1"/>
      <c r="C768" s="1" t="s">
        <v>2938</v>
      </c>
      <c r="D768" s="1" t="s">
        <v>3388</v>
      </c>
      <c r="E768" s="1"/>
      <c r="F768">
        <v>4.9000000000000004</v>
      </c>
      <c r="G768">
        <v>4.3</v>
      </c>
      <c r="H768">
        <v>40</v>
      </c>
      <c r="I768">
        <v>0</v>
      </c>
      <c r="J768">
        <v>48</v>
      </c>
      <c r="K768" s="2">
        <v>45785</v>
      </c>
    </row>
    <row r="769" spans="1:11" x14ac:dyDescent="0.25">
      <c r="A769" s="1" t="s">
        <v>108</v>
      </c>
      <c r="B769" s="1"/>
      <c r="C769" s="1" t="s">
        <v>2808</v>
      </c>
      <c r="D769" s="1" t="s">
        <v>3370</v>
      </c>
      <c r="E769" s="1"/>
      <c r="F769">
        <v>0</v>
      </c>
      <c r="G769">
        <v>0</v>
      </c>
      <c r="H769">
        <v>0</v>
      </c>
      <c r="I769">
        <v>0</v>
      </c>
      <c r="J769">
        <v>32</v>
      </c>
      <c r="K769" s="2">
        <v>45785</v>
      </c>
    </row>
    <row r="770" spans="1:11" x14ac:dyDescent="0.25">
      <c r="A770" s="1" t="s">
        <v>108</v>
      </c>
      <c r="B770" s="1"/>
      <c r="C770" s="1" t="s">
        <v>2918</v>
      </c>
      <c r="D770" s="1" t="s">
        <v>3388</v>
      </c>
      <c r="E770" s="1"/>
      <c r="F770">
        <v>1.2</v>
      </c>
      <c r="G770">
        <v>1.1000000000000001</v>
      </c>
      <c r="H770">
        <v>10</v>
      </c>
      <c r="I770">
        <v>0</v>
      </c>
      <c r="J770">
        <v>32</v>
      </c>
      <c r="K770" s="2">
        <v>45785</v>
      </c>
    </row>
    <row r="771" spans="1:11" x14ac:dyDescent="0.25">
      <c r="A771" s="1" t="s">
        <v>108</v>
      </c>
      <c r="B771" s="1"/>
      <c r="C771" s="1" t="s">
        <v>2938</v>
      </c>
      <c r="D771" s="1" t="s">
        <v>3388</v>
      </c>
      <c r="E771" s="1"/>
      <c r="F771">
        <v>4.9000000000000004</v>
      </c>
      <c r="G771">
        <v>0.4</v>
      </c>
      <c r="H771">
        <v>280</v>
      </c>
      <c r="I771">
        <v>0</v>
      </c>
      <c r="J771">
        <v>32</v>
      </c>
      <c r="K771" s="2">
        <v>45785</v>
      </c>
    </row>
    <row r="772" spans="1:11" x14ac:dyDescent="0.25">
      <c r="A772" s="1" t="s">
        <v>496</v>
      </c>
      <c r="B772" s="1"/>
      <c r="C772" s="1" t="s">
        <v>2808</v>
      </c>
      <c r="D772" s="1" t="s">
        <v>3370</v>
      </c>
      <c r="E772" s="1"/>
      <c r="F772">
        <v>0</v>
      </c>
      <c r="G772">
        <v>0</v>
      </c>
      <c r="H772">
        <v>0</v>
      </c>
      <c r="I772">
        <v>0</v>
      </c>
      <c r="J772">
        <v>54</v>
      </c>
      <c r="K772" s="2">
        <v>45756</v>
      </c>
    </row>
    <row r="773" spans="1:11" x14ac:dyDescent="0.25">
      <c r="A773" s="1" t="s">
        <v>496</v>
      </c>
      <c r="B773" s="1"/>
      <c r="C773" s="1" t="s">
        <v>2972</v>
      </c>
      <c r="D773" s="1" t="s">
        <v>3412</v>
      </c>
      <c r="E773" s="1"/>
      <c r="F773">
        <v>2.4</v>
      </c>
      <c r="G773">
        <v>1.4</v>
      </c>
      <c r="H773">
        <v>65</v>
      </c>
      <c r="I773">
        <v>0</v>
      </c>
      <c r="J773">
        <v>54</v>
      </c>
      <c r="K773" s="2">
        <v>45757</v>
      </c>
    </row>
    <row r="774" spans="1:11" x14ac:dyDescent="0.25">
      <c r="A774" s="1" t="s">
        <v>496</v>
      </c>
      <c r="B774" s="1"/>
      <c r="C774" s="1" t="s">
        <v>2973</v>
      </c>
      <c r="D774" s="1" t="s">
        <v>3413</v>
      </c>
      <c r="E774" s="1"/>
      <c r="F774">
        <v>4.4000000000000004</v>
      </c>
      <c r="G774">
        <v>1.4</v>
      </c>
      <c r="H774">
        <v>190</v>
      </c>
      <c r="I774">
        <v>0</v>
      </c>
      <c r="J774">
        <v>54</v>
      </c>
      <c r="K774" s="2">
        <v>45757</v>
      </c>
    </row>
    <row r="775" spans="1:11" x14ac:dyDescent="0.25">
      <c r="A775" s="1" t="s">
        <v>496</v>
      </c>
      <c r="B775" s="1"/>
      <c r="C775" s="1" t="s">
        <v>2974</v>
      </c>
      <c r="D775" s="1" t="s">
        <v>3412</v>
      </c>
      <c r="E775" s="1"/>
      <c r="F775">
        <v>0.9</v>
      </c>
      <c r="G775">
        <v>1.4</v>
      </c>
      <c r="H775">
        <v>-25</v>
      </c>
      <c r="I775">
        <v>0</v>
      </c>
      <c r="J775">
        <v>54</v>
      </c>
      <c r="K775" s="2">
        <v>45757</v>
      </c>
    </row>
    <row r="776" spans="1:11" x14ac:dyDescent="0.25">
      <c r="A776" s="1" t="s">
        <v>496</v>
      </c>
      <c r="B776" s="1"/>
      <c r="C776" s="1" t="s">
        <v>2868</v>
      </c>
      <c r="D776" s="1" t="s">
        <v>3388</v>
      </c>
      <c r="E776" s="1"/>
      <c r="F776">
        <v>5.6</v>
      </c>
      <c r="G776">
        <v>4.3</v>
      </c>
      <c r="H776">
        <v>90</v>
      </c>
      <c r="I776">
        <v>0</v>
      </c>
      <c r="J776">
        <v>54</v>
      </c>
      <c r="K776" s="2">
        <v>45757</v>
      </c>
    </row>
    <row r="777" spans="1:11" x14ac:dyDescent="0.25">
      <c r="A777" s="1" t="s">
        <v>496</v>
      </c>
      <c r="B777" s="1"/>
      <c r="C777" s="1" t="s">
        <v>2975</v>
      </c>
      <c r="D777" s="1" t="s">
        <v>3429</v>
      </c>
      <c r="E777" s="1"/>
      <c r="F777">
        <v>0</v>
      </c>
      <c r="G777">
        <v>0</v>
      </c>
      <c r="H777">
        <v>0</v>
      </c>
      <c r="I777">
        <v>0</v>
      </c>
      <c r="J777">
        <v>54</v>
      </c>
      <c r="K777" s="2">
        <v>45758</v>
      </c>
    </row>
    <row r="778" spans="1:11" x14ac:dyDescent="0.25">
      <c r="A778" s="1" t="s">
        <v>496</v>
      </c>
      <c r="B778" s="1"/>
      <c r="C778" s="1" t="s">
        <v>2976</v>
      </c>
      <c r="D778" s="1" t="s">
        <v>3426</v>
      </c>
      <c r="E778" s="1"/>
      <c r="F778">
        <v>10</v>
      </c>
      <c r="G778">
        <v>34</v>
      </c>
      <c r="H778">
        <v>-1545</v>
      </c>
      <c r="I778">
        <v>2</v>
      </c>
      <c r="J778">
        <v>52</v>
      </c>
      <c r="K778" s="2">
        <v>45763</v>
      </c>
    </row>
    <row r="779" spans="1:11" x14ac:dyDescent="0.25">
      <c r="A779" s="1" t="s">
        <v>496</v>
      </c>
      <c r="B779" s="1"/>
      <c r="C779" s="1" t="s">
        <v>2977</v>
      </c>
      <c r="D779" s="1" t="s">
        <v>3430</v>
      </c>
      <c r="E779" s="1"/>
      <c r="F779">
        <v>1</v>
      </c>
      <c r="G779">
        <v>14.4</v>
      </c>
      <c r="H779">
        <v>-845</v>
      </c>
      <c r="I779">
        <v>0</v>
      </c>
      <c r="J779">
        <v>52</v>
      </c>
      <c r="K779" s="2">
        <v>45763</v>
      </c>
    </row>
    <row r="780" spans="1:11" x14ac:dyDescent="0.25">
      <c r="A780" s="1" t="s">
        <v>496</v>
      </c>
      <c r="B780" s="1"/>
      <c r="C780" s="1" t="s">
        <v>2978</v>
      </c>
      <c r="D780" s="1" t="s">
        <v>3427</v>
      </c>
      <c r="E780" s="1"/>
      <c r="F780">
        <v>11.8</v>
      </c>
      <c r="G780">
        <v>6</v>
      </c>
      <c r="H780">
        <v>245</v>
      </c>
      <c r="I780">
        <v>0</v>
      </c>
      <c r="J780">
        <v>19</v>
      </c>
      <c r="K780" s="2">
        <v>45771</v>
      </c>
    </row>
    <row r="781" spans="1:11" x14ac:dyDescent="0.25">
      <c r="A781" s="1" t="s">
        <v>496</v>
      </c>
      <c r="B781" s="1"/>
      <c r="C781" s="1" t="s">
        <v>2979</v>
      </c>
      <c r="D781" s="1" t="s">
        <v>3422</v>
      </c>
      <c r="E781" s="1"/>
      <c r="F781">
        <v>4</v>
      </c>
      <c r="G781">
        <v>3.6</v>
      </c>
      <c r="H781">
        <v>20</v>
      </c>
      <c r="I781">
        <v>0</v>
      </c>
      <c r="J781">
        <v>5</v>
      </c>
      <c r="K781" s="2">
        <v>45771</v>
      </c>
    </row>
    <row r="782" spans="1:11" x14ac:dyDescent="0.25">
      <c r="A782" s="1" t="s">
        <v>496</v>
      </c>
      <c r="B782" s="1"/>
      <c r="C782" s="1" t="s">
        <v>2980</v>
      </c>
      <c r="D782" s="1" t="s">
        <v>3391</v>
      </c>
      <c r="E782" s="1"/>
      <c r="F782">
        <v>1.3</v>
      </c>
      <c r="G782">
        <v>3.4</v>
      </c>
      <c r="H782">
        <v>-110</v>
      </c>
      <c r="I782">
        <v>0</v>
      </c>
      <c r="J782">
        <v>52</v>
      </c>
      <c r="K782" s="2">
        <v>45771</v>
      </c>
    </row>
    <row r="783" spans="1:11" x14ac:dyDescent="0.25">
      <c r="A783" s="1" t="s">
        <v>496</v>
      </c>
      <c r="B783" s="1"/>
      <c r="C783" s="1" t="s">
        <v>2981</v>
      </c>
      <c r="D783" s="1" t="s">
        <v>3431</v>
      </c>
      <c r="E783" s="1"/>
      <c r="F783">
        <v>4.4000000000000004</v>
      </c>
      <c r="G783">
        <v>3.3</v>
      </c>
      <c r="H783">
        <v>85</v>
      </c>
      <c r="I783">
        <v>0</v>
      </c>
      <c r="J783">
        <v>52</v>
      </c>
      <c r="K783" s="2">
        <v>45771</v>
      </c>
    </row>
    <row r="784" spans="1:11" x14ac:dyDescent="0.25">
      <c r="A784" s="1" t="s">
        <v>496</v>
      </c>
      <c r="B784" s="1"/>
      <c r="C784" s="1" t="s">
        <v>2982</v>
      </c>
      <c r="D784" s="1" t="s">
        <v>3372</v>
      </c>
      <c r="E784" s="1"/>
      <c r="F784">
        <v>0.5</v>
      </c>
      <c r="G784">
        <v>0.3</v>
      </c>
      <c r="H784">
        <v>15</v>
      </c>
      <c r="I784">
        <v>0</v>
      </c>
      <c r="J784">
        <v>52</v>
      </c>
      <c r="K784" s="2">
        <v>45772</v>
      </c>
    </row>
    <row r="785" spans="1:11" x14ac:dyDescent="0.25">
      <c r="A785" s="1" t="s">
        <v>817</v>
      </c>
      <c r="B785" s="1"/>
      <c r="C785" s="1" t="s">
        <v>2808</v>
      </c>
      <c r="D785" s="1" t="s">
        <v>3370</v>
      </c>
      <c r="E785" s="1"/>
      <c r="F785">
        <v>0</v>
      </c>
      <c r="G785">
        <v>0</v>
      </c>
      <c r="H785">
        <v>0</v>
      </c>
      <c r="I785">
        <v>0</v>
      </c>
      <c r="J785">
        <v>84</v>
      </c>
      <c r="K785" s="2">
        <v>45778</v>
      </c>
    </row>
    <row r="786" spans="1:11" x14ac:dyDescent="0.25">
      <c r="A786" s="1" t="s">
        <v>817</v>
      </c>
      <c r="B786" s="1"/>
      <c r="C786" s="1" t="s">
        <v>2972</v>
      </c>
      <c r="D786" s="1" t="s">
        <v>3412</v>
      </c>
      <c r="E786" s="1"/>
      <c r="F786">
        <v>3.5</v>
      </c>
      <c r="G786">
        <v>4.8</v>
      </c>
      <c r="H786">
        <v>-75</v>
      </c>
      <c r="I786">
        <v>0</v>
      </c>
      <c r="J786">
        <v>168</v>
      </c>
      <c r="K786" s="2">
        <v>45783</v>
      </c>
    </row>
    <row r="787" spans="1:11" x14ac:dyDescent="0.25">
      <c r="A787" s="1" t="s">
        <v>817</v>
      </c>
      <c r="B787" s="1"/>
      <c r="C787" s="1" t="s">
        <v>2973</v>
      </c>
      <c r="D787" s="1" t="s">
        <v>3413</v>
      </c>
      <c r="E787" s="1"/>
      <c r="F787">
        <v>6.7</v>
      </c>
      <c r="G787">
        <v>4.8</v>
      </c>
      <c r="H787">
        <v>120</v>
      </c>
      <c r="I787">
        <v>0</v>
      </c>
      <c r="J787">
        <v>84</v>
      </c>
      <c r="K787" s="2">
        <v>45783</v>
      </c>
    </row>
    <row r="788" spans="1:11" x14ac:dyDescent="0.25">
      <c r="A788" s="1" t="s">
        <v>817</v>
      </c>
      <c r="B788" s="1"/>
      <c r="C788" s="1" t="s">
        <v>2974</v>
      </c>
      <c r="D788" s="1" t="s">
        <v>3412</v>
      </c>
      <c r="E788" s="1"/>
      <c r="F788">
        <v>1.4</v>
      </c>
      <c r="G788">
        <v>4.8</v>
      </c>
      <c r="H788">
        <v>-210</v>
      </c>
      <c r="I788">
        <v>0</v>
      </c>
      <c r="J788">
        <v>84</v>
      </c>
      <c r="K788" s="2">
        <v>45783</v>
      </c>
    </row>
    <row r="789" spans="1:11" x14ac:dyDescent="0.25">
      <c r="A789" s="1" t="s">
        <v>817</v>
      </c>
      <c r="B789" s="1"/>
      <c r="C789" s="1" t="s">
        <v>2868</v>
      </c>
      <c r="D789" s="1" t="s">
        <v>3388</v>
      </c>
      <c r="E789" s="1"/>
      <c r="F789">
        <v>8.6999999999999993</v>
      </c>
      <c r="G789">
        <v>6.9</v>
      </c>
      <c r="H789">
        <v>115</v>
      </c>
      <c r="I789">
        <v>0</v>
      </c>
      <c r="J789">
        <v>84</v>
      </c>
      <c r="K789" s="2">
        <v>45783</v>
      </c>
    </row>
    <row r="790" spans="1:11" x14ac:dyDescent="0.25">
      <c r="A790" s="1" t="s">
        <v>817</v>
      </c>
      <c r="B790" s="1"/>
      <c r="C790" s="1" t="s">
        <v>2975</v>
      </c>
      <c r="D790" s="1" t="s">
        <v>3429</v>
      </c>
      <c r="E790" s="1"/>
      <c r="F790">
        <v>0</v>
      </c>
      <c r="G790">
        <v>0</v>
      </c>
      <c r="H790">
        <v>0</v>
      </c>
      <c r="I790">
        <v>0</v>
      </c>
      <c r="J790">
        <v>84</v>
      </c>
      <c r="K790" s="2">
        <v>45785</v>
      </c>
    </row>
    <row r="791" spans="1:11" x14ac:dyDescent="0.25">
      <c r="A791" s="1" t="s">
        <v>111</v>
      </c>
      <c r="B791" s="1"/>
      <c r="C791" s="1" t="s">
        <v>2983</v>
      </c>
      <c r="D791" s="1" t="s">
        <v>3428</v>
      </c>
      <c r="E791" s="1"/>
      <c r="F791">
        <v>2</v>
      </c>
      <c r="G791">
        <v>8.1999999999999993</v>
      </c>
      <c r="H791">
        <v>-520</v>
      </c>
      <c r="I791">
        <v>0</v>
      </c>
      <c r="J791">
        <v>204</v>
      </c>
      <c r="K791" s="2">
        <v>45768</v>
      </c>
    </row>
    <row r="792" spans="1:11" x14ac:dyDescent="0.25">
      <c r="A792" s="1" t="s">
        <v>111</v>
      </c>
      <c r="B792" s="1"/>
      <c r="C792" s="1" t="s">
        <v>2924</v>
      </c>
      <c r="D792" s="1" t="s">
        <v>3372</v>
      </c>
      <c r="E792" s="1"/>
      <c r="F792">
        <v>1</v>
      </c>
      <c r="G792">
        <v>1.1000000000000001</v>
      </c>
      <c r="H792">
        <v>0</v>
      </c>
      <c r="I792">
        <v>0</v>
      </c>
      <c r="J792">
        <v>220</v>
      </c>
      <c r="K792" s="2">
        <v>45768</v>
      </c>
    </row>
    <row r="793" spans="1:11" x14ac:dyDescent="0.25">
      <c r="A793" s="1" t="s">
        <v>111</v>
      </c>
      <c r="B793" s="1"/>
      <c r="C793" s="1" t="s">
        <v>2984</v>
      </c>
      <c r="D793" s="1" t="s">
        <v>3417</v>
      </c>
      <c r="E793" s="1"/>
      <c r="F793">
        <v>2.2999999999999998</v>
      </c>
      <c r="G793">
        <v>0.9</v>
      </c>
      <c r="H793">
        <v>80</v>
      </c>
      <c r="I793">
        <v>0</v>
      </c>
      <c r="J793">
        <v>204</v>
      </c>
      <c r="K793" s="2">
        <v>45768</v>
      </c>
    </row>
    <row r="794" spans="1:11" x14ac:dyDescent="0.25">
      <c r="A794" s="1" t="s">
        <v>169</v>
      </c>
      <c r="B794" s="1"/>
      <c r="C794" s="1" t="s">
        <v>2985</v>
      </c>
      <c r="D794" s="1" t="s">
        <v>3403</v>
      </c>
      <c r="E794" s="1"/>
      <c r="F794">
        <v>0.3</v>
      </c>
      <c r="G794">
        <v>0</v>
      </c>
      <c r="H794">
        <v>20</v>
      </c>
      <c r="I794">
        <v>0</v>
      </c>
      <c r="J794">
        <v>0</v>
      </c>
      <c r="K794" s="2">
        <v>45768</v>
      </c>
    </row>
    <row r="795" spans="1:11" x14ac:dyDescent="0.25">
      <c r="A795" s="1" t="s">
        <v>169</v>
      </c>
      <c r="B795" s="1"/>
      <c r="C795" s="1" t="s">
        <v>2986</v>
      </c>
      <c r="D795" s="1" t="s">
        <v>3403</v>
      </c>
      <c r="E795" s="1"/>
      <c r="F795">
        <v>0</v>
      </c>
      <c r="G795">
        <v>0</v>
      </c>
      <c r="H795">
        <v>0</v>
      </c>
      <c r="I795">
        <v>0</v>
      </c>
      <c r="J795">
        <v>0</v>
      </c>
      <c r="K795" s="2">
        <v>45768</v>
      </c>
    </row>
    <row r="796" spans="1:11" x14ac:dyDescent="0.25">
      <c r="A796" s="1" t="s">
        <v>169</v>
      </c>
      <c r="B796" s="1"/>
      <c r="C796" s="1" t="s">
        <v>2983</v>
      </c>
      <c r="D796" s="1" t="s">
        <v>3428</v>
      </c>
      <c r="E796" s="1"/>
      <c r="F796">
        <v>2</v>
      </c>
      <c r="G796">
        <v>9.1999999999999993</v>
      </c>
      <c r="H796">
        <v>-365</v>
      </c>
      <c r="I796">
        <v>0</v>
      </c>
      <c r="J796">
        <v>0</v>
      </c>
      <c r="K796" s="2">
        <v>45768</v>
      </c>
    </row>
    <row r="797" spans="1:11" x14ac:dyDescent="0.25">
      <c r="A797" s="1" t="s">
        <v>169</v>
      </c>
      <c r="B797" s="1"/>
      <c r="C797" s="1" t="s">
        <v>2924</v>
      </c>
      <c r="D797" s="1" t="s">
        <v>3372</v>
      </c>
      <c r="E797" s="1"/>
      <c r="F797">
        <v>1</v>
      </c>
      <c r="G797">
        <v>0</v>
      </c>
      <c r="H797">
        <v>55</v>
      </c>
      <c r="I797">
        <v>0</v>
      </c>
      <c r="J797">
        <v>0</v>
      </c>
      <c r="K797" s="2">
        <v>45768</v>
      </c>
    </row>
    <row r="798" spans="1:11" x14ac:dyDescent="0.25">
      <c r="A798" s="1" t="s">
        <v>169</v>
      </c>
      <c r="B798" s="1"/>
      <c r="C798" s="1" t="s">
        <v>2984</v>
      </c>
      <c r="D798" s="1" t="s">
        <v>3417</v>
      </c>
      <c r="E798" s="1"/>
      <c r="F798">
        <v>0.3</v>
      </c>
      <c r="G798">
        <v>0</v>
      </c>
      <c r="H798">
        <v>20</v>
      </c>
      <c r="I798">
        <v>0</v>
      </c>
      <c r="J798">
        <v>0</v>
      </c>
      <c r="K798" s="2">
        <v>45768</v>
      </c>
    </row>
    <row r="799" spans="1:11" x14ac:dyDescent="0.25">
      <c r="A799" s="1" t="s">
        <v>207</v>
      </c>
      <c r="B799" s="1"/>
      <c r="C799" s="1" t="s">
        <v>2871</v>
      </c>
      <c r="D799" s="1" t="s">
        <v>3404</v>
      </c>
      <c r="E799" s="1"/>
      <c r="F799">
        <v>11.6</v>
      </c>
      <c r="G799">
        <v>15.3</v>
      </c>
      <c r="H799">
        <v>-185</v>
      </c>
      <c r="I799">
        <v>0</v>
      </c>
      <c r="J799">
        <v>2261</v>
      </c>
      <c r="K799" s="2">
        <v>45733</v>
      </c>
    </row>
    <row r="800" spans="1:11" x14ac:dyDescent="0.25">
      <c r="A800" s="1" t="s">
        <v>207</v>
      </c>
      <c r="B800" s="1"/>
      <c r="C800" s="1" t="s">
        <v>2872</v>
      </c>
      <c r="D800" s="1" t="s">
        <v>3371</v>
      </c>
      <c r="E800" s="1"/>
      <c r="F800">
        <v>11.6</v>
      </c>
      <c r="G800">
        <v>20.100000000000001</v>
      </c>
      <c r="H800">
        <v>-435</v>
      </c>
      <c r="I800">
        <v>0</v>
      </c>
      <c r="J800">
        <v>2261</v>
      </c>
      <c r="K800" s="2">
        <v>45733</v>
      </c>
    </row>
    <row r="801" spans="1:11" x14ac:dyDescent="0.25">
      <c r="A801" s="1" t="s">
        <v>207</v>
      </c>
      <c r="B801" s="1"/>
      <c r="C801" s="1" t="s">
        <v>2869</v>
      </c>
      <c r="D801" s="1" t="s">
        <v>3386</v>
      </c>
      <c r="E801" s="1"/>
      <c r="F801">
        <v>13.8</v>
      </c>
      <c r="G801">
        <v>49</v>
      </c>
      <c r="H801">
        <v>-1775</v>
      </c>
      <c r="I801">
        <v>0</v>
      </c>
      <c r="J801">
        <v>2261</v>
      </c>
      <c r="K801" s="2">
        <v>45733</v>
      </c>
    </row>
    <row r="802" spans="1:11" x14ac:dyDescent="0.25">
      <c r="A802" s="1" t="s">
        <v>207</v>
      </c>
      <c r="B802" s="1"/>
      <c r="C802" s="1" t="s">
        <v>2812</v>
      </c>
      <c r="D802" s="1" t="s">
        <v>3374</v>
      </c>
      <c r="E802" s="1"/>
      <c r="F802">
        <v>0.3</v>
      </c>
      <c r="G802">
        <v>0</v>
      </c>
      <c r="H802">
        <v>20</v>
      </c>
      <c r="I802">
        <v>0</v>
      </c>
      <c r="J802">
        <v>2261</v>
      </c>
      <c r="K802" s="2">
        <v>45733</v>
      </c>
    </row>
    <row r="803" spans="1:11" x14ac:dyDescent="0.25">
      <c r="A803" s="1" t="s">
        <v>207</v>
      </c>
      <c r="B803" s="1"/>
      <c r="C803" s="1" t="s">
        <v>2985</v>
      </c>
      <c r="D803" s="1" t="s">
        <v>3403</v>
      </c>
      <c r="E803" s="1"/>
      <c r="F803">
        <v>271.60000000000002</v>
      </c>
      <c r="G803">
        <v>10.5</v>
      </c>
      <c r="H803">
        <v>13520</v>
      </c>
      <c r="I803">
        <v>0</v>
      </c>
      <c r="J803">
        <v>2258</v>
      </c>
      <c r="K803" s="2">
        <v>45733</v>
      </c>
    </row>
    <row r="804" spans="1:11" x14ac:dyDescent="0.25">
      <c r="A804" s="1" t="s">
        <v>207</v>
      </c>
      <c r="B804" s="1"/>
      <c r="C804" s="1" t="s">
        <v>2986</v>
      </c>
      <c r="D804" s="1" t="s">
        <v>3403</v>
      </c>
      <c r="E804" s="1"/>
      <c r="F804">
        <v>22.6</v>
      </c>
      <c r="G804">
        <v>10.6</v>
      </c>
      <c r="H804">
        <v>625</v>
      </c>
      <c r="I804">
        <v>0</v>
      </c>
      <c r="J804">
        <v>2258</v>
      </c>
      <c r="K804" s="2">
        <v>45733</v>
      </c>
    </row>
    <row r="805" spans="1:11" x14ac:dyDescent="0.25">
      <c r="A805" s="1" t="s">
        <v>207</v>
      </c>
      <c r="B805" s="1"/>
      <c r="C805" s="1" t="s">
        <v>2924</v>
      </c>
      <c r="D805" s="1" t="s">
        <v>3372</v>
      </c>
      <c r="E805" s="1"/>
      <c r="F805">
        <v>1</v>
      </c>
      <c r="G805">
        <v>0</v>
      </c>
      <c r="H805">
        <v>50</v>
      </c>
      <c r="I805">
        <v>0</v>
      </c>
      <c r="J805">
        <v>2258</v>
      </c>
      <c r="K805" s="2">
        <v>45734</v>
      </c>
    </row>
    <row r="806" spans="1:11" x14ac:dyDescent="0.25">
      <c r="A806" s="1" t="s">
        <v>206</v>
      </c>
      <c r="B806" s="1"/>
      <c r="C806" s="1" t="s">
        <v>2871</v>
      </c>
      <c r="D806" s="1" t="s">
        <v>3404</v>
      </c>
      <c r="E806" s="1"/>
      <c r="F806">
        <v>11.6</v>
      </c>
      <c r="G806">
        <v>1.2</v>
      </c>
      <c r="H806">
        <v>545</v>
      </c>
      <c r="I806">
        <v>0</v>
      </c>
      <c r="J806">
        <v>2261</v>
      </c>
      <c r="K806" s="2">
        <v>45735</v>
      </c>
    </row>
    <row r="807" spans="1:11" x14ac:dyDescent="0.25">
      <c r="A807" s="1" t="s">
        <v>206</v>
      </c>
      <c r="B807" s="1"/>
      <c r="C807" s="1" t="s">
        <v>2872</v>
      </c>
      <c r="D807" s="1" t="s">
        <v>3371</v>
      </c>
      <c r="E807" s="1"/>
      <c r="F807">
        <v>11.6</v>
      </c>
      <c r="G807">
        <v>12.6</v>
      </c>
      <c r="H807">
        <v>-45</v>
      </c>
      <c r="I807">
        <v>0</v>
      </c>
      <c r="J807">
        <v>2261</v>
      </c>
      <c r="K807" s="2">
        <v>45735</v>
      </c>
    </row>
    <row r="808" spans="1:11" x14ac:dyDescent="0.25">
      <c r="A808" s="1" t="s">
        <v>206</v>
      </c>
      <c r="B808" s="1"/>
      <c r="C808" s="1" t="s">
        <v>2869</v>
      </c>
      <c r="D808" s="1" t="s">
        <v>3386</v>
      </c>
      <c r="E808" s="1"/>
      <c r="F808">
        <v>13.8</v>
      </c>
      <c r="G808">
        <v>44.5</v>
      </c>
      <c r="H808">
        <v>-1545</v>
      </c>
      <c r="I808">
        <v>0</v>
      </c>
      <c r="J808">
        <v>2261</v>
      </c>
      <c r="K808" s="2">
        <v>45735</v>
      </c>
    </row>
    <row r="809" spans="1:11" x14ac:dyDescent="0.25">
      <c r="A809" s="1" t="s">
        <v>206</v>
      </c>
      <c r="B809" s="1"/>
      <c r="C809" s="1" t="s">
        <v>2812</v>
      </c>
      <c r="D809" s="1" t="s">
        <v>3374</v>
      </c>
      <c r="E809" s="1"/>
      <c r="F809">
        <v>0.3</v>
      </c>
      <c r="G809">
        <v>0</v>
      </c>
      <c r="H809">
        <v>20</v>
      </c>
      <c r="I809">
        <v>0</v>
      </c>
      <c r="J809">
        <v>2261</v>
      </c>
      <c r="K809" s="2">
        <v>45729</v>
      </c>
    </row>
    <row r="810" spans="1:11" x14ac:dyDescent="0.25">
      <c r="A810" s="1" t="s">
        <v>206</v>
      </c>
      <c r="B810" s="1"/>
      <c r="C810" s="1" t="s">
        <v>2985</v>
      </c>
      <c r="D810" s="1" t="s">
        <v>3403</v>
      </c>
      <c r="E810" s="1"/>
      <c r="F810">
        <v>271.60000000000002</v>
      </c>
      <c r="G810">
        <v>8.1999999999999993</v>
      </c>
      <c r="H810">
        <v>13640</v>
      </c>
      <c r="I810">
        <v>0</v>
      </c>
      <c r="J810">
        <v>2261</v>
      </c>
      <c r="K810" s="2">
        <v>45735</v>
      </c>
    </row>
    <row r="811" spans="1:11" x14ac:dyDescent="0.25">
      <c r="A811" s="1" t="s">
        <v>206</v>
      </c>
      <c r="B811" s="1"/>
      <c r="C811" s="1" t="s">
        <v>2986</v>
      </c>
      <c r="D811" s="1" t="s">
        <v>3403</v>
      </c>
      <c r="E811" s="1"/>
      <c r="F811">
        <v>22.6</v>
      </c>
      <c r="G811">
        <v>8.1999999999999993</v>
      </c>
      <c r="H811">
        <v>750</v>
      </c>
      <c r="I811">
        <v>0</v>
      </c>
      <c r="J811">
        <v>2261</v>
      </c>
      <c r="K811" s="2">
        <v>45735</v>
      </c>
    </row>
    <row r="812" spans="1:11" x14ac:dyDescent="0.25">
      <c r="A812" s="1" t="s">
        <v>206</v>
      </c>
      <c r="B812" s="1"/>
      <c r="C812" s="1" t="s">
        <v>2987</v>
      </c>
      <c r="D812" s="1" t="s">
        <v>3428</v>
      </c>
      <c r="E812" s="1"/>
      <c r="F812">
        <v>2</v>
      </c>
      <c r="G812">
        <v>2.6</v>
      </c>
      <c r="H812">
        <v>-25</v>
      </c>
      <c r="I812">
        <v>0</v>
      </c>
      <c r="J812">
        <v>40</v>
      </c>
      <c r="K812" s="2">
        <v>45735</v>
      </c>
    </row>
    <row r="813" spans="1:11" x14ac:dyDescent="0.25">
      <c r="A813" s="1" t="s">
        <v>206</v>
      </c>
      <c r="B813" s="1"/>
      <c r="C813" s="1" t="s">
        <v>2924</v>
      </c>
      <c r="D813" s="1" t="s">
        <v>3372</v>
      </c>
      <c r="E813" s="1"/>
      <c r="F813">
        <v>1</v>
      </c>
      <c r="G813">
        <v>0</v>
      </c>
      <c r="H813">
        <v>55</v>
      </c>
      <c r="I813">
        <v>0</v>
      </c>
      <c r="J813">
        <v>2084</v>
      </c>
      <c r="K813" s="2">
        <v>45735</v>
      </c>
    </row>
    <row r="814" spans="1:11" x14ac:dyDescent="0.25">
      <c r="A814" s="1" t="s">
        <v>285</v>
      </c>
      <c r="B814" s="1"/>
      <c r="C814" s="1" t="s">
        <v>2871</v>
      </c>
      <c r="D814" s="1" t="s">
        <v>3404</v>
      </c>
      <c r="E814" s="1"/>
      <c r="F814">
        <v>10.7</v>
      </c>
      <c r="G814">
        <v>4</v>
      </c>
      <c r="H814">
        <v>350</v>
      </c>
      <c r="I814">
        <v>0</v>
      </c>
      <c r="J814">
        <v>2088</v>
      </c>
      <c r="K814" s="2">
        <v>45763</v>
      </c>
    </row>
    <row r="815" spans="1:11" x14ac:dyDescent="0.25">
      <c r="A815" s="1" t="s">
        <v>285</v>
      </c>
      <c r="B815" s="1"/>
      <c r="C815" s="1" t="s">
        <v>2872</v>
      </c>
      <c r="D815" s="1" t="s">
        <v>3371</v>
      </c>
      <c r="E815" s="1"/>
      <c r="F815">
        <v>10.7</v>
      </c>
      <c r="G815">
        <v>18.8</v>
      </c>
      <c r="H815">
        <v>-415</v>
      </c>
      <c r="I815">
        <v>0</v>
      </c>
      <c r="J815">
        <v>2088</v>
      </c>
      <c r="K815" s="2">
        <v>45763</v>
      </c>
    </row>
    <row r="816" spans="1:11" x14ac:dyDescent="0.25">
      <c r="A816" s="1" t="s">
        <v>285</v>
      </c>
      <c r="B816" s="1"/>
      <c r="C816" s="1" t="s">
        <v>2869</v>
      </c>
      <c r="D816" s="1" t="s">
        <v>3386</v>
      </c>
      <c r="E816" s="1"/>
      <c r="F816">
        <v>12.9</v>
      </c>
      <c r="G816">
        <v>31.3</v>
      </c>
      <c r="H816">
        <v>-925</v>
      </c>
      <c r="I816">
        <v>0</v>
      </c>
      <c r="J816">
        <v>2088</v>
      </c>
      <c r="K816" s="2">
        <v>45763</v>
      </c>
    </row>
    <row r="817" spans="1:11" x14ac:dyDescent="0.25">
      <c r="A817" s="1" t="s">
        <v>285</v>
      </c>
      <c r="B817" s="1"/>
      <c r="C817" s="1" t="s">
        <v>2812</v>
      </c>
      <c r="D817" s="1" t="s">
        <v>3374</v>
      </c>
      <c r="E817" s="1"/>
      <c r="F817">
        <v>0.3</v>
      </c>
      <c r="G817">
        <v>0</v>
      </c>
      <c r="H817">
        <v>20</v>
      </c>
      <c r="I817">
        <v>0</v>
      </c>
      <c r="J817">
        <v>2088</v>
      </c>
      <c r="K817" s="2">
        <v>45763</v>
      </c>
    </row>
    <row r="818" spans="1:11" x14ac:dyDescent="0.25">
      <c r="A818" s="1" t="s">
        <v>285</v>
      </c>
      <c r="B818" s="1"/>
      <c r="C818" s="1" t="s">
        <v>2985</v>
      </c>
      <c r="D818" s="1" t="s">
        <v>3403</v>
      </c>
      <c r="E818" s="1"/>
      <c r="F818">
        <v>250.8</v>
      </c>
      <c r="G818">
        <v>12.5</v>
      </c>
      <c r="H818">
        <v>12345</v>
      </c>
      <c r="I818">
        <v>0</v>
      </c>
      <c r="J818">
        <v>2088</v>
      </c>
      <c r="K818" s="2">
        <v>45763</v>
      </c>
    </row>
    <row r="819" spans="1:11" x14ac:dyDescent="0.25">
      <c r="A819" s="1" t="s">
        <v>285</v>
      </c>
      <c r="B819" s="1"/>
      <c r="C819" s="1" t="s">
        <v>2986</v>
      </c>
      <c r="D819" s="1" t="s">
        <v>3403</v>
      </c>
      <c r="E819" s="1"/>
      <c r="F819">
        <v>20.9</v>
      </c>
      <c r="G819">
        <v>12.5</v>
      </c>
      <c r="H819">
        <v>440</v>
      </c>
      <c r="I819">
        <v>0</v>
      </c>
      <c r="J819">
        <v>2088</v>
      </c>
      <c r="K819" s="2">
        <v>45763</v>
      </c>
    </row>
    <row r="820" spans="1:11" x14ac:dyDescent="0.25">
      <c r="A820" s="1" t="s">
        <v>285</v>
      </c>
      <c r="B820" s="1"/>
      <c r="C820" s="1" t="s">
        <v>2987</v>
      </c>
      <c r="D820" s="1" t="s">
        <v>3428</v>
      </c>
      <c r="E820" s="1"/>
      <c r="F820">
        <v>2</v>
      </c>
      <c r="G820">
        <v>4.8</v>
      </c>
      <c r="H820">
        <v>-115</v>
      </c>
      <c r="I820">
        <v>0</v>
      </c>
      <c r="J820">
        <v>42</v>
      </c>
      <c r="K820" s="2">
        <v>45764</v>
      </c>
    </row>
    <row r="821" spans="1:11" x14ac:dyDescent="0.25">
      <c r="A821" s="1" t="s">
        <v>333</v>
      </c>
      <c r="B821" s="1"/>
      <c r="C821" s="1" t="s">
        <v>2808</v>
      </c>
      <c r="D821" s="1" t="s">
        <v>3370</v>
      </c>
      <c r="E821" s="1"/>
      <c r="F821">
        <v>0</v>
      </c>
      <c r="G821">
        <v>0</v>
      </c>
      <c r="H821">
        <v>0</v>
      </c>
      <c r="I821">
        <v>0</v>
      </c>
      <c r="J821">
        <v>2261</v>
      </c>
      <c r="K821" s="2">
        <v>45765</v>
      </c>
    </row>
    <row r="822" spans="1:11" x14ac:dyDescent="0.25">
      <c r="A822" s="1" t="s">
        <v>333</v>
      </c>
      <c r="B822" s="1"/>
      <c r="C822" s="1" t="s">
        <v>2871</v>
      </c>
      <c r="D822" s="1" t="s">
        <v>3404</v>
      </c>
      <c r="E822" s="1"/>
      <c r="F822">
        <v>11.6</v>
      </c>
      <c r="G822">
        <v>0.2</v>
      </c>
      <c r="H822">
        <v>595</v>
      </c>
      <c r="I822">
        <v>0</v>
      </c>
      <c r="J822">
        <v>2261</v>
      </c>
      <c r="K822" s="2">
        <v>45777</v>
      </c>
    </row>
    <row r="823" spans="1:11" x14ac:dyDescent="0.25">
      <c r="A823" s="1" t="s">
        <v>333</v>
      </c>
      <c r="B823" s="1"/>
      <c r="C823" s="1" t="s">
        <v>2872</v>
      </c>
      <c r="D823" s="1" t="s">
        <v>3371</v>
      </c>
      <c r="E823" s="1"/>
      <c r="F823">
        <v>11.6</v>
      </c>
      <c r="G823">
        <v>23.2</v>
      </c>
      <c r="H823">
        <v>-590</v>
      </c>
      <c r="I823">
        <v>0</v>
      </c>
      <c r="J823">
        <v>2261</v>
      </c>
      <c r="K823" s="2">
        <v>45780</v>
      </c>
    </row>
    <row r="824" spans="1:11" x14ac:dyDescent="0.25">
      <c r="A824" s="1" t="s">
        <v>333</v>
      </c>
      <c r="B824" s="1"/>
      <c r="C824" s="1" t="s">
        <v>2869</v>
      </c>
      <c r="D824" s="1" t="s">
        <v>3386</v>
      </c>
      <c r="E824" s="1"/>
      <c r="F824">
        <v>13.8</v>
      </c>
      <c r="G824">
        <v>46</v>
      </c>
      <c r="H824">
        <v>-1650</v>
      </c>
      <c r="I824">
        <v>0</v>
      </c>
      <c r="J824">
        <v>2261</v>
      </c>
      <c r="K824" s="2">
        <v>45789</v>
      </c>
    </row>
    <row r="825" spans="1:11" x14ac:dyDescent="0.25">
      <c r="A825" s="1" t="s">
        <v>333</v>
      </c>
      <c r="B825" s="1"/>
      <c r="C825" s="1" t="s">
        <v>2812</v>
      </c>
      <c r="D825" s="1" t="s">
        <v>3374</v>
      </c>
      <c r="E825" s="1"/>
      <c r="F825">
        <v>0.3</v>
      </c>
      <c r="G825">
        <v>0.1</v>
      </c>
      <c r="H825">
        <v>15</v>
      </c>
      <c r="I825">
        <v>0</v>
      </c>
      <c r="J825">
        <v>2261</v>
      </c>
      <c r="K825" s="2">
        <v>45782</v>
      </c>
    </row>
    <row r="826" spans="1:11" x14ac:dyDescent="0.25">
      <c r="A826" s="1" t="s">
        <v>326</v>
      </c>
      <c r="B826" s="1"/>
      <c r="C826" s="1" t="s">
        <v>2808</v>
      </c>
      <c r="D826" s="1" t="s">
        <v>3370</v>
      </c>
      <c r="E826" s="1"/>
      <c r="F826">
        <v>0</v>
      </c>
      <c r="G826">
        <v>0</v>
      </c>
      <c r="H826">
        <v>0</v>
      </c>
      <c r="I826">
        <v>0</v>
      </c>
      <c r="J826">
        <v>2261</v>
      </c>
      <c r="K826" s="2">
        <v>45765</v>
      </c>
    </row>
    <row r="827" spans="1:11" x14ac:dyDescent="0.25">
      <c r="A827" s="1" t="s">
        <v>326</v>
      </c>
      <c r="B827" s="1"/>
      <c r="C827" s="1" t="s">
        <v>2871</v>
      </c>
      <c r="D827" s="1" t="s">
        <v>3404</v>
      </c>
      <c r="E827" s="1"/>
      <c r="F827">
        <v>11.6</v>
      </c>
      <c r="G827">
        <v>0</v>
      </c>
      <c r="H827">
        <v>605</v>
      </c>
      <c r="I827">
        <v>0</v>
      </c>
      <c r="J827">
        <v>2261</v>
      </c>
      <c r="K827" s="2">
        <v>45783</v>
      </c>
    </row>
    <row r="828" spans="1:11" x14ac:dyDescent="0.25">
      <c r="A828" s="1" t="s">
        <v>326</v>
      </c>
      <c r="B828" s="1"/>
      <c r="C828" s="1" t="s">
        <v>2869</v>
      </c>
      <c r="D828" s="1" t="s">
        <v>3386</v>
      </c>
      <c r="E828" s="1"/>
      <c r="F828">
        <v>13.8</v>
      </c>
      <c r="G828">
        <v>46.5</v>
      </c>
      <c r="H828">
        <v>-1655</v>
      </c>
      <c r="I828">
        <v>0</v>
      </c>
      <c r="J828">
        <v>2265</v>
      </c>
      <c r="K828" s="2">
        <v>45786</v>
      </c>
    </row>
    <row r="829" spans="1:11" x14ac:dyDescent="0.25">
      <c r="A829" s="1" t="s">
        <v>235</v>
      </c>
      <c r="B829" s="1"/>
      <c r="C829" s="1" t="s">
        <v>2868</v>
      </c>
      <c r="D829" s="1" t="s">
        <v>3388</v>
      </c>
      <c r="E829" s="1"/>
      <c r="F829">
        <v>14.1</v>
      </c>
      <c r="G829">
        <v>22.9</v>
      </c>
      <c r="H829">
        <v>-545</v>
      </c>
      <c r="I829">
        <v>0</v>
      </c>
      <c r="J829">
        <v>320</v>
      </c>
      <c r="K829" s="2">
        <v>45785</v>
      </c>
    </row>
    <row r="830" spans="1:11" x14ac:dyDescent="0.25">
      <c r="A830" s="1" t="s">
        <v>235</v>
      </c>
      <c r="B830" s="1"/>
      <c r="C830" s="1" t="s">
        <v>2988</v>
      </c>
      <c r="D830" s="1" t="s">
        <v>3432</v>
      </c>
      <c r="E830" s="1"/>
      <c r="F830">
        <v>2.8</v>
      </c>
      <c r="G830">
        <v>8.1</v>
      </c>
      <c r="H830">
        <v>-390</v>
      </c>
      <c r="I830">
        <v>0</v>
      </c>
      <c r="J830">
        <v>64</v>
      </c>
      <c r="K830" s="2">
        <v>45785</v>
      </c>
    </row>
    <row r="831" spans="1:11" x14ac:dyDescent="0.25">
      <c r="A831" s="1" t="s">
        <v>267</v>
      </c>
      <c r="B831" s="1"/>
      <c r="C831" s="1" t="s">
        <v>2989</v>
      </c>
      <c r="D831" s="1" t="s">
        <v>3433</v>
      </c>
      <c r="E831" s="1"/>
      <c r="F831">
        <v>1</v>
      </c>
      <c r="G831">
        <v>0</v>
      </c>
      <c r="H831">
        <v>55</v>
      </c>
      <c r="I831">
        <v>0</v>
      </c>
      <c r="J831">
        <v>1</v>
      </c>
      <c r="K831" s="2">
        <v>45736</v>
      </c>
    </row>
    <row r="832" spans="1:11" x14ac:dyDescent="0.25">
      <c r="A832" s="1" t="s">
        <v>267</v>
      </c>
      <c r="B832" s="1"/>
      <c r="C832" s="1" t="s">
        <v>2828</v>
      </c>
      <c r="D832" s="1" t="s">
        <v>3434</v>
      </c>
      <c r="E832" s="1"/>
      <c r="F832">
        <v>5</v>
      </c>
      <c r="G832">
        <v>4.5999999999999996</v>
      </c>
      <c r="H832">
        <v>25</v>
      </c>
      <c r="I832">
        <v>0</v>
      </c>
      <c r="J832">
        <v>1</v>
      </c>
      <c r="K832" s="2">
        <v>45737</v>
      </c>
    </row>
    <row r="833" spans="1:11" x14ac:dyDescent="0.25">
      <c r="A833" s="1" t="s">
        <v>267</v>
      </c>
      <c r="B833" s="1"/>
      <c r="C833" s="1" t="s">
        <v>2990</v>
      </c>
      <c r="D833" s="1" t="s">
        <v>3372</v>
      </c>
      <c r="E833" s="1"/>
      <c r="F833">
        <v>1</v>
      </c>
      <c r="G833">
        <v>0</v>
      </c>
      <c r="H833">
        <v>55</v>
      </c>
      <c r="I833">
        <v>0</v>
      </c>
      <c r="J833">
        <v>1</v>
      </c>
      <c r="K833" s="2">
        <v>45737</v>
      </c>
    </row>
    <row r="834" spans="1:11" x14ac:dyDescent="0.25">
      <c r="A834" s="1" t="s">
        <v>267</v>
      </c>
      <c r="B834" s="1"/>
      <c r="C834" s="1" t="s">
        <v>2991</v>
      </c>
      <c r="D834" s="1" t="s">
        <v>3435</v>
      </c>
      <c r="E834" s="1"/>
      <c r="F834">
        <v>1.3</v>
      </c>
      <c r="G834">
        <v>0</v>
      </c>
      <c r="H834">
        <v>70</v>
      </c>
      <c r="I834">
        <v>0</v>
      </c>
      <c r="J834">
        <v>1</v>
      </c>
      <c r="K834" s="2">
        <v>45737</v>
      </c>
    </row>
    <row r="835" spans="1:11" x14ac:dyDescent="0.25">
      <c r="A835" s="1" t="s">
        <v>267</v>
      </c>
      <c r="B835" s="1"/>
      <c r="C835" s="1" t="s">
        <v>2992</v>
      </c>
      <c r="D835" s="1" t="s">
        <v>3435</v>
      </c>
      <c r="E835" s="1"/>
      <c r="F835">
        <v>1</v>
      </c>
      <c r="G835">
        <v>0</v>
      </c>
      <c r="H835">
        <v>55</v>
      </c>
      <c r="I835">
        <v>0</v>
      </c>
      <c r="J835">
        <v>1</v>
      </c>
      <c r="K835" s="2">
        <v>45737</v>
      </c>
    </row>
    <row r="836" spans="1:11" x14ac:dyDescent="0.25">
      <c r="A836" s="1" t="s">
        <v>267</v>
      </c>
      <c r="B836" s="1"/>
      <c r="C836" s="1" t="s">
        <v>2993</v>
      </c>
      <c r="D836" s="1" t="s">
        <v>3388</v>
      </c>
      <c r="E836" s="1"/>
      <c r="F836">
        <v>0.8</v>
      </c>
      <c r="G836">
        <v>0.1</v>
      </c>
      <c r="H836">
        <v>45</v>
      </c>
      <c r="I836">
        <v>0</v>
      </c>
      <c r="J836">
        <v>1</v>
      </c>
      <c r="K836" s="2">
        <v>45776</v>
      </c>
    </row>
    <row r="837" spans="1:11" x14ac:dyDescent="0.25">
      <c r="A837" s="1" t="s">
        <v>267</v>
      </c>
      <c r="B837" s="1"/>
      <c r="C837" s="1" t="s">
        <v>2994</v>
      </c>
      <c r="D837" s="1" t="s">
        <v>3436</v>
      </c>
      <c r="E837" s="1"/>
      <c r="F837">
        <v>1.1000000000000001</v>
      </c>
      <c r="G837">
        <v>4.4000000000000004</v>
      </c>
      <c r="H837">
        <v>-180</v>
      </c>
      <c r="I837">
        <v>0</v>
      </c>
      <c r="J837">
        <v>1</v>
      </c>
      <c r="K837" s="2">
        <v>45751</v>
      </c>
    </row>
    <row r="838" spans="1:11" x14ac:dyDescent="0.25">
      <c r="A838" s="1" t="s">
        <v>267</v>
      </c>
      <c r="B838" s="1"/>
      <c r="C838" s="1" t="s">
        <v>2995</v>
      </c>
      <c r="D838" s="1" t="s">
        <v>3372</v>
      </c>
      <c r="E838" s="1"/>
      <c r="F838">
        <v>1</v>
      </c>
      <c r="G838">
        <v>0.1</v>
      </c>
      <c r="H838">
        <v>50</v>
      </c>
      <c r="I838">
        <v>0</v>
      </c>
      <c r="J838">
        <v>1</v>
      </c>
      <c r="K838" s="2">
        <v>45783</v>
      </c>
    </row>
    <row r="839" spans="1:11" x14ac:dyDescent="0.25">
      <c r="A839" s="1" t="s">
        <v>287</v>
      </c>
      <c r="B839" s="1"/>
      <c r="C839" s="1" t="s">
        <v>2989</v>
      </c>
      <c r="D839" s="1" t="s">
        <v>3433</v>
      </c>
      <c r="E839" s="1"/>
      <c r="F839">
        <v>1</v>
      </c>
      <c r="G839">
        <v>0</v>
      </c>
      <c r="H839">
        <v>55</v>
      </c>
      <c r="I839">
        <v>0</v>
      </c>
      <c r="J839">
        <v>1</v>
      </c>
      <c r="K839" s="2">
        <v>45744</v>
      </c>
    </row>
    <row r="840" spans="1:11" x14ac:dyDescent="0.25">
      <c r="A840" s="1" t="s">
        <v>287</v>
      </c>
      <c r="B840" s="1"/>
      <c r="C840" s="1" t="s">
        <v>2828</v>
      </c>
      <c r="D840" s="1" t="s">
        <v>3434</v>
      </c>
      <c r="E840" s="1"/>
      <c r="F840">
        <v>5</v>
      </c>
      <c r="G840">
        <v>4.2</v>
      </c>
      <c r="H840">
        <v>50</v>
      </c>
      <c r="I840">
        <v>0</v>
      </c>
      <c r="J840">
        <v>1</v>
      </c>
      <c r="K840" s="2">
        <v>45744</v>
      </c>
    </row>
    <row r="841" spans="1:11" x14ac:dyDescent="0.25">
      <c r="A841" s="1" t="s">
        <v>287</v>
      </c>
      <c r="B841" s="1"/>
      <c r="C841" s="1" t="s">
        <v>2990</v>
      </c>
      <c r="D841" s="1" t="s">
        <v>3372</v>
      </c>
      <c r="E841" s="1"/>
      <c r="F841">
        <v>1</v>
      </c>
      <c r="G841">
        <v>0</v>
      </c>
      <c r="H841">
        <v>55</v>
      </c>
      <c r="I841">
        <v>0</v>
      </c>
      <c r="J841">
        <v>1</v>
      </c>
      <c r="K841" s="2">
        <v>45744</v>
      </c>
    </row>
    <row r="842" spans="1:11" x14ac:dyDescent="0.25">
      <c r="A842" s="1" t="s">
        <v>287</v>
      </c>
      <c r="B842" s="1"/>
      <c r="C842" s="1" t="s">
        <v>2991</v>
      </c>
      <c r="D842" s="1" t="s">
        <v>3435</v>
      </c>
      <c r="E842" s="1"/>
      <c r="F842">
        <v>1.3</v>
      </c>
      <c r="G842">
        <v>0</v>
      </c>
      <c r="H842">
        <v>70</v>
      </c>
      <c r="I842">
        <v>0</v>
      </c>
      <c r="J842">
        <v>1</v>
      </c>
      <c r="K842" s="2">
        <v>45744</v>
      </c>
    </row>
    <row r="843" spans="1:11" x14ac:dyDescent="0.25">
      <c r="A843" s="1" t="s">
        <v>287</v>
      </c>
      <c r="B843" s="1"/>
      <c r="C843" s="1" t="s">
        <v>2992</v>
      </c>
      <c r="D843" s="1" t="s">
        <v>3435</v>
      </c>
      <c r="E843" s="1"/>
      <c r="F843">
        <v>1</v>
      </c>
      <c r="G843">
        <v>0</v>
      </c>
      <c r="H843">
        <v>55</v>
      </c>
      <c r="I843">
        <v>0</v>
      </c>
      <c r="J843">
        <v>1</v>
      </c>
      <c r="K843" s="2">
        <v>45744</v>
      </c>
    </row>
    <row r="844" spans="1:11" x14ac:dyDescent="0.25">
      <c r="A844" s="1" t="s">
        <v>287</v>
      </c>
      <c r="B844" s="1"/>
      <c r="C844" s="1" t="s">
        <v>2993</v>
      </c>
      <c r="D844" s="1" t="s">
        <v>3388</v>
      </c>
      <c r="E844" s="1"/>
      <c r="F844">
        <v>0.8</v>
      </c>
      <c r="G844">
        <v>0.2</v>
      </c>
      <c r="H844">
        <v>40</v>
      </c>
      <c r="I844">
        <v>0</v>
      </c>
      <c r="J844">
        <v>1</v>
      </c>
      <c r="K844" s="2">
        <v>45761</v>
      </c>
    </row>
    <row r="845" spans="1:11" x14ac:dyDescent="0.25">
      <c r="A845" s="1" t="s">
        <v>287</v>
      </c>
      <c r="B845" s="1"/>
      <c r="C845" s="1" t="s">
        <v>2994</v>
      </c>
      <c r="D845" s="1" t="s">
        <v>3436</v>
      </c>
      <c r="E845" s="1"/>
      <c r="F845">
        <v>1.1000000000000001</v>
      </c>
      <c r="G845">
        <v>0</v>
      </c>
      <c r="H845">
        <v>60</v>
      </c>
      <c r="I845">
        <v>0</v>
      </c>
      <c r="J845">
        <v>1</v>
      </c>
      <c r="K845" s="2">
        <v>45779</v>
      </c>
    </row>
    <row r="846" spans="1:11" x14ac:dyDescent="0.25">
      <c r="A846" s="1" t="s">
        <v>331</v>
      </c>
      <c r="B846" s="1"/>
      <c r="C846" s="1" t="s">
        <v>2808</v>
      </c>
      <c r="D846" s="1" t="s">
        <v>3370</v>
      </c>
      <c r="E846" s="1"/>
      <c r="F846">
        <v>0</v>
      </c>
      <c r="G846">
        <v>0</v>
      </c>
      <c r="H846">
        <v>0</v>
      </c>
      <c r="I846">
        <v>0</v>
      </c>
      <c r="J846">
        <v>1</v>
      </c>
      <c r="K846" s="2">
        <v>45735</v>
      </c>
    </row>
    <row r="847" spans="1:11" x14ac:dyDescent="0.25">
      <c r="A847" s="1" t="s">
        <v>331</v>
      </c>
      <c r="B847" s="1"/>
      <c r="C847" s="1" t="s">
        <v>2989</v>
      </c>
      <c r="D847" s="1" t="s">
        <v>3433</v>
      </c>
      <c r="E847" s="1"/>
      <c r="F847">
        <v>1</v>
      </c>
      <c r="G847">
        <v>0</v>
      </c>
      <c r="H847">
        <v>55</v>
      </c>
      <c r="I847">
        <v>0</v>
      </c>
      <c r="J847">
        <v>1</v>
      </c>
      <c r="K847" s="2">
        <v>45754</v>
      </c>
    </row>
    <row r="848" spans="1:11" x14ac:dyDescent="0.25">
      <c r="A848" s="1" t="s">
        <v>331</v>
      </c>
      <c r="B848" s="1"/>
      <c r="C848" s="1" t="s">
        <v>2828</v>
      </c>
      <c r="D848" s="1" t="s">
        <v>3434</v>
      </c>
      <c r="E848" s="1"/>
      <c r="F848">
        <v>5</v>
      </c>
      <c r="G848">
        <v>6.1</v>
      </c>
      <c r="H848">
        <v>-55</v>
      </c>
      <c r="I848">
        <v>0</v>
      </c>
      <c r="J848">
        <v>1</v>
      </c>
      <c r="K848" s="2">
        <v>45755</v>
      </c>
    </row>
    <row r="849" spans="1:11" x14ac:dyDescent="0.25">
      <c r="A849" s="1" t="s">
        <v>331</v>
      </c>
      <c r="B849" s="1"/>
      <c r="C849" s="1" t="s">
        <v>2990</v>
      </c>
      <c r="D849" s="1" t="s">
        <v>3372</v>
      </c>
      <c r="E849" s="1"/>
      <c r="F849">
        <v>1</v>
      </c>
      <c r="G849">
        <v>0</v>
      </c>
      <c r="H849">
        <v>55</v>
      </c>
      <c r="I849">
        <v>0</v>
      </c>
      <c r="J849">
        <v>1</v>
      </c>
      <c r="K849" s="2">
        <v>45755</v>
      </c>
    </row>
    <row r="850" spans="1:11" x14ac:dyDescent="0.25">
      <c r="A850" s="1" t="s">
        <v>331</v>
      </c>
      <c r="B850" s="1"/>
      <c r="C850" s="1" t="s">
        <v>2991</v>
      </c>
      <c r="D850" s="1" t="s">
        <v>3435</v>
      </c>
      <c r="E850" s="1"/>
      <c r="F850">
        <v>1.3</v>
      </c>
      <c r="G850">
        <v>0</v>
      </c>
      <c r="H850">
        <v>70</v>
      </c>
      <c r="I850">
        <v>0</v>
      </c>
      <c r="J850">
        <v>1</v>
      </c>
      <c r="K850" s="2">
        <v>45755</v>
      </c>
    </row>
    <row r="851" spans="1:11" x14ac:dyDescent="0.25">
      <c r="A851" s="1" t="s">
        <v>331</v>
      </c>
      <c r="B851" s="1"/>
      <c r="C851" s="1" t="s">
        <v>2992</v>
      </c>
      <c r="D851" s="1" t="s">
        <v>3435</v>
      </c>
      <c r="E851" s="1"/>
      <c r="F851">
        <v>1</v>
      </c>
      <c r="G851">
        <v>0</v>
      </c>
      <c r="H851">
        <v>55</v>
      </c>
      <c r="I851">
        <v>0</v>
      </c>
      <c r="J851">
        <v>1</v>
      </c>
      <c r="K851" s="2">
        <v>45755</v>
      </c>
    </row>
    <row r="852" spans="1:11" x14ac:dyDescent="0.25">
      <c r="A852" s="1" t="s">
        <v>331</v>
      </c>
      <c r="B852" s="1"/>
      <c r="C852" s="1" t="s">
        <v>2993</v>
      </c>
      <c r="D852" s="1" t="s">
        <v>3388</v>
      </c>
      <c r="E852" s="1"/>
      <c r="F852">
        <v>0.8</v>
      </c>
      <c r="G852">
        <v>0.5</v>
      </c>
      <c r="H852">
        <v>15</v>
      </c>
      <c r="I852">
        <v>0</v>
      </c>
      <c r="J852">
        <v>1</v>
      </c>
      <c r="K852" s="2">
        <v>45779</v>
      </c>
    </row>
    <row r="853" spans="1:11" x14ac:dyDescent="0.25">
      <c r="A853" s="1" t="s">
        <v>331</v>
      </c>
      <c r="B853" s="1"/>
      <c r="C853" s="1" t="s">
        <v>2994</v>
      </c>
      <c r="D853" s="1" t="s">
        <v>3436</v>
      </c>
      <c r="E853" s="1"/>
      <c r="F853">
        <v>1.1000000000000001</v>
      </c>
      <c r="G853">
        <v>0</v>
      </c>
      <c r="H853">
        <v>60</v>
      </c>
      <c r="I853">
        <v>0</v>
      </c>
      <c r="J853">
        <v>1</v>
      </c>
      <c r="K853" s="2">
        <v>45779</v>
      </c>
    </row>
    <row r="854" spans="1:11" x14ac:dyDescent="0.25">
      <c r="A854" s="1" t="s">
        <v>331</v>
      </c>
      <c r="B854" s="1"/>
      <c r="C854" s="1" t="s">
        <v>2995</v>
      </c>
      <c r="D854" s="1" t="s">
        <v>3372</v>
      </c>
      <c r="E854" s="1"/>
      <c r="F854">
        <v>1</v>
      </c>
      <c r="G854">
        <v>0.1</v>
      </c>
      <c r="H854">
        <v>50</v>
      </c>
      <c r="I854">
        <v>0</v>
      </c>
      <c r="J854">
        <v>1</v>
      </c>
      <c r="K854" s="2">
        <v>45783</v>
      </c>
    </row>
    <row r="855" spans="1:11" x14ac:dyDescent="0.25">
      <c r="A855" s="1" t="s">
        <v>440</v>
      </c>
      <c r="B855" s="1"/>
      <c r="C855" s="1" t="s">
        <v>2808</v>
      </c>
      <c r="D855" s="1" t="s">
        <v>3370</v>
      </c>
      <c r="E855" s="1"/>
      <c r="F855">
        <v>0</v>
      </c>
      <c r="G855">
        <v>0</v>
      </c>
      <c r="H855">
        <v>0</v>
      </c>
      <c r="I855">
        <v>0</v>
      </c>
      <c r="J855">
        <v>1</v>
      </c>
      <c r="K855" s="2">
        <v>45744</v>
      </c>
    </row>
    <row r="856" spans="1:11" x14ac:dyDescent="0.25">
      <c r="A856" s="1" t="s">
        <v>440</v>
      </c>
      <c r="B856" s="1"/>
      <c r="C856" s="1" t="s">
        <v>2989</v>
      </c>
      <c r="D856" s="1" t="s">
        <v>3433</v>
      </c>
      <c r="E856" s="1"/>
      <c r="F856">
        <v>1</v>
      </c>
      <c r="G856">
        <v>0</v>
      </c>
      <c r="H856">
        <v>55</v>
      </c>
      <c r="I856">
        <v>0</v>
      </c>
      <c r="J856">
        <v>1</v>
      </c>
      <c r="K856" s="2">
        <v>45763</v>
      </c>
    </row>
    <row r="857" spans="1:11" x14ac:dyDescent="0.25">
      <c r="A857" s="1" t="s">
        <v>440</v>
      </c>
      <c r="B857" s="1"/>
      <c r="C857" s="1" t="s">
        <v>2828</v>
      </c>
      <c r="D857" s="1" t="s">
        <v>3434</v>
      </c>
      <c r="E857" s="1"/>
      <c r="F857">
        <v>5</v>
      </c>
      <c r="G857">
        <v>5.4</v>
      </c>
      <c r="H857">
        <v>-20</v>
      </c>
      <c r="I857">
        <v>0</v>
      </c>
      <c r="J857">
        <v>1</v>
      </c>
      <c r="K857" s="2">
        <v>45764</v>
      </c>
    </row>
    <row r="858" spans="1:11" x14ac:dyDescent="0.25">
      <c r="A858" s="1" t="s">
        <v>440</v>
      </c>
      <c r="B858" s="1"/>
      <c r="C858" s="1" t="s">
        <v>2990</v>
      </c>
      <c r="D858" s="1" t="s">
        <v>3372</v>
      </c>
      <c r="E858" s="1"/>
      <c r="F858">
        <v>1</v>
      </c>
      <c r="G858">
        <v>0</v>
      </c>
      <c r="H858">
        <v>55</v>
      </c>
      <c r="I858">
        <v>0</v>
      </c>
      <c r="J858">
        <v>1</v>
      </c>
      <c r="K858" s="2">
        <v>45764</v>
      </c>
    </row>
    <row r="859" spans="1:11" x14ac:dyDescent="0.25">
      <c r="A859" s="1" t="s">
        <v>440</v>
      </c>
      <c r="B859" s="1"/>
      <c r="C859" s="1" t="s">
        <v>2991</v>
      </c>
      <c r="D859" s="1" t="s">
        <v>3435</v>
      </c>
      <c r="E859" s="1"/>
      <c r="F859">
        <v>1.3</v>
      </c>
      <c r="G859">
        <v>0</v>
      </c>
      <c r="H859">
        <v>70</v>
      </c>
      <c r="I859">
        <v>0</v>
      </c>
      <c r="J859">
        <v>1</v>
      </c>
      <c r="K859" s="2">
        <v>45764</v>
      </c>
    </row>
    <row r="860" spans="1:11" x14ac:dyDescent="0.25">
      <c r="A860" s="1" t="s">
        <v>440</v>
      </c>
      <c r="B860" s="1"/>
      <c r="C860" s="1" t="s">
        <v>2992</v>
      </c>
      <c r="D860" s="1" t="s">
        <v>3435</v>
      </c>
      <c r="E860" s="1"/>
      <c r="F860">
        <v>1</v>
      </c>
      <c r="G860">
        <v>0</v>
      </c>
      <c r="H860">
        <v>55</v>
      </c>
      <c r="I860">
        <v>0</v>
      </c>
      <c r="J860">
        <v>1</v>
      </c>
      <c r="K860" s="2">
        <v>45764</v>
      </c>
    </row>
    <row r="861" spans="1:11" x14ac:dyDescent="0.25">
      <c r="A861" s="1" t="s">
        <v>440</v>
      </c>
      <c r="B861" s="1"/>
      <c r="C861" s="1" t="s">
        <v>2993</v>
      </c>
      <c r="D861" s="1" t="s">
        <v>3388</v>
      </c>
      <c r="E861" s="1"/>
      <c r="F861">
        <v>0.8</v>
      </c>
      <c r="G861">
        <v>0.8</v>
      </c>
      <c r="H861">
        <v>0</v>
      </c>
      <c r="I861">
        <v>0</v>
      </c>
      <c r="J861">
        <v>1</v>
      </c>
      <c r="K861" s="2">
        <v>45775</v>
      </c>
    </row>
    <row r="862" spans="1:11" x14ac:dyDescent="0.25">
      <c r="A862" s="1" t="s">
        <v>598</v>
      </c>
      <c r="B862" s="1"/>
      <c r="C862" s="1" t="s">
        <v>2808</v>
      </c>
      <c r="D862" s="1" t="s">
        <v>3370</v>
      </c>
      <c r="E862" s="1"/>
      <c r="F862">
        <v>0</v>
      </c>
      <c r="G862">
        <v>0</v>
      </c>
      <c r="H862">
        <v>0</v>
      </c>
      <c r="I862">
        <v>0</v>
      </c>
      <c r="J862">
        <v>1</v>
      </c>
      <c r="K862" s="2">
        <v>45765</v>
      </c>
    </row>
    <row r="863" spans="1:11" x14ac:dyDescent="0.25">
      <c r="A863" s="1" t="s">
        <v>598</v>
      </c>
      <c r="B863" s="1"/>
      <c r="C863" s="1" t="s">
        <v>2989</v>
      </c>
      <c r="D863" s="1" t="s">
        <v>3433</v>
      </c>
      <c r="E863" s="1"/>
      <c r="F863">
        <v>1</v>
      </c>
      <c r="G863">
        <v>0</v>
      </c>
      <c r="H863">
        <v>55</v>
      </c>
      <c r="I863">
        <v>0</v>
      </c>
      <c r="J863">
        <v>1</v>
      </c>
      <c r="K863" s="2">
        <v>45777</v>
      </c>
    </row>
    <row r="864" spans="1:11" x14ac:dyDescent="0.25">
      <c r="A864" s="1" t="s">
        <v>264</v>
      </c>
      <c r="B864" s="1"/>
      <c r="C864" s="1" t="s">
        <v>2989</v>
      </c>
      <c r="D864" s="1" t="s">
        <v>3433</v>
      </c>
      <c r="E864" s="1"/>
      <c r="F864">
        <v>1.5</v>
      </c>
      <c r="G864">
        <v>0</v>
      </c>
      <c r="H864">
        <v>85</v>
      </c>
      <c r="I864">
        <v>0</v>
      </c>
      <c r="J864">
        <v>1</v>
      </c>
      <c r="K864" s="2">
        <v>45743</v>
      </c>
    </row>
    <row r="865" spans="1:11" x14ac:dyDescent="0.25">
      <c r="A865" s="1" t="s">
        <v>264</v>
      </c>
      <c r="B865" s="1"/>
      <c r="C865" s="1" t="s">
        <v>2828</v>
      </c>
      <c r="D865" s="1" t="s">
        <v>3434</v>
      </c>
      <c r="E865" s="1"/>
      <c r="F865">
        <v>5</v>
      </c>
      <c r="G865">
        <v>9.1</v>
      </c>
      <c r="H865">
        <v>-220</v>
      </c>
      <c r="I865">
        <v>0</v>
      </c>
      <c r="J865">
        <v>1</v>
      </c>
      <c r="K865" s="2">
        <v>45743</v>
      </c>
    </row>
    <row r="866" spans="1:11" x14ac:dyDescent="0.25">
      <c r="A866" s="1" t="s">
        <v>264</v>
      </c>
      <c r="B866" s="1"/>
      <c r="C866" s="1" t="s">
        <v>2990</v>
      </c>
      <c r="D866" s="1" t="s">
        <v>3372</v>
      </c>
      <c r="E866" s="1"/>
      <c r="F866">
        <v>1</v>
      </c>
      <c r="G866">
        <v>0</v>
      </c>
      <c r="H866">
        <v>55</v>
      </c>
      <c r="I866">
        <v>0</v>
      </c>
      <c r="J866">
        <v>1</v>
      </c>
      <c r="K866" s="2">
        <v>45743</v>
      </c>
    </row>
    <row r="867" spans="1:11" x14ac:dyDescent="0.25">
      <c r="A867" s="1" t="s">
        <v>264</v>
      </c>
      <c r="B867" s="1"/>
      <c r="C867" s="1" t="s">
        <v>2991</v>
      </c>
      <c r="D867" s="1" t="s">
        <v>3435</v>
      </c>
      <c r="E867" s="1"/>
      <c r="F867">
        <v>1.3</v>
      </c>
      <c r="G867">
        <v>0</v>
      </c>
      <c r="H867">
        <v>70</v>
      </c>
      <c r="I867">
        <v>0</v>
      </c>
      <c r="J867">
        <v>1</v>
      </c>
      <c r="K867" s="2">
        <v>45743</v>
      </c>
    </row>
    <row r="868" spans="1:11" x14ac:dyDescent="0.25">
      <c r="A868" s="1" t="s">
        <v>264</v>
      </c>
      <c r="B868" s="1"/>
      <c r="C868" s="1" t="s">
        <v>2992</v>
      </c>
      <c r="D868" s="1" t="s">
        <v>3435</v>
      </c>
      <c r="E868" s="1"/>
      <c r="F868">
        <v>1</v>
      </c>
      <c r="G868">
        <v>0</v>
      </c>
      <c r="H868">
        <v>55</v>
      </c>
      <c r="I868">
        <v>0</v>
      </c>
      <c r="J868">
        <v>1</v>
      </c>
      <c r="K868" s="2">
        <v>45743</v>
      </c>
    </row>
    <row r="869" spans="1:11" x14ac:dyDescent="0.25">
      <c r="A869" s="1" t="s">
        <v>264</v>
      </c>
      <c r="B869" s="1"/>
      <c r="C869" s="1" t="s">
        <v>2993</v>
      </c>
      <c r="D869" s="1" t="s">
        <v>3388</v>
      </c>
      <c r="E869" s="1"/>
      <c r="F869">
        <v>0.8</v>
      </c>
      <c r="G869">
        <v>0.3</v>
      </c>
      <c r="H869">
        <v>30</v>
      </c>
      <c r="I869">
        <v>0</v>
      </c>
      <c r="J869">
        <v>1</v>
      </c>
      <c r="K869" s="2">
        <v>45754</v>
      </c>
    </row>
    <row r="870" spans="1:11" x14ac:dyDescent="0.25">
      <c r="A870" s="1" t="s">
        <v>264</v>
      </c>
      <c r="B870" s="1"/>
      <c r="C870" s="1" t="s">
        <v>2994</v>
      </c>
      <c r="D870" s="1" t="s">
        <v>3436</v>
      </c>
      <c r="E870" s="1"/>
      <c r="F870">
        <v>1.1000000000000001</v>
      </c>
      <c r="G870">
        <v>2</v>
      </c>
      <c r="H870">
        <v>-45</v>
      </c>
      <c r="I870">
        <v>0</v>
      </c>
      <c r="J870">
        <v>1</v>
      </c>
      <c r="K870" s="2">
        <v>45751</v>
      </c>
    </row>
    <row r="871" spans="1:11" x14ac:dyDescent="0.25">
      <c r="A871" s="1" t="s">
        <v>264</v>
      </c>
      <c r="B871" s="1"/>
      <c r="C871" s="1" t="s">
        <v>2995</v>
      </c>
      <c r="D871" s="1" t="s">
        <v>3372</v>
      </c>
      <c r="E871" s="1"/>
      <c r="F871">
        <v>1</v>
      </c>
      <c r="G871">
        <v>0.1</v>
      </c>
      <c r="H871">
        <v>50</v>
      </c>
      <c r="I871">
        <v>0</v>
      </c>
      <c r="J871">
        <v>1</v>
      </c>
      <c r="K871" s="2">
        <v>45783</v>
      </c>
    </row>
    <row r="872" spans="1:11" x14ac:dyDescent="0.25">
      <c r="A872" s="1" t="s">
        <v>286</v>
      </c>
      <c r="B872" s="1"/>
      <c r="C872" s="1" t="s">
        <v>2989</v>
      </c>
      <c r="D872" s="1" t="s">
        <v>3433</v>
      </c>
      <c r="E872" s="1"/>
      <c r="F872">
        <v>1.5</v>
      </c>
      <c r="G872">
        <v>0</v>
      </c>
      <c r="H872">
        <v>85</v>
      </c>
      <c r="I872">
        <v>0</v>
      </c>
      <c r="J872">
        <v>1</v>
      </c>
      <c r="K872" s="2">
        <v>45748</v>
      </c>
    </row>
    <row r="873" spans="1:11" x14ac:dyDescent="0.25">
      <c r="A873" s="1" t="s">
        <v>286</v>
      </c>
      <c r="B873" s="1"/>
      <c r="C873" s="1" t="s">
        <v>2828</v>
      </c>
      <c r="D873" s="1" t="s">
        <v>3434</v>
      </c>
      <c r="E873" s="1"/>
      <c r="F873">
        <v>5</v>
      </c>
      <c r="G873">
        <v>10.9</v>
      </c>
      <c r="H873">
        <v>-320</v>
      </c>
      <c r="I873">
        <v>0</v>
      </c>
      <c r="J873">
        <v>1</v>
      </c>
      <c r="K873" s="2">
        <v>45751</v>
      </c>
    </row>
    <row r="874" spans="1:11" x14ac:dyDescent="0.25">
      <c r="A874" s="1" t="s">
        <v>286</v>
      </c>
      <c r="B874" s="1"/>
      <c r="C874" s="1" t="s">
        <v>2990</v>
      </c>
      <c r="D874" s="1" t="s">
        <v>3372</v>
      </c>
      <c r="E874" s="1"/>
      <c r="F874">
        <v>1</v>
      </c>
      <c r="G874">
        <v>0</v>
      </c>
      <c r="H874">
        <v>55</v>
      </c>
      <c r="I874">
        <v>0</v>
      </c>
      <c r="J874">
        <v>1</v>
      </c>
      <c r="K874" s="2">
        <v>45751</v>
      </c>
    </row>
    <row r="875" spans="1:11" x14ac:dyDescent="0.25">
      <c r="A875" s="1" t="s">
        <v>286</v>
      </c>
      <c r="B875" s="1"/>
      <c r="C875" s="1" t="s">
        <v>2991</v>
      </c>
      <c r="D875" s="1" t="s">
        <v>3435</v>
      </c>
      <c r="E875" s="1"/>
      <c r="F875">
        <v>1.3</v>
      </c>
      <c r="G875">
        <v>0</v>
      </c>
      <c r="H875">
        <v>70</v>
      </c>
      <c r="I875">
        <v>0</v>
      </c>
      <c r="J875">
        <v>1</v>
      </c>
      <c r="K875" s="2">
        <v>45751</v>
      </c>
    </row>
    <row r="876" spans="1:11" x14ac:dyDescent="0.25">
      <c r="A876" s="1" t="s">
        <v>286</v>
      </c>
      <c r="B876" s="1"/>
      <c r="C876" s="1" t="s">
        <v>2992</v>
      </c>
      <c r="D876" s="1" t="s">
        <v>3435</v>
      </c>
      <c r="E876" s="1"/>
      <c r="F876">
        <v>1</v>
      </c>
      <c r="G876">
        <v>0</v>
      </c>
      <c r="H876">
        <v>55</v>
      </c>
      <c r="I876">
        <v>0</v>
      </c>
      <c r="J876">
        <v>1</v>
      </c>
      <c r="K876" s="2">
        <v>45751</v>
      </c>
    </row>
    <row r="877" spans="1:11" x14ac:dyDescent="0.25">
      <c r="A877" s="1" t="s">
        <v>286</v>
      </c>
      <c r="B877" s="1"/>
      <c r="C877" s="1" t="s">
        <v>2993</v>
      </c>
      <c r="D877" s="1" t="s">
        <v>3388</v>
      </c>
      <c r="E877" s="1"/>
      <c r="F877">
        <v>0.8</v>
      </c>
      <c r="G877">
        <v>0.3</v>
      </c>
      <c r="H877">
        <v>30</v>
      </c>
      <c r="I877">
        <v>0</v>
      </c>
      <c r="J877">
        <v>1</v>
      </c>
      <c r="K877" s="2">
        <v>45754</v>
      </c>
    </row>
    <row r="878" spans="1:11" x14ac:dyDescent="0.25">
      <c r="A878" s="1" t="s">
        <v>286</v>
      </c>
      <c r="B878" s="1"/>
      <c r="C878" s="1" t="s">
        <v>2994</v>
      </c>
      <c r="D878" s="1" t="s">
        <v>3436</v>
      </c>
      <c r="E878" s="1"/>
      <c r="F878">
        <v>1.1000000000000001</v>
      </c>
      <c r="G878">
        <v>1.8</v>
      </c>
      <c r="H878">
        <v>-35</v>
      </c>
      <c r="I878">
        <v>0</v>
      </c>
      <c r="J878">
        <v>1</v>
      </c>
      <c r="K878" s="2">
        <v>45779</v>
      </c>
    </row>
    <row r="879" spans="1:11" x14ac:dyDescent="0.25">
      <c r="A879" s="1" t="s">
        <v>286</v>
      </c>
      <c r="B879" s="1"/>
      <c r="C879" s="1" t="s">
        <v>2995</v>
      </c>
      <c r="D879" s="1" t="s">
        <v>3372</v>
      </c>
      <c r="E879" s="1"/>
      <c r="F879">
        <v>1</v>
      </c>
      <c r="G879">
        <v>0.3</v>
      </c>
      <c r="H879">
        <v>40</v>
      </c>
      <c r="I879">
        <v>0</v>
      </c>
      <c r="J879">
        <v>1</v>
      </c>
      <c r="K879" s="2">
        <v>45783</v>
      </c>
    </row>
    <row r="880" spans="1:11" x14ac:dyDescent="0.25">
      <c r="A880" s="1" t="s">
        <v>361</v>
      </c>
      <c r="B880" s="1"/>
      <c r="C880" s="1" t="s">
        <v>2808</v>
      </c>
      <c r="D880" s="1" t="s">
        <v>3370</v>
      </c>
      <c r="E880" s="1"/>
      <c r="F880">
        <v>0</v>
      </c>
      <c r="G880">
        <v>0</v>
      </c>
      <c r="H880">
        <v>0</v>
      </c>
      <c r="I880">
        <v>0</v>
      </c>
      <c r="J880">
        <v>1</v>
      </c>
      <c r="K880" s="2">
        <v>45735</v>
      </c>
    </row>
    <row r="881" spans="1:11" x14ac:dyDescent="0.25">
      <c r="A881" s="1" t="s">
        <v>361</v>
      </c>
      <c r="B881" s="1"/>
      <c r="C881" s="1" t="s">
        <v>2989</v>
      </c>
      <c r="D881" s="1" t="s">
        <v>3433</v>
      </c>
      <c r="E881" s="1"/>
      <c r="F881">
        <v>1.5</v>
      </c>
      <c r="G881">
        <v>0</v>
      </c>
      <c r="H881">
        <v>85</v>
      </c>
      <c r="I881">
        <v>0</v>
      </c>
      <c r="J881">
        <v>1</v>
      </c>
      <c r="K881" s="2">
        <v>45763</v>
      </c>
    </row>
    <row r="882" spans="1:11" x14ac:dyDescent="0.25">
      <c r="A882" s="1" t="s">
        <v>361</v>
      </c>
      <c r="B882" s="1"/>
      <c r="C882" s="1" t="s">
        <v>2828</v>
      </c>
      <c r="D882" s="1" t="s">
        <v>3434</v>
      </c>
      <c r="E882" s="1"/>
      <c r="F882">
        <v>5</v>
      </c>
      <c r="G882">
        <v>5.7</v>
      </c>
      <c r="H882">
        <v>-35</v>
      </c>
      <c r="I882">
        <v>0</v>
      </c>
      <c r="J882">
        <v>1</v>
      </c>
      <c r="K882" s="2">
        <v>45763</v>
      </c>
    </row>
    <row r="883" spans="1:11" x14ac:dyDescent="0.25">
      <c r="A883" s="1" t="s">
        <v>361</v>
      </c>
      <c r="B883" s="1"/>
      <c r="C883" s="1" t="s">
        <v>2990</v>
      </c>
      <c r="D883" s="1" t="s">
        <v>3372</v>
      </c>
      <c r="E883" s="1"/>
      <c r="F883">
        <v>1</v>
      </c>
      <c r="G883">
        <v>0</v>
      </c>
      <c r="H883">
        <v>55</v>
      </c>
      <c r="I883">
        <v>0</v>
      </c>
      <c r="J883">
        <v>1</v>
      </c>
      <c r="K883" s="2">
        <v>45763</v>
      </c>
    </row>
    <row r="884" spans="1:11" x14ac:dyDescent="0.25">
      <c r="A884" s="1" t="s">
        <v>361</v>
      </c>
      <c r="B884" s="1"/>
      <c r="C884" s="1" t="s">
        <v>2991</v>
      </c>
      <c r="D884" s="1" t="s">
        <v>3435</v>
      </c>
      <c r="E884" s="1"/>
      <c r="F884">
        <v>1.3</v>
      </c>
      <c r="G884">
        <v>0</v>
      </c>
      <c r="H884">
        <v>70</v>
      </c>
      <c r="I884">
        <v>0</v>
      </c>
      <c r="J884">
        <v>1</v>
      </c>
      <c r="K884" s="2">
        <v>45763</v>
      </c>
    </row>
    <row r="885" spans="1:11" x14ac:dyDescent="0.25">
      <c r="A885" s="1" t="s">
        <v>361</v>
      </c>
      <c r="B885" s="1"/>
      <c r="C885" s="1" t="s">
        <v>2992</v>
      </c>
      <c r="D885" s="1" t="s">
        <v>3435</v>
      </c>
      <c r="E885" s="1"/>
      <c r="F885">
        <v>1</v>
      </c>
      <c r="G885">
        <v>0</v>
      </c>
      <c r="H885">
        <v>55</v>
      </c>
      <c r="I885">
        <v>0</v>
      </c>
      <c r="J885">
        <v>1</v>
      </c>
      <c r="K885" s="2">
        <v>45763</v>
      </c>
    </row>
    <row r="886" spans="1:11" x14ac:dyDescent="0.25">
      <c r="A886" s="1" t="s">
        <v>361</v>
      </c>
      <c r="B886" s="1"/>
      <c r="C886" s="1" t="s">
        <v>2993</v>
      </c>
      <c r="D886" s="1" t="s">
        <v>3388</v>
      </c>
      <c r="E886" s="1"/>
      <c r="F886">
        <v>0.8</v>
      </c>
      <c r="G886">
        <v>1</v>
      </c>
      <c r="H886">
        <v>-10</v>
      </c>
      <c r="I886">
        <v>0</v>
      </c>
      <c r="J886">
        <v>1</v>
      </c>
      <c r="K886" s="2">
        <v>45775</v>
      </c>
    </row>
    <row r="887" spans="1:11" x14ac:dyDescent="0.25">
      <c r="A887" s="1" t="s">
        <v>361</v>
      </c>
      <c r="B887" s="1"/>
      <c r="C887" s="1" t="s">
        <v>2994</v>
      </c>
      <c r="D887" s="1" t="s">
        <v>3436</v>
      </c>
      <c r="E887" s="1"/>
      <c r="F887">
        <v>1.1000000000000001</v>
      </c>
      <c r="G887">
        <v>2.9</v>
      </c>
      <c r="H887">
        <v>-100</v>
      </c>
      <c r="I887">
        <v>0</v>
      </c>
      <c r="J887">
        <v>1</v>
      </c>
      <c r="K887" s="2">
        <v>45779</v>
      </c>
    </row>
    <row r="888" spans="1:11" x14ac:dyDescent="0.25">
      <c r="A888" s="1" t="s">
        <v>361</v>
      </c>
      <c r="B888" s="1"/>
      <c r="C888" s="1" t="s">
        <v>2995</v>
      </c>
      <c r="D888" s="1" t="s">
        <v>3372</v>
      </c>
      <c r="E888" s="1"/>
      <c r="F888">
        <v>1</v>
      </c>
      <c r="G888">
        <v>0.1</v>
      </c>
      <c r="H888">
        <v>50</v>
      </c>
      <c r="I888">
        <v>0</v>
      </c>
      <c r="J888">
        <v>1</v>
      </c>
      <c r="K888" s="2">
        <v>45783</v>
      </c>
    </row>
    <row r="889" spans="1:11" x14ac:dyDescent="0.25">
      <c r="A889" s="1" t="s">
        <v>441</v>
      </c>
      <c r="B889" s="1"/>
      <c r="C889" s="1" t="s">
        <v>2808</v>
      </c>
      <c r="D889" s="1" t="s">
        <v>3370</v>
      </c>
      <c r="E889" s="1"/>
      <c r="F889">
        <v>0</v>
      </c>
      <c r="G889">
        <v>0</v>
      </c>
      <c r="H889">
        <v>0</v>
      </c>
      <c r="I889">
        <v>0</v>
      </c>
      <c r="J889">
        <v>1</v>
      </c>
      <c r="K889" s="2">
        <v>45744</v>
      </c>
    </row>
    <row r="890" spans="1:11" x14ac:dyDescent="0.25">
      <c r="A890" s="1" t="s">
        <v>441</v>
      </c>
      <c r="B890" s="1"/>
      <c r="C890" s="1" t="s">
        <v>2989</v>
      </c>
      <c r="D890" s="1" t="s">
        <v>3433</v>
      </c>
      <c r="E890" s="1"/>
      <c r="F890">
        <v>1.5</v>
      </c>
      <c r="G890">
        <v>0</v>
      </c>
      <c r="H890">
        <v>85</v>
      </c>
      <c r="I890">
        <v>0</v>
      </c>
      <c r="J890">
        <v>1</v>
      </c>
      <c r="K890" s="2">
        <v>45771</v>
      </c>
    </row>
    <row r="891" spans="1:11" x14ac:dyDescent="0.25">
      <c r="A891" s="1" t="s">
        <v>441</v>
      </c>
      <c r="B891" s="1"/>
      <c r="C891" s="1" t="s">
        <v>2828</v>
      </c>
      <c r="D891" s="1" t="s">
        <v>3434</v>
      </c>
      <c r="E891" s="1"/>
      <c r="F891">
        <v>5</v>
      </c>
      <c r="G891">
        <v>12.6</v>
      </c>
      <c r="H891">
        <v>-410</v>
      </c>
      <c r="I891">
        <v>0</v>
      </c>
      <c r="J891">
        <v>1</v>
      </c>
      <c r="K891" s="2">
        <v>45775</v>
      </c>
    </row>
    <row r="892" spans="1:11" x14ac:dyDescent="0.25">
      <c r="A892" s="1" t="s">
        <v>441</v>
      </c>
      <c r="B892" s="1"/>
      <c r="C892" s="1" t="s">
        <v>2990</v>
      </c>
      <c r="D892" s="1" t="s">
        <v>3372</v>
      </c>
      <c r="E892" s="1"/>
      <c r="F892">
        <v>1</v>
      </c>
      <c r="G892">
        <v>0</v>
      </c>
      <c r="H892">
        <v>55</v>
      </c>
      <c r="I892">
        <v>0</v>
      </c>
      <c r="J892">
        <v>1</v>
      </c>
      <c r="K892" s="2">
        <v>45775</v>
      </c>
    </row>
    <row r="893" spans="1:11" x14ac:dyDescent="0.25">
      <c r="A893" s="1" t="s">
        <v>441</v>
      </c>
      <c r="B893" s="1"/>
      <c r="C893" s="1" t="s">
        <v>2991</v>
      </c>
      <c r="D893" s="1" t="s">
        <v>3435</v>
      </c>
      <c r="E893" s="1"/>
      <c r="F893">
        <v>1.3</v>
      </c>
      <c r="G893">
        <v>0</v>
      </c>
      <c r="H893">
        <v>70</v>
      </c>
      <c r="I893">
        <v>0</v>
      </c>
      <c r="J893">
        <v>1</v>
      </c>
      <c r="K893" s="2">
        <v>45775</v>
      </c>
    </row>
    <row r="894" spans="1:11" x14ac:dyDescent="0.25">
      <c r="A894" s="1" t="s">
        <v>441</v>
      </c>
      <c r="B894" s="1"/>
      <c r="C894" s="1" t="s">
        <v>2992</v>
      </c>
      <c r="D894" s="1" t="s">
        <v>3435</v>
      </c>
      <c r="E894" s="1"/>
      <c r="F894">
        <v>1</v>
      </c>
      <c r="G894">
        <v>0</v>
      </c>
      <c r="H894">
        <v>55</v>
      </c>
      <c r="I894">
        <v>0</v>
      </c>
      <c r="J894">
        <v>1</v>
      </c>
      <c r="K894" s="2">
        <v>45775</v>
      </c>
    </row>
    <row r="895" spans="1:11" x14ac:dyDescent="0.25">
      <c r="A895" s="1" t="s">
        <v>599</v>
      </c>
      <c r="B895" s="1"/>
      <c r="C895" s="1" t="s">
        <v>2808</v>
      </c>
      <c r="D895" s="1" t="s">
        <v>3370</v>
      </c>
      <c r="E895" s="1"/>
      <c r="F895">
        <v>0</v>
      </c>
      <c r="G895">
        <v>0</v>
      </c>
      <c r="H895">
        <v>0</v>
      </c>
      <c r="I895">
        <v>0</v>
      </c>
      <c r="J895">
        <v>1</v>
      </c>
      <c r="K895" s="2">
        <v>45765</v>
      </c>
    </row>
    <row r="896" spans="1:11" x14ac:dyDescent="0.25">
      <c r="A896" s="1" t="s">
        <v>599</v>
      </c>
      <c r="B896" s="1"/>
      <c r="C896" s="1" t="s">
        <v>2989</v>
      </c>
      <c r="D896" s="1" t="s">
        <v>3433</v>
      </c>
      <c r="E896" s="1"/>
      <c r="F896">
        <v>1.5</v>
      </c>
      <c r="G896">
        <v>0</v>
      </c>
      <c r="H896">
        <v>85</v>
      </c>
      <c r="I896">
        <v>0</v>
      </c>
      <c r="J896">
        <v>1</v>
      </c>
      <c r="K896" s="2">
        <v>45789</v>
      </c>
    </row>
    <row r="897" spans="1:11" x14ac:dyDescent="0.25">
      <c r="A897" s="1" t="s">
        <v>409</v>
      </c>
      <c r="B897" s="1"/>
      <c r="C897" s="1" t="s">
        <v>2808</v>
      </c>
      <c r="D897" s="1" t="s">
        <v>3370</v>
      </c>
      <c r="E897" s="1"/>
      <c r="F897">
        <v>0</v>
      </c>
      <c r="G897">
        <v>0</v>
      </c>
      <c r="H897">
        <v>0</v>
      </c>
      <c r="I897">
        <v>0</v>
      </c>
      <c r="J897">
        <v>1</v>
      </c>
      <c r="K897" s="2">
        <v>45762</v>
      </c>
    </row>
    <row r="898" spans="1:11" x14ac:dyDescent="0.25">
      <c r="A898" s="1" t="s">
        <v>409</v>
      </c>
      <c r="B898" s="1"/>
      <c r="C898" s="1" t="s">
        <v>2996</v>
      </c>
      <c r="D898" s="1" t="s">
        <v>3437</v>
      </c>
      <c r="E898" s="1"/>
      <c r="F898">
        <v>0.3</v>
      </c>
      <c r="G898">
        <v>0.1</v>
      </c>
      <c r="H898">
        <v>10</v>
      </c>
      <c r="I898">
        <v>0</v>
      </c>
      <c r="J898">
        <v>1</v>
      </c>
      <c r="K898" s="2">
        <v>45754</v>
      </c>
    </row>
    <row r="899" spans="1:11" x14ac:dyDescent="0.25">
      <c r="A899" s="1" t="s">
        <v>409</v>
      </c>
      <c r="B899" s="1"/>
      <c r="C899" s="1" t="s">
        <v>2997</v>
      </c>
      <c r="D899" s="1" t="s">
        <v>3437</v>
      </c>
      <c r="E899" s="1"/>
      <c r="F899">
        <v>0.5</v>
      </c>
      <c r="G899">
        <v>1.3</v>
      </c>
      <c r="H899">
        <v>-45</v>
      </c>
      <c r="I899">
        <v>0</v>
      </c>
      <c r="J899">
        <v>1</v>
      </c>
      <c r="K899" s="2">
        <v>45754</v>
      </c>
    </row>
    <row r="900" spans="1:11" x14ac:dyDescent="0.25">
      <c r="A900" s="1" t="s">
        <v>409</v>
      </c>
      <c r="B900" s="1"/>
      <c r="C900" s="1" t="s">
        <v>2867</v>
      </c>
      <c r="D900" s="1" t="s">
        <v>3437</v>
      </c>
      <c r="E900" s="1"/>
      <c r="F900">
        <v>0.3</v>
      </c>
      <c r="G900">
        <v>0.2</v>
      </c>
      <c r="H900">
        <v>10</v>
      </c>
      <c r="I900">
        <v>0</v>
      </c>
      <c r="J900">
        <v>1</v>
      </c>
      <c r="K900" s="2">
        <v>45754</v>
      </c>
    </row>
    <row r="901" spans="1:11" x14ac:dyDescent="0.25">
      <c r="A901" s="1" t="s">
        <v>409</v>
      </c>
      <c r="B901" s="1"/>
      <c r="C901" s="1" t="s">
        <v>2868</v>
      </c>
      <c r="D901" s="1" t="s">
        <v>3438</v>
      </c>
      <c r="E901" s="1"/>
      <c r="F901">
        <v>0.2</v>
      </c>
      <c r="G901">
        <v>2.6</v>
      </c>
      <c r="H901">
        <v>-150</v>
      </c>
      <c r="I901">
        <v>0</v>
      </c>
      <c r="J901">
        <v>1</v>
      </c>
      <c r="K901" s="2">
        <v>45754</v>
      </c>
    </row>
    <row r="902" spans="1:11" x14ac:dyDescent="0.25">
      <c r="A902" s="1" t="s">
        <v>409</v>
      </c>
      <c r="B902" s="1"/>
      <c r="C902" s="1" t="s">
        <v>2998</v>
      </c>
      <c r="D902" s="1" t="s">
        <v>3439</v>
      </c>
      <c r="E902" s="1"/>
      <c r="F902">
        <v>0</v>
      </c>
      <c r="G902">
        <v>0</v>
      </c>
      <c r="H902">
        <v>0</v>
      </c>
      <c r="I902">
        <v>0</v>
      </c>
      <c r="J902">
        <v>1</v>
      </c>
      <c r="K902" s="2">
        <v>45756</v>
      </c>
    </row>
    <row r="903" spans="1:11" x14ac:dyDescent="0.25">
      <c r="A903" s="1" t="s">
        <v>409</v>
      </c>
      <c r="B903" s="1"/>
      <c r="C903" s="1" t="s">
        <v>2999</v>
      </c>
      <c r="D903" s="1" t="s">
        <v>3440</v>
      </c>
      <c r="E903" s="1"/>
      <c r="F903">
        <v>0.5</v>
      </c>
      <c r="G903">
        <v>1.5</v>
      </c>
      <c r="H903">
        <v>-60</v>
      </c>
      <c r="I903">
        <v>0</v>
      </c>
      <c r="J903">
        <v>1</v>
      </c>
      <c r="K903" s="2">
        <v>45756</v>
      </c>
    </row>
    <row r="904" spans="1:11" x14ac:dyDescent="0.25">
      <c r="A904" s="1" t="s">
        <v>409</v>
      </c>
      <c r="B904" s="1"/>
      <c r="C904" s="1" t="s">
        <v>2873</v>
      </c>
      <c r="D904" s="1" t="s">
        <v>3441</v>
      </c>
      <c r="E904" s="1"/>
      <c r="F904">
        <v>0</v>
      </c>
      <c r="G904">
        <v>4.9000000000000004</v>
      </c>
      <c r="H904">
        <v>-305</v>
      </c>
      <c r="I904">
        <v>0</v>
      </c>
      <c r="J904">
        <v>1</v>
      </c>
      <c r="K904" s="2">
        <v>45756</v>
      </c>
    </row>
    <row r="905" spans="1:11" x14ac:dyDescent="0.25">
      <c r="A905" s="1" t="s">
        <v>409</v>
      </c>
      <c r="B905" s="1"/>
      <c r="C905" s="1" t="s">
        <v>3000</v>
      </c>
      <c r="D905" s="1" t="s">
        <v>3442</v>
      </c>
      <c r="E905" s="1"/>
      <c r="F905">
        <v>0.3</v>
      </c>
      <c r="G905">
        <v>2.1</v>
      </c>
      <c r="H905">
        <v>-110</v>
      </c>
      <c r="I905">
        <v>0</v>
      </c>
      <c r="J905">
        <v>1</v>
      </c>
      <c r="K905" s="2">
        <v>45757</v>
      </c>
    </row>
    <row r="906" spans="1:11" x14ac:dyDescent="0.25">
      <c r="A906" s="1" t="s">
        <v>409</v>
      </c>
      <c r="B906" s="1"/>
      <c r="C906" s="1" t="s">
        <v>3001</v>
      </c>
      <c r="D906" s="1" t="s">
        <v>3443</v>
      </c>
      <c r="E906" s="1"/>
      <c r="F906">
        <v>0.3</v>
      </c>
      <c r="G906">
        <v>1.2</v>
      </c>
      <c r="H906">
        <v>-60</v>
      </c>
      <c r="I906">
        <v>0</v>
      </c>
      <c r="J906">
        <v>1</v>
      </c>
      <c r="K906" s="2">
        <v>45757</v>
      </c>
    </row>
    <row r="907" spans="1:11" x14ac:dyDescent="0.25">
      <c r="A907" s="1" t="s">
        <v>409</v>
      </c>
      <c r="B907" s="1"/>
      <c r="C907" s="1" t="s">
        <v>3002</v>
      </c>
      <c r="D907" s="1" t="s">
        <v>3444</v>
      </c>
      <c r="E907" s="1"/>
      <c r="F907">
        <v>0</v>
      </c>
      <c r="G907">
        <v>0.6</v>
      </c>
      <c r="H907">
        <v>-35</v>
      </c>
      <c r="I907">
        <v>0</v>
      </c>
      <c r="J907">
        <v>1</v>
      </c>
      <c r="K907" s="2">
        <v>45758</v>
      </c>
    </row>
    <row r="908" spans="1:11" x14ac:dyDescent="0.25">
      <c r="A908" s="1" t="s">
        <v>409</v>
      </c>
      <c r="B908" s="1"/>
      <c r="C908" s="1" t="s">
        <v>3003</v>
      </c>
      <c r="D908" s="1" t="s">
        <v>3438</v>
      </c>
      <c r="E908" s="1"/>
      <c r="F908">
        <v>0.5</v>
      </c>
      <c r="G908">
        <v>1.2</v>
      </c>
      <c r="H908">
        <v>-40</v>
      </c>
      <c r="I908">
        <v>0</v>
      </c>
      <c r="J908">
        <v>1</v>
      </c>
      <c r="K908" s="2">
        <v>45758</v>
      </c>
    </row>
    <row r="909" spans="1:11" x14ac:dyDescent="0.25">
      <c r="A909" s="1" t="s">
        <v>409</v>
      </c>
      <c r="B909" s="1"/>
      <c r="C909" s="1" t="s">
        <v>3004</v>
      </c>
      <c r="D909" s="1" t="s">
        <v>3438</v>
      </c>
      <c r="E909" s="1"/>
      <c r="F909">
        <v>0.5</v>
      </c>
      <c r="G909">
        <v>1</v>
      </c>
      <c r="H909">
        <v>-25</v>
      </c>
      <c r="I909">
        <v>0</v>
      </c>
      <c r="J909">
        <v>1</v>
      </c>
      <c r="K909" s="2">
        <v>45759</v>
      </c>
    </row>
    <row r="910" spans="1:11" x14ac:dyDescent="0.25">
      <c r="A910" s="1" t="s">
        <v>409</v>
      </c>
      <c r="B910" s="1"/>
      <c r="C910" s="1" t="s">
        <v>3005</v>
      </c>
      <c r="D910" s="1" t="s">
        <v>3438</v>
      </c>
      <c r="E910" s="1"/>
      <c r="F910">
        <v>1</v>
      </c>
      <c r="G910">
        <v>9.1999999999999993</v>
      </c>
      <c r="H910">
        <v>-510</v>
      </c>
      <c r="I910">
        <v>0</v>
      </c>
      <c r="J910">
        <v>1</v>
      </c>
      <c r="K910" s="2">
        <v>45782</v>
      </c>
    </row>
    <row r="911" spans="1:11" x14ac:dyDescent="0.25">
      <c r="A911" s="1" t="s">
        <v>409</v>
      </c>
      <c r="B911" s="1"/>
      <c r="C911" s="1" t="s">
        <v>2864</v>
      </c>
      <c r="D911" s="1" t="s">
        <v>3445</v>
      </c>
      <c r="E911" s="1"/>
      <c r="F911">
        <v>0.5</v>
      </c>
      <c r="G911">
        <v>5.7</v>
      </c>
      <c r="H911">
        <v>-320</v>
      </c>
      <c r="I911">
        <v>0</v>
      </c>
      <c r="J911">
        <v>1</v>
      </c>
      <c r="K911" s="2">
        <v>45783</v>
      </c>
    </row>
    <row r="912" spans="1:11" x14ac:dyDescent="0.25">
      <c r="A912" s="1" t="s">
        <v>409</v>
      </c>
      <c r="B912" s="1"/>
      <c r="C912" s="1" t="s">
        <v>3006</v>
      </c>
      <c r="D912" s="1" t="s">
        <v>3444</v>
      </c>
      <c r="E912" s="1"/>
      <c r="F912">
        <v>0</v>
      </c>
      <c r="G912">
        <v>2.7</v>
      </c>
      <c r="H912">
        <v>-165</v>
      </c>
      <c r="I912">
        <v>0</v>
      </c>
      <c r="J912">
        <v>1</v>
      </c>
      <c r="K912" s="2">
        <v>45787</v>
      </c>
    </row>
    <row r="913" spans="1:11" x14ac:dyDescent="0.25">
      <c r="A913" s="1" t="s">
        <v>410</v>
      </c>
      <c r="B913" s="1"/>
      <c r="C913" s="1" t="s">
        <v>2808</v>
      </c>
      <c r="D913" s="1" t="s">
        <v>3370</v>
      </c>
      <c r="E913" s="1"/>
      <c r="F913">
        <v>0</v>
      </c>
      <c r="G913">
        <v>0</v>
      </c>
      <c r="H913">
        <v>0</v>
      </c>
      <c r="I913">
        <v>0</v>
      </c>
      <c r="J913">
        <v>1</v>
      </c>
      <c r="K913" s="2">
        <v>45765</v>
      </c>
    </row>
    <row r="914" spans="1:11" x14ac:dyDescent="0.25">
      <c r="A914" s="1" t="s">
        <v>410</v>
      </c>
      <c r="B914" s="1"/>
      <c r="C914" s="1" t="s">
        <v>2996</v>
      </c>
      <c r="D914" s="1" t="s">
        <v>3437</v>
      </c>
      <c r="E914" s="1"/>
      <c r="F914">
        <v>0.3</v>
      </c>
      <c r="G914">
        <v>0.7</v>
      </c>
      <c r="H914">
        <v>-25</v>
      </c>
      <c r="I914">
        <v>0</v>
      </c>
      <c r="J914">
        <v>1</v>
      </c>
      <c r="K914" s="2">
        <v>45755</v>
      </c>
    </row>
    <row r="915" spans="1:11" x14ac:dyDescent="0.25">
      <c r="A915" s="1" t="s">
        <v>410</v>
      </c>
      <c r="B915" s="1"/>
      <c r="C915" s="1" t="s">
        <v>2997</v>
      </c>
      <c r="D915" s="1" t="s">
        <v>3437</v>
      </c>
      <c r="E915" s="1"/>
      <c r="F915">
        <v>0.5</v>
      </c>
      <c r="G915">
        <v>2.9</v>
      </c>
      <c r="H915">
        <v>-145</v>
      </c>
      <c r="I915">
        <v>0</v>
      </c>
      <c r="J915">
        <v>1</v>
      </c>
      <c r="K915" s="2">
        <v>45755</v>
      </c>
    </row>
    <row r="916" spans="1:11" x14ac:dyDescent="0.25">
      <c r="A916" s="1" t="s">
        <v>410</v>
      </c>
      <c r="B916" s="1"/>
      <c r="C916" s="1" t="s">
        <v>2867</v>
      </c>
      <c r="D916" s="1" t="s">
        <v>3437</v>
      </c>
      <c r="E916" s="1"/>
      <c r="F916">
        <v>0.3</v>
      </c>
      <c r="G916">
        <v>0.2</v>
      </c>
      <c r="H916">
        <v>5</v>
      </c>
      <c r="I916">
        <v>0</v>
      </c>
      <c r="J916">
        <v>1</v>
      </c>
      <c r="K916" s="2">
        <v>45755</v>
      </c>
    </row>
    <row r="917" spans="1:11" x14ac:dyDescent="0.25">
      <c r="A917" s="1" t="s">
        <v>410</v>
      </c>
      <c r="B917" s="1"/>
      <c r="C917" s="1" t="s">
        <v>2868</v>
      </c>
      <c r="D917" s="1" t="s">
        <v>3438</v>
      </c>
      <c r="E917" s="1"/>
      <c r="F917">
        <v>0.2</v>
      </c>
      <c r="G917">
        <v>2.8</v>
      </c>
      <c r="H917">
        <v>-160</v>
      </c>
      <c r="I917">
        <v>0</v>
      </c>
      <c r="J917">
        <v>1</v>
      </c>
      <c r="K917" s="2">
        <v>45756</v>
      </c>
    </row>
    <row r="918" spans="1:11" x14ac:dyDescent="0.25">
      <c r="A918" s="1" t="s">
        <v>410</v>
      </c>
      <c r="B918" s="1"/>
      <c r="C918" s="1" t="s">
        <v>2998</v>
      </c>
      <c r="D918" s="1" t="s">
        <v>3439</v>
      </c>
      <c r="E918" s="1"/>
      <c r="F918">
        <v>0</v>
      </c>
      <c r="G918">
        <v>0</v>
      </c>
      <c r="H918">
        <v>0</v>
      </c>
      <c r="I918">
        <v>0</v>
      </c>
      <c r="J918">
        <v>1</v>
      </c>
      <c r="K918" s="2">
        <v>45757</v>
      </c>
    </row>
    <row r="919" spans="1:11" x14ac:dyDescent="0.25">
      <c r="A919" s="1" t="s">
        <v>410</v>
      </c>
      <c r="B919" s="1"/>
      <c r="C919" s="1" t="s">
        <v>2999</v>
      </c>
      <c r="D919" s="1" t="s">
        <v>3440</v>
      </c>
      <c r="E919" s="1"/>
      <c r="F919">
        <v>0.5</v>
      </c>
      <c r="G919">
        <v>3.1</v>
      </c>
      <c r="H919">
        <v>-145</v>
      </c>
      <c r="I919">
        <v>0</v>
      </c>
      <c r="J919">
        <v>1</v>
      </c>
      <c r="K919" s="2">
        <v>45757</v>
      </c>
    </row>
    <row r="920" spans="1:11" x14ac:dyDescent="0.25">
      <c r="A920" s="1" t="s">
        <v>410</v>
      </c>
      <c r="B920" s="1"/>
      <c r="C920" s="1" t="s">
        <v>2873</v>
      </c>
      <c r="D920" s="1" t="s">
        <v>3441</v>
      </c>
      <c r="E920" s="1"/>
      <c r="F920">
        <v>0</v>
      </c>
      <c r="G920">
        <v>4.4000000000000004</v>
      </c>
      <c r="H920">
        <v>-270</v>
      </c>
      <c r="I920">
        <v>0</v>
      </c>
      <c r="J920">
        <v>1</v>
      </c>
      <c r="K920" s="2">
        <v>45757</v>
      </c>
    </row>
    <row r="921" spans="1:11" x14ac:dyDescent="0.25">
      <c r="A921" s="1" t="s">
        <v>410</v>
      </c>
      <c r="B921" s="1"/>
      <c r="C921" s="1" t="s">
        <v>3000</v>
      </c>
      <c r="D921" s="1" t="s">
        <v>3442</v>
      </c>
      <c r="E921" s="1"/>
      <c r="F921">
        <v>0.3</v>
      </c>
      <c r="G921">
        <v>1.9</v>
      </c>
      <c r="H921">
        <v>-105</v>
      </c>
      <c r="I921">
        <v>0</v>
      </c>
      <c r="J921">
        <v>1</v>
      </c>
      <c r="K921" s="2">
        <v>45758</v>
      </c>
    </row>
    <row r="922" spans="1:11" x14ac:dyDescent="0.25">
      <c r="A922" s="1" t="s">
        <v>410</v>
      </c>
      <c r="B922" s="1"/>
      <c r="C922" s="1" t="s">
        <v>3001</v>
      </c>
      <c r="D922" s="1" t="s">
        <v>3443</v>
      </c>
      <c r="E922" s="1"/>
      <c r="F922">
        <v>0.3</v>
      </c>
      <c r="G922">
        <v>1.2</v>
      </c>
      <c r="H922">
        <v>-55</v>
      </c>
      <c r="I922">
        <v>0</v>
      </c>
      <c r="J922">
        <v>1</v>
      </c>
      <c r="K922" s="2">
        <v>45758</v>
      </c>
    </row>
    <row r="923" spans="1:11" x14ac:dyDescent="0.25">
      <c r="A923" s="1" t="s">
        <v>410</v>
      </c>
      <c r="B923" s="1"/>
      <c r="C923" s="1" t="s">
        <v>3002</v>
      </c>
      <c r="D923" s="1" t="s">
        <v>3444</v>
      </c>
      <c r="E923" s="1"/>
      <c r="F923">
        <v>0</v>
      </c>
      <c r="G923">
        <v>0.2</v>
      </c>
      <c r="H923">
        <v>-10</v>
      </c>
      <c r="I923">
        <v>0</v>
      </c>
      <c r="J923">
        <v>1</v>
      </c>
      <c r="K923" s="2">
        <v>45758</v>
      </c>
    </row>
    <row r="924" spans="1:11" x14ac:dyDescent="0.25">
      <c r="A924" s="1" t="s">
        <v>410</v>
      </c>
      <c r="B924" s="1"/>
      <c r="C924" s="1" t="s">
        <v>3003</v>
      </c>
      <c r="D924" s="1" t="s">
        <v>3438</v>
      </c>
      <c r="E924" s="1"/>
      <c r="F924">
        <v>0.5</v>
      </c>
      <c r="G924">
        <v>0.7</v>
      </c>
      <c r="H924">
        <v>-10</v>
      </c>
      <c r="I924">
        <v>0</v>
      </c>
      <c r="J924">
        <v>1</v>
      </c>
      <c r="K924" s="2">
        <v>45759</v>
      </c>
    </row>
    <row r="925" spans="1:11" x14ac:dyDescent="0.25">
      <c r="A925" s="1" t="s">
        <v>410</v>
      </c>
      <c r="B925" s="1"/>
      <c r="C925" s="1" t="s">
        <v>3004</v>
      </c>
      <c r="D925" s="1" t="s">
        <v>3438</v>
      </c>
      <c r="E925" s="1"/>
      <c r="F925">
        <v>0.5</v>
      </c>
      <c r="G925">
        <v>0.2</v>
      </c>
      <c r="H925">
        <v>20</v>
      </c>
      <c r="I925">
        <v>0</v>
      </c>
      <c r="J925">
        <v>1</v>
      </c>
      <c r="K925" s="2">
        <v>45761</v>
      </c>
    </row>
    <row r="926" spans="1:11" x14ac:dyDescent="0.25">
      <c r="A926" s="1" t="s">
        <v>410</v>
      </c>
      <c r="B926" s="1"/>
      <c r="C926" s="1" t="s">
        <v>3005</v>
      </c>
      <c r="D926" s="1" t="s">
        <v>3438</v>
      </c>
      <c r="E926" s="1"/>
      <c r="F926">
        <v>1</v>
      </c>
      <c r="G926">
        <v>1.9</v>
      </c>
      <c r="H926">
        <v>-55</v>
      </c>
      <c r="I926">
        <v>0</v>
      </c>
      <c r="J926">
        <v>1</v>
      </c>
      <c r="K926" s="2">
        <v>45764</v>
      </c>
    </row>
    <row r="927" spans="1:11" x14ac:dyDescent="0.25">
      <c r="A927" s="1" t="s">
        <v>410</v>
      </c>
      <c r="B927" s="1"/>
      <c r="C927" s="1" t="s">
        <v>2864</v>
      </c>
      <c r="D927" s="1" t="s">
        <v>3445</v>
      </c>
      <c r="E927" s="1"/>
      <c r="F927">
        <v>0.5</v>
      </c>
      <c r="G927">
        <v>1.4</v>
      </c>
      <c r="H927">
        <v>-50</v>
      </c>
      <c r="I927">
        <v>0</v>
      </c>
      <c r="J927">
        <v>1</v>
      </c>
      <c r="K927" s="2">
        <v>45768</v>
      </c>
    </row>
    <row r="928" spans="1:11" x14ac:dyDescent="0.25">
      <c r="A928" s="1" t="s">
        <v>410</v>
      </c>
      <c r="B928" s="1"/>
      <c r="C928" s="1" t="s">
        <v>3006</v>
      </c>
      <c r="D928" s="1" t="s">
        <v>3444</v>
      </c>
      <c r="E928" s="1"/>
      <c r="F928">
        <v>0</v>
      </c>
      <c r="G928">
        <v>0.5</v>
      </c>
      <c r="H928">
        <v>-30</v>
      </c>
      <c r="I928">
        <v>0</v>
      </c>
      <c r="J928">
        <v>1</v>
      </c>
      <c r="K928" s="2">
        <v>45772</v>
      </c>
    </row>
    <row r="929" spans="1:11" x14ac:dyDescent="0.25">
      <c r="A929" s="1" t="s">
        <v>408</v>
      </c>
      <c r="B929" s="1"/>
      <c r="C929" s="1" t="s">
        <v>2808</v>
      </c>
      <c r="D929" s="1" t="s">
        <v>3370</v>
      </c>
      <c r="E929" s="1"/>
      <c r="F929">
        <v>0</v>
      </c>
      <c r="G929">
        <v>0</v>
      </c>
      <c r="H929">
        <v>0</v>
      </c>
      <c r="I929">
        <v>0</v>
      </c>
      <c r="J929">
        <v>1</v>
      </c>
      <c r="K929" s="2">
        <v>45765</v>
      </c>
    </row>
    <row r="930" spans="1:11" x14ac:dyDescent="0.25">
      <c r="A930" s="1" t="s">
        <v>408</v>
      </c>
      <c r="B930" s="1"/>
      <c r="C930" s="1" t="s">
        <v>2996</v>
      </c>
      <c r="D930" s="1" t="s">
        <v>3437</v>
      </c>
      <c r="E930" s="1"/>
      <c r="F930">
        <v>0.3</v>
      </c>
      <c r="G930">
        <v>0.3</v>
      </c>
      <c r="H930">
        <v>0</v>
      </c>
      <c r="I930">
        <v>0</v>
      </c>
      <c r="J930">
        <v>1</v>
      </c>
      <c r="K930" s="2">
        <v>45755</v>
      </c>
    </row>
    <row r="931" spans="1:11" x14ac:dyDescent="0.25">
      <c r="A931" s="1" t="s">
        <v>408</v>
      </c>
      <c r="B931" s="1"/>
      <c r="C931" s="1" t="s">
        <v>2997</v>
      </c>
      <c r="D931" s="1" t="s">
        <v>3437</v>
      </c>
      <c r="E931" s="1"/>
      <c r="F931">
        <v>0.5</v>
      </c>
      <c r="G931">
        <v>3.5</v>
      </c>
      <c r="H931">
        <v>-185</v>
      </c>
      <c r="I931">
        <v>0</v>
      </c>
      <c r="J931">
        <v>1</v>
      </c>
      <c r="K931" s="2">
        <v>45755</v>
      </c>
    </row>
    <row r="932" spans="1:11" x14ac:dyDescent="0.25">
      <c r="A932" s="1" t="s">
        <v>408</v>
      </c>
      <c r="B932" s="1"/>
      <c r="C932" s="1" t="s">
        <v>2867</v>
      </c>
      <c r="D932" s="1" t="s">
        <v>3437</v>
      </c>
      <c r="E932" s="1"/>
      <c r="F932">
        <v>0.3</v>
      </c>
      <c r="G932">
        <v>0.2</v>
      </c>
      <c r="H932">
        <v>5</v>
      </c>
      <c r="I932">
        <v>0</v>
      </c>
      <c r="J932">
        <v>1</v>
      </c>
      <c r="K932" s="2">
        <v>45755</v>
      </c>
    </row>
    <row r="933" spans="1:11" x14ac:dyDescent="0.25">
      <c r="A933" s="1" t="s">
        <v>408</v>
      </c>
      <c r="B933" s="1"/>
      <c r="C933" s="1" t="s">
        <v>2868</v>
      </c>
      <c r="D933" s="1" t="s">
        <v>3438</v>
      </c>
      <c r="E933" s="1"/>
      <c r="F933">
        <v>0.2</v>
      </c>
      <c r="G933">
        <v>2.8</v>
      </c>
      <c r="H933">
        <v>-160</v>
      </c>
      <c r="I933">
        <v>0</v>
      </c>
      <c r="J933">
        <v>1</v>
      </c>
      <c r="K933" s="2">
        <v>45756</v>
      </c>
    </row>
    <row r="934" spans="1:11" x14ac:dyDescent="0.25">
      <c r="A934" s="1" t="s">
        <v>408</v>
      </c>
      <c r="B934" s="1"/>
      <c r="C934" s="1" t="s">
        <v>2998</v>
      </c>
      <c r="D934" s="1" t="s">
        <v>3439</v>
      </c>
      <c r="E934" s="1"/>
      <c r="F934">
        <v>0</v>
      </c>
      <c r="G934">
        <v>0</v>
      </c>
      <c r="H934">
        <v>0</v>
      </c>
      <c r="I934">
        <v>0</v>
      </c>
      <c r="J934">
        <v>1</v>
      </c>
      <c r="K934" s="2">
        <v>45758</v>
      </c>
    </row>
    <row r="935" spans="1:11" x14ac:dyDescent="0.25">
      <c r="A935" s="1" t="s">
        <v>408</v>
      </c>
      <c r="B935" s="1"/>
      <c r="C935" s="1" t="s">
        <v>2999</v>
      </c>
      <c r="D935" s="1" t="s">
        <v>3440</v>
      </c>
      <c r="E935" s="1"/>
      <c r="F935">
        <v>0.5</v>
      </c>
      <c r="G935">
        <v>0.5</v>
      </c>
      <c r="H935">
        <v>5</v>
      </c>
      <c r="I935">
        <v>0</v>
      </c>
      <c r="J935">
        <v>1</v>
      </c>
      <c r="K935" s="2">
        <v>45758</v>
      </c>
    </row>
    <row r="936" spans="1:11" x14ac:dyDescent="0.25">
      <c r="A936" s="1" t="s">
        <v>408</v>
      </c>
      <c r="B936" s="1"/>
      <c r="C936" s="1" t="s">
        <v>2873</v>
      </c>
      <c r="D936" s="1" t="s">
        <v>3441</v>
      </c>
      <c r="E936" s="1"/>
      <c r="F936">
        <v>0</v>
      </c>
      <c r="G936">
        <v>9.1999999999999993</v>
      </c>
      <c r="H936">
        <v>-575</v>
      </c>
      <c r="I936">
        <v>0</v>
      </c>
      <c r="J936">
        <v>1</v>
      </c>
      <c r="K936" s="2">
        <v>45758</v>
      </c>
    </row>
    <row r="937" spans="1:11" x14ac:dyDescent="0.25">
      <c r="A937" s="1" t="s">
        <v>408</v>
      </c>
      <c r="B937" s="1"/>
      <c r="C937" s="1" t="s">
        <v>3000</v>
      </c>
      <c r="D937" s="1" t="s">
        <v>3442</v>
      </c>
      <c r="E937" s="1"/>
      <c r="F937">
        <v>0.3</v>
      </c>
      <c r="G937">
        <v>2.4</v>
      </c>
      <c r="H937">
        <v>-130</v>
      </c>
      <c r="I937">
        <v>0</v>
      </c>
      <c r="J937">
        <v>1</v>
      </c>
      <c r="K937" s="2">
        <v>45761</v>
      </c>
    </row>
    <row r="938" spans="1:11" x14ac:dyDescent="0.25">
      <c r="A938" s="1" t="s">
        <v>408</v>
      </c>
      <c r="B938" s="1"/>
      <c r="C938" s="1" t="s">
        <v>3001</v>
      </c>
      <c r="D938" s="1" t="s">
        <v>3443</v>
      </c>
      <c r="E938" s="1"/>
      <c r="F938">
        <v>0.3</v>
      </c>
      <c r="G938">
        <v>1.9</v>
      </c>
      <c r="H938">
        <v>-100</v>
      </c>
      <c r="I938">
        <v>0</v>
      </c>
      <c r="J938">
        <v>1</v>
      </c>
      <c r="K938" s="2">
        <v>45761</v>
      </c>
    </row>
    <row r="939" spans="1:11" x14ac:dyDescent="0.25">
      <c r="A939" s="1" t="s">
        <v>408</v>
      </c>
      <c r="B939" s="1"/>
      <c r="C939" s="1" t="s">
        <v>3002</v>
      </c>
      <c r="D939" s="1" t="s">
        <v>3444</v>
      </c>
      <c r="E939" s="1"/>
      <c r="F939">
        <v>0</v>
      </c>
      <c r="G939">
        <v>0.1</v>
      </c>
      <c r="H939">
        <v>-5</v>
      </c>
      <c r="I939">
        <v>0</v>
      </c>
      <c r="J939">
        <v>1</v>
      </c>
      <c r="K939" s="2">
        <v>45762</v>
      </c>
    </row>
    <row r="940" spans="1:11" x14ac:dyDescent="0.25">
      <c r="A940" s="1" t="s">
        <v>408</v>
      </c>
      <c r="B940" s="1"/>
      <c r="C940" s="1" t="s">
        <v>3003</v>
      </c>
      <c r="D940" s="1" t="s">
        <v>3438</v>
      </c>
      <c r="E940" s="1"/>
      <c r="F940">
        <v>0.5</v>
      </c>
      <c r="G940">
        <v>0.9</v>
      </c>
      <c r="H940">
        <v>-20</v>
      </c>
      <c r="I940">
        <v>0</v>
      </c>
      <c r="J940">
        <v>1</v>
      </c>
      <c r="K940" s="2">
        <v>45762</v>
      </c>
    </row>
    <row r="941" spans="1:11" x14ac:dyDescent="0.25">
      <c r="A941" s="1" t="s">
        <v>408</v>
      </c>
      <c r="B941" s="1"/>
      <c r="C941" s="1" t="s">
        <v>3004</v>
      </c>
      <c r="D941" s="1" t="s">
        <v>3438</v>
      </c>
      <c r="E941" s="1"/>
      <c r="F941">
        <v>0.5</v>
      </c>
      <c r="G941">
        <v>0.2</v>
      </c>
      <c r="H941">
        <v>20</v>
      </c>
      <c r="I941">
        <v>0</v>
      </c>
      <c r="J941">
        <v>1</v>
      </c>
      <c r="K941" s="2">
        <v>45762</v>
      </c>
    </row>
    <row r="942" spans="1:11" x14ac:dyDescent="0.25">
      <c r="A942" s="1" t="s">
        <v>408</v>
      </c>
      <c r="B942" s="1"/>
      <c r="C942" s="1" t="s">
        <v>3005</v>
      </c>
      <c r="D942" s="1" t="s">
        <v>3438</v>
      </c>
      <c r="E942" s="1"/>
      <c r="F942">
        <v>1</v>
      </c>
      <c r="G942">
        <v>3.5</v>
      </c>
      <c r="H942">
        <v>-155</v>
      </c>
      <c r="I942">
        <v>0</v>
      </c>
      <c r="J942">
        <v>1</v>
      </c>
      <c r="K942" s="2">
        <v>45776</v>
      </c>
    </row>
    <row r="943" spans="1:11" x14ac:dyDescent="0.25">
      <c r="A943" s="1" t="s">
        <v>408</v>
      </c>
      <c r="B943" s="1"/>
      <c r="C943" s="1" t="s">
        <v>2864</v>
      </c>
      <c r="D943" s="1" t="s">
        <v>3445</v>
      </c>
      <c r="E943" s="1"/>
      <c r="F943">
        <v>0.5</v>
      </c>
      <c r="G943">
        <v>5.8</v>
      </c>
      <c r="H943">
        <v>-325</v>
      </c>
      <c r="I943">
        <v>0</v>
      </c>
      <c r="J943">
        <v>1</v>
      </c>
      <c r="K943" s="2">
        <v>45782</v>
      </c>
    </row>
    <row r="944" spans="1:11" x14ac:dyDescent="0.25">
      <c r="A944" s="1" t="s">
        <v>408</v>
      </c>
      <c r="B944" s="1"/>
      <c r="C944" s="1" t="s">
        <v>3006</v>
      </c>
      <c r="D944" s="1" t="s">
        <v>3444</v>
      </c>
      <c r="E944" s="1"/>
      <c r="F944">
        <v>0</v>
      </c>
      <c r="G944">
        <v>0.8</v>
      </c>
      <c r="H944">
        <v>-45</v>
      </c>
      <c r="I944">
        <v>0</v>
      </c>
      <c r="J944">
        <v>1</v>
      </c>
      <c r="K944" s="2">
        <v>45787</v>
      </c>
    </row>
    <row r="945" spans="1:11" x14ac:dyDescent="0.25">
      <c r="A945" s="1" t="s">
        <v>652</v>
      </c>
      <c r="B945" s="1"/>
      <c r="C945" s="1" t="s">
        <v>2808</v>
      </c>
      <c r="D945" s="1" t="s">
        <v>3370</v>
      </c>
      <c r="E945" s="1"/>
      <c r="F945">
        <v>0</v>
      </c>
      <c r="G945">
        <v>0</v>
      </c>
      <c r="H945">
        <v>0</v>
      </c>
      <c r="I945">
        <v>0</v>
      </c>
      <c r="J945">
        <v>1</v>
      </c>
      <c r="K945" s="2">
        <v>45773</v>
      </c>
    </row>
    <row r="946" spans="1:11" x14ac:dyDescent="0.25">
      <c r="A946" s="1" t="s">
        <v>652</v>
      </c>
      <c r="B946" s="1"/>
      <c r="C946" s="1" t="s">
        <v>2996</v>
      </c>
      <c r="D946" s="1" t="s">
        <v>3437</v>
      </c>
      <c r="E946" s="1"/>
      <c r="F946">
        <v>0.3</v>
      </c>
      <c r="G946">
        <v>0</v>
      </c>
      <c r="H946">
        <v>20</v>
      </c>
      <c r="I946">
        <v>0</v>
      </c>
      <c r="J946">
        <v>1</v>
      </c>
      <c r="K946" s="2">
        <v>45764</v>
      </c>
    </row>
    <row r="947" spans="1:11" x14ac:dyDescent="0.25">
      <c r="A947" s="1" t="s">
        <v>652</v>
      </c>
      <c r="B947" s="1"/>
      <c r="C947" s="1" t="s">
        <v>2997</v>
      </c>
      <c r="D947" s="1" t="s">
        <v>3437</v>
      </c>
      <c r="E947" s="1"/>
      <c r="F947">
        <v>0.5</v>
      </c>
      <c r="G947">
        <v>3</v>
      </c>
      <c r="H947">
        <v>-155</v>
      </c>
      <c r="I947">
        <v>0</v>
      </c>
      <c r="J947">
        <v>1</v>
      </c>
      <c r="K947" s="2">
        <v>45764</v>
      </c>
    </row>
    <row r="948" spans="1:11" x14ac:dyDescent="0.25">
      <c r="A948" s="1" t="s">
        <v>652</v>
      </c>
      <c r="B948" s="1"/>
      <c r="C948" s="1" t="s">
        <v>2867</v>
      </c>
      <c r="D948" s="1" t="s">
        <v>3437</v>
      </c>
      <c r="E948" s="1"/>
      <c r="F948">
        <v>0.3</v>
      </c>
      <c r="G948">
        <v>0.2</v>
      </c>
      <c r="H948">
        <v>10</v>
      </c>
      <c r="I948">
        <v>0</v>
      </c>
      <c r="J948">
        <v>1</v>
      </c>
      <c r="K948" s="2">
        <v>45764</v>
      </c>
    </row>
    <row r="949" spans="1:11" x14ac:dyDescent="0.25">
      <c r="A949" s="1" t="s">
        <v>652</v>
      </c>
      <c r="B949" s="1"/>
      <c r="C949" s="1" t="s">
        <v>2868</v>
      </c>
      <c r="D949" s="1" t="s">
        <v>3438</v>
      </c>
      <c r="E949" s="1"/>
      <c r="F949">
        <v>0.2</v>
      </c>
      <c r="G949">
        <v>2.7</v>
      </c>
      <c r="H949">
        <v>-155</v>
      </c>
      <c r="I949">
        <v>0</v>
      </c>
      <c r="J949">
        <v>1</v>
      </c>
      <c r="K949" s="2">
        <v>45764</v>
      </c>
    </row>
    <row r="950" spans="1:11" x14ac:dyDescent="0.25">
      <c r="A950" s="1" t="s">
        <v>652</v>
      </c>
      <c r="B950" s="1"/>
      <c r="C950" s="1" t="s">
        <v>2998</v>
      </c>
      <c r="D950" s="1" t="s">
        <v>3439</v>
      </c>
      <c r="E950" s="1"/>
      <c r="F950">
        <v>0</v>
      </c>
      <c r="G950">
        <v>0</v>
      </c>
      <c r="H950">
        <v>0</v>
      </c>
      <c r="I950">
        <v>0</v>
      </c>
      <c r="J950">
        <v>1</v>
      </c>
      <c r="K950" s="2">
        <v>45768</v>
      </c>
    </row>
    <row r="951" spans="1:11" x14ac:dyDescent="0.25">
      <c r="A951" s="1" t="s">
        <v>652</v>
      </c>
      <c r="B951" s="1"/>
      <c r="C951" s="1" t="s">
        <v>2999</v>
      </c>
      <c r="D951" s="1" t="s">
        <v>3440</v>
      </c>
      <c r="E951" s="1"/>
      <c r="F951">
        <v>0.5</v>
      </c>
      <c r="G951">
        <v>1.2</v>
      </c>
      <c r="H951">
        <v>-35</v>
      </c>
      <c r="I951">
        <v>0</v>
      </c>
      <c r="J951">
        <v>1</v>
      </c>
      <c r="K951" s="2">
        <v>45768</v>
      </c>
    </row>
    <row r="952" spans="1:11" x14ac:dyDescent="0.25">
      <c r="A952" s="1" t="s">
        <v>652</v>
      </c>
      <c r="B952" s="1"/>
      <c r="C952" s="1" t="s">
        <v>2873</v>
      </c>
      <c r="D952" s="1" t="s">
        <v>3441</v>
      </c>
      <c r="E952" s="1"/>
      <c r="F952">
        <v>0</v>
      </c>
      <c r="G952">
        <v>4.3</v>
      </c>
      <c r="H952">
        <v>-265</v>
      </c>
      <c r="I952">
        <v>0</v>
      </c>
      <c r="J952">
        <v>1</v>
      </c>
      <c r="K952" s="2">
        <v>45768</v>
      </c>
    </row>
    <row r="953" spans="1:11" x14ac:dyDescent="0.25">
      <c r="A953" s="1" t="s">
        <v>652</v>
      </c>
      <c r="B953" s="1"/>
      <c r="C953" s="1" t="s">
        <v>3000</v>
      </c>
      <c r="D953" s="1" t="s">
        <v>3442</v>
      </c>
      <c r="E953" s="1"/>
      <c r="F953">
        <v>0.3</v>
      </c>
      <c r="G953">
        <v>3.1</v>
      </c>
      <c r="H953">
        <v>-175</v>
      </c>
      <c r="I953">
        <v>0</v>
      </c>
      <c r="J953">
        <v>1</v>
      </c>
      <c r="K953" s="2">
        <v>45769</v>
      </c>
    </row>
    <row r="954" spans="1:11" x14ac:dyDescent="0.25">
      <c r="A954" s="1" t="s">
        <v>652</v>
      </c>
      <c r="B954" s="1"/>
      <c r="C954" s="1" t="s">
        <v>3001</v>
      </c>
      <c r="D954" s="1" t="s">
        <v>3443</v>
      </c>
      <c r="E954" s="1"/>
      <c r="F954">
        <v>0.3</v>
      </c>
      <c r="G954">
        <v>1.6</v>
      </c>
      <c r="H954">
        <v>-80</v>
      </c>
      <c r="I954">
        <v>0</v>
      </c>
      <c r="J954">
        <v>1</v>
      </c>
      <c r="K954" s="2">
        <v>45769</v>
      </c>
    </row>
    <row r="955" spans="1:11" x14ac:dyDescent="0.25">
      <c r="A955" s="1" t="s">
        <v>652</v>
      </c>
      <c r="B955" s="1"/>
      <c r="C955" s="1" t="s">
        <v>3002</v>
      </c>
      <c r="D955" s="1" t="s">
        <v>3444</v>
      </c>
      <c r="E955" s="1"/>
      <c r="F955">
        <v>0</v>
      </c>
      <c r="G955">
        <v>0</v>
      </c>
      <c r="H955">
        <v>0</v>
      </c>
      <c r="I955">
        <v>0</v>
      </c>
      <c r="J955">
        <v>1</v>
      </c>
      <c r="K955" s="2">
        <v>45770</v>
      </c>
    </row>
    <row r="956" spans="1:11" x14ac:dyDescent="0.25">
      <c r="A956" s="1" t="s">
        <v>652</v>
      </c>
      <c r="B956" s="1"/>
      <c r="C956" s="1" t="s">
        <v>3003</v>
      </c>
      <c r="D956" s="1" t="s">
        <v>3438</v>
      </c>
      <c r="E956" s="1"/>
      <c r="F956">
        <v>0.5</v>
      </c>
      <c r="G956">
        <v>1.6</v>
      </c>
      <c r="H956">
        <v>-70</v>
      </c>
      <c r="I956">
        <v>0</v>
      </c>
      <c r="J956">
        <v>1</v>
      </c>
      <c r="K956" s="2">
        <v>45770</v>
      </c>
    </row>
    <row r="957" spans="1:11" x14ac:dyDescent="0.25">
      <c r="A957" s="1" t="s">
        <v>652</v>
      </c>
      <c r="B957" s="1"/>
      <c r="C957" s="1" t="s">
        <v>3004</v>
      </c>
      <c r="D957" s="1" t="s">
        <v>3438</v>
      </c>
      <c r="E957" s="1"/>
      <c r="F957">
        <v>0.5</v>
      </c>
      <c r="G957">
        <v>2.7</v>
      </c>
      <c r="H957">
        <v>-130</v>
      </c>
      <c r="I957">
        <v>0</v>
      </c>
      <c r="J957">
        <v>1</v>
      </c>
      <c r="K957" s="2">
        <v>45772</v>
      </c>
    </row>
    <row r="958" spans="1:11" x14ac:dyDescent="0.25">
      <c r="A958" s="1" t="s">
        <v>652</v>
      </c>
      <c r="B958" s="1"/>
      <c r="C958" s="1" t="s">
        <v>3005</v>
      </c>
      <c r="D958" s="1" t="s">
        <v>3438</v>
      </c>
      <c r="E958" s="1"/>
      <c r="F958">
        <v>1</v>
      </c>
      <c r="G958">
        <v>4</v>
      </c>
      <c r="H958">
        <v>-180</v>
      </c>
      <c r="I958">
        <v>0</v>
      </c>
      <c r="J958">
        <v>1</v>
      </c>
      <c r="K958" s="2">
        <v>45776</v>
      </c>
    </row>
    <row r="959" spans="1:11" x14ac:dyDescent="0.25">
      <c r="A959" s="1" t="s">
        <v>652</v>
      </c>
      <c r="B959" s="1"/>
      <c r="C959" s="1" t="s">
        <v>2864</v>
      </c>
      <c r="D959" s="1" t="s">
        <v>3445</v>
      </c>
      <c r="E959" s="1"/>
      <c r="F959">
        <v>0.5</v>
      </c>
      <c r="G959">
        <v>1.2</v>
      </c>
      <c r="H959">
        <v>-40</v>
      </c>
      <c r="I959">
        <v>0</v>
      </c>
      <c r="J959">
        <v>1</v>
      </c>
      <c r="K959" s="2">
        <v>45775</v>
      </c>
    </row>
    <row r="960" spans="1:11" x14ac:dyDescent="0.25">
      <c r="A960" s="1" t="s">
        <v>652</v>
      </c>
      <c r="B960" s="1"/>
      <c r="C960" s="1" t="s">
        <v>3006</v>
      </c>
      <c r="D960" s="1" t="s">
        <v>3444</v>
      </c>
      <c r="E960" s="1"/>
      <c r="F960">
        <v>0</v>
      </c>
      <c r="G960">
        <v>0.5</v>
      </c>
      <c r="H960">
        <v>-30</v>
      </c>
      <c r="I960">
        <v>0</v>
      </c>
      <c r="J960">
        <v>1</v>
      </c>
      <c r="K960" s="2">
        <v>45780</v>
      </c>
    </row>
    <row r="961" spans="1:11" x14ac:dyDescent="0.25">
      <c r="A961" s="1" t="s">
        <v>655</v>
      </c>
      <c r="B961" s="1"/>
      <c r="C961" s="1" t="s">
        <v>2808</v>
      </c>
      <c r="D961" s="1" t="s">
        <v>3370</v>
      </c>
      <c r="E961" s="1"/>
      <c r="F961">
        <v>0</v>
      </c>
      <c r="G961">
        <v>0</v>
      </c>
      <c r="H961">
        <v>0</v>
      </c>
      <c r="I961">
        <v>0</v>
      </c>
      <c r="J961">
        <v>1</v>
      </c>
      <c r="K961" s="2">
        <v>45778</v>
      </c>
    </row>
    <row r="962" spans="1:11" x14ac:dyDescent="0.25">
      <c r="A962" s="1" t="s">
        <v>655</v>
      </c>
      <c r="B962" s="1"/>
      <c r="C962" s="1" t="s">
        <v>2996</v>
      </c>
      <c r="D962" s="1" t="s">
        <v>3437</v>
      </c>
      <c r="E962" s="1"/>
      <c r="F962">
        <v>0.3</v>
      </c>
      <c r="G962">
        <v>0</v>
      </c>
      <c r="H962">
        <v>20</v>
      </c>
      <c r="I962">
        <v>0</v>
      </c>
      <c r="J962">
        <v>1</v>
      </c>
      <c r="K962" s="2">
        <v>45768</v>
      </c>
    </row>
    <row r="963" spans="1:11" x14ac:dyDescent="0.25">
      <c r="A963" s="1" t="s">
        <v>655</v>
      </c>
      <c r="B963" s="1"/>
      <c r="C963" s="1" t="s">
        <v>2997</v>
      </c>
      <c r="D963" s="1" t="s">
        <v>3437</v>
      </c>
      <c r="E963" s="1"/>
      <c r="F963">
        <v>0.5</v>
      </c>
      <c r="G963">
        <v>2.2000000000000002</v>
      </c>
      <c r="H963">
        <v>-105</v>
      </c>
      <c r="I963">
        <v>0</v>
      </c>
      <c r="J963">
        <v>1</v>
      </c>
      <c r="K963" s="2">
        <v>45768</v>
      </c>
    </row>
    <row r="964" spans="1:11" x14ac:dyDescent="0.25">
      <c r="A964" s="1" t="s">
        <v>655</v>
      </c>
      <c r="B964" s="1"/>
      <c r="C964" s="1" t="s">
        <v>2867</v>
      </c>
      <c r="D964" s="1" t="s">
        <v>3437</v>
      </c>
      <c r="E964" s="1"/>
      <c r="F964">
        <v>0.3</v>
      </c>
      <c r="G964">
        <v>0.4</v>
      </c>
      <c r="H964">
        <v>-5</v>
      </c>
      <c r="I964">
        <v>0</v>
      </c>
      <c r="J964">
        <v>1</v>
      </c>
      <c r="K964" s="2">
        <v>45768</v>
      </c>
    </row>
    <row r="965" spans="1:11" x14ac:dyDescent="0.25">
      <c r="A965" s="1" t="s">
        <v>655</v>
      </c>
      <c r="B965" s="1"/>
      <c r="C965" s="1" t="s">
        <v>2868</v>
      </c>
      <c r="D965" s="1" t="s">
        <v>3438</v>
      </c>
      <c r="E965" s="1"/>
      <c r="F965">
        <v>0.2</v>
      </c>
      <c r="G965">
        <v>2</v>
      </c>
      <c r="H965">
        <v>-110</v>
      </c>
      <c r="I965">
        <v>0</v>
      </c>
      <c r="J965">
        <v>1</v>
      </c>
      <c r="K965" s="2">
        <v>45768</v>
      </c>
    </row>
    <row r="966" spans="1:11" x14ac:dyDescent="0.25">
      <c r="A966" s="1" t="s">
        <v>655</v>
      </c>
      <c r="B966" s="1"/>
      <c r="C966" s="1" t="s">
        <v>2998</v>
      </c>
      <c r="D966" s="1" t="s">
        <v>3439</v>
      </c>
      <c r="E966" s="1"/>
      <c r="F966">
        <v>0</v>
      </c>
      <c r="G966">
        <v>0</v>
      </c>
      <c r="H966">
        <v>0</v>
      </c>
      <c r="I966">
        <v>0</v>
      </c>
      <c r="J966">
        <v>1</v>
      </c>
      <c r="K966" s="2">
        <v>45771</v>
      </c>
    </row>
    <row r="967" spans="1:11" x14ac:dyDescent="0.25">
      <c r="A967" s="1" t="s">
        <v>655</v>
      </c>
      <c r="B967" s="1"/>
      <c r="C967" s="1" t="s">
        <v>2999</v>
      </c>
      <c r="D967" s="1" t="s">
        <v>3440</v>
      </c>
      <c r="E967" s="1"/>
      <c r="F967">
        <v>0.5</v>
      </c>
      <c r="G967">
        <v>3.2</v>
      </c>
      <c r="H967">
        <v>-155</v>
      </c>
      <c r="I967">
        <v>0</v>
      </c>
      <c r="J967">
        <v>1</v>
      </c>
      <c r="K967" s="2">
        <v>45771</v>
      </c>
    </row>
    <row r="968" spans="1:11" x14ac:dyDescent="0.25">
      <c r="A968" s="1" t="s">
        <v>655</v>
      </c>
      <c r="B968" s="1"/>
      <c r="C968" s="1" t="s">
        <v>2873</v>
      </c>
      <c r="D968" s="1" t="s">
        <v>3441</v>
      </c>
      <c r="E968" s="1"/>
      <c r="F968">
        <v>0</v>
      </c>
      <c r="G968">
        <v>3.1</v>
      </c>
      <c r="H968">
        <v>-190</v>
      </c>
      <c r="I968">
        <v>0</v>
      </c>
      <c r="J968">
        <v>1</v>
      </c>
      <c r="K968" s="2">
        <v>45771</v>
      </c>
    </row>
    <row r="969" spans="1:11" x14ac:dyDescent="0.25">
      <c r="A969" s="1" t="s">
        <v>655</v>
      </c>
      <c r="B969" s="1"/>
      <c r="C969" s="1" t="s">
        <v>3000</v>
      </c>
      <c r="D969" s="1" t="s">
        <v>3442</v>
      </c>
      <c r="E969" s="1"/>
      <c r="F969">
        <v>0.3</v>
      </c>
      <c r="G969">
        <v>1.4</v>
      </c>
      <c r="H969">
        <v>-65</v>
      </c>
      <c r="I969">
        <v>0</v>
      </c>
      <c r="J969">
        <v>1</v>
      </c>
      <c r="K969" s="2">
        <v>45772</v>
      </c>
    </row>
    <row r="970" spans="1:11" x14ac:dyDescent="0.25">
      <c r="A970" s="1" t="s">
        <v>655</v>
      </c>
      <c r="B970" s="1"/>
      <c r="C970" s="1" t="s">
        <v>3001</v>
      </c>
      <c r="D970" s="1" t="s">
        <v>3443</v>
      </c>
      <c r="E970" s="1"/>
      <c r="F970">
        <v>0.3</v>
      </c>
      <c r="G970">
        <v>0.2</v>
      </c>
      <c r="H970">
        <v>5</v>
      </c>
      <c r="I970">
        <v>0</v>
      </c>
      <c r="J970">
        <v>1</v>
      </c>
      <c r="K970" s="2">
        <v>45772</v>
      </c>
    </row>
    <row r="971" spans="1:11" x14ac:dyDescent="0.25">
      <c r="A971" s="1" t="s">
        <v>655</v>
      </c>
      <c r="B971" s="1"/>
      <c r="C971" s="1" t="s">
        <v>3002</v>
      </c>
      <c r="D971" s="1" t="s">
        <v>3444</v>
      </c>
      <c r="E971" s="1"/>
      <c r="F971">
        <v>0</v>
      </c>
      <c r="G971">
        <v>0</v>
      </c>
      <c r="H971">
        <v>0</v>
      </c>
      <c r="I971">
        <v>0</v>
      </c>
      <c r="J971">
        <v>1</v>
      </c>
      <c r="K971" s="2">
        <v>45775</v>
      </c>
    </row>
    <row r="972" spans="1:11" x14ac:dyDescent="0.25">
      <c r="A972" s="1" t="s">
        <v>655</v>
      </c>
      <c r="B972" s="1"/>
      <c r="C972" s="1" t="s">
        <v>3003</v>
      </c>
      <c r="D972" s="1" t="s">
        <v>3438</v>
      </c>
      <c r="E972" s="1"/>
      <c r="F972">
        <v>0.5</v>
      </c>
      <c r="G972">
        <v>0.8</v>
      </c>
      <c r="H972">
        <v>-20</v>
      </c>
      <c r="I972">
        <v>0</v>
      </c>
      <c r="J972">
        <v>1</v>
      </c>
      <c r="K972" s="2">
        <v>45773</v>
      </c>
    </row>
    <row r="973" spans="1:11" x14ac:dyDescent="0.25">
      <c r="A973" s="1" t="s">
        <v>655</v>
      </c>
      <c r="B973" s="1"/>
      <c r="C973" s="1" t="s">
        <v>3004</v>
      </c>
      <c r="D973" s="1" t="s">
        <v>3438</v>
      </c>
      <c r="E973" s="1"/>
      <c r="F973">
        <v>0.5</v>
      </c>
      <c r="G973">
        <v>0.6</v>
      </c>
      <c r="H973">
        <v>-5</v>
      </c>
      <c r="I973">
        <v>0</v>
      </c>
      <c r="J973">
        <v>1</v>
      </c>
      <c r="K973" s="2">
        <v>45775</v>
      </c>
    </row>
    <row r="974" spans="1:11" x14ac:dyDescent="0.25">
      <c r="A974" s="1" t="s">
        <v>655</v>
      </c>
      <c r="B974" s="1"/>
      <c r="C974" s="1" t="s">
        <v>3005</v>
      </c>
      <c r="D974" s="1" t="s">
        <v>3438</v>
      </c>
      <c r="E974" s="1"/>
      <c r="F974">
        <v>1</v>
      </c>
      <c r="G974">
        <v>1.8</v>
      </c>
      <c r="H974">
        <v>-50</v>
      </c>
      <c r="I974">
        <v>0</v>
      </c>
      <c r="J974">
        <v>1</v>
      </c>
      <c r="K974" s="2">
        <v>45777</v>
      </c>
    </row>
    <row r="975" spans="1:11" x14ac:dyDescent="0.25">
      <c r="A975" s="1" t="s">
        <v>655</v>
      </c>
      <c r="B975" s="1"/>
      <c r="C975" s="1" t="s">
        <v>2864</v>
      </c>
      <c r="D975" s="1" t="s">
        <v>3445</v>
      </c>
      <c r="E975" s="1"/>
      <c r="F975">
        <v>0.5</v>
      </c>
      <c r="G975">
        <v>5.7</v>
      </c>
      <c r="H975">
        <v>-320</v>
      </c>
      <c r="I975">
        <v>0</v>
      </c>
      <c r="J975">
        <v>1</v>
      </c>
      <c r="K975" s="2">
        <v>45783</v>
      </c>
    </row>
    <row r="976" spans="1:11" x14ac:dyDescent="0.25">
      <c r="A976" s="1" t="s">
        <v>655</v>
      </c>
      <c r="B976" s="1"/>
      <c r="C976" s="1" t="s">
        <v>3006</v>
      </c>
      <c r="D976" s="1" t="s">
        <v>3444</v>
      </c>
      <c r="E976" s="1"/>
      <c r="F976">
        <v>0</v>
      </c>
      <c r="G976">
        <v>0.4</v>
      </c>
      <c r="H976">
        <v>-20</v>
      </c>
      <c r="I976">
        <v>0</v>
      </c>
      <c r="J976">
        <v>2</v>
      </c>
      <c r="K976" s="2">
        <v>45784</v>
      </c>
    </row>
    <row r="977" spans="1:11" x14ac:dyDescent="0.25">
      <c r="A977" s="1" t="s">
        <v>411</v>
      </c>
      <c r="B977" s="1"/>
      <c r="C977" s="1" t="s">
        <v>2996</v>
      </c>
      <c r="D977" s="1" t="s">
        <v>3437</v>
      </c>
      <c r="E977" s="1"/>
      <c r="F977">
        <v>0.3</v>
      </c>
      <c r="G977">
        <v>0.3</v>
      </c>
      <c r="H977">
        <v>5</v>
      </c>
      <c r="I977">
        <v>0</v>
      </c>
      <c r="J977">
        <v>1</v>
      </c>
      <c r="K977" s="2">
        <v>45757</v>
      </c>
    </row>
    <row r="978" spans="1:11" x14ac:dyDescent="0.25">
      <c r="A978" s="1" t="s">
        <v>411</v>
      </c>
      <c r="B978" s="1"/>
      <c r="C978" s="1" t="s">
        <v>3007</v>
      </c>
      <c r="D978" s="1" t="s">
        <v>3446</v>
      </c>
      <c r="E978" s="1"/>
      <c r="F978">
        <v>0</v>
      </c>
      <c r="G978">
        <v>5</v>
      </c>
      <c r="H978">
        <v>-305</v>
      </c>
      <c r="I978">
        <v>0</v>
      </c>
      <c r="J978">
        <v>1</v>
      </c>
      <c r="K978" s="2">
        <v>45764</v>
      </c>
    </row>
    <row r="979" spans="1:11" x14ac:dyDescent="0.25">
      <c r="A979" s="1" t="s">
        <v>411</v>
      </c>
      <c r="B979" s="1"/>
      <c r="C979" s="1" t="s">
        <v>2997</v>
      </c>
      <c r="D979" s="1" t="s">
        <v>3437</v>
      </c>
      <c r="E979" s="1"/>
      <c r="F979">
        <v>0.5</v>
      </c>
      <c r="G979">
        <v>8.1999999999999993</v>
      </c>
      <c r="H979">
        <v>-480</v>
      </c>
      <c r="I979">
        <v>0</v>
      </c>
      <c r="J979">
        <v>1</v>
      </c>
      <c r="K979" s="2">
        <v>45778</v>
      </c>
    </row>
    <row r="980" spans="1:11" x14ac:dyDescent="0.25">
      <c r="A980" s="1" t="s">
        <v>411</v>
      </c>
      <c r="B980" s="1"/>
      <c r="C980" s="1" t="s">
        <v>2867</v>
      </c>
      <c r="D980" s="1" t="s">
        <v>3437</v>
      </c>
      <c r="E980" s="1"/>
      <c r="F980">
        <v>0.3</v>
      </c>
      <c r="G980">
        <v>1.2</v>
      </c>
      <c r="H980">
        <v>-55</v>
      </c>
      <c r="I980">
        <v>0</v>
      </c>
      <c r="J980">
        <v>1</v>
      </c>
      <c r="K980" s="2">
        <v>45778</v>
      </c>
    </row>
    <row r="981" spans="1:11" x14ac:dyDescent="0.25">
      <c r="A981" s="1" t="s">
        <v>411</v>
      </c>
      <c r="B981" s="1"/>
      <c r="C981" s="1" t="s">
        <v>2868</v>
      </c>
      <c r="D981" s="1" t="s">
        <v>3438</v>
      </c>
      <c r="E981" s="1"/>
      <c r="F981">
        <v>0.2</v>
      </c>
      <c r="G981">
        <v>9.3000000000000007</v>
      </c>
      <c r="H981">
        <v>-570</v>
      </c>
      <c r="I981">
        <v>0</v>
      </c>
      <c r="J981">
        <v>1</v>
      </c>
      <c r="K981" s="2">
        <v>45779</v>
      </c>
    </row>
    <row r="982" spans="1:11" x14ac:dyDescent="0.25">
      <c r="A982" s="1" t="s">
        <v>411</v>
      </c>
      <c r="B982" s="1"/>
      <c r="C982" s="1" t="s">
        <v>2998</v>
      </c>
      <c r="D982" s="1" t="s">
        <v>3439</v>
      </c>
      <c r="E982" s="1"/>
      <c r="F982">
        <v>0</v>
      </c>
      <c r="G982">
        <v>0</v>
      </c>
      <c r="H982">
        <v>0</v>
      </c>
      <c r="I982">
        <v>0</v>
      </c>
      <c r="J982">
        <v>1</v>
      </c>
      <c r="K982" s="2">
        <v>45778</v>
      </c>
    </row>
    <row r="983" spans="1:11" x14ac:dyDescent="0.25">
      <c r="A983" s="1" t="s">
        <v>411</v>
      </c>
      <c r="B983" s="1"/>
      <c r="C983" s="1" t="s">
        <v>2999</v>
      </c>
      <c r="D983" s="1" t="s">
        <v>3440</v>
      </c>
      <c r="E983" s="1"/>
      <c r="F983">
        <v>0.5</v>
      </c>
      <c r="G983">
        <v>4.4000000000000004</v>
      </c>
      <c r="H983">
        <v>-225</v>
      </c>
      <c r="I983">
        <v>0</v>
      </c>
      <c r="J983">
        <v>1</v>
      </c>
      <c r="K983" s="2">
        <v>45782</v>
      </c>
    </row>
    <row r="984" spans="1:11" x14ac:dyDescent="0.25">
      <c r="A984" s="1" t="s">
        <v>411</v>
      </c>
      <c r="B984" s="1"/>
      <c r="C984" s="1" t="s">
        <v>2873</v>
      </c>
      <c r="D984" s="1" t="s">
        <v>3441</v>
      </c>
      <c r="E984" s="1"/>
      <c r="F984">
        <v>0</v>
      </c>
      <c r="G984">
        <v>9.1999999999999993</v>
      </c>
      <c r="H984">
        <v>-570</v>
      </c>
      <c r="I984">
        <v>0</v>
      </c>
      <c r="J984">
        <v>1</v>
      </c>
      <c r="K984" s="2">
        <v>45782</v>
      </c>
    </row>
    <row r="985" spans="1:11" x14ac:dyDescent="0.25">
      <c r="A985" s="1" t="s">
        <v>411</v>
      </c>
      <c r="B985" s="1"/>
      <c r="C985" s="1" t="s">
        <v>3000</v>
      </c>
      <c r="D985" s="1" t="s">
        <v>3442</v>
      </c>
      <c r="E985" s="1"/>
      <c r="F985">
        <v>0.3</v>
      </c>
      <c r="G985">
        <v>4.2</v>
      </c>
      <c r="H985">
        <v>-245</v>
      </c>
      <c r="I985">
        <v>0</v>
      </c>
      <c r="J985">
        <v>1</v>
      </c>
      <c r="K985" s="2">
        <v>45783</v>
      </c>
    </row>
    <row r="986" spans="1:11" x14ac:dyDescent="0.25">
      <c r="A986" s="1" t="s">
        <v>411</v>
      </c>
      <c r="B986" s="1"/>
      <c r="C986" s="1" t="s">
        <v>3001</v>
      </c>
      <c r="D986" s="1" t="s">
        <v>3443</v>
      </c>
      <c r="E986" s="1"/>
      <c r="F986">
        <v>0.3</v>
      </c>
      <c r="G986">
        <v>1</v>
      </c>
      <c r="H986">
        <v>-45</v>
      </c>
      <c r="I986">
        <v>0</v>
      </c>
      <c r="J986">
        <v>1</v>
      </c>
      <c r="K986" s="2">
        <v>45783</v>
      </c>
    </row>
    <row r="987" spans="1:11" x14ac:dyDescent="0.25">
      <c r="A987" s="1" t="s">
        <v>411</v>
      </c>
      <c r="B987" s="1"/>
      <c r="C987" s="1" t="s">
        <v>3002</v>
      </c>
      <c r="D987" s="1" t="s">
        <v>3444</v>
      </c>
      <c r="E987" s="1"/>
      <c r="F987">
        <v>0</v>
      </c>
      <c r="G987">
        <v>1</v>
      </c>
      <c r="H987">
        <v>-60</v>
      </c>
      <c r="I987">
        <v>0</v>
      </c>
      <c r="J987">
        <v>1</v>
      </c>
      <c r="K987" s="2">
        <v>45784</v>
      </c>
    </row>
    <row r="988" spans="1:11" x14ac:dyDescent="0.25">
      <c r="A988" s="1" t="s">
        <v>411</v>
      </c>
      <c r="B988" s="1"/>
      <c r="C988" s="1" t="s">
        <v>3003</v>
      </c>
      <c r="D988" s="1" t="s">
        <v>3438</v>
      </c>
      <c r="E988" s="1"/>
      <c r="F988">
        <v>0.5</v>
      </c>
      <c r="G988">
        <v>0.9</v>
      </c>
      <c r="H988">
        <v>-20</v>
      </c>
      <c r="I988">
        <v>0</v>
      </c>
      <c r="J988">
        <v>1</v>
      </c>
      <c r="K988" s="2">
        <v>45785</v>
      </c>
    </row>
    <row r="989" spans="1:11" x14ac:dyDescent="0.25">
      <c r="A989" s="1" t="s">
        <v>411</v>
      </c>
      <c r="B989" s="1"/>
      <c r="C989" s="1" t="s">
        <v>3004</v>
      </c>
      <c r="D989" s="1" t="s">
        <v>3438</v>
      </c>
      <c r="E989" s="1"/>
      <c r="F989">
        <v>0.5</v>
      </c>
      <c r="G989">
        <v>0</v>
      </c>
      <c r="H989">
        <v>35</v>
      </c>
      <c r="I989">
        <v>0</v>
      </c>
      <c r="J989">
        <v>1</v>
      </c>
      <c r="K989" s="2">
        <v>45786</v>
      </c>
    </row>
    <row r="990" spans="1:11" x14ac:dyDescent="0.25">
      <c r="A990" s="1" t="s">
        <v>656</v>
      </c>
      <c r="B990" s="1"/>
      <c r="C990" s="1" t="s">
        <v>2808</v>
      </c>
      <c r="D990" s="1" t="s">
        <v>3370</v>
      </c>
      <c r="E990" s="1"/>
      <c r="F990">
        <v>0</v>
      </c>
      <c r="G990">
        <v>0</v>
      </c>
      <c r="H990">
        <v>0</v>
      </c>
      <c r="I990">
        <v>0</v>
      </c>
      <c r="J990">
        <v>1</v>
      </c>
      <c r="K990" s="2">
        <v>45784</v>
      </c>
    </row>
    <row r="991" spans="1:11" x14ac:dyDescent="0.25">
      <c r="A991" s="1" t="s">
        <v>656</v>
      </c>
      <c r="B991" s="1"/>
      <c r="C991" s="1" t="s">
        <v>2996</v>
      </c>
      <c r="D991" s="1" t="s">
        <v>3437</v>
      </c>
      <c r="E991" s="1"/>
      <c r="F991">
        <v>0.3</v>
      </c>
      <c r="G991">
        <v>0</v>
      </c>
      <c r="H991">
        <v>20</v>
      </c>
      <c r="I991">
        <v>0</v>
      </c>
      <c r="J991">
        <v>1</v>
      </c>
      <c r="K991" s="2">
        <v>45770</v>
      </c>
    </row>
    <row r="992" spans="1:11" x14ac:dyDescent="0.25">
      <c r="A992" s="1" t="s">
        <v>656</v>
      </c>
      <c r="B992" s="1"/>
      <c r="C992" s="1" t="s">
        <v>2997</v>
      </c>
      <c r="D992" s="1" t="s">
        <v>3437</v>
      </c>
      <c r="E992" s="1"/>
      <c r="F992">
        <v>0.5</v>
      </c>
      <c r="G992">
        <v>0</v>
      </c>
      <c r="H992">
        <v>35</v>
      </c>
      <c r="I992">
        <v>0</v>
      </c>
      <c r="J992">
        <v>1</v>
      </c>
      <c r="K992" s="2">
        <v>45770</v>
      </c>
    </row>
    <row r="993" spans="1:11" x14ac:dyDescent="0.25">
      <c r="A993" s="1" t="s">
        <v>656</v>
      </c>
      <c r="B993" s="1"/>
      <c r="C993" s="1" t="s">
        <v>2867</v>
      </c>
      <c r="D993" s="1" t="s">
        <v>3437</v>
      </c>
      <c r="E993" s="1"/>
      <c r="F993">
        <v>0.3</v>
      </c>
      <c r="G993">
        <v>0.3</v>
      </c>
      <c r="H993">
        <v>0</v>
      </c>
      <c r="I993">
        <v>0</v>
      </c>
      <c r="J993">
        <v>1</v>
      </c>
      <c r="K993" s="2">
        <v>45770</v>
      </c>
    </row>
    <row r="994" spans="1:11" x14ac:dyDescent="0.25">
      <c r="A994" s="1" t="s">
        <v>656</v>
      </c>
      <c r="B994" s="1"/>
      <c r="C994" s="1" t="s">
        <v>2868</v>
      </c>
      <c r="D994" s="1" t="s">
        <v>3438</v>
      </c>
      <c r="E994" s="1"/>
      <c r="F994">
        <v>0.2</v>
      </c>
      <c r="G994">
        <v>3.6</v>
      </c>
      <c r="H994">
        <v>-210</v>
      </c>
      <c r="I994">
        <v>0</v>
      </c>
      <c r="J994">
        <v>1</v>
      </c>
      <c r="K994" s="2">
        <v>45770</v>
      </c>
    </row>
    <row r="995" spans="1:11" x14ac:dyDescent="0.25">
      <c r="A995" s="1" t="s">
        <v>656</v>
      </c>
      <c r="B995" s="1"/>
      <c r="C995" s="1" t="s">
        <v>2998</v>
      </c>
      <c r="D995" s="1" t="s">
        <v>3439</v>
      </c>
      <c r="E995" s="1"/>
      <c r="F995">
        <v>0</v>
      </c>
      <c r="G995">
        <v>0</v>
      </c>
      <c r="H995">
        <v>0</v>
      </c>
      <c r="I995">
        <v>0</v>
      </c>
      <c r="J995">
        <v>1</v>
      </c>
      <c r="K995" s="2">
        <v>45776</v>
      </c>
    </row>
    <row r="996" spans="1:11" x14ac:dyDescent="0.25">
      <c r="A996" s="1" t="s">
        <v>656</v>
      </c>
      <c r="B996" s="1"/>
      <c r="C996" s="1" t="s">
        <v>2999</v>
      </c>
      <c r="D996" s="1" t="s">
        <v>3440</v>
      </c>
      <c r="E996" s="1"/>
      <c r="F996">
        <v>0.5</v>
      </c>
      <c r="G996">
        <v>3</v>
      </c>
      <c r="H996">
        <v>-140</v>
      </c>
      <c r="I996">
        <v>0</v>
      </c>
      <c r="J996">
        <v>1</v>
      </c>
      <c r="K996" s="2">
        <v>45777</v>
      </c>
    </row>
    <row r="997" spans="1:11" x14ac:dyDescent="0.25">
      <c r="A997" s="1" t="s">
        <v>656</v>
      </c>
      <c r="B997" s="1"/>
      <c r="C997" s="1" t="s">
        <v>2873</v>
      </c>
      <c r="D997" s="1" t="s">
        <v>3441</v>
      </c>
      <c r="E997" s="1"/>
      <c r="F997">
        <v>0</v>
      </c>
      <c r="G997">
        <v>3.8</v>
      </c>
      <c r="H997">
        <v>-235</v>
      </c>
      <c r="I997">
        <v>0</v>
      </c>
      <c r="J997">
        <v>1</v>
      </c>
      <c r="K997" s="2">
        <v>45777</v>
      </c>
    </row>
    <row r="998" spans="1:11" x14ac:dyDescent="0.25">
      <c r="A998" s="1" t="s">
        <v>656</v>
      </c>
      <c r="B998" s="1"/>
      <c r="C998" s="1" t="s">
        <v>3000</v>
      </c>
      <c r="D998" s="1" t="s">
        <v>3442</v>
      </c>
      <c r="E998" s="1"/>
      <c r="F998">
        <v>0.3</v>
      </c>
      <c r="G998">
        <v>2.1</v>
      </c>
      <c r="H998">
        <v>-110</v>
      </c>
      <c r="I998">
        <v>0</v>
      </c>
      <c r="J998">
        <v>1</v>
      </c>
      <c r="K998" s="2">
        <v>45778</v>
      </c>
    </row>
    <row r="999" spans="1:11" x14ac:dyDescent="0.25">
      <c r="A999" s="1" t="s">
        <v>656</v>
      </c>
      <c r="B999" s="1"/>
      <c r="C999" s="1" t="s">
        <v>3001</v>
      </c>
      <c r="D999" s="1" t="s">
        <v>3443</v>
      </c>
      <c r="E999" s="1"/>
      <c r="F999">
        <v>0.3</v>
      </c>
      <c r="G999">
        <v>0.1</v>
      </c>
      <c r="H999">
        <v>15</v>
      </c>
      <c r="I999">
        <v>0</v>
      </c>
      <c r="J999">
        <v>1</v>
      </c>
      <c r="K999" s="2">
        <v>45778</v>
      </c>
    </row>
    <row r="1000" spans="1:11" x14ac:dyDescent="0.25">
      <c r="A1000" s="1" t="s">
        <v>656</v>
      </c>
      <c r="B1000" s="1"/>
      <c r="C1000" s="1" t="s">
        <v>3002</v>
      </c>
      <c r="D1000" s="1" t="s">
        <v>3444</v>
      </c>
      <c r="E1000" s="1"/>
      <c r="F1000">
        <v>0</v>
      </c>
      <c r="G1000">
        <v>0.7</v>
      </c>
      <c r="H1000">
        <v>-40</v>
      </c>
      <c r="I1000">
        <v>0</v>
      </c>
      <c r="J1000">
        <v>1</v>
      </c>
      <c r="K1000" s="2">
        <v>45779</v>
      </c>
    </row>
    <row r="1001" spans="1:11" x14ac:dyDescent="0.25">
      <c r="A1001" s="1" t="s">
        <v>656</v>
      </c>
      <c r="B1001" s="1"/>
      <c r="C1001" s="1" t="s">
        <v>3003</v>
      </c>
      <c r="D1001" s="1" t="s">
        <v>3438</v>
      </c>
      <c r="E1001" s="1"/>
      <c r="F1001">
        <v>0.5</v>
      </c>
      <c r="G1001">
        <v>0.7</v>
      </c>
      <c r="H1001">
        <v>-5</v>
      </c>
      <c r="I1001">
        <v>0</v>
      </c>
      <c r="J1001">
        <v>1</v>
      </c>
      <c r="K1001" s="2">
        <v>45779</v>
      </c>
    </row>
    <row r="1002" spans="1:11" x14ac:dyDescent="0.25">
      <c r="A1002" s="1" t="s">
        <v>656</v>
      </c>
      <c r="B1002" s="1"/>
      <c r="C1002" s="1" t="s">
        <v>3004</v>
      </c>
      <c r="D1002" s="1" t="s">
        <v>3438</v>
      </c>
      <c r="E1002" s="1"/>
      <c r="F1002">
        <v>0.5</v>
      </c>
      <c r="G1002">
        <v>5.4</v>
      </c>
      <c r="H1002">
        <v>-300</v>
      </c>
      <c r="I1002">
        <v>0</v>
      </c>
      <c r="J1002">
        <v>1</v>
      </c>
      <c r="K1002" s="2">
        <v>45783</v>
      </c>
    </row>
    <row r="1003" spans="1:11" x14ac:dyDescent="0.25">
      <c r="A1003" s="1" t="s">
        <v>656</v>
      </c>
      <c r="B1003" s="1"/>
      <c r="C1003" s="1" t="s">
        <v>3005</v>
      </c>
      <c r="D1003" s="1" t="s">
        <v>3438</v>
      </c>
      <c r="E1003" s="1"/>
      <c r="F1003">
        <v>1</v>
      </c>
      <c r="G1003">
        <v>2.5</v>
      </c>
      <c r="H1003">
        <v>-90</v>
      </c>
      <c r="I1003">
        <v>0</v>
      </c>
      <c r="J1003">
        <v>1</v>
      </c>
      <c r="K1003" s="2">
        <v>45783</v>
      </c>
    </row>
    <row r="1004" spans="1:11" x14ac:dyDescent="0.25">
      <c r="A1004" s="1" t="s">
        <v>656</v>
      </c>
      <c r="B1004" s="1"/>
      <c r="C1004" s="1" t="s">
        <v>2864</v>
      </c>
      <c r="D1004" s="1" t="s">
        <v>3445</v>
      </c>
      <c r="E1004" s="1"/>
      <c r="F1004">
        <v>0.5</v>
      </c>
      <c r="G1004">
        <v>1.8</v>
      </c>
      <c r="H1004">
        <v>-80</v>
      </c>
      <c r="I1004">
        <v>0</v>
      </c>
      <c r="J1004">
        <v>1</v>
      </c>
      <c r="K1004" s="2">
        <v>45785</v>
      </c>
    </row>
    <row r="1005" spans="1:11" x14ac:dyDescent="0.25">
      <c r="A1005" s="1" t="s">
        <v>656</v>
      </c>
      <c r="B1005" s="1"/>
      <c r="C1005" s="1" t="s">
        <v>3006</v>
      </c>
      <c r="D1005" s="1" t="s">
        <v>3444</v>
      </c>
      <c r="E1005" s="1"/>
      <c r="F1005">
        <v>0</v>
      </c>
      <c r="G1005">
        <v>0.9</v>
      </c>
      <c r="H1005">
        <v>-55</v>
      </c>
      <c r="I1005">
        <v>0</v>
      </c>
      <c r="J1005">
        <v>1</v>
      </c>
      <c r="K1005" s="2">
        <v>45787</v>
      </c>
    </row>
    <row r="1006" spans="1:11" x14ac:dyDescent="0.25">
      <c r="A1006" s="1" t="s">
        <v>412</v>
      </c>
      <c r="B1006" s="1"/>
      <c r="C1006" s="1" t="s">
        <v>2808</v>
      </c>
      <c r="D1006" s="1" t="s">
        <v>3370</v>
      </c>
      <c r="E1006" s="1"/>
      <c r="F1006">
        <v>0</v>
      </c>
      <c r="G1006">
        <v>0</v>
      </c>
      <c r="H1006">
        <v>0</v>
      </c>
      <c r="I1006">
        <v>0</v>
      </c>
      <c r="J1006">
        <v>1</v>
      </c>
      <c r="K1006" s="2">
        <v>45770</v>
      </c>
    </row>
    <row r="1007" spans="1:11" x14ac:dyDescent="0.25">
      <c r="A1007" s="1" t="s">
        <v>412</v>
      </c>
      <c r="B1007" s="1"/>
      <c r="C1007" s="1" t="s">
        <v>2996</v>
      </c>
      <c r="D1007" s="1" t="s">
        <v>3437</v>
      </c>
      <c r="E1007" s="1"/>
      <c r="F1007">
        <v>0.3</v>
      </c>
      <c r="G1007">
        <v>0.2</v>
      </c>
      <c r="H1007">
        <v>5</v>
      </c>
      <c r="I1007">
        <v>0</v>
      </c>
      <c r="J1007">
        <v>1</v>
      </c>
      <c r="K1007" s="2">
        <v>45758</v>
      </c>
    </row>
    <row r="1008" spans="1:11" x14ac:dyDescent="0.25">
      <c r="A1008" s="1" t="s">
        <v>413</v>
      </c>
      <c r="B1008" s="1"/>
      <c r="C1008" s="1" t="s">
        <v>2808</v>
      </c>
      <c r="D1008" s="1" t="s">
        <v>3370</v>
      </c>
      <c r="E1008" s="1"/>
      <c r="F1008">
        <v>0</v>
      </c>
      <c r="G1008">
        <v>0</v>
      </c>
      <c r="H1008">
        <v>0</v>
      </c>
      <c r="I1008">
        <v>0</v>
      </c>
      <c r="J1008">
        <v>1</v>
      </c>
      <c r="K1008" s="2">
        <v>45770</v>
      </c>
    </row>
    <row r="1009" spans="1:11" x14ac:dyDescent="0.25">
      <c r="A1009" s="1" t="s">
        <v>413</v>
      </c>
      <c r="B1009" s="1"/>
      <c r="C1009" s="1" t="s">
        <v>2996</v>
      </c>
      <c r="D1009" s="1" t="s">
        <v>3437</v>
      </c>
      <c r="E1009" s="1"/>
      <c r="F1009">
        <v>0.3</v>
      </c>
      <c r="G1009">
        <v>0</v>
      </c>
      <c r="H1009">
        <v>20</v>
      </c>
      <c r="I1009">
        <v>0</v>
      </c>
      <c r="J1009">
        <v>1</v>
      </c>
      <c r="K1009" s="2">
        <v>45761</v>
      </c>
    </row>
    <row r="1010" spans="1:11" x14ac:dyDescent="0.25">
      <c r="A1010" s="1" t="s">
        <v>413</v>
      </c>
      <c r="B1010" s="1"/>
      <c r="C1010" s="1" t="s">
        <v>2997</v>
      </c>
      <c r="D1010" s="1" t="s">
        <v>3437</v>
      </c>
      <c r="E1010" s="1"/>
      <c r="F1010">
        <v>0.5</v>
      </c>
      <c r="G1010">
        <v>1.3</v>
      </c>
      <c r="H1010">
        <v>-50</v>
      </c>
      <c r="I1010">
        <v>0</v>
      </c>
      <c r="J1010">
        <v>1</v>
      </c>
      <c r="K1010" s="2">
        <v>45761</v>
      </c>
    </row>
    <row r="1011" spans="1:11" x14ac:dyDescent="0.25">
      <c r="A1011" s="1" t="s">
        <v>413</v>
      </c>
      <c r="B1011" s="1"/>
      <c r="C1011" s="1" t="s">
        <v>2867</v>
      </c>
      <c r="D1011" s="1" t="s">
        <v>3437</v>
      </c>
      <c r="E1011" s="1"/>
      <c r="F1011">
        <v>0.3</v>
      </c>
      <c r="G1011">
        <v>0.1</v>
      </c>
      <c r="H1011">
        <v>10</v>
      </c>
      <c r="I1011">
        <v>0</v>
      </c>
      <c r="J1011">
        <v>1</v>
      </c>
      <c r="K1011" s="2">
        <v>45761</v>
      </c>
    </row>
    <row r="1012" spans="1:11" x14ac:dyDescent="0.25">
      <c r="A1012" s="1" t="s">
        <v>413</v>
      </c>
      <c r="B1012" s="1"/>
      <c r="C1012" s="1" t="s">
        <v>2868</v>
      </c>
      <c r="D1012" s="1" t="s">
        <v>3438</v>
      </c>
      <c r="E1012" s="1"/>
      <c r="F1012">
        <v>0.2</v>
      </c>
      <c r="G1012">
        <v>3.9</v>
      </c>
      <c r="H1012">
        <v>-230</v>
      </c>
      <c r="I1012">
        <v>0</v>
      </c>
      <c r="J1012">
        <v>1</v>
      </c>
      <c r="K1012" s="2">
        <v>45761</v>
      </c>
    </row>
    <row r="1013" spans="1:11" x14ac:dyDescent="0.25">
      <c r="A1013" s="1" t="s">
        <v>413</v>
      </c>
      <c r="B1013" s="1"/>
      <c r="C1013" s="1" t="s">
        <v>2998</v>
      </c>
      <c r="D1013" s="1" t="s">
        <v>3439</v>
      </c>
      <c r="E1013" s="1"/>
      <c r="F1013">
        <v>0</v>
      </c>
      <c r="G1013">
        <v>0</v>
      </c>
      <c r="H1013">
        <v>0</v>
      </c>
      <c r="I1013">
        <v>0</v>
      </c>
      <c r="J1013">
        <v>1</v>
      </c>
      <c r="K1013" s="2">
        <v>45763</v>
      </c>
    </row>
    <row r="1014" spans="1:11" x14ac:dyDescent="0.25">
      <c r="A1014" s="1" t="s">
        <v>413</v>
      </c>
      <c r="B1014" s="1"/>
      <c r="C1014" s="1" t="s">
        <v>2999</v>
      </c>
      <c r="D1014" s="1" t="s">
        <v>3440</v>
      </c>
      <c r="E1014" s="1"/>
      <c r="F1014">
        <v>0.5</v>
      </c>
      <c r="G1014">
        <v>2</v>
      </c>
      <c r="H1014">
        <v>-85</v>
      </c>
      <c r="I1014">
        <v>0</v>
      </c>
      <c r="J1014">
        <v>1</v>
      </c>
      <c r="K1014" s="2">
        <v>45763</v>
      </c>
    </row>
    <row r="1015" spans="1:11" x14ac:dyDescent="0.25">
      <c r="A1015" s="1" t="s">
        <v>413</v>
      </c>
      <c r="B1015" s="1"/>
      <c r="C1015" s="1" t="s">
        <v>2873</v>
      </c>
      <c r="D1015" s="1" t="s">
        <v>3441</v>
      </c>
      <c r="E1015" s="1"/>
      <c r="F1015">
        <v>0</v>
      </c>
      <c r="G1015">
        <v>4</v>
      </c>
      <c r="H1015">
        <v>-250</v>
      </c>
      <c r="I1015">
        <v>0</v>
      </c>
      <c r="J1015">
        <v>1</v>
      </c>
      <c r="K1015" s="2">
        <v>45764</v>
      </c>
    </row>
    <row r="1016" spans="1:11" x14ac:dyDescent="0.25">
      <c r="A1016" s="1" t="s">
        <v>413</v>
      </c>
      <c r="B1016" s="1"/>
      <c r="C1016" s="1" t="s">
        <v>3000</v>
      </c>
      <c r="D1016" s="1" t="s">
        <v>3442</v>
      </c>
      <c r="E1016" s="1"/>
      <c r="F1016">
        <v>0.3</v>
      </c>
      <c r="G1016">
        <v>2</v>
      </c>
      <c r="H1016">
        <v>-105</v>
      </c>
      <c r="I1016">
        <v>0</v>
      </c>
      <c r="J1016">
        <v>1</v>
      </c>
      <c r="K1016" s="2">
        <v>45764</v>
      </c>
    </row>
    <row r="1017" spans="1:11" x14ac:dyDescent="0.25">
      <c r="A1017" s="1" t="s">
        <v>413</v>
      </c>
      <c r="B1017" s="1"/>
      <c r="C1017" s="1" t="s">
        <v>3001</v>
      </c>
      <c r="D1017" s="1" t="s">
        <v>3443</v>
      </c>
      <c r="E1017" s="1"/>
      <c r="F1017">
        <v>0.3</v>
      </c>
      <c r="G1017">
        <v>1.7</v>
      </c>
      <c r="H1017">
        <v>-90</v>
      </c>
      <c r="I1017">
        <v>0</v>
      </c>
      <c r="J1017">
        <v>1</v>
      </c>
      <c r="K1017" s="2">
        <v>45764</v>
      </c>
    </row>
    <row r="1018" spans="1:11" x14ac:dyDescent="0.25">
      <c r="A1018" s="1" t="s">
        <v>413</v>
      </c>
      <c r="B1018" s="1"/>
      <c r="C1018" s="1" t="s">
        <v>3002</v>
      </c>
      <c r="D1018" s="1" t="s">
        <v>3444</v>
      </c>
      <c r="E1018" s="1"/>
      <c r="F1018">
        <v>0</v>
      </c>
      <c r="G1018">
        <v>1.8</v>
      </c>
      <c r="H1018">
        <v>-110</v>
      </c>
      <c r="I1018">
        <v>0</v>
      </c>
      <c r="J1018">
        <v>1</v>
      </c>
      <c r="K1018" s="2">
        <v>45765</v>
      </c>
    </row>
    <row r="1019" spans="1:11" x14ac:dyDescent="0.25">
      <c r="A1019" s="1" t="s">
        <v>413</v>
      </c>
      <c r="B1019" s="1"/>
      <c r="C1019" s="1" t="s">
        <v>3003</v>
      </c>
      <c r="D1019" s="1" t="s">
        <v>3438</v>
      </c>
      <c r="E1019" s="1"/>
      <c r="F1019">
        <v>0.5</v>
      </c>
      <c r="G1019">
        <v>0.6</v>
      </c>
      <c r="H1019">
        <v>-5</v>
      </c>
      <c r="I1019">
        <v>0</v>
      </c>
      <c r="J1019">
        <v>1</v>
      </c>
      <c r="K1019" s="2">
        <v>45765</v>
      </c>
    </row>
    <row r="1020" spans="1:11" x14ac:dyDescent="0.25">
      <c r="A1020" s="1" t="s">
        <v>413</v>
      </c>
      <c r="B1020" s="1"/>
      <c r="C1020" s="1" t="s">
        <v>3004</v>
      </c>
      <c r="D1020" s="1" t="s">
        <v>3438</v>
      </c>
      <c r="E1020" s="1"/>
      <c r="F1020">
        <v>0.5</v>
      </c>
      <c r="G1020">
        <v>0.2</v>
      </c>
      <c r="H1020">
        <v>20</v>
      </c>
      <c r="I1020">
        <v>0</v>
      </c>
      <c r="J1020">
        <v>1</v>
      </c>
      <c r="K1020" s="2">
        <v>45765</v>
      </c>
    </row>
    <row r="1021" spans="1:11" x14ac:dyDescent="0.25">
      <c r="A1021" s="1" t="s">
        <v>413</v>
      </c>
      <c r="B1021" s="1"/>
      <c r="C1021" s="1" t="s">
        <v>2864</v>
      </c>
      <c r="D1021" s="1" t="s">
        <v>3445</v>
      </c>
      <c r="E1021" s="1"/>
      <c r="F1021">
        <v>0.5</v>
      </c>
      <c r="G1021">
        <v>7</v>
      </c>
      <c r="H1021">
        <v>-405</v>
      </c>
      <c r="I1021">
        <v>0</v>
      </c>
      <c r="J1021">
        <v>1</v>
      </c>
      <c r="K1021" s="2">
        <v>45777</v>
      </c>
    </row>
    <row r="1022" spans="1:11" x14ac:dyDescent="0.25">
      <c r="A1022" s="1" t="s">
        <v>653</v>
      </c>
      <c r="B1022" s="1"/>
      <c r="C1022" s="1" t="s">
        <v>2808</v>
      </c>
      <c r="D1022" s="1" t="s">
        <v>3370</v>
      </c>
      <c r="E1022" s="1"/>
      <c r="F1022">
        <v>0</v>
      </c>
      <c r="G1022">
        <v>0</v>
      </c>
      <c r="H1022">
        <v>0</v>
      </c>
      <c r="I1022">
        <v>0</v>
      </c>
      <c r="J1022">
        <v>1</v>
      </c>
      <c r="K1022" s="2">
        <v>45776</v>
      </c>
    </row>
    <row r="1023" spans="1:11" x14ac:dyDescent="0.25">
      <c r="A1023" s="1" t="s">
        <v>653</v>
      </c>
      <c r="B1023" s="1"/>
      <c r="C1023" s="1" t="s">
        <v>2996</v>
      </c>
      <c r="D1023" s="1" t="s">
        <v>3437</v>
      </c>
      <c r="E1023" s="1"/>
      <c r="F1023">
        <v>0.3</v>
      </c>
      <c r="G1023">
        <v>0.3</v>
      </c>
      <c r="H1023">
        <v>0</v>
      </c>
      <c r="I1023">
        <v>0</v>
      </c>
      <c r="J1023">
        <v>1</v>
      </c>
      <c r="K1023" s="2">
        <v>45765</v>
      </c>
    </row>
    <row r="1024" spans="1:11" x14ac:dyDescent="0.25">
      <c r="A1024" s="1" t="s">
        <v>653</v>
      </c>
      <c r="B1024" s="1"/>
      <c r="C1024" s="1" t="s">
        <v>2997</v>
      </c>
      <c r="D1024" s="1" t="s">
        <v>3437</v>
      </c>
      <c r="E1024" s="1"/>
      <c r="F1024">
        <v>0.5</v>
      </c>
      <c r="G1024">
        <v>3.8</v>
      </c>
      <c r="H1024">
        <v>-205</v>
      </c>
      <c r="I1024">
        <v>0</v>
      </c>
      <c r="J1024">
        <v>1</v>
      </c>
      <c r="K1024" s="2">
        <v>45765</v>
      </c>
    </row>
    <row r="1025" spans="1:11" x14ac:dyDescent="0.25">
      <c r="A1025" s="1" t="s">
        <v>653</v>
      </c>
      <c r="B1025" s="1"/>
      <c r="C1025" s="1" t="s">
        <v>2867</v>
      </c>
      <c r="D1025" s="1" t="s">
        <v>3437</v>
      </c>
      <c r="E1025" s="1"/>
      <c r="F1025">
        <v>0.3</v>
      </c>
      <c r="G1025">
        <v>0.2</v>
      </c>
      <c r="H1025">
        <v>5</v>
      </c>
      <c r="I1025">
        <v>0</v>
      </c>
      <c r="J1025">
        <v>1</v>
      </c>
      <c r="K1025" s="2">
        <v>45765</v>
      </c>
    </row>
    <row r="1026" spans="1:11" x14ac:dyDescent="0.25">
      <c r="A1026" s="1" t="s">
        <v>653</v>
      </c>
      <c r="B1026" s="1"/>
      <c r="C1026" s="1" t="s">
        <v>2868</v>
      </c>
      <c r="D1026" s="1" t="s">
        <v>3438</v>
      </c>
      <c r="E1026" s="1"/>
      <c r="F1026">
        <v>0.2</v>
      </c>
      <c r="G1026">
        <v>2.2000000000000002</v>
      </c>
      <c r="H1026">
        <v>-125</v>
      </c>
      <c r="I1026">
        <v>0</v>
      </c>
      <c r="J1026">
        <v>1</v>
      </c>
      <c r="K1026" s="2">
        <v>45765</v>
      </c>
    </row>
    <row r="1027" spans="1:11" x14ac:dyDescent="0.25">
      <c r="A1027" s="1" t="s">
        <v>653</v>
      </c>
      <c r="B1027" s="1"/>
      <c r="C1027" s="1" t="s">
        <v>2998</v>
      </c>
      <c r="D1027" s="1" t="s">
        <v>3439</v>
      </c>
      <c r="E1027" s="1"/>
      <c r="F1027">
        <v>0</v>
      </c>
      <c r="G1027">
        <v>0</v>
      </c>
      <c r="H1027">
        <v>0</v>
      </c>
      <c r="I1027">
        <v>0</v>
      </c>
      <c r="J1027">
        <v>1</v>
      </c>
      <c r="K1027" s="2">
        <v>45769</v>
      </c>
    </row>
    <row r="1028" spans="1:11" x14ac:dyDescent="0.25">
      <c r="A1028" s="1" t="s">
        <v>653</v>
      </c>
      <c r="B1028" s="1"/>
      <c r="C1028" s="1" t="s">
        <v>2999</v>
      </c>
      <c r="D1028" s="1" t="s">
        <v>3440</v>
      </c>
      <c r="E1028" s="1"/>
      <c r="F1028">
        <v>0.5</v>
      </c>
      <c r="G1028">
        <v>0.6</v>
      </c>
      <c r="H1028">
        <v>-5</v>
      </c>
      <c r="I1028">
        <v>0</v>
      </c>
      <c r="J1028">
        <v>1</v>
      </c>
      <c r="K1028" s="2">
        <v>45769</v>
      </c>
    </row>
    <row r="1029" spans="1:11" x14ac:dyDescent="0.25">
      <c r="A1029" s="1" t="s">
        <v>653</v>
      </c>
      <c r="B1029" s="1"/>
      <c r="C1029" s="1" t="s">
        <v>2873</v>
      </c>
      <c r="D1029" s="1" t="s">
        <v>3441</v>
      </c>
      <c r="E1029" s="1"/>
      <c r="F1029">
        <v>0</v>
      </c>
      <c r="G1029">
        <v>5.5</v>
      </c>
      <c r="H1029">
        <v>-340</v>
      </c>
      <c r="I1029">
        <v>0</v>
      </c>
      <c r="J1029">
        <v>1</v>
      </c>
      <c r="K1029" s="2">
        <v>45769</v>
      </c>
    </row>
    <row r="1030" spans="1:11" x14ac:dyDescent="0.25">
      <c r="A1030" s="1" t="s">
        <v>653</v>
      </c>
      <c r="B1030" s="1"/>
      <c r="C1030" s="1" t="s">
        <v>3000</v>
      </c>
      <c r="D1030" s="1" t="s">
        <v>3442</v>
      </c>
      <c r="E1030" s="1"/>
      <c r="F1030">
        <v>0.3</v>
      </c>
      <c r="G1030">
        <v>2.2999999999999998</v>
      </c>
      <c r="H1030">
        <v>-125</v>
      </c>
      <c r="I1030">
        <v>0</v>
      </c>
      <c r="J1030">
        <v>1</v>
      </c>
      <c r="K1030" s="2">
        <v>45770</v>
      </c>
    </row>
    <row r="1031" spans="1:11" x14ac:dyDescent="0.25">
      <c r="A1031" s="1" t="s">
        <v>653</v>
      </c>
      <c r="B1031" s="1"/>
      <c r="C1031" s="1" t="s">
        <v>3001</v>
      </c>
      <c r="D1031" s="1" t="s">
        <v>3443</v>
      </c>
      <c r="E1031" s="1"/>
      <c r="F1031">
        <v>0.3</v>
      </c>
      <c r="G1031">
        <v>1.4</v>
      </c>
      <c r="H1031">
        <v>-70</v>
      </c>
      <c r="I1031">
        <v>0</v>
      </c>
      <c r="J1031">
        <v>1</v>
      </c>
      <c r="K1031" s="2">
        <v>45770</v>
      </c>
    </row>
    <row r="1032" spans="1:11" x14ac:dyDescent="0.25">
      <c r="A1032" s="1" t="s">
        <v>653</v>
      </c>
      <c r="B1032" s="1"/>
      <c r="C1032" s="1" t="s">
        <v>3002</v>
      </c>
      <c r="D1032" s="1" t="s">
        <v>3444</v>
      </c>
      <c r="E1032" s="1"/>
      <c r="F1032">
        <v>0</v>
      </c>
      <c r="G1032">
        <v>1.2</v>
      </c>
      <c r="H1032">
        <v>-70</v>
      </c>
      <c r="I1032">
        <v>0</v>
      </c>
      <c r="J1032">
        <v>1</v>
      </c>
      <c r="K1032" s="2">
        <v>45771</v>
      </c>
    </row>
    <row r="1033" spans="1:11" x14ac:dyDescent="0.25">
      <c r="A1033" s="1" t="s">
        <v>653</v>
      </c>
      <c r="B1033" s="1"/>
      <c r="C1033" s="1" t="s">
        <v>3003</v>
      </c>
      <c r="D1033" s="1" t="s">
        <v>3438</v>
      </c>
      <c r="E1033" s="1"/>
      <c r="F1033">
        <v>0.5</v>
      </c>
      <c r="G1033">
        <v>1</v>
      </c>
      <c r="H1033">
        <v>-30</v>
      </c>
      <c r="I1033">
        <v>0</v>
      </c>
      <c r="J1033">
        <v>1</v>
      </c>
      <c r="K1033" s="2">
        <v>45771</v>
      </c>
    </row>
    <row r="1034" spans="1:11" x14ac:dyDescent="0.25">
      <c r="A1034" s="1" t="s">
        <v>653</v>
      </c>
      <c r="B1034" s="1"/>
      <c r="C1034" s="1" t="s">
        <v>3004</v>
      </c>
      <c r="D1034" s="1" t="s">
        <v>3438</v>
      </c>
      <c r="E1034" s="1"/>
      <c r="F1034">
        <v>0.5</v>
      </c>
      <c r="G1034">
        <v>0.4</v>
      </c>
      <c r="H1034">
        <v>10</v>
      </c>
      <c r="I1034">
        <v>0</v>
      </c>
      <c r="J1034">
        <v>1</v>
      </c>
      <c r="K1034" s="2">
        <v>45772</v>
      </c>
    </row>
    <row r="1035" spans="1:11" x14ac:dyDescent="0.25">
      <c r="A1035" s="1" t="s">
        <v>654</v>
      </c>
      <c r="B1035" s="1"/>
      <c r="C1035" s="1" t="s">
        <v>2996</v>
      </c>
      <c r="D1035" s="1" t="s">
        <v>3437</v>
      </c>
      <c r="E1035" s="1"/>
      <c r="F1035">
        <v>0.3</v>
      </c>
      <c r="G1035">
        <v>0</v>
      </c>
      <c r="H1035">
        <v>20</v>
      </c>
      <c r="I1035">
        <v>0</v>
      </c>
      <c r="J1035">
        <v>1</v>
      </c>
      <c r="K1035" s="2">
        <v>45769</v>
      </c>
    </row>
    <row r="1036" spans="1:11" x14ac:dyDescent="0.25">
      <c r="A1036" s="1" t="s">
        <v>654</v>
      </c>
      <c r="B1036" s="1"/>
      <c r="C1036" s="1" t="s">
        <v>2997</v>
      </c>
      <c r="D1036" s="1" t="s">
        <v>3437</v>
      </c>
      <c r="E1036" s="1"/>
      <c r="F1036">
        <v>0.5</v>
      </c>
      <c r="G1036">
        <v>2.4</v>
      </c>
      <c r="H1036">
        <v>-115</v>
      </c>
      <c r="I1036">
        <v>0</v>
      </c>
      <c r="J1036">
        <v>1</v>
      </c>
      <c r="K1036" s="2">
        <v>45769</v>
      </c>
    </row>
    <row r="1037" spans="1:11" x14ac:dyDescent="0.25">
      <c r="A1037" s="1" t="s">
        <v>654</v>
      </c>
      <c r="B1037" s="1"/>
      <c r="C1037" s="1" t="s">
        <v>2867</v>
      </c>
      <c r="D1037" s="1" t="s">
        <v>3437</v>
      </c>
      <c r="E1037" s="1"/>
      <c r="F1037">
        <v>0.3</v>
      </c>
      <c r="G1037">
        <v>0.3</v>
      </c>
      <c r="H1037">
        <v>0</v>
      </c>
      <c r="I1037">
        <v>0</v>
      </c>
      <c r="J1037">
        <v>1</v>
      </c>
      <c r="K1037" s="2">
        <v>45769</v>
      </c>
    </row>
    <row r="1038" spans="1:11" x14ac:dyDescent="0.25">
      <c r="A1038" s="1" t="s">
        <v>654</v>
      </c>
      <c r="B1038" s="1"/>
      <c r="C1038" s="1" t="s">
        <v>2868</v>
      </c>
      <c r="D1038" s="1" t="s">
        <v>3438</v>
      </c>
      <c r="E1038" s="1"/>
      <c r="F1038">
        <v>0.2</v>
      </c>
      <c r="G1038">
        <v>2.4</v>
      </c>
      <c r="H1038">
        <v>-135</v>
      </c>
      <c r="I1038">
        <v>0</v>
      </c>
      <c r="J1038">
        <v>1</v>
      </c>
      <c r="K1038" s="2">
        <v>45769</v>
      </c>
    </row>
    <row r="1039" spans="1:11" x14ac:dyDescent="0.25">
      <c r="A1039" s="1" t="s">
        <v>654</v>
      </c>
      <c r="B1039" s="1"/>
      <c r="C1039" s="1" t="s">
        <v>2998</v>
      </c>
      <c r="D1039" s="1" t="s">
        <v>3439</v>
      </c>
      <c r="E1039" s="1"/>
      <c r="F1039">
        <v>0</v>
      </c>
      <c r="G1039">
        <v>0</v>
      </c>
      <c r="H1039">
        <v>0</v>
      </c>
      <c r="I1039">
        <v>0</v>
      </c>
      <c r="J1039">
        <v>1</v>
      </c>
      <c r="K1039" s="2">
        <v>45770</v>
      </c>
    </row>
    <row r="1040" spans="1:11" x14ac:dyDescent="0.25">
      <c r="A1040" s="1" t="s">
        <v>654</v>
      </c>
      <c r="B1040" s="1"/>
      <c r="C1040" s="1" t="s">
        <v>2999</v>
      </c>
      <c r="D1040" s="1" t="s">
        <v>3440</v>
      </c>
      <c r="E1040" s="1"/>
      <c r="F1040">
        <v>0.5</v>
      </c>
      <c r="G1040">
        <v>0.7</v>
      </c>
      <c r="H1040">
        <v>-10</v>
      </c>
      <c r="I1040">
        <v>0</v>
      </c>
      <c r="J1040">
        <v>1</v>
      </c>
      <c r="K1040" s="2">
        <v>45770</v>
      </c>
    </row>
    <row r="1041" spans="1:11" x14ac:dyDescent="0.25">
      <c r="A1041" s="1" t="s">
        <v>654</v>
      </c>
      <c r="B1041" s="1"/>
      <c r="C1041" s="1" t="s">
        <v>2873</v>
      </c>
      <c r="D1041" s="1" t="s">
        <v>3441</v>
      </c>
      <c r="E1041" s="1"/>
      <c r="F1041">
        <v>0</v>
      </c>
      <c r="G1041">
        <v>4.0999999999999996</v>
      </c>
      <c r="H1041">
        <v>-250</v>
      </c>
      <c r="I1041">
        <v>0</v>
      </c>
      <c r="J1041">
        <v>1</v>
      </c>
      <c r="K1041" s="2">
        <v>45770</v>
      </c>
    </row>
    <row r="1042" spans="1:11" x14ac:dyDescent="0.25">
      <c r="A1042" s="1" t="s">
        <v>654</v>
      </c>
      <c r="B1042" s="1"/>
      <c r="C1042" s="1" t="s">
        <v>3000</v>
      </c>
      <c r="D1042" s="1" t="s">
        <v>3442</v>
      </c>
      <c r="E1042" s="1"/>
      <c r="F1042">
        <v>0.3</v>
      </c>
      <c r="G1042">
        <v>1.1000000000000001</v>
      </c>
      <c r="H1042">
        <v>-50</v>
      </c>
      <c r="I1042">
        <v>0</v>
      </c>
      <c r="J1042">
        <v>1</v>
      </c>
      <c r="K1042" s="2">
        <v>45771</v>
      </c>
    </row>
    <row r="1043" spans="1:11" x14ac:dyDescent="0.25">
      <c r="A1043" s="1" t="s">
        <v>654</v>
      </c>
      <c r="B1043" s="1"/>
      <c r="C1043" s="1" t="s">
        <v>3001</v>
      </c>
      <c r="D1043" s="1" t="s">
        <v>3443</v>
      </c>
      <c r="E1043" s="1"/>
      <c r="F1043">
        <v>0.3</v>
      </c>
      <c r="G1043">
        <v>2.1</v>
      </c>
      <c r="H1043">
        <v>-110</v>
      </c>
      <c r="I1043">
        <v>0</v>
      </c>
      <c r="J1043">
        <v>1</v>
      </c>
      <c r="K1043" s="2">
        <v>45771</v>
      </c>
    </row>
    <row r="1044" spans="1:11" x14ac:dyDescent="0.25">
      <c r="A1044" s="1" t="s">
        <v>654</v>
      </c>
      <c r="B1044" s="1"/>
      <c r="C1044" s="1" t="s">
        <v>3002</v>
      </c>
      <c r="D1044" s="1" t="s">
        <v>3444</v>
      </c>
      <c r="E1044" s="1"/>
      <c r="F1044">
        <v>0</v>
      </c>
      <c r="G1044">
        <v>0</v>
      </c>
      <c r="H1044">
        <v>0</v>
      </c>
      <c r="I1044">
        <v>0</v>
      </c>
      <c r="J1044">
        <v>1</v>
      </c>
      <c r="K1044" s="2">
        <v>45772</v>
      </c>
    </row>
    <row r="1045" spans="1:11" x14ac:dyDescent="0.25">
      <c r="A1045" s="1" t="s">
        <v>654</v>
      </c>
      <c r="B1045" s="1"/>
      <c r="C1045" s="1" t="s">
        <v>3003</v>
      </c>
      <c r="D1045" s="1" t="s">
        <v>3438</v>
      </c>
      <c r="E1045" s="1"/>
      <c r="F1045">
        <v>0.5</v>
      </c>
      <c r="G1045">
        <v>0.4</v>
      </c>
      <c r="H1045">
        <v>10</v>
      </c>
      <c r="I1045">
        <v>0</v>
      </c>
      <c r="J1045">
        <v>1</v>
      </c>
      <c r="K1045" s="2">
        <v>45772</v>
      </c>
    </row>
    <row r="1046" spans="1:11" x14ac:dyDescent="0.25">
      <c r="A1046" s="1" t="s">
        <v>654</v>
      </c>
      <c r="B1046" s="1"/>
      <c r="C1046" s="1" t="s">
        <v>3004</v>
      </c>
      <c r="D1046" s="1" t="s">
        <v>3438</v>
      </c>
      <c r="E1046" s="1"/>
      <c r="F1046">
        <v>0.5</v>
      </c>
      <c r="G1046">
        <v>1.5</v>
      </c>
      <c r="H1046">
        <v>-60</v>
      </c>
      <c r="I1046">
        <v>0</v>
      </c>
      <c r="J1046">
        <v>1</v>
      </c>
      <c r="K1046" s="2">
        <v>45773</v>
      </c>
    </row>
    <row r="1047" spans="1:11" x14ac:dyDescent="0.25">
      <c r="A1047" s="1" t="s">
        <v>414</v>
      </c>
      <c r="B1047" s="1"/>
      <c r="C1047" s="1" t="s">
        <v>2808</v>
      </c>
      <c r="D1047" s="1" t="s">
        <v>3370</v>
      </c>
      <c r="E1047" s="1"/>
      <c r="F1047">
        <v>0</v>
      </c>
      <c r="G1047">
        <v>0</v>
      </c>
      <c r="H1047">
        <v>0</v>
      </c>
      <c r="I1047">
        <v>0</v>
      </c>
      <c r="J1047">
        <v>1</v>
      </c>
      <c r="K1047" s="2">
        <v>45773</v>
      </c>
    </row>
    <row r="1048" spans="1:11" x14ac:dyDescent="0.25">
      <c r="A1048" s="1" t="s">
        <v>414</v>
      </c>
      <c r="B1048" s="1"/>
      <c r="C1048" s="1" t="s">
        <v>2996</v>
      </c>
      <c r="D1048" s="1" t="s">
        <v>3437</v>
      </c>
      <c r="E1048" s="1"/>
      <c r="F1048">
        <v>0.3</v>
      </c>
      <c r="G1048">
        <v>1.2</v>
      </c>
      <c r="H1048">
        <v>-55</v>
      </c>
      <c r="I1048">
        <v>0</v>
      </c>
      <c r="J1048">
        <v>1</v>
      </c>
      <c r="K1048" s="2">
        <v>45762</v>
      </c>
    </row>
    <row r="1049" spans="1:11" x14ac:dyDescent="0.25">
      <c r="A1049" s="1" t="s">
        <v>414</v>
      </c>
      <c r="B1049" s="1"/>
      <c r="C1049" s="1" t="s">
        <v>2997</v>
      </c>
      <c r="D1049" s="1" t="s">
        <v>3437</v>
      </c>
      <c r="E1049" s="1"/>
      <c r="F1049">
        <v>0.5</v>
      </c>
      <c r="G1049">
        <v>1.2</v>
      </c>
      <c r="H1049">
        <v>-40</v>
      </c>
      <c r="I1049">
        <v>0</v>
      </c>
      <c r="J1049">
        <v>1</v>
      </c>
      <c r="K1049" s="2">
        <v>45762</v>
      </c>
    </row>
    <row r="1050" spans="1:11" x14ac:dyDescent="0.25">
      <c r="A1050" s="1" t="s">
        <v>414</v>
      </c>
      <c r="B1050" s="1"/>
      <c r="C1050" s="1" t="s">
        <v>2867</v>
      </c>
      <c r="D1050" s="1" t="s">
        <v>3437</v>
      </c>
      <c r="E1050" s="1"/>
      <c r="F1050">
        <v>0.3</v>
      </c>
      <c r="G1050">
        <v>0.1</v>
      </c>
      <c r="H1050">
        <v>10</v>
      </c>
      <c r="I1050">
        <v>0</v>
      </c>
      <c r="J1050">
        <v>1</v>
      </c>
      <c r="K1050" s="2">
        <v>45762</v>
      </c>
    </row>
    <row r="1051" spans="1:11" x14ac:dyDescent="0.25">
      <c r="A1051" s="1" t="s">
        <v>414</v>
      </c>
      <c r="B1051" s="1"/>
      <c r="C1051" s="1" t="s">
        <v>2868</v>
      </c>
      <c r="D1051" s="1" t="s">
        <v>3438</v>
      </c>
      <c r="E1051" s="1"/>
      <c r="F1051">
        <v>0.2</v>
      </c>
      <c r="G1051">
        <v>2.7</v>
      </c>
      <c r="H1051">
        <v>-160</v>
      </c>
      <c r="I1051">
        <v>0</v>
      </c>
      <c r="J1051">
        <v>1</v>
      </c>
      <c r="K1051" s="2">
        <v>45762</v>
      </c>
    </row>
    <row r="1052" spans="1:11" x14ac:dyDescent="0.25">
      <c r="A1052" s="1" t="s">
        <v>414</v>
      </c>
      <c r="B1052" s="1"/>
      <c r="C1052" s="1" t="s">
        <v>2998</v>
      </c>
      <c r="D1052" s="1" t="s">
        <v>3439</v>
      </c>
      <c r="E1052" s="1"/>
      <c r="F1052">
        <v>0</v>
      </c>
      <c r="G1052">
        <v>0</v>
      </c>
      <c r="H1052">
        <v>0</v>
      </c>
      <c r="I1052">
        <v>0</v>
      </c>
      <c r="J1052">
        <v>1</v>
      </c>
      <c r="K1052" s="2">
        <v>45764</v>
      </c>
    </row>
    <row r="1053" spans="1:11" x14ac:dyDescent="0.25">
      <c r="A1053" s="1" t="s">
        <v>414</v>
      </c>
      <c r="B1053" s="1"/>
      <c r="C1053" s="1" t="s">
        <v>2999</v>
      </c>
      <c r="D1053" s="1" t="s">
        <v>3440</v>
      </c>
      <c r="E1053" s="1"/>
      <c r="F1053">
        <v>0.5</v>
      </c>
      <c r="G1053">
        <v>2.5</v>
      </c>
      <c r="H1053">
        <v>-115</v>
      </c>
      <c r="I1053">
        <v>0</v>
      </c>
      <c r="J1053">
        <v>1</v>
      </c>
      <c r="K1053" s="2">
        <v>45764</v>
      </c>
    </row>
    <row r="1054" spans="1:11" x14ac:dyDescent="0.25">
      <c r="A1054" s="1" t="s">
        <v>414</v>
      </c>
      <c r="B1054" s="1"/>
      <c r="C1054" s="1" t="s">
        <v>2873</v>
      </c>
      <c r="D1054" s="1" t="s">
        <v>3441</v>
      </c>
      <c r="E1054" s="1"/>
      <c r="F1054">
        <v>0</v>
      </c>
      <c r="G1054">
        <v>5.9</v>
      </c>
      <c r="H1054">
        <v>-365</v>
      </c>
      <c r="I1054">
        <v>0</v>
      </c>
      <c r="J1054">
        <v>1</v>
      </c>
      <c r="K1054" s="2">
        <v>45764</v>
      </c>
    </row>
    <row r="1055" spans="1:11" x14ac:dyDescent="0.25">
      <c r="A1055" s="1" t="s">
        <v>414</v>
      </c>
      <c r="B1055" s="1"/>
      <c r="C1055" s="1" t="s">
        <v>3000</v>
      </c>
      <c r="D1055" s="1" t="s">
        <v>3442</v>
      </c>
      <c r="E1055" s="1"/>
      <c r="F1055">
        <v>0.3</v>
      </c>
      <c r="G1055">
        <v>4</v>
      </c>
      <c r="H1055">
        <v>-230</v>
      </c>
      <c r="I1055">
        <v>0</v>
      </c>
      <c r="J1055">
        <v>1</v>
      </c>
      <c r="K1055" s="2">
        <v>45765</v>
      </c>
    </row>
    <row r="1056" spans="1:11" x14ac:dyDescent="0.25">
      <c r="A1056" s="1" t="s">
        <v>414</v>
      </c>
      <c r="B1056" s="1"/>
      <c r="C1056" s="1" t="s">
        <v>3001</v>
      </c>
      <c r="D1056" s="1" t="s">
        <v>3443</v>
      </c>
      <c r="E1056" s="1"/>
      <c r="F1056">
        <v>0.3</v>
      </c>
      <c r="G1056">
        <v>0.5</v>
      </c>
      <c r="H1056">
        <v>-15</v>
      </c>
      <c r="I1056">
        <v>0</v>
      </c>
      <c r="J1056">
        <v>1</v>
      </c>
      <c r="K1056" s="2">
        <v>45766</v>
      </c>
    </row>
    <row r="1057" spans="1:11" x14ac:dyDescent="0.25">
      <c r="A1057" s="1" t="s">
        <v>414</v>
      </c>
      <c r="B1057" s="1"/>
      <c r="C1057" s="1" t="s">
        <v>3002</v>
      </c>
      <c r="D1057" s="1" t="s">
        <v>3444</v>
      </c>
      <c r="E1057" s="1"/>
      <c r="F1057">
        <v>0</v>
      </c>
      <c r="G1057">
        <v>0</v>
      </c>
      <c r="H1057">
        <v>0</v>
      </c>
      <c r="I1057">
        <v>0</v>
      </c>
      <c r="J1057">
        <v>1</v>
      </c>
      <c r="K1057" s="2">
        <v>45766</v>
      </c>
    </row>
    <row r="1058" spans="1:11" x14ac:dyDescent="0.25">
      <c r="A1058" s="1" t="s">
        <v>414</v>
      </c>
      <c r="B1058" s="1"/>
      <c r="C1058" s="1" t="s">
        <v>3003</v>
      </c>
      <c r="D1058" s="1" t="s">
        <v>3438</v>
      </c>
      <c r="E1058" s="1"/>
      <c r="F1058">
        <v>0.5</v>
      </c>
      <c r="G1058">
        <v>1.1000000000000001</v>
      </c>
      <c r="H1058">
        <v>-30</v>
      </c>
      <c r="I1058">
        <v>0</v>
      </c>
      <c r="J1058">
        <v>1</v>
      </c>
      <c r="K1058" s="2">
        <v>45768</v>
      </c>
    </row>
    <row r="1059" spans="1:11" x14ac:dyDescent="0.25">
      <c r="A1059" s="1" t="s">
        <v>414</v>
      </c>
      <c r="B1059" s="1"/>
      <c r="C1059" s="1" t="s">
        <v>3004</v>
      </c>
      <c r="D1059" s="1" t="s">
        <v>3438</v>
      </c>
      <c r="E1059" s="1"/>
      <c r="F1059">
        <v>0.5</v>
      </c>
      <c r="G1059">
        <v>1.8</v>
      </c>
      <c r="H1059">
        <v>-75</v>
      </c>
      <c r="I1059">
        <v>0</v>
      </c>
      <c r="J1059">
        <v>1</v>
      </c>
      <c r="K1059" s="2">
        <v>45771</v>
      </c>
    </row>
    <row r="1060" spans="1:11" x14ac:dyDescent="0.25">
      <c r="A1060" s="1" t="s">
        <v>576</v>
      </c>
      <c r="B1060" s="1"/>
      <c r="C1060" s="1" t="s">
        <v>2808</v>
      </c>
      <c r="D1060" s="1" t="s">
        <v>3370</v>
      </c>
      <c r="E1060" s="1"/>
      <c r="F1060">
        <v>0</v>
      </c>
      <c r="G1060">
        <v>0</v>
      </c>
      <c r="H1060">
        <v>0</v>
      </c>
      <c r="I1060">
        <v>0</v>
      </c>
      <c r="J1060">
        <v>1</v>
      </c>
      <c r="K1060" s="2">
        <v>45773</v>
      </c>
    </row>
    <row r="1061" spans="1:11" x14ac:dyDescent="0.25">
      <c r="A1061" s="1" t="s">
        <v>576</v>
      </c>
      <c r="B1061" s="1"/>
      <c r="C1061" s="1" t="s">
        <v>2996</v>
      </c>
      <c r="D1061" s="1" t="s">
        <v>3437</v>
      </c>
      <c r="E1061" s="1"/>
      <c r="F1061">
        <v>0.3</v>
      </c>
      <c r="G1061">
        <v>0.7</v>
      </c>
      <c r="H1061">
        <v>-25</v>
      </c>
      <c r="I1061">
        <v>0</v>
      </c>
      <c r="J1061">
        <v>1</v>
      </c>
      <c r="K1061" s="2">
        <v>45763</v>
      </c>
    </row>
    <row r="1062" spans="1:11" x14ac:dyDescent="0.25">
      <c r="A1062" s="1" t="s">
        <v>576</v>
      </c>
      <c r="B1062" s="1"/>
      <c r="C1062" s="1" t="s">
        <v>2997</v>
      </c>
      <c r="D1062" s="1" t="s">
        <v>3437</v>
      </c>
      <c r="E1062" s="1"/>
      <c r="F1062">
        <v>0.5</v>
      </c>
      <c r="G1062">
        <v>2.6</v>
      </c>
      <c r="H1062">
        <v>-130</v>
      </c>
      <c r="I1062">
        <v>0</v>
      </c>
      <c r="J1062">
        <v>1</v>
      </c>
      <c r="K1062" s="2">
        <v>45763</v>
      </c>
    </row>
    <row r="1063" spans="1:11" x14ac:dyDescent="0.25">
      <c r="A1063" s="1" t="s">
        <v>576</v>
      </c>
      <c r="B1063" s="1"/>
      <c r="C1063" s="1" t="s">
        <v>2867</v>
      </c>
      <c r="D1063" s="1" t="s">
        <v>3437</v>
      </c>
      <c r="E1063" s="1"/>
      <c r="F1063">
        <v>0.3</v>
      </c>
      <c r="G1063">
        <v>0.1</v>
      </c>
      <c r="H1063">
        <v>10</v>
      </c>
      <c r="I1063">
        <v>0</v>
      </c>
      <c r="J1063">
        <v>1</v>
      </c>
      <c r="K1063" s="2">
        <v>45763</v>
      </c>
    </row>
    <row r="1064" spans="1:11" x14ac:dyDescent="0.25">
      <c r="A1064" s="1" t="s">
        <v>576</v>
      </c>
      <c r="B1064" s="1"/>
      <c r="C1064" s="1" t="s">
        <v>2868</v>
      </c>
      <c r="D1064" s="1" t="s">
        <v>3438</v>
      </c>
      <c r="E1064" s="1"/>
      <c r="F1064">
        <v>0.2</v>
      </c>
      <c r="G1064">
        <v>2.4</v>
      </c>
      <c r="H1064">
        <v>-135</v>
      </c>
      <c r="I1064">
        <v>0</v>
      </c>
      <c r="J1064">
        <v>1</v>
      </c>
      <c r="K1064" s="2">
        <v>45763</v>
      </c>
    </row>
    <row r="1065" spans="1:11" x14ac:dyDescent="0.25">
      <c r="A1065" s="1" t="s">
        <v>576</v>
      </c>
      <c r="B1065" s="1"/>
      <c r="C1065" s="1" t="s">
        <v>2998</v>
      </c>
      <c r="D1065" s="1" t="s">
        <v>3439</v>
      </c>
      <c r="E1065" s="1"/>
      <c r="F1065">
        <v>0</v>
      </c>
      <c r="G1065">
        <v>0</v>
      </c>
      <c r="H1065">
        <v>0</v>
      </c>
      <c r="I1065">
        <v>0</v>
      </c>
      <c r="J1065">
        <v>1</v>
      </c>
      <c r="K1065" s="2">
        <v>45765</v>
      </c>
    </row>
    <row r="1066" spans="1:11" x14ac:dyDescent="0.25">
      <c r="A1066" s="1" t="s">
        <v>576</v>
      </c>
      <c r="B1066" s="1"/>
      <c r="C1066" s="1" t="s">
        <v>2999</v>
      </c>
      <c r="D1066" s="1" t="s">
        <v>3440</v>
      </c>
      <c r="E1066" s="1"/>
      <c r="F1066">
        <v>0.5</v>
      </c>
      <c r="G1066">
        <v>1.3</v>
      </c>
      <c r="H1066">
        <v>-40</v>
      </c>
      <c r="I1066">
        <v>0</v>
      </c>
      <c r="J1066">
        <v>1</v>
      </c>
      <c r="K1066" s="2">
        <v>45765</v>
      </c>
    </row>
    <row r="1067" spans="1:11" x14ac:dyDescent="0.25">
      <c r="A1067" s="1" t="s">
        <v>576</v>
      </c>
      <c r="B1067" s="1"/>
      <c r="C1067" s="1" t="s">
        <v>2873</v>
      </c>
      <c r="D1067" s="1" t="s">
        <v>3441</v>
      </c>
      <c r="E1067" s="1"/>
      <c r="F1067">
        <v>0</v>
      </c>
      <c r="G1067">
        <v>4.5</v>
      </c>
      <c r="H1067">
        <v>-275</v>
      </c>
      <c r="I1067">
        <v>0</v>
      </c>
      <c r="J1067">
        <v>1</v>
      </c>
      <c r="K1067" s="2">
        <v>45765</v>
      </c>
    </row>
    <row r="1068" spans="1:11" x14ac:dyDescent="0.25">
      <c r="A1068" s="1" t="s">
        <v>576</v>
      </c>
      <c r="B1068" s="1"/>
      <c r="C1068" s="1" t="s">
        <v>3000</v>
      </c>
      <c r="D1068" s="1" t="s">
        <v>3442</v>
      </c>
      <c r="E1068" s="1"/>
      <c r="F1068">
        <v>0.3</v>
      </c>
      <c r="G1068">
        <v>1.2</v>
      </c>
      <c r="H1068">
        <v>-55</v>
      </c>
      <c r="I1068">
        <v>0</v>
      </c>
      <c r="J1068">
        <v>1</v>
      </c>
      <c r="K1068" s="2">
        <v>45768</v>
      </c>
    </row>
    <row r="1069" spans="1:11" x14ac:dyDescent="0.25">
      <c r="A1069" s="1" t="s">
        <v>576</v>
      </c>
      <c r="B1069" s="1"/>
      <c r="C1069" s="1" t="s">
        <v>3001</v>
      </c>
      <c r="D1069" s="1" t="s">
        <v>3443</v>
      </c>
      <c r="E1069" s="1"/>
      <c r="F1069">
        <v>0.3</v>
      </c>
      <c r="G1069">
        <v>1.6</v>
      </c>
      <c r="H1069">
        <v>-80</v>
      </c>
      <c r="I1069">
        <v>0</v>
      </c>
      <c r="J1069">
        <v>1</v>
      </c>
      <c r="K1069" s="2">
        <v>45769</v>
      </c>
    </row>
    <row r="1070" spans="1:11" x14ac:dyDescent="0.25">
      <c r="A1070" s="1" t="s">
        <v>576</v>
      </c>
      <c r="B1070" s="1"/>
      <c r="C1070" s="1" t="s">
        <v>3002</v>
      </c>
      <c r="D1070" s="1" t="s">
        <v>3444</v>
      </c>
      <c r="E1070" s="1"/>
      <c r="F1070">
        <v>0</v>
      </c>
      <c r="G1070">
        <v>0</v>
      </c>
      <c r="H1070">
        <v>0</v>
      </c>
      <c r="I1070">
        <v>0</v>
      </c>
      <c r="J1070">
        <v>1</v>
      </c>
      <c r="K1070" s="2">
        <v>45769</v>
      </c>
    </row>
    <row r="1071" spans="1:11" x14ac:dyDescent="0.25">
      <c r="A1071" s="1" t="s">
        <v>576</v>
      </c>
      <c r="B1071" s="1"/>
      <c r="C1071" s="1" t="s">
        <v>3003</v>
      </c>
      <c r="D1071" s="1" t="s">
        <v>3438</v>
      </c>
      <c r="E1071" s="1"/>
      <c r="F1071">
        <v>0.5</v>
      </c>
      <c r="G1071">
        <v>0.8</v>
      </c>
      <c r="H1071">
        <v>-15</v>
      </c>
      <c r="I1071">
        <v>0</v>
      </c>
      <c r="J1071">
        <v>1</v>
      </c>
      <c r="K1071" s="2">
        <v>45769</v>
      </c>
    </row>
    <row r="1072" spans="1:11" x14ac:dyDescent="0.25">
      <c r="A1072" s="1" t="s">
        <v>576</v>
      </c>
      <c r="B1072" s="1"/>
      <c r="C1072" s="1" t="s">
        <v>3004</v>
      </c>
      <c r="D1072" s="1" t="s">
        <v>3438</v>
      </c>
      <c r="E1072" s="1"/>
      <c r="F1072">
        <v>0.5</v>
      </c>
      <c r="G1072">
        <v>0.7</v>
      </c>
      <c r="H1072">
        <v>-5</v>
      </c>
      <c r="I1072">
        <v>0</v>
      </c>
      <c r="J1072">
        <v>1</v>
      </c>
      <c r="K1072" s="2">
        <v>45770</v>
      </c>
    </row>
    <row r="1073" spans="1:11" x14ac:dyDescent="0.25">
      <c r="A1073" s="1" t="s">
        <v>536</v>
      </c>
      <c r="B1073" s="1"/>
      <c r="C1073" s="1" t="s">
        <v>2808</v>
      </c>
      <c r="D1073" s="1" t="s">
        <v>3370</v>
      </c>
      <c r="E1073" s="1"/>
      <c r="F1073">
        <v>0</v>
      </c>
      <c r="G1073">
        <v>0</v>
      </c>
      <c r="H1073">
        <v>0</v>
      </c>
      <c r="I1073">
        <v>0</v>
      </c>
      <c r="J1073">
        <v>18</v>
      </c>
      <c r="K1073" s="2">
        <v>45756</v>
      </c>
    </row>
    <row r="1074" spans="1:11" x14ac:dyDescent="0.25">
      <c r="A1074" s="1" t="s">
        <v>536</v>
      </c>
      <c r="B1074" s="1"/>
      <c r="C1074" s="1" t="s">
        <v>2953</v>
      </c>
      <c r="D1074" s="1" t="s">
        <v>3373</v>
      </c>
      <c r="E1074" s="1"/>
      <c r="F1074">
        <v>0</v>
      </c>
      <c r="G1074">
        <v>3.3</v>
      </c>
      <c r="H1074">
        <v>-190</v>
      </c>
      <c r="I1074">
        <v>0</v>
      </c>
      <c r="J1074">
        <v>4</v>
      </c>
      <c r="K1074" s="2">
        <v>45763</v>
      </c>
    </row>
    <row r="1075" spans="1:11" x14ac:dyDescent="0.25">
      <c r="A1075" s="1" t="s">
        <v>536</v>
      </c>
      <c r="B1075" s="1"/>
      <c r="C1075" s="1" t="s">
        <v>2951</v>
      </c>
      <c r="D1075" s="1" t="s">
        <v>3374</v>
      </c>
      <c r="E1075" s="1"/>
      <c r="F1075">
        <v>0.3</v>
      </c>
      <c r="G1075">
        <v>0.1</v>
      </c>
      <c r="H1075">
        <v>20</v>
      </c>
      <c r="I1075">
        <v>0</v>
      </c>
      <c r="J1075">
        <v>4</v>
      </c>
      <c r="K1075" s="2">
        <v>45764</v>
      </c>
    </row>
    <row r="1076" spans="1:11" x14ac:dyDescent="0.25">
      <c r="A1076" s="1" t="s">
        <v>536</v>
      </c>
      <c r="B1076" s="1"/>
      <c r="C1076" s="1" t="s">
        <v>3008</v>
      </c>
      <c r="D1076" s="1" t="s">
        <v>3375</v>
      </c>
      <c r="E1076" s="1"/>
      <c r="F1076">
        <v>0.1</v>
      </c>
      <c r="G1076">
        <v>0.1</v>
      </c>
      <c r="H1076">
        <v>5</v>
      </c>
      <c r="I1076">
        <v>0</v>
      </c>
      <c r="J1076">
        <v>4</v>
      </c>
      <c r="K1076" s="2">
        <v>45764</v>
      </c>
    </row>
    <row r="1077" spans="1:11" x14ac:dyDescent="0.25">
      <c r="A1077" s="1" t="s">
        <v>537</v>
      </c>
      <c r="B1077" s="1"/>
      <c r="C1077" s="1" t="s">
        <v>2808</v>
      </c>
      <c r="D1077" s="1" t="s">
        <v>3370</v>
      </c>
      <c r="E1077" s="1"/>
      <c r="F1077">
        <v>0</v>
      </c>
      <c r="G1077">
        <v>0</v>
      </c>
      <c r="H1077">
        <v>0</v>
      </c>
      <c r="I1077">
        <v>0</v>
      </c>
      <c r="J1077">
        <v>10</v>
      </c>
      <c r="K1077" s="2">
        <v>45756</v>
      </c>
    </row>
    <row r="1078" spans="1:11" x14ac:dyDescent="0.25">
      <c r="A1078" s="1" t="s">
        <v>537</v>
      </c>
      <c r="B1078" s="1"/>
      <c r="C1078" s="1" t="s">
        <v>3009</v>
      </c>
      <c r="D1078" s="1" t="s">
        <v>3421</v>
      </c>
      <c r="E1078" s="1"/>
      <c r="F1078">
        <v>0.7</v>
      </c>
      <c r="G1078">
        <v>0</v>
      </c>
      <c r="H1078">
        <v>45</v>
      </c>
      <c r="I1078">
        <v>0</v>
      </c>
      <c r="J1078">
        <v>4</v>
      </c>
      <c r="K1078" s="2">
        <v>45768</v>
      </c>
    </row>
    <row r="1079" spans="1:11" x14ac:dyDescent="0.25">
      <c r="A1079" s="1" t="s">
        <v>537</v>
      </c>
      <c r="B1079" s="1"/>
      <c r="C1079" s="1" t="s">
        <v>2949</v>
      </c>
      <c r="D1079" s="1" t="s">
        <v>3404</v>
      </c>
      <c r="E1079" s="1"/>
      <c r="F1079">
        <v>0.2</v>
      </c>
      <c r="G1079">
        <v>0</v>
      </c>
      <c r="H1079">
        <v>15</v>
      </c>
      <c r="I1079">
        <v>0</v>
      </c>
      <c r="J1079">
        <v>4</v>
      </c>
      <c r="K1079" s="2">
        <v>45768</v>
      </c>
    </row>
    <row r="1080" spans="1:11" x14ac:dyDescent="0.25">
      <c r="A1080" s="1" t="s">
        <v>537</v>
      </c>
      <c r="B1080" s="1"/>
      <c r="C1080" s="1" t="s">
        <v>2949</v>
      </c>
      <c r="D1080" s="1" t="s">
        <v>3371</v>
      </c>
      <c r="E1080" s="1"/>
      <c r="F1080">
        <v>0.1</v>
      </c>
      <c r="G1080">
        <v>0</v>
      </c>
      <c r="H1080">
        <v>10</v>
      </c>
      <c r="I1080">
        <v>0</v>
      </c>
      <c r="J1080">
        <v>4</v>
      </c>
      <c r="K1080" s="2">
        <v>45768</v>
      </c>
    </row>
    <row r="1081" spans="1:11" x14ac:dyDescent="0.25">
      <c r="A1081" s="1" t="s">
        <v>537</v>
      </c>
      <c r="B1081" s="1"/>
      <c r="C1081" s="1" t="s">
        <v>2953</v>
      </c>
      <c r="D1081" s="1" t="s">
        <v>3373</v>
      </c>
      <c r="E1081" s="1"/>
      <c r="F1081">
        <v>12</v>
      </c>
      <c r="G1081">
        <v>0.8</v>
      </c>
      <c r="H1081">
        <v>615</v>
      </c>
      <c r="I1081">
        <v>0</v>
      </c>
      <c r="J1081">
        <v>4</v>
      </c>
      <c r="K1081" s="2">
        <v>45763</v>
      </c>
    </row>
    <row r="1082" spans="1:11" x14ac:dyDescent="0.25">
      <c r="A1082" s="1" t="s">
        <v>537</v>
      </c>
      <c r="B1082" s="1"/>
      <c r="C1082" s="1" t="s">
        <v>2951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   <v>0</v>
      </c>
      <c r="J1082">
        <v>4</v>
      </c>
      <c r="K1082" s="2">
        <v>45768</v>
      </c>
    </row>
    <row r="1083" spans="1:11" x14ac:dyDescent="0.25">
      <c r="A1083" s="1" t="s">
        <v>537</v>
      </c>
      <c r="B1083" s="1"/>
      <c r="C1083" s="1" t="s">
        <v>3010</v>
      </c>
      <c r="D1083" s="1" t="s">
        <v>3375</v>
      </c>
      <c r="E1083" s="1"/>
      <c r="F1083">
        <v>0</v>
      </c>
      <c r="G1083">
        <v>0</v>
      </c>
      <c r="H1083">
        <v>0</v>
      </c>
      <c r="I1083">
        <v>0</v>
      </c>
      <c r="J1083">
        <v>4</v>
      </c>
      <c r="K1083" s="2">
        <v>45768</v>
      </c>
    </row>
    <row r="1084" spans="1:11" x14ac:dyDescent="0.25">
      <c r="A1084" s="1" t="s">
        <v>537</v>
      </c>
      <c r="B1084" s="1"/>
      <c r="C1084" s="1" t="s">
        <v>3011</v>
      </c>
      <c r="D1084" s="1" t="s">
        <v>3425</v>
      </c>
      <c r="E1084" s="1"/>
      <c r="F1084">
        <v>0</v>
      </c>
      <c r="G1084">
        <v>0.8</v>
      </c>
      <c r="H1084">
        <v>-30</v>
      </c>
      <c r="I1084">
        <v>0</v>
      </c>
      <c r="J1084">
        <v>4</v>
      </c>
      <c r="K1084" s="2">
        <v>45768</v>
      </c>
    </row>
    <row r="1085" spans="1:11" x14ac:dyDescent="0.25">
      <c r="A1085" s="1" t="s">
        <v>537</v>
      </c>
      <c r="B1085" s="1"/>
      <c r="C1085" s="1" t="s">
        <v>3012</v>
      </c>
      <c r="D1085" s="1" t="s">
        <v>3372</v>
      </c>
      <c r="E1085" s="1"/>
      <c r="F1085">
        <v>0</v>
      </c>
      <c r="G1085">
        <v>0</v>
      </c>
      <c r="H1085">
        <v>0</v>
      </c>
      <c r="I1085">
        <v>0</v>
      </c>
      <c r="J1085">
        <v>4</v>
      </c>
      <c r="K1085" s="2">
        <v>45769</v>
      </c>
    </row>
    <row r="1086" spans="1:11" x14ac:dyDescent="0.25">
      <c r="A1086" s="1" t="s">
        <v>537</v>
      </c>
      <c r="B1086" s="1"/>
      <c r="C1086" s="1" t="s">
        <v>2997</v>
      </c>
      <c r="D1086" s="1" t="s">
        <v>3421</v>
      </c>
      <c r="E1086" s="1"/>
      <c r="F1086">
        <v>0.7</v>
      </c>
      <c r="G1086">
        <v>0</v>
      </c>
      <c r="H1086">
        <v>45</v>
      </c>
      <c r="I1086">
        <v>0</v>
      </c>
      <c r="J1086">
        <v>10</v>
      </c>
      <c r="K1086" s="2">
        <v>45768</v>
      </c>
    </row>
    <row r="1087" spans="1:11" x14ac:dyDescent="0.25">
      <c r="A1087" s="1" t="s">
        <v>537</v>
      </c>
      <c r="B1087" s="1"/>
      <c r="C1087" s="1" t="s">
        <v>2871</v>
      </c>
      <c r="D1087" s="1" t="s">
        <v>3404</v>
      </c>
      <c r="E1087" s="1"/>
      <c r="F1087">
        <v>0.3</v>
      </c>
      <c r="G1087">
        <v>1</v>
      </c>
      <c r="H1087">
        <v>-35</v>
      </c>
      <c r="I1087">
        <v>0</v>
      </c>
      <c r="J1087">
        <v>10</v>
      </c>
      <c r="K1087" s="2">
        <v>45768</v>
      </c>
    </row>
    <row r="1088" spans="1:11" x14ac:dyDescent="0.25">
      <c r="A1088" s="1" t="s">
        <v>537</v>
      </c>
      <c r="B1088" s="1"/>
      <c r="C1088" s="1" t="s">
        <v>2872</v>
      </c>
      <c r="D1088" s="1" t="s">
        <v>3371</v>
      </c>
      <c r="E1088" s="1"/>
      <c r="F1088">
        <v>0.4</v>
      </c>
      <c r="G1088">
        <v>0.3</v>
      </c>
      <c r="H1088">
        <v>15</v>
      </c>
      <c r="I1088">
        <v>0</v>
      </c>
      <c r="J1088">
        <v>10</v>
      </c>
      <c r="K1088" s="2">
        <v>45768</v>
      </c>
    </row>
    <row r="1089" spans="1:11" x14ac:dyDescent="0.25">
      <c r="A1089" s="1" t="s">
        <v>537</v>
      </c>
      <c r="B1089" s="1"/>
      <c r="C1089" s="1" t="s">
        <v>2873</v>
      </c>
      <c r="D1089" s="1" t="s">
        <v>3373</v>
      </c>
      <c r="E1089" s="1"/>
      <c r="F1089">
        <v>1.8</v>
      </c>
      <c r="G1089">
        <v>2.2999999999999998</v>
      </c>
      <c r="H1089">
        <v>-5</v>
      </c>
      <c r="I1089">
        <v>0</v>
      </c>
      <c r="J1089">
        <v>10</v>
      </c>
      <c r="K1089" s="2">
        <v>45769</v>
      </c>
    </row>
    <row r="1090" spans="1:11" x14ac:dyDescent="0.25">
      <c r="A1090" s="1" t="s">
        <v>537</v>
      </c>
      <c r="B1090" s="1"/>
      <c r="C1090" s="1" t="s">
        <v>2812</v>
      </c>
      <c r="D1090" s="1" t="s">
        <v>3374</v>
      </c>
      <c r="E1090" s="1"/>
      <c r="F1090">
        <v>0.3</v>
      </c>
      <c r="G1090">
        <v>0</v>
      </c>
      <c r="H1090">
        <v>20</v>
      </c>
      <c r="I1090">
        <v>0</v>
      </c>
      <c r="J1090">
        <v>10</v>
      </c>
      <c r="K1090" s="2">
        <v>45769</v>
      </c>
    </row>
    <row r="1091" spans="1:11" x14ac:dyDescent="0.25">
      <c r="A1091" s="1" t="s">
        <v>537</v>
      </c>
      <c r="B1091" s="1"/>
      <c r="C1091" s="1" t="s">
        <v>2870</v>
      </c>
      <c r="D1091" s="1" t="s">
        <v>3375</v>
      </c>
      <c r="E1091" s="1"/>
      <c r="F1091">
        <v>2.6</v>
      </c>
      <c r="G1091">
        <v>0</v>
      </c>
      <c r="H1091">
        <v>140</v>
      </c>
      <c r="I1091">
        <v>0</v>
      </c>
      <c r="J1091">
        <v>10</v>
      </c>
      <c r="K1091" s="2">
        <v>45770</v>
      </c>
    </row>
    <row r="1092" spans="1:11" x14ac:dyDescent="0.25">
      <c r="A1092" s="1" t="s">
        <v>377</v>
      </c>
      <c r="B1092" s="1"/>
      <c r="C1092" s="1" t="s">
        <v>2867</v>
      </c>
      <c r="D1092" s="1" t="s">
        <v>3404</v>
      </c>
      <c r="E1092" s="1"/>
      <c r="F1092">
        <v>1.2</v>
      </c>
      <c r="G1092">
        <v>0</v>
      </c>
      <c r="H1092">
        <v>65</v>
      </c>
      <c r="I1092">
        <v>0</v>
      </c>
      <c r="J1092">
        <v>1</v>
      </c>
      <c r="K1092" s="2">
        <v>45740</v>
      </c>
    </row>
    <row r="1093" spans="1:11" x14ac:dyDescent="0.25">
      <c r="A1093" s="1" t="s">
        <v>377</v>
      </c>
      <c r="B1093" s="1"/>
      <c r="C1093" s="1" t="s">
        <v>2868</v>
      </c>
      <c r="D1093" s="1" t="s">
        <v>3371</v>
      </c>
      <c r="E1093" s="1"/>
      <c r="F1093">
        <v>0.5</v>
      </c>
      <c r="G1093">
        <v>0</v>
      </c>
      <c r="H1093">
        <v>35</v>
      </c>
      <c r="I1093">
        <v>0</v>
      </c>
      <c r="J1093">
        <v>1</v>
      </c>
      <c r="K1093" s="2">
        <v>45740</v>
      </c>
    </row>
    <row r="1094" spans="1:11" x14ac:dyDescent="0.25">
      <c r="A1094" s="1" t="s">
        <v>377</v>
      </c>
      <c r="B1094" s="1"/>
      <c r="C1094" s="1" t="s">
        <v>2869</v>
      </c>
      <c r="D1094" s="1" t="s">
        <v>3405</v>
      </c>
      <c r="E1094" s="1"/>
      <c r="F1094">
        <v>2.2999999999999998</v>
      </c>
      <c r="G1094">
        <v>0.7</v>
      </c>
      <c r="H1094">
        <v>130</v>
      </c>
      <c r="I1094">
        <v>0</v>
      </c>
      <c r="J1094">
        <v>1</v>
      </c>
      <c r="K1094" s="2">
        <v>45740</v>
      </c>
    </row>
    <row r="1095" spans="1:11" x14ac:dyDescent="0.25">
      <c r="A1095" s="1" t="s">
        <v>377</v>
      </c>
      <c r="B1095" s="1"/>
      <c r="C1095" s="1" t="s">
        <v>2812</v>
      </c>
      <c r="D1095" s="1" t="s">
        <v>3403</v>
      </c>
      <c r="E1095" s="1"/>
      <c r="F1095">
        <v>0.5</v>
      </c>
      <c r="G1095">
        <v>0</v>
      </c>
      <c r="H1095">
        <v>40</v>
      </c>
      <c r="I1095">
        <v>0</v>
      </c>
      <c r="J1095">
        <v>1</v>
      </c>
      <c r="K1095" s="2">
        <v>45742</v>
      </c>
    </row>
    <row r="1096" spans="1:11" x14ac:dyDescent="0.25">
      <c r="A1096" s="1" t="s">
        <v>377</v>
      </c>
      <c r="B1096" s="1"/>
      <c r="C1096" s="1" t="s">
        <v>2870</v>
      </c>
      <c r="D1096" s="1" t="s">
        <v>3403</v>
      </c>
      <c r="E1096" s="1"/>
      <c r="F1096">
        <v>0.5</v>
      </c>
      <c r="G1096">
        <v>0.4</v>
      </c>
      <c r="H1096">
        <v>15</v>
      </c>
      <c r="I1096">
        <v>0</v>
      </c>
      <c r="J1096">
        <v>1</v>
      </c>
      <c r="K1096" s="2">
        <v>45742</v>
      </c>
    </row>
    <row r="1097" spans="1:11" x14ac:dyDescent="0.25">
      <c r="A1097" s="1" t="s">
        <v>377</v>
      </c>
      <c r="B1097" s="1"/>
      <c r="C1097" s="1" t="s">
        <v>2816</v>
      </c>
      <c r="D1097" s="1" t="s">
        <v>3372</v>
      </c>
      <c r="E1097" s="1"/>
      <c r="F1097">
        <v>0</v>
      </c>
      <c r="G1097">
        <v>0</v>
      </c>
      <c r="H1097">
        <v>0</v>
      </c>
      <c r="I1097">
        <v>0</v>
      </c>
      <c r="J1097">
        <v>1</v>
      </c>
      <c r="K1097" s="2">
        <v>45743</v>
      </c>
    </row>
    <row r="1098" spans="1:11" x14ac:dyDescent="0.25">
      <c r="A1098" s="1" t="s">
        <v>377</v>
      </c>
      <c r="B1098" s="1"/>
      <c r="C1098" s="1" t="s">
        <v>2866</v>
      </c>
      <c r="D1098" s="1" t="s">
        <v>3403</v>
      </c>
      <c r="E1098" s="1"/>
      <c r="F1098">
        <v>3.2</v>
      </c>
      <c r="G1098">
        <v>0.2</v>
      </c>
      <c r="H1098">
        <v>220</v>
      </c>
      <c r="I1098">
        <v>0</v>
      </c>
      <c r="J1098">
        <v>1</v>
      </c>
      <c r="K1098" s="2">
        <v>45743</v>
      </c>
    </row>
    <row r="1099" spans="1:11" x14ac:dyDescent="0.25">
      <c r="A1099" s="1" t="s">
        <v>378</v>
      </c>
      <c r="B1099" s="1"/>
      <c r="C1099" s="1" t="s">
        <v>2808</v>
      </c>
      <c r="D1099" s="1" t="s">
        <v>3370</v>
      </c>
      <c r="E1099" s="1"/>
      <c r="F1099">
        <v>0</v>
      </c>
      <c r="G1099">
        <v>0</v>
      </c>
      <c r="H1099">
        <v>0</v>
      </c>
      <c r="I1099">
        <v>0</v>
      </c>
      <c r="J1099">
        <v>1</v>
      </c>
      <c r="K1099" s="2">
        <v>45747</v>
      </c>
    </row>
    <row r="1100" spans="1:11" x14ac:dyDescent="0.25">
      <c r="A1100" s="1" t="s">
        <v>378</v>
      </c>
      <c r="B1100" s="1"/>
      <c r="C1100" s="1" t="s">
        <v>2867</v>
      </c>
      <c r="D1100" s="1" t="s">
        <v>3404</v>
      </c>
      <c r="E1100" s="1"/>
      <c r="F1100">
        <v>1.2</v>
      </c>
      <c r="G1100">
        <v>0</v>
      </c>
      <c r="H1100">
        <v>65</v>
      </c>
      <c r="I1100">
        <v>0</v>
      </c>
      <c r="J1100">
        <v>1</v>
      </c>
      <c r="K1100" s="2">
        <v>45740</v>
      </c>
    </row>
    <row r="1101" spans="1:11" x14ac:dyDescent="0.25">
      <c r="A1101" s="1" t="s">
        <v>378</v>
      </c>
      <c r="B1101" s="1"/>
      <c r="C1101" s="1" t="s">
        <v>2868</v>
      </c>
      <c r="D1101" s="1" t="s">
        <v>3371</v>
      </c>
      <c r="E1101" s="1"/>
      <c r="F1101">
        <v>0.5</v>
      </c>
      <c r="G1101">
        <v>0</v>
      </c>
      <c r="H1101">
        <v>35</v>
      </c>
      <c r="I1101">
        <v>0</v>
      </c>
      <c r="J1101">
        <v>1</v>
      </c>
      <c r="K1101" s="2">
        <v>45740</v>
      </c>
    </row>
    <row r="1102" spans="1:11" x14ac:dyDescent="0.25">
      <c r="A1102" s="1" t="s">
        <v>378</v>
      </c>
      <c r="B1102" s="1"/>
      <c r="C1102" s="1" t="s">
        <v>2869</v>
      </c>
      <c r="D1102" s="1" t="s">
        <v>3405</v>
      </c>
      <c r="E1102" s="1"/>
      <c r="F1102">
        <v>2.2999999999999998</v>
      </c>
      <c r="G1102">
        <v>0.5</v>
      </c>
      <c r="H1102">
        <v>140</v>
      </c>
      <c r="I1102">
        <v>0</v>
      </c>
      <c r="J1102">
        <v>1</v>
      </c>
      <c r="K1102" s="2">
        <v>45740</v>
      </c>
    </row>
    <row r="1103" spans="1:11" x14ac:dyDescent="0.25">
      <c r="A1103" s="1" t="s">
        <v>378</v>
      </c>
      <c r="B1103" s="1"/>
      <c r="C1103" s="1" t="s">
        <v>2812</v>
      </c>
      <c r="D1103" s="1" t="s">
        <v>3403</v>
      </c>
      <c r="E1103" s="1"/>
      <c r="F1103">
        <v>0.5</v>
      </c>
      <c r="G1103">
        <v>0</v>
      </c>
      <c r="H1103">
        <v>40</v>
      </c>
      <c r="I1103">
        <v>0</v>
      </c>
      <c r="J1103">
        <v>1</v>
      </c>
      <c r="K1103" s="2">
        <v>45742</v>
      </c>
    </row>
    <row r="1104" spans="1:11" x14ac:dyDescent="0.25">
      <c r="A1104" s="1" t="s">
        <v>378</v>
      </c>
      <c r="B1104" s="1"/>
      <c r="C1104" s="1" t="s">
        <v>2870</v>
      </c>
      <c r="D1104" s="1" t="s">
        <v>3403</v>
      </c>
      <c r="E1104" s="1"/>
      <c r="F1104">
        <v>0.5</v>
      </c>
      <c r="G1104">
        <v>0.3</v>
      </c>
      <c r="H1104">
        <v>20</v>
      </c>
      <c r="I1104">
        <v>0</v>
      </c>
      <c r="J1104">
        <v>1</v>
      </c>
      <c r="K1104" s="2">
        <v>45742</v>
      </c>
    </row>
    <row r="1105" spans="1:11" x14ac:dyDescent="0.25">
      <c r="A1105" s="1" t="s">
        <v>378</v>
      </c>
      <c r="B1105" s="1"/>
      <c r="C1105" s="1" t="s">
        <v>2816</v>
      </c>
      <c r="D1105" s="1" t="s">
        <v>3372</v>
      </c>
      <c r="E1105" s="1"/>
      <c r="F1105">
        <v>0</v>
      </c>
      <c r="G1105">
        <v>0</v>
      </c>
      <c r="H1105">
        <v>0</v>
      </c>
      <c r="I1105">
        <v>0</v>
      </c>
      <c r="J1105">
        <v>1</v>
      </c>
      <c r="K1105" s="2">
        <v>45743</v>
      </c>
    </row>
    <row r="1106" spans="1:11" x14ac:dyDescent="0.25">
      <c r="A1106" s="1" t="s">
        <v>378</v>
      </c>
      <c r="B1106" s="1"/>
      <c r="C1106" s="1" t="s">
        <v>2866</v>
      </c>
      <c r="D1106" s="1" t="s">
        <v>3403</v>
      </c>
      <c r="E1106" s="1"/>
      <c r="F1106">
        <v>3.2</v>
      </c>
      <c r="G1106">
        <v>2.5</v>
      </c>
      <c r="H1106">
        <v>100</v>
      </c>
      <c r="I1106">
        <v>0</v>
      </c>
      <c r="J1106">
        <v>1</v>
      </c>
      <c r="K1106" s="2">
        <v>45747</v>
      </c>
    </row>
    <row r="1107" spans="1:11" x14ac:dyDescent="0.25">
      <c r="A1107" s="1" t="s">
        <v>379</v>
      </c>
      <c r="B1107" s="1"/>
      <c r="C1107" s="1" t="s">
        <v>2808</v>
      </c>
      <c r="D1107" s="1" t="s">
        <v>3370</v>
      </c>
      <c r="E1107" s="1"/>
      <c r="F1107">
        <v>0</v>
      </c>
      <c r="G1107">
        <v>0</v>
      </c>
      <c r="H1107">
        <v>0</v>
      </c>
      <c r="I1107">
        <v>0</v>
      </c>
      <c r="J1107">
        <v>1</v>
      </c>
      <c r="K1107" s="2">
        <v>45747</v>
      </c>
    </row>
    <row r="1108" spans="1:11" x14ac:dyDescent="0.25">
      <c r="A1108" s="1" t="s">
        <v>379</v>
      </c>
      <c r="B1108" s="1"/>
      <c r="C1108" s="1" t="s">
        <v>2867</v>
      </c>
      <c r="D1108" s="1" t="s">
        <v>3404</v>
      </c>
      <c r="E1108" s="1"/>
      <c r="F1108">
        <v>1.2</v>
      </c>
      <c r="G1108">
        <v>0</v>
      </c>
      <c r="H1108">
        <v>65</v>
      </c>
      <c r="I1108">
        <v>0</v>
      </c>
      <c r="J1108">
        <v>1</v>
      </c>
      <c r="K1108" s="2">
        <v>45740</v>
      </c>
    </row>
    <row r="1109" spans="1:11" x14ac:dyDescent="0.25">
      <c r="A1109" s="1" t="s">
        <v>379</v>
      </c>
      <c r="B1109" s="1"/>
      <c r="C1109" s="1" t="s">
        <v>2868</v>
      </c>
      <c r="D1109" s="1" t="s">
        <v>3371</v>
      </c>
      <c r="E1109" s="1"/>
      <c r="F1109">
        <v>0.5</v>
      </c>
      <c r="G1109">
        <v>0</v>
      </c>
      <c r="H1109">
        <v>35</v>
      </c>
      <c r="I1109">
        <v>0</v>
      </c>
      <c r="J1109">
        <v>1</v>
      </c>
      <c r="K1109" s="2">
        <v>45740</v>
      </c>
    </row>
    <row r="1110" spans="1:11" x14ac:dyDescent="0.25">
      <c r="A1110" s="1" t="s">
        <v>379</v>
      </c>
      <c r="B1110" s="1"/>
      <c r="C1110" s="1" t="s">
        <v>2869</v>
      </c>
      <c r="D1110" s="1" t="s">
        <v>3405</v>
      </c>
      <c r="E1110" s="1"/>
      <c r="F1110">
        <v>2.2999999999999998</v>
      </c>
      <c r="G1110">
        <v>0.4</v>
      </c>
      <c r="H1110">
        <v>145</v>
      </c>
      <c r="I1110">
        <v>0</v>
      </c>
      <c r="J1110">
        <v>1</v>
      </c>
      <c r="K1110" s="2">
        <v>45740</v>
      </c>
    </row>
    <row r="1111" spans="1:11" x14ac:dyDescent="0.25">
      <c r="A1111" s="1" t="s">
        <v>379</v>
      </c>
      <c r="B1111" s="1"/>
      <c r="C1111" s="1" t="s">
        <v>2812</v>
      </c>
      <c r="D1111" s="1" t="s">
        <v>3403</v>
      </c>
      <c r="E1111" s="1"/>
      <c r="F1111">
        <v>0.5</v>
      </c>
      <c r="G1111">
        <v>0</v>
      </c>
      <c r="H1111">
        <v>40</v>
      </c>
      <c r="I1111">
        <v>0</v>
      </c>
      <c r="J1111">
        <v>1</v>
      </c>
      <c r="K1111" s="2">
        <v>45742</v>
      </c>
    </row>
    <row r="1112" spans="1:11" x14ac:dyDescent="0.25">
      <c r="A1112" s="1" t="s">
        <v>379</v>
      </c>
      <c r="B1112" s="1"/>
      <c r="C1112" s="1" t="s">
        <v>2870</v>
      </c>
      <c r="D1112" s="1" t="s">
        <v>3403</v>
      </c>
      <c r="E1112" s="1"/>
      <c r="F1112">
        <v>0.5</v>
      </c>
      <c r="G1112">
        <v>0.8</v>
      </c>
      <c r="H1112">
        <v>-10</v>
      </c>
      <c r="I1112">
        <v>0</v>
      </c>
      <c r="J1112">
        <v>1</v>
      </c>
      <c r="K1112" s="2">
        <v>45742</v>
      </c>
    </row>
    <row r="1113" spans="1:11" x14ac:dyDescent="0.25">
      <c r="A1113" s="1" t="s">
        <v>380</v>
      </c>
      <c r="B1113" s="1"/>
      <c r="C1113" s="1" t="s">
        <v>2808</v>
      </c>
      <c r="D1113" s="1" t="s">
        <v>3370</v>
      </c>
      <c r="E1113" s="1"/>
      <c r="F1113">
        <v>0</v>
      </c>
      <c r="G1113">
        <v>0</v>
      </c>
      <c r="H1113">
        <v>0</v>
      </c>
      <c r="I1113">
        <v>0</v>
      </c>
      <c r="J1113">
        <v>1</v>
      </c>
      <c r="K1113" s="2">
        <v>45747</v>
      </c>
    </row>
    <row r="1114" spans="1:11" x14ac:dyDescent="0.25">
      <c r="A1114" s="1" t="s">
        <v>380</v>
      </c>
      <c r="B1114" s="1"/>
      <c r="C1114" s="1" t="s">
        <v>2867</v>
      </c>
      <c r="D1114" s="1" t="s">
        <v>3404</v>
      </c>
      <c r="E1114" s="1"/>
      <c r="F1114">
        <v>1.2</v>
      </c>
      <c r="G1114">
        <v>0</v>
      </c>
      <c r="H1114">
        <v>65</v>
      </c>
      <c r="I1114">
        <v>0</v>
      </c>
      <c r="J1114">
        <v>1</v>
      </c>
      <c r="K1114" s="2">
        <v>45740</v>
      </c>
    </row>
    <row r="1115" spans="1:11" x14ac:dyDescent="0.25">
      <c r="A1115" s="1" t="s">
        <v>380</v>
      </c>
      <c r="B1115" s="1"/>
      <c r="C1115" s="1" t="s">
        <v>2868</v>
      </c>
      <c r="D1115" s="1" t="s">
        <v>3371</v>
      </c>
      <c r="E1115" s="1"/>
      <c r="F1115">
        <v>0.5</v>
      </c>
      <c r="G1115">
        <v>0</v>
      </c>
      <c r="H1115">
        <v>35</v>
      </c>
      <c r="I1115">
        <v>0</v>
      </c>
      <c r="J1115">
        <v>1</v>
      </c>
      <c r="K1115" s="2">
        <v>45740</v>
      </c>
    </row>
    <row r="1116" spans="1:11" x14ac:dyDescent="0.25">
      <c r="A1116" s="1" t="s">
        <v>380</v>
      </c>
      <c r="B1116" s="1"/>
      <c r="C1116" s="1" t="s">
        <v>2869</v>
      </c>
      <c r="D1116" s="1" t="s">
        <v>3405</v>
      </c>
      <c r="E1116" s="1"/>
      <c r="F1116">
        <v>2.2999999999999998</v>
      </c>
      <c r="G1116">
        <v>0.2</v>
      </c>
      <c r="H1116">
        <v>155</v>
      </c>
      <c r="I1116">
        <v>0</v>
      </c>
      <c r="J1116">
        <v>1</v>
      </c>
      <c r="K1116" s="2">
        <v>45740</v>
      </c>
    </row>
    <row r="1117" spans="1:11" x14ac:dyDescent="0.25">
      <c r="A1117" s="1" t="s">
        <v>380</v>
      </c>
      <c r="B1117" s="1"/>
      <c r="C1117" s="1" t="s">
        <v>2812</v>
      </c>
      <c r="D1117" s="1" t="s">
        <v>3403</v>
      </c>
      <c r="E1117" s="1"/>
      <c r="F1117">
        <v>0.5</v>
      </c>
      <c r="G1117">
        <v>0</v>
      </c>
      <c r="H1117">
        <v>40</v>
      </c>
      <c r="I1117">
        <v>0</v>
      </c>
      <c r="J1117">
        <v>1</v>
      </c>
      <c r="K1117" s="2">
        <v>45742</v>
      </c>
    </row>
    <row r="1118" spans="1:11" x14ac:dyDescent="0.25">
      <c r="A1118" s="1" t="s">
        <v>380</v>
      </c>
      <c r="B1118" s="1"/>
      <c r="C1118" s="1" t="s">
        <v>2870</v>
      </c>
      <c r="D1118" s="1" t="s">
        <v>3403</v>
      </c>
      <c r="E1118" s="1"/>
      <c r="F1118">
        <v>0.5</v>
      </c>
      <c r="G1118">
        <v>0.5</v>
      </c>
      <c r="H1118">
        <v>5</v>
      </c>
      <c r="I1118">
        <v>0</v>
      </c>
      <c r="J1118">
        <v>1</v>
      </c>
      <c r="K1118" s="2">
        <v>45742</v>
      </c>
    </row>
    <row r="1119" spans="1:11" x14ac:dyDescent="0.25">
      <c r="A1119" s="1" t="s">
        <v>381</v>
      </c>
      <c r="B1119" s="1"/>
      <c r="C1119" s="1" t="s">
        <v>2867</v>
      </c>
      <c r="D1119" s="1" t="s">
        <v>3404</v>
      </c>
      <c r="E1119" s="1"/>
      <c r="F1119">
        <v>1.2</v>
      </c>
      <c r="G1119">
        <v>0</v>
      </c>
      <c r="H1119">
        <v>65</v>
      </c>
      <c r="I1119">
        <v>0</v>
      </c>
      <c r="J1119">
        <v>1</v>
      </c>
      <c r="K1119" s="2">
        <v>45740</v>
      </c>
    </row>
    <row r="1120" spans="1:11" x14ac:dyDescent="0.25">
      <c r="A1120" s="1" t="s">
        <v>381</v>
      </c>
      <c r="B1120" s="1"/>
      <c r="C1120" s="1" t="s">
        <v>2868</v>
      </c>
      <c r="D1120" s="1" t="s">
        <v>3371</v>
      </c>
      <c r="E1120" s="1"/>
      <c r="F1120">
        <v>0.5</v>
      </c>
      <c r="G1120">
        <v>0</v>
      </c>
      <c r="H1120">
        <v>35</v>
      </c>
      <c r="I1120">
        <v>0</v>
      </c>
      <c r="J1120">
        <v>1</v>
      </c>
      <c r="K1120" s="2">
        <v>45740</v>
      </c>
    </row>
    <row r="1121" spans="1:11" x14ac:dyDescent="0.25">
      <c r="A1121" s="1" t="s">
        <v>381</v>
      </c>
      <c r="B1121" s="1"/>
      <c r="C1121" s="1" t="s">
        <v>2869</v>
      </c>
      <c r="D1121" s="1" t="s">
        <v>3405</v>
      </c>
      <c r="E1121" s="1"/>
      <c r="F1121">
        <v>2.2999999999999998</v>
      </c>
      <c r="G1121">
        <v>0.2</v>
      </c>
      <c r="H1121">
        <v>155</v>
      </c>
      <c r="I1121">
        <v>0</v>
      </c>
      <c r="J1121">
        <v>1</v>
      </c>
      <c r="K1121" s="2">
        <v>45740</v>
      </c>
    </row>
    <row r="1122" spans="1:11" x14ac:dyDescent="0.25">
      <c r="A1122" s="1" t="s">
        <v>381</v>
      </c>
      <c r="B1122" s="1"/>
      <c r="C1122" s="1" t="s">
        <v>2812</v>
      </c>
      <c r="D1122" s="1" t="s">
        <v>3403</v>
      </c>
      <c r="E1122" s="1"/>
      <c r="F1122">
        <v>0.5</v>
      </c>
      <c r="G1122">
        <v>0</v>
      </c>
      <c r="H1122">
        <v>40</v>
      </c>
      <c r="I1122">
        <v>0</v>
      </c>
      <c r="J1122">
        <v>1</v>
      </c>
      <c r="K1122" s="2">
        <v>45742</v>
      </c>
    </row>
    <row r="1123" spans="1:11" x14ac:dyDescent="0.25">
      <c r="A1123" s="1" t="s">
        <v>381</v>
      </c>
      <c r="B1123" s="1"/>
      <c r="C1123" s="1" t="s">
        <v>2870</v>
      </c>
      <c r="D1123" s="1" t="s">
        <v>3403</v>
      </c>
      <c r="E1123" s="1"/>
      <c r="F1123">
        <v>0.5</v>
      </c>
      <c r="G1123">
        <v>0.9</v>
      </c>
      <c r="H1123">
        <v>-15</v>
      </c>
      <c r="I1123">
        <v>0</v>
      </c>
      <c r="J1123">
        <v>1</v>
      </c>
      <c r="K1123" s="2">
        <v>45742</v>
      </c>
    </row>
    <row r="1124" spans="1:11" x14ac:dyDescent="0.25">
      <c r="A1124" s="1" t="s">
        <v>381</v>
      </c>
      <c r="B1124" s="1"/>
      <c r="C1124" s="1" t="s">
        <v>2816</v>
      </c>
      <c r="D1124" s="1" t="s">
        <v>3372</v>
      </c>
      <c r="E1124" s="1"/>
      <c r="F1124">
        <v>0</v>
      </c>
      <c r="G1124">
        <v>0</v>
      </c>
      <c r="H1124">
        <v>0</v>
      </c>
      <c r="I1124">
        <v>0</v>
      </c>
      <c r="J1124">
        <v>1</v>
      </c>
      <c r="K1124" s="2">
        <v>45743</v>
      </c>
    </row>
    <row r="1125" spans="1:11" x14ac:dyDescent="0.25">
      <c r="A1125" s="1" t="s">
        <v>381</v>
      </c>
      <c r="B1125" s="1"/>
      <c r="C1125" s="1" t="s">
        <v>2866</v>
      </c>
      <c r="D1125" s="1" t="s">
        <v>3403</v>
      </c>
      <c r="E1125" s="1"/>
      <c r="F1125">
        <v>3.2</v>
      </c>
      <c r="G1125">
        <v>0.1</v>
      </c>
      <c r="H1125">
        <v>225</v>
      </c>
      <c r="I1125">
        <v>0</v>
      </c>
      <c r="J1125">
        <v>1</v>
      </c>
      <c r="K1125" s="2">
        <v>45743</v>
      </c>
    </row>
    <row r="1126" spans="1:11" x14ac:dyDescent="0.25">
      <c r="A1126" s="1" t="s">
        <v>382</v>
      </c>
      <c r="B1126" s="1"/>
      <c r="C1126" s="1" t="s">
        <v>2808</v>
      </c>
      <c r="D1126" s="1" t="s">
        <v>3370</v>
      </c>
      <c r="E1126" s="1"/>
      <c r="F1126">
        <v>0</v>
      </c>
      <c r="G1126">
        <v>0</v>
      </c>
      <c r="H1126">
        <v>0</v>
      </c>
      <c r="I1126">
        <v>0</v>
      </c>
      <c r="J1126">
        <v>1</v>
      </c>
      <c r="K1126" s="2">
        <v>45747</v>
      </c>
    </row>
    <row r="1127" spans="1:11" x14ac:dyDescent="0.25">
      <c r="A1127" s="1" t="s">
        <v>382</v>
      </c>
      <c r="B1127" s="1"/>
      <c r="C1127" s="1" t="s">
        <v>2867</v>
      </c>
      <c r="D1127" s="1" t="s">
        <v>3404</v>
      </c>
      <c r="E1127" s="1"/>
      <c r="F1127">
        <v>1.2</v>
      </c>
      <c r="G1127">
        <v>0</v>
      </c>
      <c r="H1127">
        <v>65</v>
      </c>
      <c r="I1127">
        <v>0</v>
      </c>
      <c r="J1127">
        <v>1</v>
      </c>
      <c r="K1127" s="2">
        <v>45740</v>
      </c>
    </row>
    <row r="1128" spans="1:11" x14ac:dyDescent="0.25">
      <c r="A1128" s="1" t="s">
        <v>382</v>
      </c>
      <c r="B1128" s="1"/>
      <c r="C1128" s="1" t="s">
        <v>2868</v>
      </c>
      <c r="D1128" s="1" t="s">
        <v>3371</v>
      </c>
      <c r="E1128" s="1"/>
      <c r="F1128">
        <v>0.5</v>
      </c>
      <c r="G1128">
        <v>0</v>
      </c>
      <c r="H1128">
        <v>35</v>
      </c>
      <c r="I1128">
        <v>0</v>
      </c>
      <c r="J1128">
        <v>1</v>
      </c>
      <c r="K1128" s="2">
        <v>45740</v>
      </c>
    </row>
    <row r="1129" spans="1:11" x14ac:dyDescent="0.25">
      <c r="A1129" s="1" t="s">
        <v>382</v>
      </c>
      <c r="B1129" s="1"/>
      <c r="C1129" s="1" t="s">
        <v>2869</v>
      </c>
      <c r="D1129" s="1" t="s">
        <v>3405</v>
      </c>
      <c r="E1129" s="1"/>
      <c r="F1129">
        <v>2.2999999999999998</v>
      </c>
      <c r="G1129">
        <v>0.3</v>
      </c>
      <c r="H1129">
        <v>150</v>
      </c>
      <c r="I1129">
        <v>0</v>
      </c>
      <c r="J1129">
        <v>1</v>
      </c>
      <c r="K1129" s="2">
        <v>45740</v>
      </c>
    </row>
    <row r="1130" spans="1:11" x14ac:dyDescent="0.25">
      <c r="A1130" s="1" t="s">
        <v>382</v>
      </c>
      <c r="B1130" s="1"/>
      <c r="C1130" s="1" t="s">
        <v>2812</v>
      </c>
      <c r="D1130" s="1" t="s">
        <v>3403</v>
      </c>
      <c r="E1130" s="1"/>
      <c r="F1130">
        <v>0.5</v>
      </c>
      <c r="G1130">
        <v>0</v>
      </c>
      <c r="H1130">
        <v>40</v>
      </c>
      <c r="I1130">
        <v>0</v>
      </c>
      <c r="J1130">
        <v>1</v>
      </c>
      <c r="K1130" s="2">
        <v>45742</v>
      </c>
    </row>
    <row r="1131" spans="1:11" x14ac:dyDescent="0.25">
      <c r="A1131" s="1" t="s">
        <v>382</v>
      </c>
      <c r="B1131" s="1"/>
      <c r="C1131" s="1" t="s">
        <v>2870</v>
      </c>
      <c r="D1131" s="1" t="s">
        <v>3403</v>
      </c>
      <c r="E1131" s="1"/>
      <c r="F1131">
        <v>0.5</v>
      </c>
      <c r="G1131">
        <v>0.5</v>
      </c>
      <c r="H1131">
        <v>10</v>
      </c>
      <c r="I1131">
        <v>0</v>
      </c>
      <c r="J1131">
        <v>1</v>
      </c>
      <c r="K1131" s="2">
        <v>45764</v>
      </c>
    </row>
    <row r="1132" spans="1:11" x14ac:dyDescent="0.25">
      <c r="A1132" s="1" t="s">
        <v>382</v>
      </c>
      <c r="B1132" s="1"/>
      <c r="C1132" s="1" t="s">
        <v>2816</v>
      </c>
      <c r="D1132" s="1" t="s">
        <v>3372</v>
      </c>
      <c r="E1132" s="1"/>
      <c r="F1132">
        <v>0</v>
      </c>
      <c r="G1132">
        <v>0</v>
      </c>
      <c r="H1132">
        <v>0</v>
      </c>
      <c r="I1132">
        <v>0</v>
      </c>
      <c r="J1132">
        <v>1</v>
      </c>
      <c r="K1132" s="2">
        <v>45743</v>
      </c>
    </row>
    <row r="1133" spans="1:11" x14ac:dyDescent="0.25">
      <c r="A1133" s="1" t="s">
        <v>382</v>
      </c>
      <c r="B1133" s="1"/>
      <c r="C1133" s="1" t="s">
        <v>2866</v>
      </c>
      <c r="D1133" s="1" t="s">
        <v>3403</v>
      </c>
      <c r="E1133" s="1"/>
      <c r="F1133">
        <v>3.2</v>
      </c>
      <c r="G1133">
        <v>0.1</v>
      </c>
      <c r="H1133">
        <v>220</v>
      </c>
      <c r="I1133">
        <v>0</v>
      </c>
      <c r="J1133">
        <v>1</v>
      </c>
      <c r="K1133" s="2">
        <v>45764</v>
      </c>
    </row>
    <row r="1134" spans="1:11" x14ac:dyDescent="0.25">
      <c r="A1134" s="1" t="s">
        <v>383</v>
      </c>
      <c r="B1134" s="1"/>
      <c r="C1134" s="1" t="s">
        <v>2808</v>
      </c>
      <c r="D1134" s="1" t="s">
        <v>3370</v>
      </c>
      <c r="E1134" s="1"/>
      <c r="F1134">
        <v>0</v>
      </c>
      <c r="G1134">
        <v>0</v>
      </c>
      <c r="H1134">
        <v>0</v>
      </c>
      <c r="I1134">
        <v>0</v>
      </c>
      <c r="J1134">
        <v>1</v>
      </c>
      <c r="K1134" s="2">
        <v>45747</v>
      </c>
    </row>
    <row r="1135" spans="1:11" x14ac:dyDescent="0.25">
      <c r="A1135" s="1" t="s">
        <v>383</v>
      </c>
      <c r="B1135" s="1"/>
      <c r="C1135" s="1" t="s">
        <v>2867</v>
      </c>
      <c r="D1135" s="1" t="s">
        <v>3404</v>
      </c>
      <c r="E1135" s="1"/>
      <c r="F1135">
        <v>1.2</v>
      </c>
      <c r="G1135">
        <v>0</v>
      </c>
      <c r="H1135">
        <v>65</v>
      </c>
      <c r="I1135">
        <v>0</v>
      </c>
      <c r="J1135">
        <v>1</v>
      </c>
      <c r="K1135" s="2">
        <v>45740</v>
      </c>
    </row>
    <row r="1136" spans="1:11" x14ac:dyDescent="0.25">
      <c r="A1136" s="1" t="s">
        <v>383</v>
      </c>
      <c r="B1136" s="1"/>
      <c r="C1136" s="1" t="s">
        <v>2868</v>
      </c>
      <c r="D1136" s="1" t="s">
        <v>3371</v>
      </c>
      <c r="E1136" s="1"/>
      <c r="F1136">
        <v>0.5</v>
      </c>
      <c r="G1136">
        <v>0</v>
      </c>
      <c r="H1136">
        <v>35</v>
      </c>
      <c r="I1136">
        <v>0</v>
      </c>
      <c r="J1136">
        <v>1</v>
      </c>
      <c r="K1136" s="2">
        <v>45740</v>
      </c>
    </row>
    <row r="1137" spans="1:11" x14ac:dyDescent="0.25">
      <c r="A1137" s="1" t="s">
        <v>383</v>
      </c>
      <c r="B1137" s="1"/>
      <c r="C1137" s="1" t="s">
        <v>2869</v>
      </c>
      <c r="D1137" s="1" t="s">
        <v>3405</v>
      </c>
      <c r="E1137" s="1"/>
      <c r="F1137">
        <v>2.2999999999999998</v>
      </c>
      <c r="G1137">
        <v>0.3</v>
      </c>
      <c r="H1137">
        <v>150</v>
      </c>
      <c r="I1137">
        <v>0</v>
      </c>
      <c r="J1137">
        <v>1</v>
      </c>
      <c r="K1137" s="2">
        <v>45740</v>
      </c>
    </row>
    <row r="1138" spans="1:11" x14ac:dyDescent="0.25">
      <c r="A1138" s="1" t="s">
        <v>383</v>
      </c>
      <c r="B1138" s="1"/>
      <c r="C1138" s="1" t="s">
        <v>2812</v>
      </c>
      <c r="D1138" s="1" t="s">
        <v>3403</v>
      </c>
      <c r="E1138" s="1"/>
      <c r="F1138">
        <v>0.5</v>
      </c>
      <c r="G1138">
        <v>0</v>
      </c>
      <c r="H1138">
        <v>40</v>
      </c>
      <c r="I1138">
        <v>0</v>
      </c>
      <c r="J1138">
        <v>1</v>
      </c>
      <c r="K1138" s="2">
        <v>45742</v>
      </c>
    </row>
    <row r="1139" spans="1:11" x14ac:dyDescent="0.25">
      <c r="A1139" s="1" t="s">
        <v>383</v>
      </c>
      <c r="B1139" s="1"/>
      <c r="C1139" s="1" t="s">
        <v>2870</v>
      </c>
      <c r="D1139" s="1" t="s">
        <v>3403</v>
      </c>
      <c r="E1139" s="1"/>
      <c r="F1139">
        <v>0.5</v>
      </c>
      <c r="G1139">
        <v>0.5</v>
      </c>
      <c r="H1139">
        <v>10</v>
      </c>
      <c r="I1139">
        <v>0</v>
      </c>
      <c r="J1139">
        <v>1</v>
      </c>
      <c r="K1139" s="2">
        <v>45742</v>
      </c>
    </row>
    <row r="1140" spans="1:11" x14ac:dyDescent="0.25">
      <c r="A1140" s="1" t="s">
        <v>384</v>
      </c>
      <c r="B1140" s="1"/>
      <c r="C1140" s="1" t="s">
        <v>2808</v>
      </c>
      <c r="D1140" s="1" t="s">
        <v>3370</v>
      </c>
      <c r="E1140" s="1"/>
      <c r="F1140">
        <v>0</v>
      </c>
      <c r="G1140">
        <v>0</v>
      </c>
      <c r="H1140">
        <v>0</v>
      </c>
      <c r="I1140">
        <v>0</v>
      </c>
      <c r="J1140">
        <v>1</v>
      </c>
      <c r="K1140" s="2">
        <v>45747</v>
      </c>
    </row>
    <row r="1141" spans="1:11" x14ac:dyDescent="0.25">
      <c r="A1141" s="1" t="s">
        <v>384</v>
      </c>
      <c r="B1141" s="1"/>
      <c r="C1141" s="1" t="s">
        <v>2867</v>
      </c>
      <c r="D1141" s="1" t="s">
        <v>3404</v>
      </c>
      <c r="E1141" s="1"/>
      <c r="F1141">
        <v>1.2</v>
      </c>
      <c r="G1141">
        <v>0</v>
      </c>
      <c r="H1141">
        <v>65</v>
      </c>
      <c r="I1141">
        <v>0</v>
      </c>
      <c r="J1141">
        <v>1</v>
      </c>
      <c r="K1141" s="2">
        <v>45740</v>
      </c>
    </row>
    <row r="1142" spans="1:11" x14ac:dyDescent="0.25">
      <c r="A1142" s="1" t="s">
        <v>384</v>
      </c>
      <c r="B1142" s="1"/>
      <c r="C1142" s="1" t="s">
        <v>2868</v>
      </c>
      <c r="D1142" s="1" t="s">
        <v>3371</v>
      </c>
      <c r="E1142" s="1"/>
      <c r="F1142">
        <v>0.5</v>
      </c>
      <c r="G1142">
        <v>0</v>
      </c>
      <c r="H1142">
        <v>35</v>
      </c>
      <c r="I1142">
        <v>0</v>
      </c>
      <c r="J1142">
        <v>1</v>
      </c>
      <c r="K1142" s="2">
        <v>45740</v>
      </c>
    </row>
    <row r="1143" spans="1:11" x14ac:dyDescent="0.25">
      <c r="A1143" s="1" t="s">
        <v>384</v>
      </c>
      <c r="B1143" s="1"/>
      <c r="C1143" s="1" t="s">
        <v>2869</v>
      </c>
      <c r="D1143" s="1" t="s">
        <v>3405</v>
      </c>
      <c r="E1143" s="1"/>
      <c r="F1143">
        <v>2.2999999999999998</v>
      </c>
      <c r="G1143">
        <v>0.3</v>
      </c>
      <c r="H1143">
        <v>150</v>
      </c>
      <c r="I1143">
        <v>0</v>
      </c>
      <c r="J1143">
        <v>1</v>
      </c>
      <c r="K1143" s="2">
        <v>45740</v>
      </c>
    </row>
    <row r="1144" spans="1:11" x14ac:dyDescent="0.25">
      <c r="A1144" s="1" t="s">
        <v>384</v>
      </c>
      <c r="B1144" s="1"/>
      <c r="C1144" s="1" t="s">
        <v>2812</v>
      </c>
      <c r="D1144" s="1" t="s">
        <v>3403</v>
      </c>
      <c r="E1144" s="1"/>
      <c r="F1144">
        <v>0.5</v>
      </c>
      <c r="G1144">
        <v>0</v>
      </c>
      <c r="H1144">
        <v>40</v>
      </c>
      <c r="I1144">
        <v>0</v>
      </c>
      <c r="J1144">
        <v>1</v>
      </c>
      <c r="K1144" s="2">
        <v>45742</v>
      </c>
    </row>
    <row r="1145" spans="1:11" x14ac:dyDescent="0.25">
      <c r="A1145" s="1" t="s">
        <v>384</v>
      </c>
      <c r="B1145" s="1"/>
      <c r="C1145" s="1" t="s">
        <v>2870</v>
      </c>
      <c r="D1145" s="1" t="s">
        <v>3403</v>
      </c>
      <c r="E1145" s="1"/>
      <c r="F1145">
        <v>0.5</v>
      </c>
      <c r="G1145">
        <v>0.5</v>
      </c>
      <c r="H1145">
        <v>10</v>
      </c>
      <c r="I1145">
        <v>0</v>
      </c>
      <c r="J1145">
        <v>1</v>
      </c>
      <c r="K1145" s="2">
        <v>45742</v>
      </c>
    </row>
    <row r="1146" spans="1:11" x14ac:dyDescent="0.25">
      <c r="A1146" s="1" t="s">
        <v>384</v>
      </c>
      <c r="B1146" s="1"/>
      <c r="C1146" s="1" t="s">
        <v>2816</v>
      </c>
      <c r="D1146" s="1" t="s">
        <v>3372</v>
      </c>
      <c r="E1146" s="1"/>
      <c r="F1146">
        <v>0</v>
      </c>
      <c r="G1146">
        <v>0</v>
      </c>
      <c r="H1146">
        <v>0</v>
      </c>
      <c r="I1146">
        <v>0</v>
      </c>
      <c r="J1146">
        <v>1</v>
      </c>
      <c r="K1146" s="2">
        <v>45742</v>
      </c>
    </row>
    <row r="1147" spans="1:11" x14ac:dyDescent="0.25">
      <c r="A1147" s="1" t="s">
        <v>384</v>
      </c>
      <c r="B1147" s="1"/>
      <c r="C1147" s="1" t="s">
        <v>2866</v>
      </c>
      <c r="D1147" s="1" t="s">
        <v>3403</v>
      </c>
      <c r="E1147" s="1"/>
      <c r="F1147">
        <v>3.2</v>
      </c>
      <c r="G1147">
        <v>0.8</v>
      </c>
      <c r="H1147">
        <v>185</v>
      </c>
      <c r="I1147">
        <v>0</v>
      </c>
      <c r="J1147">
        <v>1</v>
      </c>
      <c r="K1147" s="2">
        <v>45747</v>
      </c>
    </row>
    <row r="1148" spans="1:11" x14ac:dyDescent="0.25">
      <c r="A1148" s="1" t="s">
        <v>385</v>
      </c>
      <c r="B1148" s="1"/>
      <c r="C1148" s="1" t="s">
        <v>2808</v>
      </c>
      <c r="D1148" s="1" t="s">
        <v>3370</v>
      </c>
      <c r="E1148" s="1"/>
      <c r="F1148">
        <v>0</v>
      </c>
      <c r="G1148">
        <v>0</v>
      </c>
      <c r="H1148">
        <v>0</v>
      </c>
      <c r="I1148">
        <v>0</v>
      </c>
      <c r="J1148">
        <v>1</v>
      </c>
      <c r="K1148" s="2">
        <v>45751</v>
      </c>
    </row>
    <row r="1149" spans="1:11" x14ac:dyDescent="0.25">
      <c r="A1149" s="1" t="s">
        <v>385</v>
      </c>
      <c r="B1149" s="1"/>
      <c r="C1149" s="1" t="s">
        <v>2867</v>
      </c>
      <c r="D1149" s="1" t="s">
        <v>3404</v>
      </c>
      <c r="E1149" s="1"/>
      <c r="F1149">
        <v>1.2</v>
      </c>
      <c r="G1149">
        <v>0</v>
      </c>
      <c r="H1149">
        <v>65</v>
      </c>
      <c r="I1149">
        <v>0</v>
      </c>
      <c r="J1149">
        <v>1</v>
      </c>
      <c r="K1149" s="2">
        <v>45754</v>
      </c>
    </row>
    <row r="1150" spans="1:11" x14ac:dyDescent="0.25">
      <c r="A1150" s="1" t="s">
        <v>385</v>
      </c>
      <c r="B1150" s="1"/>
      <c r="C1150" s="1" t="s">
        <v>2868</v>
      </c>
      <c r="D1150" s="1" t="s">
        <v>3371</v>
      </c>
      <c r="E1150" s="1"/>
      <c r="F1150">
        <v>0.5</v>
      </c>
      <c r="G1150">
        <v>0</v>
      </c>
      <c r="H1150">
        <v>35</v>
      </c>
      <c r="I1150">
        <v>0</v>
      </c>
      <c r="J1150">
        <v>1</v>
      </c>
      <c r="K1150" s="2">
        <v>45754</v>
      </c>
    </row>
    <row r="1151" spans="1:11" x14ac:dyDescent="0.25">
      <c r="A1151" s="1" t="s">
        <v>385</v>
      </c>
      <c r="B1151" s="1"/>
      <c r="C1151" s="1" t="s">
        <v>2869</v>
      </c>
      <c r="D1151" s="1" t="s">
        <v>3405</v>
      </c>
      <c r="E1151" s="1"/>
      <c r="F1151">
        <v>2.2999999999999998</v>
      </c>
      <c r="G1151">
        <v>1.9</v>
      </c>
      <c r="H1151">
        <v>40</v>
      </c>
      <c r="I1151">
        <v>0</v>
      </c>
      <c r="J1151">
        <v>1</v>
      </c>
      <c r="K1151" s="2">
        <v>45754</v>
      </c>
    </row>
    <row r="1152" spans="1:11" x14ac:dyDescent="0.25">
      <c r="A1152" s="1" t="s">
        <v>385</v>
      </c>
      <c r="B1152" s="1"/>
      <c r="C1152" s="1" t="s">
        <v>2812</v>
      </c>
      <c r="D1152" s="1" t="s">
        <v>3403</v>
      </c>
      <c r="E1152" s="1"/>
      <c r="F1152">
        <v>0.5</v>
      </c>
      <c r="G1152">
        <v>0</v>
      </c>
      <c r="H1152">
        <v>40</v>
      </c>
      <c r="I1152">
        <v>0</v>
      </c>
      <c r="J1152">
        <v>1</v>
      </c>
      <c r="K1152" s="2">
        <v>45756</v>
      </c>
    </row>
    <row r="1153" spans="1:11" x14ac:dyDescent="0.25">
      <c r="A1153" s="1" t="s">
        <v>385</v>
      </c>
      <c r="B1153" s="1"/>
      <c r="C1153" s="1" t="s">
        <v>2870</v>
      </c>
      <c r="D1153" s="1" t="s">
        <v>3403</v>
      </c>
      <c r="E1153" s="1"/>
      <c r="F1153">
        <v>0.5</v>
      </c>
      <c r="G1153">
        <v>0.9</v>
      </c>
      <c r="H1153">
        <v>-10</v>
      </c>
      <c r="I1153">
        <v>0</v>
      </c>
      <c r="J1153">
        <v>1</v>
      </c>
      <c r="K1153" s="2">
        <v>45757</v>
      </c>
    </row>
    <row r="1154" spans="1:11" x14ac:dyDescent="0.25">
      <c r="A1154" s="1" t="s">
        <v>385</v>
      </c>
      <c r="B1154" s="1"/>
      <c r="C1154" s="1" t="s">
        <v>2816</v>
      </c>
      <c r="D1154" s="1" t="s">
        <v>3372</v>
      </c>
      <c r="E1154" s="1"/>
      <c r="F1154">
        <v>0</v>
      </c>
      <c r="G1154">
        <v>0</v>
      </c>
      <c r="H1154">
        <v>0</v>
      </c>
      <c r="I1154">
        <v>0</v>
      </c>
      <c r="J1154">
        <v>1</v>
      </c>
      <c r="K1154" s="2">
        <v>45758</v>
      </c>
    </row>
    <row r="1155" spans="1:11" x14ac:dyDescent="0.25">
      <c r="A1155" s="1" t="s">
        <v>385</v>
      </c>
      <c r="B1155" s="1"/>
      <c r="C1155" s="1" t="s">
        <v>2866</v>
      </c>
      <c r="D1155" s="1" t="s">
        <v>3403</v>
      </c>
      <c r="E1155" s="1"/>
      <c r="F1155">
        <v>3.2</v>
      </c>
      <c r="G1155">
        <v>0.3</v>
      </c>
      <c r="H1155">
        <v>215</v>
      </c>
      <c r="I1155">
        <v>0</v>
      </c>
      <c r="J1155">
        <v>1</v>
      </c>
      <c r="K1155" s="2">
        <v>45764</v>
      </c>
    </row>
    <row r="1156" spans="1:11" x14ac:dyDescent="0.25">
      <c r="A1156" s="1" t="s">
        <v>386</v>
      </c>
      <c r="B1156" s="1"/>
      <c r="C1156" s="1" t="s">
        <v>2808</v>
      </c>
      <c r="D1156" s="1" t="s">
        <v>3370</v>
      </c>
      <c r="E1156" s="1"/>
      <c r="F1156">
        <v>0</v>
      </c>
      <c r="G1156">
        <v>0</v>
      </c>
      <c r="H1156">
        <v>0</v>
      </c>
      <c r="I1156">
        <v>0</v>
      </c>
      <c r="J1156">
        <v>1</v>
      </c>
      <c r="K1156" s="2">
        <v>45751</v>
      </c>
    </row>
    <row r="1157" spans="1:11" x14ac:dyDescent="0.25">
      <c r="A1157" s="1" t="s">
        <v>386</v>
      </c>
      <c r="B1157" s="1"/>
      <c r="C1157" s="1" t="s">
        <v>2867</v>
      </c>
      <c r="D1157" s="1" t="s">
        <v>3404</v>
      </c>
      <c r="E1157" s="1"/>
      <c r="F1157">
        <v>1.2</v>
      </c>
      <c r="G1157">
        <v>0</v>
      </c>
      <c r="H1157">
        <v>65</v>
      </c>
      <c r="I1157">
        <v>0</v>
      </c>
      <c r="J1157">
        <v>1</v>
      </c>
      <c r="K1157" s="2">
        <v>45754</v>
      </c>
    </row>
    <row r="1158" spans="1:11" x14ac:dyDescent="0.25">
      <c r="A1158" s="1" t="s">
        <v>386</v>
      </c>
      <c r="B1158" s="1"/>
      <c r="C1158" s="1" t="s">
        <v>2868</v>
      </c>
      <c r="D1158" s="1" t="s">
        <v>3371</v>
      </c>
      <c r="E1158" s="1"/>
      <c r="F1158">
        <v>0.5</v>
      </c>
      <c r="G1158">
        <v>0</v>
      </c>
      <c r="H1158">
        <v>35</v>
      </c>
      <c r="I1158">
        <v>0</v>
      </c>
      <c r="J1158">
        <v>1</v>
      </c>
      <c r="K1158" s="2">
        <v>45754</v>
      </c>
    </row>
    <row r="1159" spans="1:11" x14ac:dyDescent="0.25">
      <c r="A1159" s="1" t="s">
        <v>386</v>
      </c>
      <c r="B1159" s="1"/>
      <c r="C1159" s="1" t="s">
        <v>2869</v>
      </c>
      <c r="D1159" s="1" t="s">
        <v>3405</v>
      </c>
      <c r="E1159" s="1"/>
      <c r="F1159">
        <v>2.2999999999999998</v>
      </c>
      <c r="G1159">
        <v>0.6</v>
      </c>
      <c r="H1159">
        <v>135</v>
      </c>
      <c r="I1159">
        <v>0</v>
      </c>
      <c r="J1159">
        <v>1</v>
      </c>
      <c r="K1159" s="2">
        <v>45754</v>
      </c>
    </row>
    <row r="1160" spans="1:11" x14ac:dyDescent="0.25">
      <c r="A1160" s="1" t="s">
        <v>386</v>
      </c>
      <c r="B1160" s="1"/>
      <c r="C1160" s="1" t="s">
        <v>2812</v>
      </c>
      <c r="D1160" s="1" t="s">
        <v>3403</v>
      </c>
      <c r="E1160" s="1"/>
      <c r="F1160">
        <v>0.5</v>
      </c>
      <c r="G1160">
        <v>0</v>
      </c>
      <c r="H1160">
        <v>40</v>
      </c>
      <c r="I1160">
        <v>0</v>
      </c>
      <c r="J1160">
        <v>1</v>
      </c>
      <c r="K1160" s="2">
        <v>45756</v>
      </c>
    </row>
    <row r="1161" spans="1:11" x14ac:dyDescent="0.25">
      <c r="A1161" s="1" t="s">
        <v>386</v>
      </c>
      <c r="B1161" s="1"/>
      <c r="C1161" s="1" t="s">
        <v>2870</v>
      </c>
      <c r="D1161" s="1" t="s">
        <v>3403</v>
      </c>
      <c r="E1161" s="1"/>
      <c r="F1161">
        <v>0.5</v>
      </c>
      <c r="G1161">
        <v>0.6</v>
      </c>
      <c r="H1161">
        <v>5</v>
      </c>
      <c r="I1161">
        <v>0</v>
      </c>
      <c r="J1161">
        <v>1</v>
      </c>
      <c r="K1161" s="2">
        <v>45757</v>
      </c>
    </row>
    <row r="1162" spans="1:11" x14ac:dyDescent="0.25">
      <c r="A1162" s="1" t="s">
        <v>387</v>
      </c>
      <c r="B1162" s="1"/>
      <c r="C1162" s="1" t="s">
        <v>2867</v>
      </c>
      <c r="D1162" s="1" t="s">
        <v>3404</v>
      </c>
      <c r="E1162" s="1"/>
      <c r="F1162">
        <v>1.2</v>
      </c>
      <c r="G1162">
        <v>0</v>
      </c>
      <c r="H1162">
        <v>65</v>
      </c>
      <c r="I1162">
        <v>0</v>
      </c>
      <c r="J1162">
        <v>1</v>
      </c>
      <c r="K1162" s="2">
        <v>45754</v>
      </c>
    </row>
    <row r="1163" spans="1:11" x14ac:dyDescent="0.25">
      <c r="A1163" s="1" t="s">
        <v>387</v>
      </c>
      <c r="B1163" s="1"/>
      <c r="C1163" s="1" t="s">
        <v>2868</v>
      </c>
      <c r="D1163" s="1" t="s">
        <v>3371</v>
      </c>
      <c r="E1163" s="1"/>
      <c r="F1163">
        <v>0.5</v>
      </c>
      <c r="G1163">
        <v>0</v>
      </c>
      <c r="H1163">
        <v>35</v>
      </c>
      <c r="I1163">
        <v>0</v>
      </c>
      <c r="J1163">
        <v>1</v>
      </c>
      <c r="K1163" s="2">
        <v>45754</v>
      </c>
    </row>
    <row r="1164" spans="1:11" x14ac:dyDescent="0.25">
      <c r="A1164" s="1" t="s">
        <v>387</v>
      </c>
      <c r="B1164" s="1"/>
      <c r="C1164" s="1" t="s">
        <v>2869</v>
      </c>
      <c r="D1164" s="1" t="s">
        <v>3405</v>
      </c>
      <c r="E1164" s="1"/>
      <c r="F1164">
        <v>2.2999999999999998</v>
      </c>
      <c r="G1164">
        <v>0.3</v>
      </c>
      <c r="H1164">
        <v>150</v>
      </c>
      <c r="I1164">
        <v>0</v>
      </c>
      <c r="J1164">
        <v>1</v>
      </c>
      <c r="K1164" s="2">
        <v>45754</v>
      </c>
    </row>
    <row r="1165" spans="1:11" x14ac:dyDescent="0.25">
      <c r="A1165" s="1" t="s">
        <v>387</v>
      </c>
      <c r="B1165" s="1"/>
      <c r="C1165" s="1" t="s">
        <v>2812</v>
      </c>
      <c r="D1165" s="1" t="s">
        <v>3403</v>
      </c>
      <c r="E1165" s="1"/>
      <c r="F1165">
        <v>0.5</v>
      </c>
      <c r="G1165">
        <v>0</v>
      </c>
      <c r="H1165">
        <v>40</v>
      </c>
      <c r="I1165">
        <v>0</v>
      </c>
      <c r="J1165">
        <v>1</v>
      </c>
      <c r="K1165" s="2">
        <v>45756</v>
      </c>
    </row>
    <row r="1166" spans="1:11" x14ac:dyDescent="0.25">
      <c r="A1166" s="1" t="s">
        <v>387</v>
      </c>
      <c r="B1166" s="1"/>
      <c r="C1166" s="1" t="s">
        <v>2870</v>
      </c>
      <c r="D1166" s="1" t="s">
        <v>3403</v>
      </c>
      <c r="E1166" s="1"/>
      <c r="F1166">
        <v>0.5</v>
      </c>
      <c r="G1166">
        <v>0.6</v>
      </c>
      <c r="H1166">
        <v>0</v>
      </c>
      <c r="I1166">
        <v>0</v>
      </c>
      <c r="J1166">
        <v>1</v>
      </c>
      <c r="K1166" s="2">
        <v>45757</v>
      </c>
    </row>
    <row r="1167" spans="1:11" x14ac:dyDescent="0.25">
      <c r="A1167" s="1" t="s">
        <v>387</v>
      </c>
      <c r="B1167" s="1"/>
      <c r="C1167" s="1" t="s">
        <v>2816</v>
      </c>
      <c r="D1167" s="1" t="s">
        <v>3372</v>
      </c>
      <c r="E1167" s="1"/>
      <c r="F1167">
        <v>0</v>
      </c>
      <c r="G1167">
        <v>0</v>
      </c>
      <c r="H1167">
        <v>0</v>
      </c>
      <c r="I1167">
        <v>0</v>
      </c>
      <c r="J1167">
        <v>1</v>
      </c>
      <c r="K1167" s="2">
        <v>45758</v>
      </c>
    </row>
    <row r="1168" spans="1:11" x14ac:dyDescent="0.25">
      <c r="A1168" s="1" t="s">
        <v>388</v>
      </c>
      <c r="B1168" s="1"/>
      <c r="C1168" s="1" t="s">
        <v>2808</v>
      </c>
      <c r="D1168" s="1" t="s">
        <v>3370</v>
      </c>
      <c r="E1168" s="1"/>
      <c r="F1168">
        <v>0</v>
      </c>
      <c r="G1168">
        <v>0</v>
      </c>
      <c r="H1168">
        <v>0</v>
      </c>
      <c r="I1168">
        <v>0</v>
      </c>
      <c r="J1168">
        <v>1</v>
      </c>
      <c r="K1168" s="2">
        <v>45751</v>
      </c>
    </row>
    <row r="1169" spans="1:11" x14ac:dyDescent="0.25">
      <c r="A1169" s="1" t="s">
        <v>388</v>
      </c>
      <c r="B1169" s="1"/>
      <c r="C1169" s="1" t="s">
        <v>2867</v>
      </c>
      <c r="D1169" s="1" t="s">
        <v>3404</v>
      </c>
      <c r="E1169" s="1"/>
      <c r="F1169">
        <v>1.2</v>
      </c>
      <c r="G1169">
        <v>0</v>
      </c>
      <c r="H1169">
        <v>65</v>
      </c>
      <c r="I1169">
        <v>0</v>
      </c>
      <c r="J1169">
        <v>1</v>
      </c>
      <c r="K1169" s="2">
        <v>45754</v>
      </c>
    </row>
    <row r="1170" spans="1:11" x14ac:dyDescent="0.25">
      <c r="A1170" s="1" t="s">
        <v>388</v>
      </c>
      <c r="B1170" s="1"/>
      <c r="C1170" s="1" t="s">
        <v>2868</v>
      </c>
      <c r="D1170" s="1" t="s">
        <v>3371</v>
      </c>
      <c r="E1170" s="1"/>
      <c r="F1170">
        <v>0.5</v>
      </c>
      <c r="G1170">
        <v>0</v>
      </c>
      <c r="H1170">
        <v>35</v>
      </c>
      <c r="I1170">
        <v>0</v>
      </c>
      <c r="J1170">
        <v>1</v>
      </c>
      <c r="K1170" s="2">
        <v>45754</v>
      </c>
    </row>
    <row r="1171" spans="1:11" x14ac:dyDescent="0.25">
      <c r="A1171" s="1" t="s">
        <v>388</v>
      </c>
      <c r="B1171" s="1"/>
      <c r="C1171" s="1" t="s">
        <v>2869</v>
      </c>
      <c r="D1171" s="1" t="s">
        <v>3405</v>
      </c>
      <c r="E1171" s="1"/>
      <c r="F1171">
        <v>2.2999999999999998</v>
      </c>
      <c r="G1171">
        <v>0.4</v>
      </c>
      <c r="H1171">
        <v>145</v>
      </c>
      <c r="I1171">
        <v>0</v>
      </c>
      <c r="J1171">
        <v>1</v>
      </c>
      <c r="K1171" s="2">
        <v>45754</v>
      </c>
    </row>
    <row r="1172" spans="1:11" x14ac:dyDescent="0.25">
      <c r="A1172" s="1" t="s">
        <v>388</v>
      </c>
      <c r="B1172" s="1"/>
      <c r="C1172" s="1" t="s">
        <v>2812</v>
      </c>
      <c r="D1172" s="1" t="s">
        <v>3403</v>
      </c>
      <c r="E1172" s="1"/>
      <c r="F1172">
        <v>0.5</v>
      </c>
      <c r="G1172">
        <v>0</v>
      </c>
      <c r="H1172">
        <v>40</v>
      </c>
      <c r="I1172">
        <v>0</v>
      </c>
      <c r="J1172">
        <v>1</v>
      </c>
      <c r="K1172" s="2">
        <v>45756</v>
      </c>
    </row>
    <row r="1173" spans="1:11" x14ac:dyDescent="0.25">
      <c r="A1173" s="1" t="s">
        <v>388</v>
      </c>
      <c r="B1173" s="1"/>
      <c r="C1173" s="1" t="s">
        <v>2870</v>
      </c>
      <c r="D1173" s="1" t="s">
        <v>3403</v>
      </c>
      <c r="E1173" s="1"/>
      <c r="F1173">
        <v>0.5</v>
      </c>
      <c r="G1173">
        <v>0.4</v>
      </c>
      <c r="H1173">
        <v>15</v>
      </c>
      <c r="I1173">
        <v>0</v>
      </c>
      <c r="J1173">
        <v>1</v>
      </c>
      <c r="K1173" s="2">
        <v>45757</v>
      </c>
    </row>
    <row r="1174" spans="1:11" x14ac:dyDescent="0.25">
      <c r="A1174" s="1" t="s">
        <v>388</v>
      </c>
      <c r="B1174" s="1"/>
      <c r="C1174" s="1" t="s">
        <v>2816</v>
      </c>
      <c r="D1174" s="1" t="s">
        <v>3372</v>
      </c>
      <c r="E1174" s="1"/>
      <c r="F1174">
        <v>0</v>
      </c>
      <c r="G1174">
        <v>0</v>
      </c>
      <c r="H1174">
        <v>0</v>
      </c>
      <c r="I1174">
        <v>0</v>
      </c>
      <c r="J1174">
        <v>1</v>
      </c>
      <c r="K1174" s="2">
        <v>45761</v>
      </c>
    </row>
    <row r="1175" spans="1:11" x14ac:dyDescent="0.25">
      <c r="A1175" s="1" t="s">
        <v>388</v>
      </c>
      <c r="B1175" s="1"/>
      <c r="C1175" s="1" t="s">
        <v>2866</v>
      </c>
      <c r="D1175" s="1" t="s">
        <v>3403</v>
      </c>
      <c r="E1175" s="1"/>
      <c r="F1175">
        <v>3.2</v>
      </c>
      <c r="G1175">
        <v>0</v>
      </c>
      <c r="H1175">
        <v>230</v>
      </c>
      <c r="I1175">
        <v>0</v>
      </c>
      <c r="J1175">
        <v>1</v>
      </c>
      <c r="K1175" s="2">
        <v>45763</v>
      </c>
    </row>
    <row r="1176" spans="1:11" x14ac:dyDescent="0.25">
      <c r="A1176" s="1" t="s">
        <v>834</v>
      </c>
      <c r="B1176" s="1"/>
      <c r="C1176" s="1" t="s">
        <v>2808</v>
      </c>
      <c r="D1176" s="1" t="s">
        <v>3370</v>
      </c>
      <c r="E1176" s="1"/>
      <c r="F1176">
        <v>0</v>
      </c>
      <c r="G1176">
        <v>0</v>
      </c>
      <c r="H1176">
        <v>0</v>
      </c>
      <c r="I1176">
        <v>0</v>
      </c>
      <c r="J1176">
        <v>1</v>
      </c>
      <c r="K1176" s="2">
        <v>45782</v>
      </c>
    </row>
    <row r="1177" spans="1:11" x14ac:dyDescent="0.25">
      <c r="A1177" s="1" t="s">
        <v>834</v>
      </c>
      <c r="B1177" s="1"/>
      <c r="C1177" s="1" t="s">
        <v>2867</v>
      </c>
      <c r="D1177" s="1" t="s">
        <v>3404</v>
      </c>
      <c r="E1177" s="1"/>
      <c r="F1177">
        <v>1.2</v>
      </c>
      <c r="G1177">
        <v>0</v>
      </c>
      <c r="H1177">
        <v>65</v>
      </c>
      <c r="I1177">
        <v>0</v>
      </c>
      <c r="J1177">
        <v>1</v>
      </c>
      <c r="K1177" s="2">
        <v>45779</v>
      </c>
    </row>
    <row r="1178" spans="1:11" x14ac:dyDescent="0.25">
      <c r="A1178" s="1" t="s">
        <v>834</v>
      </c>
      <c r="B1178" s="1"/>
      <c r="C1178" s="1" t="s">
        <v>2868</v>
      </c>
      <c r="D1178" s="1" t="s">
        <v>3371</v>
      </c>
      <c r="E1178" s="1"/>
      <c r="F1178">
        <v>0.5</v>
      </c>
      <c r="G1178">
        <v>0</v>
      </c>
      <c r="H1178">
        <v>35</v>
      </c>
      <c r="I1178">
        <v>0</v>
      </c>
      <c r="J1178">
        <v>1</v>
      </c>
      <c r="K1178" s="2">
        <v>45779</v>
      </c>
    </row>
    <row r="1179" spans="1:11" x14ac:dyDescent="0.25">
      <c r="A1179" s="1" t="s">
        <v>834</v>
      </c>
      <c r="B1179" s="1"/>
      <c r="C1179" s="1" t="s">
        <v>2869</v>
      </c>
      <c r="D1179" s="1" t="s">
        <v>3405</v>
      </c>
      <c r="E1179" s="1"/>
      <c r="F1179">
        <v>2.2999999999999998</v>
      </c>
      <c r="G1179">
        <v>1.2</v>
      </c>
      <c r="H1179">
        <v>80</v>
      </c>
      <c r="I1179">
        <v>0</v>
      </c>
      <c r="J1179">
        <v>1</v>
      </c>
      <c r="K1179" s="2">
        <v>45779</v>
      </c>
    </row>
    <row r="1180" spans="1:11" x14ac:dyDescent="0.25">
      <c r="A1180" s="1" t="s">
        <v>834</v>
      </c>
      <c r="B1180" s="1"/>
      <c r="C1180" s="1" t="s">
        <v>2812</v>
      </c>
      <c r="D1180" s="1" t="s">
        <v>3403</v>
      </c>
      <c r="E1180" s="1"/>
      <c r="F1180">
        <v>0.5</v>
      </c>
      <c r="G1180">
        <v>0</v>
      </c>
      <c r="H1180">
        <v>40</v>
      </c>
      <c r="I1180">
        <v>0</v>
      </c>
      <c r="J1180">
        <v>1</v>
      </c>
      <c r="K1180" s="2">
        <v>45782</v>
      </c>
    </row>
    <row r="1181" spans="1:11" x14ac:dyDescent="0.25">
      <c r="A1181" s="1" t="s">
        <v>834</v>
      </c>
      <c r="B1181" s="1"/>
      <c r="C1181" s="1" t="s">
        <v>2870</v>
      </c>
      <c r="D1181" s="1" t="s">
        <v>3403</v>
      </c>
      <c r="E1181" s="1"/>
      <c r="F1181">
        <v>0.5</v>
      </c>
      <c r="G1181">
        <v>0.3</v>
      </c>
      <c r="H1181">
        <v>20</v>
      </c>
      <c r="I1181">
        <v>0</v>
      </c>
      <c r="J1181">
        <v>1</v>
      </c>
      <c r="K1181" s="2">
        <v>45782</v>
      </c>
    </row>
    <row r="1182" spans="1:11" x14ac:dyDescent="0.25">
      <c r="A1182" s="1" t="s">
        <v>835</v>
      </c>
      <c r="B1182" s="1"/>
      <c r="C1182" s="1" t="s">
        <v>2808</v>
      </c>
      <c r="D1182" s="1" t="s">
        <v>3370</v>
      </c>
      <c r="E1182" s="1"/>
      <c r="F1182">
        <v>0</v>
      </c>
      <c r="G1182">
        <v>0</v>
      </c>
      <c r="H1182">
        <v>0</v>
      </c>
      <c r="I1182">
        <v>0</v>
      </c>
      <c r="J1182">
        <v>0</v>
      </c>
      <c r="K1182" s="2">
        <v>45782</v>
      </c>
    </row>
    <row r="1183" spans="1:11" x14ac:dyDescent="0.25">
      <c r="A1183" s="1" t="s">
        <v>835</v>
      </c>
      <c r="B1183" s="1"/>
      <c r="C1183" s="1" t="s">
        <v>2867</v>
      </c>
      <c r="D1183" s="1" t="s">
        <v>3404</v>
      </c>
      <c r="E1183" s="1"/>
      <c r="F1183">
        <v>1.2</v>
      </c>
      <c r="G1183">
        <v>0</v>
      </c>
      <c r="H1183">
        <v>65</v>
      </c>
      <c r="I1183">
        <v>0</v>
      </c>
      <c r="J1183">
        <v>1</v>
      </c>
      <c r="K1183" s="2">
        <v>45779</v>
      </c>
    </row>
    <row r="1184" spans="1:11" x14ac:dyDescent="0.25">
      <c r="A1184" s="1" t="s">
        <v>835</v>
      </c>
      <c r="B1184" s="1"/>
      <c r="C1184" s="1" t="s">
        <v>2868</v>
      </c>
      <c r="D1184" s="1" t="s">
        <v>3371</v>
      </c>
      <c r="E1184" s="1"/>
      <c r="F1184">
        <v>0.5</v>
      </c>
      <c r="G1184">
        <v>0</v>
      </c>
      <c r="H1184">
        <v>35</v>
      </c>
      <c r="I1184">
        <v>0</v>
      </c>
      <c r="J1184">
        <v>1</v>
      </c>
      <c r="K1184" s="2">
        <v>45779</v>
      </c>
    </row>
    <row r="1185" spans="1:11" x14ac:dyDescent="0.25">
      <c r="A1185" s="1" t="s">
        <v>835</v>
      </c>
      <c r="B1185" s="1"/>
      <c r="C1185" s="1" t="s">
        <v>2869</v>
      </c>
      <c r="D1185" s="1" t="s">
        <v>3405</v>
      </c>
      <c r="E1185" s="1"/>
      <c r="F1185">
        <v>2.2999999999999998</v>
      </c>
      <c r="G1185">
        <v>0.7</v>
      </c>
      <c r="H1185">
        <v>130</v>
      </c>
      <c r="I1185">
        <v>0</v>
      </c>
      <c r="J1185">
        <v>1</v>
      </c>
      <c r="K1185" s="2">
        <v>45779</v>
      </c>
    </row>
    <row r="1186" spans="1:11" x14ac:dyDescent="0.25">
      <c r="A1186" s="1" t="s">
        <v>835</v>
      </c>
      <c r="B1186" s="1"/>
      <c r="C1186" s="1" t="s">
        <v>2812</v>
      </c>
      <c r="D1186" s="1" t="s">
        <v>3403</v>
      </c>
      <c r="E1186" s="1"/>
      <c r="F1186">
        <v>0.5</v>
      </c>
      <c r="G1186">
        <v>0</v>
      </c>
      <c r="H1186">
        <v>40</v>
      </c>
      <c r="I1186">
        <v>0</v>
      </c>
      <c r="J1186">
        <v>1</v>
      </c>
      <c r="K1186" s="2">
        <v>45782</v>
      </c>
    </row>
    <row r="1187" spans="1:11" x14ac:dyDescent="0.25">
      <c r="A1187" s="1" t="s">
        <v>835</v>
      </c>
      <c r="B1187" s="1"/>
      <c r="C1187" s="1" t="s">
        <v>2870</v>
      </c>
      <c r="D1187" s="1" t="s">
        <v>3403</v>
      </c>
      <c r="E1187" s="1"/>
      <c r="F1187">
        <v>0.5</v>
      </c>
      <c r="G1187">
        <v>1.5</v>
      </c>
      <c r="H1187">
        <v>-45</v>
      </c>
      <c r="I1187">
        <v>0</v>
      </c>
      <c r="J1187">
        <v>1</v>
      </c>
      <c r="K1187" s="2">
        <v>45782</v>
      </c>
    </row>
    <row r="1188" spans="1:11" x14ac:dyDescent="0.25">
      <c r="A1188" s="1" t="s">
        <v>836</v>
      </c>
      <c r="B1188" s="1"/>
      <c r="C1188" s="1" t="s">
        <v>2808</v>
      </c>
      <c r="D1188" s="1" t="s">
        <v>3370</v>
      </c>
      <c r="E1188" s="1"/>
      <c r="F1188">
        <v>0</v>
      </c>
      <c r="G1188">
        <v>0</v>
      </c>
      <c r="H1188">
        <v>0</v>
      </c>
      <c r="I1188">
        <v>0</v>
      </c>
      <c r="J1188">
        <v>1</v>
      </c>
      <c r="K1188" s="2">
        <v>45782</v>
      </c>
    </row>
    <row r="1189" spans="1:11" x14ac:dyDescent="0.25">
      <c r="A1189" s="1" t="s">
        <v>836</v>
      </c>
      <c r="B1189" s="1"/>
      <c r="C1189" s="1" t="s">
        <v>2867</v>
      </c>
      <c r="D1189" s="1" t="s">
        <v>3404</v>
      </c>
      <c r="E1189" s="1"/>
      <c r="F1189">
        <v>1.2</v>
      </c>
      <c r="G1189">
        <v>0</v>
      </c>
      <c r="H1189">
        <v>65</v>
      </c>
      <c r="I1189">
        <v>0</v>
      </c>
      <c r="J1189">
        <v>1</v>
      </c>
      <c r="K1189" s="2">
        <v>45779</v>
      </c>
    </row>
    <row r="1190" spans="1:11" x14ac:dyDescent="0.25">
      <c r="A1190" s="1" t="s">
        <v>836</v>
      </c>
      <c r="B1190" s="1"/>
      <c r="C1190" s="1" t="s">
        <v>2868</v>
      </c>
      <c r="D1190" s="1" t="s">
        <v>3371</v>
      </c>
      <c r="E1190" s="1"/>
      <c r="F1190">
        <v>0.5</v>
      </c>
      <c r="G1190">
        <v>0</v>
      </c>
      <c r="H1190">
        <v>35</v>
      </c>
      <c r="I1190">
        <v>0</v>
      </c>
      <c r="J1190">
        <v>1</v>
      </c>
      <c r="K1190" s="2">
        <v>45779</v>
      </c>
    </row>
    <row r="1191" spans="1:11" x14ac:dyDescent="0.25">
      <c r="A1191" s="1" t="s">
        <v>836</v>
      </c>
      <c r="B1191" s="1"/>
      <c r="C1191" s="1" t="s">
        <v>2869</v>
      </c>
      <c r="D1191" s="1" t="s">
        <v>3405</v>
      </c>
      <c r="E1191" s="1"/>
      <c r="F1191">
        <v>2.2999999999999998</v>
      </c>
      <c r="G1191">
        <v>0.4</v>
      </c>
      <c r="H1191">
        <v>145</v>
      </c>
      <c r="I1191">
        <v>0</v>
      </c>
      <c r="J1191">
        <v>1</v>
      </c>
      <c r="K1191" s="2">
        <v>45779</v>
      </c>
    </row>
    <row r="1192" spans="1:11" x14ac:dyDescent="0.25">
      <c r="A1192" s="1" t="s">
        <v>836</v>
      </c>
      <c r="B1192" s="1"/>
      <c r="C1192" s="1" t="s">
        <v>2812</v>
      </c>
      <c r="D1192" s="1" t="s">
        <v>3403</v>
      </c>
      <c r="E1192" s="1"/>
      <c r="F1192">
        <v>0.5</v>
      </c>
      <c r="G1192">
        <v>0</v>
      </c>
      <c r="H1192">
        <v>40</v>
      </c>
      <c r="I1192">
        <v>0</v>
      </c>
      <c r="J1192">
        <v>1</v>
      </c>
      <c r="K1192" s="2">
        <v>45782</v>
      </c>
    </row>
    <row r="1193" spans="1:11" x14ac:dyDescent="0.25">
      <c r="A1193" s="1" t="s">
        <v>836</v>
      </c>
      <c r="B1193" s="1"/>
      <c r="C1193" s="1" t="s">
        <v>2870</v>
      </c>
      <c r="D1193" s="1" t="s">
        <v>3403</v>
      </c>
      <c r="E1193" s="1"/>
      <c r="F1193">
        <v>0.5</v>
      </c>
      <c r="G1193">
        <v>0</v>
      </c>
      <c r="H1193">
        <v>35</v>
      </c>
      <c r="I1193">
        <v>0</v>
      </c>
      <c r="J1193">
        <v>1</v>
      </c>
      <c r="K1193" s="2">
        <v>45782</v>
      </c>
    </row>
    <row r="1194" spans="1:11" x14ac:dyDescent="0.25">
      <c r="A1194" s="1" t="s">
        <v>836</v>
      </c>
      <c r="B1194" s="1"/>
      <c r="C1194" s="1" t="s">
        <v>2816</v>
      </c>
      <c r="D1194" s="1" t="s">
        <v>3372</v>
      </c>
      <c r="E1194" s="1"/>
      <c r="F1194">
        <v>0</v>
      </c>
      <c r="G1194">
        <v>0</v>
      </c>
      <c r="H1194">
        <v>0</v>
      </c>
      <c r="I1194">
        <v>0</v>
      </c>
      <c r="J1194">
        <v>1</v>
      </c>
      <c r="K1194" s="2">
        <v>45782</v>
      </c>
    </row>
    <row r="1195" spans="1:11" x14ac:dyDescent="0.25">
      <c r="A1195" s="1" t="s">
        <v>836</v>
      </c>
      <c r="B1195" s="1"/>
      <c r="C1195" s="1" t="s">
        <v>2866</v>
      </c>
      <c r="D1195" s="1" t="s">
        <v>3403</v>
      </c>
      <c r="E1195" s="1"/>
      <c r="F1195">
        <v>3.2</v>
      </c>
      <c r="G1195">
        <v>0</v>
      </c>
      <c r="H1195">
        <v>230</v>
      </c>
      <c r="I1195">
        <v>0</v>
      </c>
      <c r="J1195">
        <v>1</v>
      </c>
      <c r="K1195" s="2">
        <v>45783</v>
      </c>
    </row>
    <row r="1196" spans="1:11" x14ac:dyDescent="0.25">
      <c r="A1196" s="1" t="s">
        <v>837</v>
      </c>
      <c r="B1196" s="1"/>
      <c r="C1196" s="1" t="s">
        <v>2808</v>
      </c>
      <c r="D1196" s="1" t="s">
        <v>3370</v>
      </c>
      <c r="E1196" s="1"/>
      <c r="F1196">
        <v>0</v>
      </c>
      <c r="G1196">
        <v>0</v>
      </c>
      <c r="H1196">
        <v>0</v>
      </c>
      <c r="I1196">
        <v>0</v>
      </c>
      <c r="J1196">
        <v>1</v>
      </c>
      <c r="K1196" s="2">
        <v>45782</v>
      </c>
    </row>
    <row r="1197" spans="1:11" x14ac:dyDescent="0.25">
      <c r="A1197" s="1" t="s">
        <v>837</v>
      </c>
      <c r="B1197" s="1"/>
      <c r="C1197" s="1" t="s">
        <v>2867</v>
      </c>
      <c r="D1197" s="1" t="s">
        <v>3404</v>
      </c>
      <c r="E1197" s="1"/>
      <c r="F1197">
        <v>1.2</v>
      </c>
      <c r="G1197">
        <v>0</v>
      </c>
      <c r="H1197">
        <v>65</v>
      </c>
      <c r="I1197">
        <v>0</v>
      </c>
      <c r="J1197">
        <v>1</v>
      </c>
      <c r="K1197" s="2">
        <v>45780</v>
      </c>
    </row>
    <row r="1198" spans="1:11" x14ac:dyDescent="0.25">
      <c r="A1198" s="1" t="s">
        <v>837</v>
      </c>
      <c r="B1198" s="1"/>
      <c r="C1198" s="1" t="s">
        <v>2868</v>
      </c>
      <c r="D1198" s="1" t="s">
        <v>3371</v>
      </c>
      <c r="E1198" s="1"/>
      <c r="F1198">
        <v>0.5</v>
      </c>
      <c r="G1198">
        <v>0</v>
      </c>
      <c r="H1198">
        <v>35</v>
      </c>
      <c r="I1198">
        <v>0</v>
      </c>
      <c r="J1198">
        <v>1</v>
      </c>
      <c r="K1198" s="2">
        <v>45780</v>
      </c>
    </row>
    <row r="1199" spans="1:11" x14ac:dyDescent="0.25">
      <c r="A1199" s="1" t="s">
        <v>837</v>
      </c>
      <c r="B1199" s="1"/>
      <c r="C1199" s="1" t="s">
        <v>2869</v>
      </c>
      <c r="D1199" s="1" t="s">
        <v>3405</v>
      </c>
      <c r="E1199" s="1"/>
      <c r="F1199">
        <v>2.2999999999999998</v>
      </c>
      <c r="G1199">
        <v>0.4</v>
      </c>
      <c r="H1199">
        <v>145</v>
      </c>
      <c r="I1199">
        <v>0</v>
      </c>
      <c r="J1199">
        <v>1</v>
      </c>
      <c r="K1199" s="2">
        <v>45780</v>
      </c>
    </row>
    <row r="1200" spans="1:11" x14ac:dyDescent="0.25">
      <c r="A1200" s="1" t="s">
        <v>837</v>
      </c>
      <c r="B1200" s="1"/>
      <c r="C1200" s="1" t="s">
        <v>2812</v>
      </c>
      <c r="D1200" s="1" t="s">
        <v>3403</v>
      </c>
      <c r="E1200" s="1"/>
      <c r="F1200">
        <v>0.5</v>
      </c>
      <c r="G1200">
        <v>0</v>
      </c>
      <c r="H1200">
        <v>40</v>
      </c>
      <c r="I1200">
        <v>0</v>
      </c>
      <c r="J1200">
        <v>1</v>
      </c>
      <c r="K1200" s="2">
        <v>45782</v>
      </c>
    </row>
    <row r="1201" spans="1:11" x14ac:dyDescent="0.25">
      <c r="A1201" s="1" t="s">
        <v>837</v>
      </c>
      <c r="B1201" s="1"/>
      <c r="C1201" s="1" t="s">
        <v>2870</v>
      </c>
      <c r="D1201" s="1" t="s">
        <v>3403</v>
      </c>
      <c r="E1201" s="1"/>
      <c r="F1201">
        <v>0.5</v>
      </c>
      <c r="G1201">
        <v>0</v>
      </c>
      <c r="H1201">
        <v>35</v>
      </c>
      <c r="I1201">
        <v>0</v>
      </c>
      <c r="J1201">
        <v>1</v>
      </c>
      <c r="K1201" s="2">
        <v>45782</v>
      </c>
    </row>
    <row r="1202" spans="1:11" x14ac:dyDescent="0.25">
      <c r="A1202" s="1" t="s">
        <v>837</v>
      </c>
      <c r="B1202" s="1"/>
      <c r="C1202" s="1" t="s">
        <v>2816</v>
      </c>
      <c r="D1202" s="1" t="s">
        <v>3372</v>
      </c>
      <c r="E1202" s="1"/>
      <c r="F1202">
        <v>0</v>
      </c>
      <c r="G1202">
        <v>0</v>
      </c>
      <c r="H1202">
        <v>0</v>
      </c>
      <c r="I1202">
        <v>0</v>
      </c>
      <c r="J1202">
        <v>1</v>
      </c>
      <c r="K1202" s="2">
        <v>45782</v>
      </c>
    </row>
    <row r="1203" spans="1:11" x14ac:dyDescent="0.25">
      <c r="A1203" s="1" t="s">
        <v>837</v>
      </c>
      <c r="B1203" s="1"/>
      <c r="C1203" s="1" t="s">
        <v>2866</v>
      </c>
      <c r="D1203" s="1" t="s">
        <v>3403</v>
      </c>
      <c r="E1203" s="1"/>
      <c r="F1203">
        <v>3.2</v>
      </c>
      <c r="G1203">
        <v>0</v>
      </c>
      <c r="H1203">
        <v>230</v>
      </c>
      <c r="I1203">
        <v>0</v>
      </c>
      <c r="J1203">
        <v>1</v>
      </c>
      <c r="K1203" s="2">
        <v>45783</v>
      </c>
    </row>
    <row r="1204" spans="1:11" x14ac:dyDescent="0.25">
      <c r="A1204" s="1" t="s">
        <v>838</v>
      </c>
      <c r="B1204" s="1"/>
      <c r="C1204" s="1" t="s">
        <v>2808</v>
      </c>
      <c r="D1204" s="1" t="s">
        <v>3370</v>
      </c>
      <c r="E1204" s="1"/>
      <c r="F1204">
        <v>0</v>
      </c>
      <c r="G1204">
        <v>0</v>
      </c>
      <c r="H1204">
        <v>0</v>
      </c>
      <c r="I1204">
        <v>0</v>
      </c>
      <c r="J1204">
        <v>1</v>
      </c>
      <c r="K1204" s="2">
        <v>45782</v>
      </c>
    </row>
    <row r="1205" spans="1:11" x14ac:dyDescent="0.25">
      <c r="A1205" s="1" t="s">
        <v>838</v>
      </c>
      <c r="B1205" s="1"/>
      <c r="C1205" s="1" t="s">
        <v>2867</v>
      </c>
      <c r="D1205" s="1" t="s">
        <v>3404</v>
      </c>
      <c r="E1205" s="1"/>
      <c r="F1205">
        <v>1.2</v>
      </c>
      <c r="G1205">
        <v>0</v>
      </c>
      <c r="H1205">
        <v>65</v>
      </c>
      <c r="I1205">
        <v>0</v>
      </c>
      <c r="J1205">
        <v>1</v>
      </c>
      <c r="K1205" s="2">
        <v>45780</v>
      </c>
    </row>
    <row r="1206" spans="1:11" x14ac:dyDescent="0.25">
      <c r="A1206" s="1" t="s">
        <v>838</v>
      </c>
      <c r="B1206" s="1"/>
      <c r="C1206" s="1" t="s">
        <v>2868</v>
      </c>
      <c r="D1206" s="1" t="s">
        <v>3371</v>
      </c>
      <c r="E1206" s="1"/>
      <c r="F1206">
        <v>0.5</v>
      </c>
      <c r="G1206">
        <v>0</v>
      </c>
      <c r="H1206">
        <v>35</v>
      </c>
      <c r="I1206">
        <v>0</v>
      </c>
      <c r="J1206">
        <v>1</v>
      </c>
      <c r="K1206" s="2">
        <v>45780</v>
      </c>
    </row>
    <row r="1207" spans="1:11" x14ac:dyDescent="0.25">
      <c r="A1207" s="1" t="s">
        <v>838</v>
      </c>
      <c r="B1207" s="1"/>
      <c r="C1207" s="1" t="s">
        <v>2869</v>
      </c>
      <c r="D1207" s="1" t="s">
        <v>3405</v>
      </c>
      <c r="E1207" s="1"/>
      <c r="F1207">
        <v>2.2999999999999998</v>
      </c>
      <c r="G1207">
        <v>0.2</v>
      </c>
      <c r="H1207">
        <v>155</v>
      </c>
      <c r="I1207">
        <v>0</v>
      </c>
      <c r="J1207">
        <v>1</v>
      </c>
      <c r="K1207" s="2">
        <v>45780</v>
      </c>
    </row>
    <row r="1208" spans="1:11" x14ac:dyDescent="0.25">
      <c r="A1208" s="1" t="s">
        <v>838</v>
      </c>
      <c r="B1208" s="1"/>
      <c r="C1208" s="1" t="s">
        <v>2812</v>
      </c>
      <c r="D1208" s="1" t="s">
        <v>3403</v>
      </c>
      <c r="E1208" s="1"/>
      <c r="F1208">
        <v>0.5</v>
      </c>
      <c r="G1208">
        <v>0</v>
      </c>
      <c r="H1208">
        <v>40</v>
      </c>
      <c r="I1208">
        <v>0</v>
      </c>
      <c r="J1208">
        <v>1</v>
      </c>
      <c r="K1208" s="2">
        <v>45782</v>
      </c>
    </row>
    <row r="1209" spans="1:11" x14ac:dyDescent="0.25">
      <c r="A1209" s="1" t="s">
        <v>838</v>
      </c>
      <c r="B1209" s="1"/>
      <c r="C1209" s="1" t="s">
        <v>2870</v>
      </c>
      <c r="D1209" s="1" t="s">
        <v>3403</v>
      </c>
      <c r="E1209" s="1"/>
      <c r="F1209">
        <v>0.5</v>
      </c>
      <c r="G1209">
        <v>0.3</v>
      </c>
      <c r="H1209">
        <v>20</v>
      </c>
      <c r="I1209">
        <v>0</v>
      </c>
      <c r="J1209">
        <v>1</v>
      </c>
      <c r="K1209" s="2">
        <v>45782</v>
      </c>
    </row>
    <row r="1210" spans="1:11" x14ac:dyDescent="0.25">
      <c r="A1210" s="1" t="s">
        <v>838</v>
      </c>
      <c r="B1210" s="1"/>
      <c r="C1210" s="1" t="s">
        <v>2816</v>
      </c>
      <c r="D1210" s="1" t="s">
        <v>3372</v>
      </c>
      <c r="E1210" s="1"/>
      <c r="F1210">
        <v>0</v>
      </c>
      <c r="G1210">
        <v>0</v>
      </c>
      <c r="H1210">
        <v>0</v>
      </c>
      <c r="I1210">
        <v>0</v>
      </c>
      <c r="J1210">
        <v>1</v>
      </c>
      <c r="K1210" s="2">
        <v>45782</v>
      </c>
    </row>
    <row r="1211" spans="1:11" x14ac:dyDescent="0.25">
      <c r="A1211" s="1" t="s">
        <v>838</v>
      </c>
      <c r="B1211" s="1"/>
      <c r="C1211" s="1" t="s">
        <v>2866</v>
      </c>
      <c r="D1211" s="1" t="s">
        <v>3403</v>
      </c>
      <c r="E1211" s="1"/>
      <c r="F1211">
        <v>3.2</v>
      </c>
      <c r="G1211">
        <v>0</v>
      </c>
      <c r="H1211">
        <v>230</v>
      </c>
      <c r="I1211">
        <v>0</v>
      </c>
      <c r="J1211">
        <v>1</v>
      </c>
      <c r="K1211" s="2">
        <v>45783</v>
      </c>
    </row>
    <row r="1212" spans="1:11" x14ac:dyDescent="0.25">
      <c r="A1212" s="1" t="s">
        <v>839</v>
      </c>
      <c r="B1212" s="1"/>
      <c r="C1212" s="1" t="s">
        <v>2808</v>
      </c>
      <c r="D1212" s="1" t="s">
        <v>3370</v>
      </c>
      <c r="E1212" s="1"/>
      <c r="F1212">
        <v>0</v>
      </c>
      <c r="G1212">
        <v>0</v>
      </c>
      <c r="H1212">
        <v>0</v>
      </c>
      <c r="I1212">
        <v>0</v>
      </c>
      <c r="J1212">
        <v>1</v>
      </c>
      <c r="K1212" s="2">
        <v>45782</v>
      </c>
    </row>
    <row r="1213" spans="1:11" x14ac:dyDescent="0.25">
      <c r="A1213" s="1" t="s">
        <v>839</v>
      </c>
      <c r="B1213" s="1"/>
      <c r="C1213" s="1" t="s">
        <v>2867</v>
      </c>
      <c r="D1213" s="1" t="s">
        <v>3404</v>
      </c>
      <c r="E1213" s="1"/>
      <c r="F1213">
        <v>1.2</v>
      </c>
      <c r="G1213">
        <v>0</v>
      </c>
      <c r="H1213">
        <v>65</v>
      </c>
      <c r="I1213">
        <v>0</v>
      </c>
      <c r="J1213">
        <v>1</v>
      </c>
      <c r="K1213" s="2">
        <v>45780</v>
      </c>
    </row>
    <row r="1214" spans="1:11" x14ac:dyDescent="0.25">
      <c r="A1214" s="1" t="s">
        <v>839</v>
      </c>
      <c r="B1214" s="1"/>
      <c r="C1214" s="1" t="s">
        <v>2868</v>
      </c>
      <c r="D1214" s="1" t="s">
        <v>3371</v>
      </c>
      <c r="E1214" s="1"/>
      <c r="F1214">
        <v>0.5</v>
      </c>
      <c r="G1214">
        <v>0</v>
      </c>
      <c r="H1214">
        <v>35</v>
      </c>
      <c r="I1214">
        <v>0</v>
      </c>
      <c r="J1214">
        <v>1</v>
      </c>
      <c r="K1214" s="2">
        <v>45780</v>
      </c>
    </row>
    <row r="1215" spans="1:11" x14ac:dyDescent="0.25">
      <c r="A1215" s="1" t="s">
        <v>839</v>
      </c>
      <c r="B1215" s="1"/>
      <c r="C1215" s="1" t="s">
        <v>2869</v>
      </c>
      <c r="D1215" s="1" t="s">
        <v>3405</v>
      </c>
      <c r="E1215" s="1"/>
      <c r="F1215">
        <v>2.2999999999999998</v>
      </c>
      <c r="G1215">
        <v>0.1</v>
      </c>
      <c r="H1215">
        <v>160</v>
      </c>
      <c r="I1215">
        <v>0</v>
      </c>
      <c r="J1215">
        <v>1</v>
      </c>
      <c r="K1215" s="2">
        <v>45780</v>
      </c>
    </row>
    <row r="1216" spans="1:11" x14ac:dyDescent="0.25">
      <c r="A1216" s="1" t="s">
        <v>839</v>
      </c>
      <c r="B1216" s="1"/>
      <c r="C1216" s="1" t="s">
        <v>2812</v>
      </c>
      <c r="D1216" s="1" t="s">
        <v>3403</v>
      </c>
      <c r="E1216" s="1"/>
      <c r="F1216">
        <v>0.5</v>
      </c>
      <c r="G1216">
        <v>0</v>
      </c>
      <c r="H1216">
        <v>40</v>
      </c>
      <c r="I1216">
        <v>0</v>
      </c>
      <c r="J1216">
        <v>1</v>
      </c>
      <c r="K1216" s="2">
        <v>45782</v>
      </c>
    </row>
    <row r="1217" spans="1:11" x14ac:dyDescent="0.25">
      <c r="A1217" s="1" t="s">
        <v>839</v>
      </c>
      <c r="B1217" s="1"/>
      <c r="C1217" s="1" t="s">
        <v>2870</v>
      </c>
      <c r="D1217" s="1" t="s">
        <v>3403</v>
      </c>
      <c r="E1217" s="1"/>
      <c r="F1217">
        <v>0.5</v>
      </c>
      <c r="G1217">
        <v>0.8</v>
      </c>
      <c r="H1217">
        <v>-5</v>
      </c>
      <c r="I1217">
        <v>0</v>
      </c>
      <c r="J1217">
        <v>1</v>
      </c>
      <c r="K1217" s="2">
        <v>45782</v>
      </c>
    </row>
    <row r="1218" spans="1:11" x14ac:dyDescent="0.25">
      <c r="A1218" s="1" t="s">
        <v>839</v>
      </c>
      <c r="B1218" s="1"/>
      <c r="C1218" s="1" t="s">
        <v>2816</v>
      </c>
      <c r="D1218" s="1" t="s">
        <v>3372</v>
      </c>
      <c r="E1218" s="1"/>
      <c r="F1218">
        <v>0</v>
      </c>
      <c r="G1218">
        <v>0</v>
      </c>
      <c r="H1218">
        <v>0</v>
      </c>
      <c r="I1218">
        <v>0</v>
      </c>
      <c r="J1218">
        <v>1</v>
      </c>
      <c r="K1218" s="2">
        <v>45782</v>
      </c>
    </row>
    <row r="1219" spans="1:11" x14ac:dyDescent="0.25">
      <c r="A1219" s="1" t="s">
        <v>839</v>
      </c>
      <c r="B1219" s="1"/>
      <c r="C1219" s="1" t="s">
        <v>2866</v>
      </c>
      <c r="D1219" s="1" t="s">
        <v>3403</v>
      </c>
      <c r="E1219" s="1"/>
      <c r="F1219">
        <v>3.2</v>
      </c>
      <c r="G1219">
        <v>0</v>
      </c>
      <c r="H1219">
        <v>230</v>
      </c>
      <c r="I1219">
        <v>0</v>
      </c>
      <c r="J1219">
        <v>1</v>
      </c>
      <c r="K1219" s="2">
        <v>45783</v>
      </c>
    </row>
    <row r="1220" spans="1:11" x14ac:dyDescent="0.25">
      <c r="A1220" s="1" t="s">
        <v>840</v>
      </c>
      <c r="B1220" s="1"/>
      <c r="C1220" s="1" t="s">
        <v>2808</v>
      </c>
      <c r="D1220" s="1" t="s">
        <v>3370</v>
      </c>
      <c r="E1220" s="1"/>
      <c r="F1220">
        <v>0</v>
      </c>
      <c r="G1220">
        <v>0</v>
      </c>
      <c r="H1220">
        <v>0</v>
      </c>
      <c r="I1220">
        <v>0</v>
      </c>
      <c r="J1220">
        <v>1</v>
      </c>
      <c r="K1220" s="2">
        <v>45782</v>
      </c>
    </row>
    <row r="1221" spans="1:11" x14ac:dyDescent="0.25">
      <c r="A1221" s="1" t="s">
        <v>840</v>
      </c>
      <c r="B1221" s="1"/>
      <c r="C1221" s="1" t="s">
        <v>2867</v>
      </c>
      <c r="D1221" s="1" t="s">
        <v>3404</v>
      </c>
      <c r="E1221" s="1"/>
      <c r="F1221">
        <v>1.2</v>
      </c>
      <c r="G1221">
        <v>0</v>
      </c>
      <c r="H1221">
        <v>65</v>
      </c>
      <c r="I1221">
        <v>0</v>
      </c>
      <c r="J1221">
        <v>1</v>
      </c>
      <c r="K1221" s="2">
        <v>45780</v>
      </c>
    </row>
    <row r="1222" spans="1:11" x14ac:dyDescent="0.25">
      <c r="A1222" s="1" t="s">
        <v>840</v>
      </c>
      <c r="B1222" s="1"/>
      <c r="C1222" s="1" t="s">
        <v>2868</v>
      </c>
      <c r="D1222" s="1" t="s">
        <v>3371</v>
      </c>
      <c r="E1222" s="1"/>
      <c r="F1222">
        <v>0.5</v>
      </c>
      <c r="G1222">
        <v>0</v>
      </c>
      <c r="H1222">
        <v>35</v>
      </c>
      <c r="I1222">
        <v>0</v>
      </c>
      <c r="J1222">
        <v>1</v>
      </c>
      <c r="K1222" s="2">
        <v>45780</v>
      </c>
    </row>
    <row r="1223" spans="1:11" x14ac:dyDescent="0.25">
      <c r="A1223" s="1" t="s">
        <v>840</v>
      </c>
      <c r="B1223" s="1"/>
      <c r="C1223" s="1" t="s">
        <v>2869</v>
      </c>
      <c r="D1223" s="1" t="s">
        <v>3405</v>
      </c>
      <c r="E1223" s="1"/>
      <c r="F1223">
        <v>2.2999999999999998</v>
      </c>
      <c r="G1223">
        <v>0.3</v>
      </c>
      <c r="H1223">
        <v>150</v>
      </c>
      <c r="I1223">
        <v>0</v>
      </c>
      <c r="J1223">
        <v>1</v>
      </c>
      <c r="K1223" s="2">
        <v>45780</v>
      </c>
    </row>
    <row r="1224" spans="1:11" x14ac:dyDescent="0.25">
      <c r="A1224" s="1" t="s">
        <v>840</v>
      </c>
      <c r="B1224" s="1"/>
      <c r="C1224" s="1" t="s">
        <v>2812</v>
      </c>
      <c r="D1224" s="1" t="s">
        <v>3403</v>
      </c>
      <c r="E1224" s="1"/>
      <c r="F1224">
        <v>0.5</v>
      </c>
      <c r="G1224">
        <v>0</v>
      </c>
      <c r="H1224">
        <v>40</v>
      </c>
      <c r="I1224">
        <v>0</v>
      </c>
      <c r="J1224">
        <v>1</v>
      </c>
      <c r="K1224" s="2">
        <v>45782</v>
      </c>
    </row>
    <row r="1225" spans="1:11" x14ac:dyDescent="0.25">
      <c r="A1225" s="1" t="s">
        <v>840</v>
      </c>
      <c r="B1225" s="1"/>
      <c r="C1225" s="1" t="s">
        <v>2870</v>
      </c>
      <c r="D1225" s="1" t="s">
        <v>3403</v>
      </c>
      <c r="E1225" s="1"/>
      <c r="F1225">
        <v>0.5</v>
      </c>
      <c r="G1225">
        <v>0.6</v>
      </c>
      <c r="H1225">
        <v>5</v>
      </c>
      <c r="I1225">
        <v>0</v>
      </c>
      <c r="J1225">
        <v>1</v>
      </c>
      <c r="K1225" s="2">
        <v>45782</v>
      </c>
    </row>
    <row r="1226" spans="1:11" x14ac:dyDescent="0.25">
      <c r="A1226" s="1" t="s">
        <v>841</v>
      </c>
      <c r="B1226" s="1"/>
      <c r="C1226" s="1" t="s">
        <v>2808</v>
      </c>
      <c r="D1226" s="1" t="s">
        <v>3370</v>
      </c>
      <c r="E1226" s="1"/>
      <c r="F1226">
        <v>0</v>
      </c>
      <c r="G1226">
        <v>0</v>
      </c>
      <c r="H1226">
        <v>0</v>
      </c>
      <c r="I1226">
        <v>0</v>
      </c>
      <c r="J1226">
        <v>1</v>
      </c>
      <c r="K1226" s="2">
        <v>45782</v>
      </c>
    </row>
    <row r="1227" spans="1:11" x14ac:dyDescent="0.25">
      <c r="A1227" s="1" t="s">
        <v>495</v>
      </c>
      <c r="B1227" s="1"/>
      <c r="C1227" s="1" t="s">
        <v>2808</v>
      </c>
      <c r="D1227" s="1" t="s">
        <v>3370</v>
      </c>
      <c r="E1227" s="1"/>
      <c r="F1227">
        <v>0</v>
      </c>
      <c r="G1227">
        <v>0</v>
      </c>
      <c r="H1227">
        <v>0</v>
      </c>
      <c r="I1227">
        <v>0</v>
      </c>
      <c r="J1227">
        <v>8</v>
      </c>
      <c r="K1227" s="2">
        <v>45752</v>
      </c>
    </row>
    <row r="1228" spans="1:11" x14ac:dyDescent="0.25">
      <c r="A1228" s="1" t="s">
        <v>495</v>
      </c>
      <c r="B1228" s="1"/>
      <c r="C1228" s="1" t="s">
        <v>3013</v>
      </c>
      <c r="D1228" s="1" t="s">
        <v>3447</v>
      </c>
      <c r="E1228" s="1"/>
      <c r="F1228">
        <v>0</v>
      </c>
      <c r="G1228">
        <v>0</v>
      </c>
      <c r="H1228">
        <v>0</v>
      </c>
      <c r="I1228">
        <v>0</v>
      </c>
      <c r="J1228">
        <v>0</v>
      </c>
      <c r="K1228" s="2">
        <v>45756</v>
      </c>
    </row>
    <row r="1229" spans="1:11" x14ac:dyDescent="0.25">
      <c r="A1229" s="1" t="s">
        <v>495</v>
      </c>
      <c r="B1229" s="1"/>
      <c r="C1229" s="1" t="s">
        <v>2869</v>
      </c>
      <c r="D1229" s="1" t="s">
        <v>3447</v>
      </c>
      <c r="E1229" s="1"/>
      <c r="F1229">
        <v>1.7</v>
      </c>
      <c r="G1229">
        <v>4.7</v>
      </c>
      <c r="H1229">
        <v>-160</v>
      </c>
      <c r="I1229">
        <v>0</v>
      </c>
      <c r="J1229">
        <v>10</v>
      </c>
      <c r="K1229" s="2">
        <v>45756</v>
      </c>
    </row>
    <row r="1230" spans="1:11" x14ac:dyDescent="0.25">
      <c r="A1230" s="1" t="s">
        <v>580</v>
      </c>
      <c r="B1230" s="1"/>
      <c r="C1230" s="1" t="s">
        <v>2808</v>
      </c>
      <c r="D1230" s="1" t="s">
        <v>3370</v>
      </c>
      <c r="E1230" s="1"/>
      <c r="F1230">
        <v>0</v>
      </c>
      <c r="G1230">
        <v>0</v>
      </c>
      <c r="H1230">
        <v>0</v>
      </c>
      <c r="I1230">
        <v>0</v>
      </c>
      <c r="J1230">
        <v>28</v>
      </c>
      <c r="K1230" s="2">
        <v>45761</v>
      </c>
    </row>
    <row r="1231" spans="1:11" x14ac:dyDescent="0.25">
      <c r="A1231" s="1" t="s">
        <v>580</v>
      </c>
      <c r="B1231" s="1"/>
      <c r="C1231" s="1" t="s">
        <v>3014</v>
      </c>
      <c r="D1231" s="1" t="s">
        <v>3371</v>
      </c>
      <c r="E1231" s="1"/>
      <c r="F1231">
        <v>0</v>
      </c>
      <c r="G1231">
        <v>0</v>
      </c>
      <c r="H1231">
        <v>0</v>
      </c>
      <c r="I1231">
        <v>0</v>
      </c>
      <c r="J1231">
        <v>28</v>
      </c>
      <c r="K1231" s="2">
        <v>45761</v>
      </c>
    </row>
    <row r="1232" spans="1:11" x14ac:dyDescent="0.25">
      <c r="A1232" s="1" t="s">
        <v>580</v>
      </c>
      <c r="B1232" s="1"/>
      <c r="C1232" s="1" t="s">
        <v>3013</v>
      </c>
      <c r="D1232" s="1" t="s">
        <v>3447</v>
      </c>
      <c r="E1232" s="1"/>
      <c r="F1232">
        <v>0</v>
      </c>
      <c r="G1232">
        <v>3.1</v>
      </c>
      <c r="H1232">
        <v>-170</v>
      </c>
      <c r="I1232">
        <v>0</v>
      </c>
      <c r="J1232">
        <v>28</v>
      </c>
      <c r="K1232" s="2">
        <v>45761</v>
      </c>
    </row>
    <row r="1233" spans="1:11" x14ac:dyDescent="0.25">
      <c r="A1233" s="1" t="s">
        <v>580</v>
      </c>
      <c r="B1233" s="1"/>
      <c r="C1233" s="1" t="s">
        <v>3015</v>
      </c>
      <c r="D1233" s="1" t="s">
        <v>3403</v>
      </c>
      <c r="E1233" s="1"/>
      <c r="F1233">
        <v>0.3</v>
      </c>
      <c r="G1233">
        <v>0</v>
      </c>
      <c r="H1233">
        <v>20</v>
      </c>
      <c r="I1233">
        <v>0</v>
      </c>
      <c r="J1233">
        <v>0</v>
      </c>
      <c r="K1233" s="2">
        <v>45761</v>
      </c>
    </row>
    <row r="1234" spans="1:11" x14ac:dyDescent="0.25">
      <c r="A1234" s="1" t="s">
        <v>580</v>
      </c>
      <c r="B1234" s="1"/>
      <c r="C1234" s="1" t="s">
        <v>2867</v>
      </c>
      <c r="D1234" s="1" t="s">
        <v>3404</v>
      </c>
      <c r="E1234" s="1"/>
      <c r="F1234">
        <v>0.5</v>
      </c>
      <c r="G1234">
        <v>0</v>
      </c>
      <c r="H1234">
        <v>35</v>
      </c>
      <c r="I1234">
        <v>0</v>
      </c>
      <c r="J1234">
        <v>28</v>
      </c>
      <c r="K1234" s="2">
        <v>45761</v>
      </c>
    </row>
    <row r="1235" spans="1:11" x14ac:dyDescent="0.25">
      <c r="A1235" s="1" t="s">
        <v>580</v>
      </c>
      <c r="B1235" s="1"/>
      <c r="C1235" s="1" t="s">
        <v>2868</v>
      </c>
      <c r="D1235" s="1" t="s">
        <v>3371</v>
      </c>
      <c r="E1235" s="1"/>
      <c r="F1235">
        <v>1.2</v>
      </c>
      <c r="G1235">
        <v>1.1000000000000001</v>
      </c>
      <c r="H1235">
        <v>10</v>
      </c>
      <c r="I1235">
        <v>0</v>
      </c>
      <c r="J1235">
        <v>28</v>
      </c>
      <c r="K1235" s="2">
        <v>45761</v>
      </c>
    </row>
    <row r="1236" spans="1:11" x14ac:dyDescent="0.25">
      <c r="A1236" s="1" t="s">
        <v>580</v>
      </c>
      <c r="B1236" s="1"/>
      <c r="C1236" s="1" t="s">
        <v>2869</v>
      </c>
      <c r="D1236" s="1" t="s">
        <v>3447</v>
      </c>
      <c r="E1236" s="1"/>
      <c r="F1236">
        <v>3.3</v>
      </c>
      <c r="G1236">
        <v>2.1</v>
      </c>
      <c r="H1236">
        <v>75</v>
      </c>
      <c r="I1236">
        <v>0</v>
      </c>
      <c r="J1236">
        <v>26</v>
      </c>
      <c r="K1236" s="2">
        <v>45761</v>
      </c>
    </row>
    <row r="1237" spans="1:11" x14ac:dyDescent="0.25">
      <c r="A1237" s="1" t="s">
        <v>580</v>
      </c>
      <c r="B1237" s="1"/>
      <c r="C1237" s="1" t="s">
        <v>2812</v>
      </c>
      <c r="D1237" s="1" t="s">
        <v>3403</v>
      </c>
      <c r="E1237" s="1"/>
      <c r="F1237">
        <v>0.5</v>
      </c>
      <c r="G1237">
        <v>0</v>
      </c>
      <c r="H1237">
        <v>40</v>
      </c>
      <c r="I1237">
        <v>0</v>
      </c>
      <c r="J1237">
        <v>26</v>
      </c>
      <c r="K1237" s="2">
        <v>45761</v>
      </c>
    </row>
    <row r="1238" spans="1:11" x14ac:dyDescent="0.25">
      <c r="A1238" s="1" t="s">
        <v>580</v>
      </c>
      <c r="B1238" s="1"/>
      <c r="C1238" s="1" t="s">
        <v>2870</v>
      </c>
      <c r="D1238" s="1" t="s">
        <v>3403</v>
      </c>
      <c r="E1238" s="1"/>
      <c r="F1238">
        <v>1.2</v>
      </c>
      <c r="G1238">
        <v>8</v>
      </c>
      <c r="H1238">
        <v>-345</v>
      </c>
      <c r="I1238">
        <v>0</v>
      </c>
      <c r="J1238">
        <v>26</v>
      </c>
      <c r="K1238" s="2">
        <v>45763</v>
      </c>
    </row>
    <row r="1239" spans="1:11" x14ac:dyDescent="0.25">
      <c r="A1239" s="1" t="s">
        <v>580</v>
      </c>
      <c r="B1239" s="1"/>
      <c r="C1239" s="1" t="s">
        <v>3015</v>
      </c>
      <c r="D1239" s="1" t="s">
        <v>3403</v>
      </c>
      <c r="E1239" s="1"/>
      <c r="F1239">
        <v>1.2</v>
      </c>
      <c r="G1239">
        <v>9.9</v>
      </c>
      <c r="H1239">
        <v>-445</v>
      </c>
      <c r="I1239">
        <v>0</v>
      </c>
      <c r="J1239">
        <v>26</v>
      </c>
      <c r="K1239" s="2">
        <v>45763</v>
      </c>
    </row>
    <row r="1240" spans="1:11" x14ac:dyDescent="0.25">
      <c r="A1240" s="1" t="s">
        <v>580</v>
      </c>
      <c r="B1240" s="1"/>
      <c r="C1240" s="1" t="s">
        <v>2848</v>
      </c>
      <c r="D1240" s="1" t="s">
        <v>3372</v>
      </c>
      <c r="E1240" s="1"/>
      <c r="F1240">
        <v>0.5</v>
      </c>
      <c r="G1240">
        <v>0</v>
      </c>
      <c r="H1240">
        <v>25</v>
      </c>
      <c r="I1240">
        <v>0</v>
      </c>
      <c r="J1240">
        <v>26</v>
      </c>
      <c r="K1240" s="2">
        <v>45765</v>
      </c>
    </row>
    <row r="1241" spans="1:11" x14ac:dyDescent="0.25">
      <c r="A1241" s="1" t="s">
        <v>365</v>
      </c>
      <c r="B1241" s="1"/>
      <c r="C1241" s="1" t="s">
        <v>2808</v>
      </c>
      <c r="D1241" s="1" t="s">
        <v>3370</v>
      </c>
      <c r="E1241" s="1"/>
      <c r="F1241">
        <v>0</v>
      </c>
      <c r="G1241">
        <v>0</v>
      </c>
      <c r="H1241">
        <v>0</v>
      </c>
      <c r="I1241">
        <v>0</v>
      </c>
      <c r="J1241">
        <v>90</v>
      </c>
      <c r="K1241" s="2">
        <v>45730</v>
      </c>
    </row>
    <row r="1242" spans="1:11" x14ac:dyDescent="0.25">
      <c r="A1242" s="1" t="s">
        <v>365</v>
      </c>
      <c r="B1242" s="1"/>
      <c r="C1242" s="1" t="s">
        <v>3014</v>
      </c>
      <c r="D1242" s="1" t="s">
        <v>3371</v>
      </c>
      <c r="E1242" s="1"/>
      <c r="F1242">
        <v>0</v>
      </c>
      <c r="G1242">
        <v>0</v>
      </c>
      <c r="H1242">
        <v>0</v>
      </c>
      <c r="I1242">
        <v>0</v>
      </c>
      <c r="J1242">
        <v>20</v>
      </c>
      <c r="K1242" s="2">
        <v>45758</v>
      </c>
    </row>
    <row r="1243" spans="1:11" x14ac:dyDescent="0.25">
      <c r="A1243" s="1" t="s">
        <v>365</v>
      </c>
      <c r="B1243" s="1"/>
      <c r="C1243" s="1" t="s">
        <v>3013</v>
      </c>
      <c r="D1243" s="1" t="s">
        <v>3447</v>
      </c>
      <c r="E1243" s="1"/>
      <c r="F1243">
        <v>0</v>
      </c>
      <c r="G1243">
        <v>1.5</v>
      </c>
      <c r="H1243">
        <v>-75</v>
      </c>
      <c r="I1243">
        <v>0</v>
      </c>
      <c r="J1243">
        <v>20</v>
      </c>
      <c r="K1243" s="2">
        <v>45758</v>
      </c>
    </row>
    <row r="1244" spans="1:11" x14ac:dyDescent="0.25">
      <c r="A1244" s="1" t="s">
        <v>365</v>
      </c>
      <c r="B1244" s="1"/>
      <c r="C1244" s="1" t="s">
        <v>3015</v>
      </c>
      <c r="D1244" s="1" t="s">
        <v>3403</v>
      </c>
      <c r="E1244" s="1"/>
      <c r="F1244">
        <v>0.3</v>
      </c>
      <c r="G1244">
        <v>2.1</v>
      </c>
      <c r="H1244">
        <v>-90</v>
      </c>
      <c r="I1244">
        <v>0</v>
      </c>
      <c r="J1244">
        <v>20</v>
      </c>
      <c r="K1244" s="2">
        <v>45758</v>
      </c>
    </row>
    <row r="1245" spans="1:11" x14ac:dyDescent="0.25">
      <c r="A1245" s="1" t="s">
        <v>365</v>
      </c>
      <c r="B1245" s="1"/>
      <c r="C1245" s="1" t="s">
        <v>3016</v>
      </c>
      <c r="D1245" s="1" t="s">
        <v>3425</v>
      </c>
      <c r="E1245" s="1"/>
      <c r="F1245">
        <v>1</v>
      </c>
      <c r="G1245">
        <v>13.4</v>
      </c>
      <c r="H1245">
        <v>-515</v>
      </c>
      <c r="I1245">
        <v>0</v>
      </c>
      <c r="J1245">
        <v>0</v>
      </c>
      <c r="K1245" s="2">
        <v>45758</v>
      </c>
    </row>
    <row r="1246" spans="1:11" x14ac:dyDescent="0.25">
      <c r="A1246" s="1" t="s">
        <v>365</v>
      </c>
      <c r="B1246" s="1"/>
      <c r="C1246" s="1" t="s">
        <v>2867</v>
      </c>
      <c r="D1246" s="1" t="s">
        <v>3404</v>
      </c>
      <c r="E1246" s="1"/>
      <c r="F1246">
        <v>0.4</v>
      </c>
      <c r="G1246">
        <v>0</v>
      </c>
      <c r="H1246">
        <v>30</v>
      </c>
      <c r="I1246">
        <v>0</v>
      </c>
      <c r="J1246">
        <v>20</v>
      </c>
      <c r="K1246" s="2">
        <v>45758</v>
      </c>
    </row>
    <row r="1247" spans="1:11" x14ac:dyDescent="0.25">
      <c r="A1247" s="1" t="s">
        <v>365</v>
      </c>
      <c r="B1247" s="1"/>
      <c r="C1247" s="1" t="s">
        <v>2868</v>
      </c>
      <c r="D1247" s="1" t="s">
        <v>3371</v>
      </c>
      <c r="E1247" s="1"/>
      <c r="F1247">
        <v>0.9</v>
      </c>
      <c r="G1247">
        <v>0</v>
      </c>
      <c r="H1247">
        <v>55</v>
      </c>
      <c r="I1247">
        <v>0</v>
      </c>
      <c r="J1247">
        <v>20</v>
      </c>
      <c r="K1247" s="2">
        <v>45758</v>
      </c>
    </row>
    <row r="1248" spans="1:11" x14ac:dyDescent="0.25">
      <c r="A1248" s="1" t="s">
        <v>365</v>
      </c>
      <c r="B1248" s="1"/>
      <c r="C1248" s="1" t="s">
        <v>2869</v>
      </c>
      <c r="D1248" s="1" t="s">
        <v>3447</v>
      </c>
      <c r="E1248" s="1"/>
      <c r="F1248">
        <v>2.7</v>
      </c>
      <c r="G1248">
        <v>13.1</v>
      </c>
      <c r="H1248">
        <v>-650</v>
      </c>
      <c r="I1248">
        <v>0</v>
      </c>
      <c r="J1248">
        <v>20</v>
      </c>
      <c r="K1248" s="2">
        <v>45758</v>
      </c>
    </row>
    <row r="1249" spans="1:11" x14ac:dyDescent="0.25">
      <c r="A1249" s="1" t="s">
        <v>365</v>
      </c>
      <c r="B1249" s="1"/>
      <c r="C1249" s="1" t="s">
        <v>2812</v>
      </c>
      <c r="D1249" s="1" t="s">
        <v>3403</v>
      </c>
      <c r="E1249" s="1"/>
      <c r="F1249">
        <v>0.5</v>
      </c>
      <c r="G1249">
        <v>0</v>
      </c>
      <c r="H1249">
        <v>40</v>
      </c>
      <c r="I1249">
        <v>0</v>
      </c>
      <c r="J1249">
        <v>20</v>
      </c>
      <c r="K1249" s="2">
        <v>45758</v>
      </c>
    </row>
    <row r="1250" spans="1:11" x14ac:dyDescent="0.25">
      <c r="A1250" s="1" t="s">
        <v>365</v>
      </c>
      <c r="B1250" s="1"/>
      <c r="C1250" s="1" t="s">
        <v>2870</v>
      </c>
      <c r="D1250" s="1" t="s">
        <v>3403</v>
      </c>
      <c r="E1250" s="1"/>
      <c r="F1250">
        <v>0.9</v>
      </c>
      <c r="G1250">
        <v>5.4</v>
      </c>
      <c r="H1250">
        <v>-220</v>
      </c>
      <c r="I1250">
        <v>0</v>
      </c>
      <c r="J1250">
        <v>20</v>
      </c>
      <c r="K1250" s="2">
        <v>45758</v>
      </c>
    </row>
    <row r="1251" spans="1:11" x14ac:dyDescent="0.25">
      <c r="A1251" s="1" t="s">
        <v>365</v>
      </c>
      <c r="B1251" s="1"/>
      <c r="C1251" s="1" t="s">
        <v>3015</v>
      </c>
      <c r="D1251" s="1" t="s">
        <v>3403</v>
      </c>
      <c r="E1251" s="1"/>
      <c r="F1251">
        <v>0.9</v>
      </c>
      <c r="G1251">
        <v>3.3</v>
      </c>
      <c r="H1251">
        <v>-115</v>
      </c>
      <c r="I1251">
        <v>0</v>
      </c>
      <c r="J1251">
        <v>20</v>
      </c>
      <c r="K1251" s="2">
        <v>45758</v>
      </c>
    </row>
    <row r="1252" spans="1:11" x14ac:dyDescent="0.25">
      <c r="A1252" s="1" t="s">
        <v>365</v>
      </c>
      <c r="B1252" s="1"/>
      <c r="C1252" s="1" t="s">
        <v>2864</v>
      </c>
      <c r="D1252" s="1" t="s">
        <v>3425</v>
      </c>
      <c r="E1252" s="1"/>
      <c r="F1252">
        <v>4.5999999999999996</v>
      </c>
      <c r="G1252">
        <v>0</v>
      </c>
      <c r="H1252">
        <v>195</v>
      </c>
      <c r="I1252">
        <v>0</v>
      </c>
      <c r="J1252">
        <v>0</v>
      </c>
      <c r="K1252" s="2">
        <v>45758</v>
      </c>
    </row>
    <row r="1253" spans="1:11" x14ac:dyDescent="0.25">
      <c r="A1253" s="1" t="s">
        <v>842</v>
      </c>
      <c r="B1253" s="1"/>
      <c r="C1253" s="1" t="s">
        <v>2808</v>
      </c>
      <c r="D1253" s="1" t="s">
        <v>3370</v>
      </c>
      <c r="E1253" s="1"/>
      <c r="F1253">
        <v>0</v>
      </c>
      <c r="G1253">
        <v>0</v>
      </c>
      <c r="H1253">
        <v>0</v>
      </c>
      <c r="I1253">
        <v>0</v>
      </c>
      <c r="J1253">
        <v>20</v>
      </c>
      <c r="K1253" s="2">
        <v>45779</v>
      </c>
    </row>
    <row r="1254" spans="1:11" x14ac:dyDescent="0.25">
      <c r="A1254" s="1" t="s">
        <v>842</v>
      </c>
      <c r="B1254" s="1"/>
      <c r="C1254" s="1" t="s">
        <v>3014</v>
      </c>
      <c r="D1254" s="1" t="s">
        <v>3371</v>
      </c>
      <c r="E1254" s="1"/>
      <c r="F1254">
        <v>0</v>
      </c>
      <c r="G1254">
        <v>0</v>
      </c>
      <c r="H1254">
        <v>0</v>
      </c>
      <c r="I1254">
        <v>0</v>
      </c>
      <c r="J1254">
        <v>0</v>
      </c>
      <c r="K1254" s="2">
        <v>45784</v>
      </c>
    </row>
    <row r="1255" spans="1:11" x14ac:dyDescent="0.25">
      <c r="A1255" s="1" t="s">
        <v>842</v>
      </c>
      <c r="B1255" s="1"/>
      <c r="C1255" s="1" t="s">
        <v>3013</v>
      </c>
      <c r="D1255" s="1" t="s">
        <v>3447</v>
      </c>
      <c r="E1255" s="1"/>
      <c r="F1255">
        <v>0</v>
      </c>
      <c r="G1255">
        <v>1.3</v>
      </c>
      <c r="H1255">
        <v>-95</v>
      </c>
      <c r="I1255">
        <v>0</v>
      </c>
      <c r="J1255">
        <v>0</v>
      </c>
      <c r="K1255" s="2">
        <v>45782</v>
      </c>
    </row>
    <row r="1256" spans="1:11" x14ac:dyDescent="0.25">
      <c r="A1256" s="1" t="s">
        <v>842</v>
      </c>
      <c r="B1256" s="1"/>
      <c r="C1256" s="1" t="s">
        <v>3015</v>
      </c>
      <c r="D1256" s="1" t="s">
        <v>3403</v>
      </c>
      <c r="E1256" s="1"/>
      <c r="F1256">
        <v>0.3</v>
      </c>
      <c r="G1256">
        <v>0</v>
      </c>
      <c r="H1256">
        <v>20</v>
      </c>
      <c r="I1256">
        <v>0</v>
      </c>
      <c r="J1256">
        <v>0</v>
      </c>
      <c r="K1256" s="2">
        <v>45784</v>
      </c>
    </row>
    <row r="1257" spans="1:11" x14ac:dyDescent="0.25">
      <c r="A1257" s="1" t="s">
        <v>842</v>
      </c>
      <c r="B1257" s="1"/>
      <c r="C1257" s="1" t="s">
        <v>3016</v>
      </c>
      <c r="D1257" s="1" t="s">
        <v>3425</v>
      </c>
      <c r="E1257" s="1"/>
      <c r="F1257">
        <v>1</v>
      </c>
      <c r="G1257">
        <v>0.1</v>
      </c>
      <c r="H1257">
        <v>40</v>
      </c>
      <c r="I1257">
        <v>0</v>
      </c>
      <c r="J1257">
        <v>22</v>
      </c>
      <c r="K1257" s="2">
        <v>45785</v>
      </c>
    </row>
    <row r="1258" spans="1:11" x14ac:dyDescent="0.25">
      <c r="A1258" s="1" t="s">
        <v>842</v>
      </c>
      <c r="B1258" s="1"/>
      <c r="C1258" s="1" t="s">
        <v>2867</v>
      </c>
      <c r="D1258" s="1" t="s">
        <v>3404</v>
      </c>
      <c r="E1258" s="1"/>
      <c r="F1258">
        <v>0.6</v>
      </c>
      <c r="G1258">
        <v>0</v>
      </c>
      <c r="H1258">
        <v>35</v>
      </c>
      <c r="I1258">
        <v>0</v>
      </c>
      <c r="J1258">
        <v>37</v>
      </c>
      <c r="K1258" s="2">
        <v>45779</v>
      </c>
    </row>
    <row r="1259" spans="1:11" x14ac:dyDescent="0.25">
      <c r="A1259" s="1" t="s">
        <v>842</v>
      </c>
      <c r="B1259" s="1"/>
      <c r="C1259" s="1" t="s">
        <v>2868</v>
      </c>
      <c r="D1259" s="1" t="s">
        <v>3371</v>
      </c>
      <c r="E1259" s="1"/>
      <c r="F1259">
        <v>1.5</v>
      </c>
      <c r="G1259">
        <v>0</v>
      </c>
      <c r="H1259">
        <v>85</v>
      </c>
      <c r="I1259">
        <v>0</v>
      </c>
      <c r="J1259">
        <v>37</v>
      </c>
      <c r="K1259" s="2">
        <v>45779</v>
      </c>
    </row>
    <row r="1260" spans="1:11" x14ac:dyDescent="0.25">
      <c r="A1260" s="1" t="s">
        <v>842</v>
      </c>
      <c r="B1260" s="1"/>
      <c r="C1260" s="1" t="s">
        <v>2869</v>
      </c>
      <c r="D1260" s="1" t="s">
        <v>3447</v>
      </c>
      <c r="E1260" s="1"/>
      <c r="F1260">
        <v>4.0999999999999996</v>
      </c>
      <c r="G1260">
        <v>12.7</v>
      </c>
      <c r="H1260">
        <v>-420</v>
      </c>
      <c r="I1260">
        <v>0</v>
      </c>
      <c r="J1260">
        <v>34</v>
      </c>
      <c r="K1260" s="2">
        <v>45782</v>
      </c>
    </row>
    <row r="1261" spans="1:11" x14ac:dyDescent="0.25">
      <c r="A1261" s="1" t="s">
        <v>842</v>
      </c>
      <c r="B1261" s="1"/>
      <c r="C1261" s="1" t="s">
        <v>2812</v>
      </c>
      <c r="D1261" s="1" t="s">
        <v>3403</v>
      </c>
      <c r="E1261" s="1"/>
      <c r="F1261">
        <v>0.5</v>
      </c>
      <c r="G1261">
        <v>0</v>
      </c>
      <c r="H1261">
        <v>40</v>
      </c>
      <c r="I1261">
        <v>0</v>
      </c>
      <c r="J1261">
        <v>34</v>
      </c>
      <c r="K1261" s="2">
        <v>45782</v>
      </c>
    </row>
    <row r="1262" spans="1:11" x14ac:dyDescent="0.25">
      <c r="A1262" s="1" t="s">
        <v>843</v>
      </c>
      <c r="B1262" s="1"/>
      <c r="C1262" s="1" t="s">
        <v>2808</v>
      </c>
      <c r="D1262" s="1" t="s">
        <v>3370</v>
      </c>
      <c r="E1262" s="1"/>
      <c r="F1262">
        <v>0</v>
      </c>
      <c r="G1262">
        <v>0</v>
      </c>
      <c r="H1262">
        <v>0</v>
      </c>
      <c r="I1262">
        <v>0</v>
      </c>
      <c r="J1262">
        <v>20</v>
      </c>
      <c r="K1262" s="2">
        <v>45779</v>
      </c>
    </row>
    <row r="1263" spans="1:11" x14ac:dyDescent="0.25">
      <c r="A1263" s="1" t="s">
        <v>843</v>
      </c>
      <c r="B1263" s="1"/>
      <c r="C1263" s="1" t="s">
        <v>3014</v>
      </c>
      <c r="D1263" s="1" t="s">
        <v>3371</v>
      </c>
      <c r="E1263" s="1"/>
      <c r="F1263">
        <v>0</v>
      </c>
      <c r="G1263">
        <v>0</v>
      </c>
      <c r="H1263">
        <v>0</v>
      </c>
      <c r="I1263">
        <v>0</v>
      </c>
      <c r="J1263">
        <v>0</v>
      </c>
      <c r="K1263" s="2">
        <v>45784</v>
      </c>
    </row>
    <row r="1264" spans="1:11" x14ac:dyDescent="0.25">
      <c r="A1264" s="1" t="s">
        <v>843</v>
      </c>
      <c r="B1264" s="1"/>
      <c r="C1264" s="1" t="s">
        <v>3013</v>
      </c>
      <c r="D1264" s="1" t="s">
        <v>3447</v>
      </c>
      <c r="E1264" s="1"/>
      <c r="F1264">
        <v>0</v>
      </c>
      <c r="G1264">
        <v>0</v>
      </c>
      <c r="H1264">
        <v>0</v>
      </c>
      <c r="I1264">
        <v>0</v>
      </c>
      <c r="J1264">
        <v>0</v>
      </c>
      <c r="K1264" s="2">
        <v>45782</v>
      </c>
    </row>
    <row r="1265" spans="1:11" x14ac:dyDescent="0.25">
      <c r="A1265" s="1" t="s">
        <v>843</v>
      </c>
      <c r="B1265" s="1"/>
      <c r="C1265" s="1" t="s">
        <v>3015</v>
      </c>
      <c r="D1265" s="1" t="s">
        <v>3403</v>
      </c>
      <c r="E1265" s="1"/>
      <c r="F1265">
        <v>0.3</v>
      </c>
      <c r="G1265">
        <v>0</v>
      </c>
      <c r="H1265">
        <v>20</v>
      </c>
      <c r="I1265">
        <v>0</v>
      </c>
      <c r="J1265">
        <v>0</v>
      </c>
      <c r="K1265" s="2">
        <v>45784</v>
      </c>
    </row>
    <row r="1266" spans="1:11" x14ac:dyDescent="0.25">
      <c r="A1266" s="1" t="s">
        <v>843</v>
      </c>
      <c r="B1266" s="1"/>
      <c r="C1266" s="1" t="s">
        <v>3016</v>
      </c>
      <c r="D1266" s="1" t="s">
        <v>3425</v>
      </c>
      <c r="E1266" s="1"/>
      <c r="F1266">
        <v>1</v>
      </c>
      <c r="G1266">
        <v>0</v>
      </c>
      <c r="H1266">
        <v>45</v>
      </c>
      <c r="I1266">
        <v>0</v>
      </c>
      <c r="J1266">
        <v>15</v>
      </c>
      <c r="K1266" s="2">
        <v>45785</v>
      </c>
    </row>
    <row r="1267" spans="1:11" x14ac:dyDescent="0.25">
      <c r="A1267" s="1" t="s">
        <v>843</v>
      </c>
      <c r="B1267" s="1"/>
      <c r="C1267" s="1" t="s">
        <v>2867</v>
      </c>
      <c r="D1267" s="1" t="s">
        <v>3404</v>
      </c>
      <c r="E1267" s="1"/>
      <c r="F1267">
        <v>0.4</v>
      </c>
      <c r="G1267">
        <v>0</v>
      </c>
      <c r="H1267">
        <v>30</v>
      </c>
      <c r="I1267">
        <v>0</v>
      </c>
      <c r="J1267">
        <v>18</v>
      </c>
      <c r="K1267" s="2">
        <v>45782</v>
      </c>
    </row>
    <row r="1268" spans="1:11" x14ac:dyDescent="0.25">
      <c r="A1268" s="1" t="s">
        <v>843</v>
      </c>
      <c r="B1268" s="1"/>
      <c r="C1268" s="1" t="s">
        <v>2868</v>
      </c>
      <c r="D1268" s="1" t="s">
        <v>3371</v>
      </c>
      <c r="E1268" s="1"/>
      <c r="F1268">
        <v>0.9</v>
      </c>
      <c r="G1268">
        <v>0</v>
      </c>
      <c r="H1268">
        <v>50</v>
      </c>
      <c r="I1268">
        <v>0</v>
      </c>
      <c r="J1268">
        <v>18</v>
      </c>
      <c r="K1268" s="2">
        <v>45782</v>
      </c>
    </row>
    <row r="1269" spans="1:11" x14ac:dyDescent="0.25">
      <c r="A1269" s="1" t="s">
        <v>843</v>
      </c>
      <c r="B1269" s="1"/>
      <c r="C1269" s="1" t="s">
        <v>2869</v>
      </c>
      <c r="D1269" s="1" t="s">
        <v>3447</v>
      </c>
      <c r="E1269" s="1"/>
      <c r="F1269">
        <v>2.5</v>
      </c>
      <c r="G1269">
        <v>6.8</v>
      </c>
      <c r="H1269">
        <v>-210</v>
      </c>
      <c r="I1269">
        <v>0</v>
      </c>
      <c r="J1269">
        <v>20</v>
      </c>
      <c r="K1269" s="2">
        <v>45783</v>
      </c>
    </row>
    <row r="1270" spans="1:11" x14ac:dyDescent="0.25">
      <c r="A1270" s="1" t="s">
        <v>843</v>
      </c>
      <c r="B1270" s="1"/>
      <c r="C1270" s="1" t="s">
        <v>2812</v>
      </c>
      <c r="D1270" s="1" t="s">
        <v>3403</v>
      </c>
      <c r="E1270" s="1"/>
      <c r="F1270">
        <v>0.5</v>
      </c>
      <c r="G1270">
        <v>0</v>
      </c>
      <c r="H1270">
        <v>40</v>
      </c>
      <c r="I1270">
        <v>0</v>
      </c>
      <c r="J1270">
        <v>18</v>
      </c>
      <c r="K1270" s="2">
        <v>45784</v>
      </c>
    </row>
    <row r="1271" spans="1:11" x14ac:dyDescent="0.25">
      <c r="A1271" s="1" t="s">
        <v>843</v>
      </c>
      <c r="B1271" s="1"/>
      <c r="C1271" s="1" t="s">
        <v>2870</v>
      </c>
      <c r="D1271" s="1" t="s">
        <v>3403</v>
      </c>
      <c r="E1271" s="1"/>
      <c r="F1271">
        <v>0.9</v>
      </c>
      <c r="G1271">
        <v>1.9</v>
      </c>
      <c r="H1271">
        <v>-45</v>
      </c>
      <c r="I1271">
        <v>0</v>
      </c>
      <c r="J1271">
        <v>15</v>
      </c>
      <c r="K1271" s="2">
        <v>45785</v>
      </c>
    </row>
    <row r="1272" spans="1:11" x14ac:dyDescent="0.25">
      <c r="A1272" s="1" t="s">
        <v>265</v>
      </c>
      <c r="B1272" s="1"/>
      <c r="C1272" s="1" t="s">
        <v>2989</v>
      </c>
      <c r="D1272" s="1" t="s">
        <v>3433</v>
      </c>
      <c r="E1272" s="1"/>
      <c r="F1272">
        <v>1.5</v>
      </c>
      <c r="G1272">
        <v>0</v>
      </c>
      <c r="H1272">
        <v>85</v>
      </c>
      <c r="I1272">
        <v>0</v>
      </c>
      <c r="J1272">
        <v>1</v>
      </c>
      <c r="K1272" s="2">
        <v>45742</v>
      </c>
    </row>
    <row r="1273" spans="1:11" x14ac:dyDescent="0.25">
      <c r="A1273" s="1" t="s">
        <v>265</v>
      </c>
      <c r="B1273" s="1"/>
      <c r="C1273" s="1" t="s">
        <v>2828</v>
      </c>
      <c r="D1273" s="1" t="s">
        <v>3434</v>
      </c>
      <c r="E1273" s="1"/>
      <c r="F1273">
        <v>5</v>
      </c>
      <c r="G1273">
        <v>3.5</v>
      </c>
      <c r="H1273">
        <v>85</v>
      </c>
      <c r="I1273">
        <v>0</v>
      </c>
      <c r="J1273">
        <v>1</v>
      </c>
      <c r="K1273" s="2">
        <v>45742</v>
      </c>
    </row>
    <row r="1274" spans="1:11" x14ac:dyDescent="0.25">
      <c r="A1274" s="1" t="s">
        <v>265</v>
      </c>
      <c r="B1274" s="1"/>
      <c r="C1274" s="1" t="s">
        <v>2990</v>
      </c>
      <c r="D1274" s="1" t="s">
        <v>3372</v>
      </c>
      <c r="E1274" s="1"/>
      <c r="F1274">
        <v>1</v>
      </c>
      <c r="G1274">
        <v>0</v>
      </c>
      <c r="H1274">
        <v>55</v>
      </c>
      <c r="I1274">
        <v>0</v>
      </c>
      <c r="J1274">
        <v>1</v>
      </c>
      <c r="K1274" s="2">
        <v>45742</v>
      </c>
    </row>
    <row r="1275" spans="1:11" x14ac:dyDescent="0.25">
      <c r="A1275" s="1" t="s">
        <v>265</v>
      </c>
      <c r="B1275" s="1"/>
      <c r="C1275" s="1" t="s">
        <v>2991</v>
      </c>
      <c r="D1275" s="1" t="s">
        <v>3435</v>
      </c>
      <c r="E1275" s="1"/>
      <c r="F1275">
        <v>1.3</v>
      </c>
      <c r="G1275">
        <v>0</v>
      </c>
      <c r="H1275">
        <v>70</v>
      </c>
      <c r="I1275">
        <v>0</v>
      </c>
      <c r="J1275">
        <v>1</v>
      </c>
      <c r="K1275" s="2">
        <v>45742</v>
      </c>
    </row>
    <row r="1276" spans="1:11" x14ac:dyDescent="0.25">
      <c r="A1276" s="1" t="s">
        <v>265</v>
      </c>
      <c r="B1276" s="1"/>
      <c r="C1276" s="1" t="s">
        <v>2992</v>
      </c>
      <c r="D1276" s="1" t="s">
        <v>3435</v>
      </c>
      <c r="E1276" s="1"/>
      <c r="F1276">
        <v>1</v>
      </c>
      <c r="G1276">
        <v>0</v>
      </c>
      <c r="H1276">
        <v>55</v>
      </c>
      <c r="I1276">
        <v>0</v>
      </c>
      <c r="J1276">
        <v>1</v>
      </c>
      <c r="K1276" s="2">
        <v>45742</v>
      </c>
    </row>
    <row r="1277" spans="1:11" x14ac:dyDescent="0.25">
      <c r="A1277" s="1" t="s">
        <v>265</v>
      </c>
      <c r="B1277" s="1"/>
      <c r="C1277" s="1" t="s">
        <v>2993</v>
      </c>
      <c r="D1277" s="1" t="s">
        <v>3388</v>
      </c>
      <c r="E1277" s="1"/>
      <c r="F1277">
        <v>0.8</v>
      </c>
      <c r="G1277">
        <v>1.7</v>
      </c>
      <c r="H1277">
        <v>-60</v>
      </c>
      <c r="I1277">
        <v>0</v>
      </c>
      <c r="J1277">
        <v>1</v>
      </c>
      <c r="K1277" s="2">
        <v>45761</v>
      </c>
    </row>
    <row r="1278" spans="1:11" x14ac:dyDescent="0.25">
      <c r="A1278" s="1" t="s">
        <v>265</v>
      </c>
      <c r="B1278" s="1"/>
      <c r="C1278" s="1" t="s">
        <v>2994</v>
      </c>
      <c r="D1278" s="1" t="s">
        <v>3436</v>
      </c>
      <c r="E1278" s="1"/>
      <c r="F1278">
        <v>1.1000000000000001</v>
      </c>
      <c r="G1278">
        <v>0</v>
      </c>
      <c r="H1278">
        <v>60</v>
      </c>
      <c r="I1278">
        <v>0</v>
      </c>
      <c r="J1278">
        <v>1</v>
      </c>
      <c r="K1278" s="2">
        <v>45751</v>
      </c>
    </row>
    <row r="1279" spans="1:11" x14ac:dyDescent="0.25">
      <c r="A1279" s="1" t="s">
        <v>265</v>
      </c>
      <c r="B1279" s="1"/>
      <c r="C1279" s="1" t="s">
        <v>2995</v>
      </c>
      <c r="D1279" s="1" t="s">
        <v>3372</v>
      </c>
      <c r="E1279" s="1"/>
      <c r="F1279">
        <v>1</v>
      </c>
      <c r="G1279">
        <v>0.1</v>
      </c>
      <c r="H1279">
        <v>50</v>
      </c>
      <c r="I1279">
        <v>0</v>
      </c>
      <c r="J1279">
        <v>1</v>
      </c>
      <c r="K1279" s="2">
        <v>45779</v>
      </c>
    </row>
    <row r="1280" spans="1:11" x14ac:dyDescent="0.25">
      <c r="A1280" s="1" t="s">
        <v>265</v>
      </c>
      <c r="B1280" s="1"/>
      <c r="C1280" s="1" t="s">
        <v>3017</v>
      </c>
      <c r="D1280" s="1" t="s">
        <v>3424</v>
      </c>
      <c r="E1280" s="1"/>
      <c r="F1280">
        <v>0</v>
      </c>
      <c r="G1280">
        <v>0</v>
      </c>
      <c r="H1280">
        <v>5</v>
      </c>
      <c r="I1280">
        <v>0</v>
      </c>
      <c r="J1280">
        <v>1</v>
      </c>
      <c r="K1280" s="2">
        <v>45783</v>
      </c>
    </row>
    <row r="1281" spans="1:11" x14ac:dyDescent="0.25">
      <c r="A1281" s="1" t="s">
        <v>288</v>
      </c>
      <c r="B1281" s="1"/>
      <c r="C1281" s="1" t="s">
        <v>2989</v>
      </c>
      <c r="D1281" s="1" t="s">
        <v>3433</v>
      </c>
      <c r="E1281" s="1"/>
      <c r="F1281">
        <v>1.5</v>
      </c>
      <c r="G1281">
        <v>0</v>
      </c>
      <c r="H1281">
        <v>85</v>
      </c>
      <c r="I1281">
        <v>0</v>
      </c>
      <c r="J1281">
        <v>1</v>
      </c>
      <c r="K1281" s="2">
        <v>45748</v>
      </c>
    </row>
    <row r="1282" spans="1:11" x14ac:dyDescent="0.25">
      <c r="A1282" s="1" t="s">
        <v>288</v>
      </c>
      <c r="B1282" s="1"/>
      <c r="C1282" s="1" t="s">
        <v>2828</v>
      </c>
      <c r="D1282" s="1" t="s">
        <v>3434</v>
      </c>
      <c r="E1282" s="1"/>
      <c r="F1282">
        <v>5</v>
      </c>
      <c r="G1282">
        <v>5.0999999999999996</v>
      </c>
      <c r="H1282">
        <v>0</v>
      </c>
      <c r="I1282">
        <v>0</v>
      </c>
      <c r="J1282">
        <v>1</v>
      </c>
      <c r="K1282" s="2">
        <v>45749</v>
      </c>
    </row>
    <row r="1283" spans="1:11" x14ac:dyDescent="0.25">
      <c r="A1283" s="1" t="s">
        <v>288</v>
      </c>
      <c r="B1283" s="1"/>
      <c r="C1283" s="1" t="s">
        <v>2990</v>
      </c>
      <c r="D1283" s="1" t="s">
        <v>3372</v>
      </c>
      <c r="E1283" s="1"/>
      <c r="F1283">
        <v>1</v>
      </c>
      <c r="G1283">
        <v>0</v>
      </c>
      <c r="H1283">
        <v>55</v>
      </c>
      <c r="I1283">
        <v>0</v>
      </c>
      <c r="J1283">
        <v>1</v>
      </c>
      <c r="K1283" s="2">
        <v>45749</v>
      </c>
    </row>
    <row r="1284" spans="1:11" x14ac:dyDescent="0.25">
      <c r="A1284" s="1" t="s">
        <v>288</v>
      </c>
      <c r="B1284" s="1"/>
      <c r="C1284" s="1" t="s">
        <v>2991</v>
      </c>
      <c r="D1284" s="1" t="s">
        <v>3435</v>
      </c>
      <c r="E1284" s="1"/>
      <c r="F1284">
        <v>1.3</v>
      </c>
      <c r="G1284">
        <v>0</v>
      </c>
      <c r="H1284">
        <v>70</v>
      </c>
      <c r="I1284">
        <v>0</v>
      </c>
      <c r="J1284">
        <v>1</v>
      </c>
      <c r="K1284" s="2">
        <v>45749</v>
      </c>
    </row>
    <row r="1285" spans="1:11" x14ac:dyDescent="0.25">
      <c r="A1285" s="1" t="s">
        <v>288</v>
      </c>
      <c r="B1285" s="1"/>
      <c r="C1285" s="1" t="s">
        <v>2992</v>
      </c>
      <c r="D1285" s="1" t="s">
        <v>3435</v>
      </c>
      <c r="E1285" s="1"/>
      <c r="F1285">
        <v>1</v>
      </c>
      <c r="G1285">
        <v>0</v>
      </c>
      <c r="H1285">
        <v>55</v>
      </c>
      <c r="I1285">
        <v>0</v>
      </c>
      <c r="J1285">
        <v>1</v>
      </c>
      <c r="K1285" s="2">
        <v>45749</v>
      </c>
    </row>
    <row r="1286" spans="1:11" x14ac:dyDescent="0.25">
      <c r="A1286" s="1" t="s">
        <v>288</v>
      </c>
      <c r="B1286" s="1"/>
      <c r="C1286" s="1" t="s">
        <v>2993</v>
      </c>
      <c r="D1286" s="1" t="s">
        <v>3388</v>
      </c>
      <c r="E1286" s="1"/>
      <c r="F1286">
        <v>0.8</v>
      </c>
      <c r="G1286">
        <v>0.2</v>
      </c>
      <c r="H1286">
        <v>40</v>
      </c>
      <c r="I1286">
        <v>0</v>
      </c>
      <c r="J1286">
        <v>1</v>
      </c>
      <c r="K1286" s="2">
        <v>45761</v>
      </c>
    </row>
    <row r="1287" spans="1:11" x14ac:dyDescent="0.25">
      <c r="A1287" s="1" t="s">
        <v>288</v>
      </c>
      <c r="B1287" s="1"/>
      <c r="C1287" s="1" t="s">
        <v>2994</v>
      </c>
      <c r="D1287" s="1" t="s">
        <v>3436</v>
      </c>
      <c r="E1287" s="1"/>
      <c r="F1287">
        <v>1.1000000000000001</v>
      </c>
      <c r="G1287">
        <v>0.9</v>
      </c>
      <c r="H1287">
        <v>15</v>
      </c>
      <c r="I1287">
        <v>0</v>
      </c>
      <c r="J1287">
        <v>1</v>
      </c>
      <c r="K1287" s="2">
        <v>45783</v>
      </c>
    </row>
    <row r="1288" spans="1:11" x14ac:dyDescent="0.25">
      <c r="A1288" s="1" t="s">
        <v>288</v>
      </c>
      <c r="B1288" s="1"/>
      <c r="C1288" s="1" t="s">
        <v>2995</v>
      </c>
      <c r="D1288" s="1" t="s">
        <v>3372</v>
      </c>
      <c r="E1288" s="1"/>
      <c r="F1288">
        <v>1</v>
      </c>
      <c r="G1288">
        <v>0.3</v>
      </c>
      <c r="H1288">
        <v>40</v>
      </c>
      <c r="I1288">
        <v>0</v>
      </c>
      <c r="J1288">
        <v>1</v>
      </c>
      <c r="K1288" s="2">
        <v>45783</v>
      </c>
    </row>
    <row r="1289" spans="1:11" x14ac:dyDescent="0.25">
      <c r="A1289" s="1" t="s">
        <v>288</v>
      </c>
      <c r="B1289" s="1"/>
      <c r="C1289" s="1" t="s">
        <v>3017</v>
      </c>
      <c r="D1289" s="1" t="s">
        <v>3424</v>
      </c>
      <c r="E1289" s="1"/>
      <c r="F1289">
        <v>0</v>
      </c>
      <c r="G1289">
        <v>0</v>
      </c>
      <c r="H1289">
        <v>5</v>
      </c>
      <c r="I1289">
        <v>0</v>
      </c>
      <c r="J1289">
        <v>1</v>
      </c>
      <c r="K1289" s="2">
        <v>45783</v>
      </c>
    </row>
    <row r="1290" spans="1:11" x14ac:dyDescent="0.25">
      <c r="A1290" s="1" t="s">
        <v>362</v>
      </c>
      <c r="B1290" s="1"/>
      <c r="C1290" s="1" t="s">
        <v>2808</v>
      </c>
      <c r="D1290" s="1" t="s">
        <v>3370</v>
      </c>
      <c r="E1290" s="1"/>
      <c r="F1290">
        <v>0</v>
      </c>
      <c r="G1290">
        <v>0</v>
      </c>
      <c r="H1290">
        <v>0</v>
      </c>
      <c r="I1290">
        <v>0</v>
      </c>
      <c r="J1290">
        <v>1</v>
      </c>
      <c r="K1290" s="2">
        <v>45735</v>
      </c>
    </row>
    <row r="1291" spans="1:11" x14ac:dyDescent="0.25">
      <c r="A1291" s="1" t="s">
        <v>362</v>
      </c>
      <c r="B1291" s="1"/>
      <c r="C1291" s="1" t="s">
        <v>2989</v>
      </c>
      <c r="D1291" s="1" t="s">
        <v>3433</v>
      </c>
      <c r="E1291" s="1"/>
      <c r="F1291">
        <v>1.5</v>
      </c>
      <c r="G1291">
        <v>0</v>
      </c>
      <c r="H1291">
        <v>85</v>
      </c>
      <c r="I1291">
        <v>0</v>
      </c>
      <c r="J1291">
        <v>1</v>
      </c>
      <c r="K1291" s="2">
        <v>45757</v>
      </c>
    </row>
    <row r="1292" spans="1:11" x14ac:dyDescent="0.25">
      <c r="A1292" s="1" t="s">
        <v>362</v>
      </c>
      <c r="B1292" s="1"/>
      <c r="C1292" s="1" t="s">
        <v>2828</v>
      </c>
      <c r="D1292" s="1" t="s">
        <v>3434</v>
      </c>
      <c r="E1292" s="1"/>
      <c r="F1292">
        <v>5</v>
      </c>
      <c r="G1292">
        <v>5.5</v>
      </c>
      <c r="H1292">
        <v>-25</v>
      </c>
      <c r="I1292">
        <v>0</v>
      </c>
      <c r="J1292">
        <v>1</v>
      </c>
      <c r="K1292" s="2">
        <v>45758</v>
      </c>
    </row>
    <row r="1293" spans="1:11" x14ac:dyDescent="0.25">
      <c r="A1293" s="1" t="s">
        <v>362</v>
      </c>
      <c r="B1293" s="1"/>
      <c r="C1293" s="1" t="s">
        <v>2990</v>
      </c>
      <c r="D1293" s="1" t="s">
        <v>3372</v>
      </c>
      <c r="E1293" s="1"/>
      <c r="F1293">
        <v>1</v>
      </c>
      <c r="G1293">
        <v>0</v>
      </c>
      <c r="H1293">
        <v>55</v>
      </c>
      <c r="I1293">
        <v>0</v>
      </c>
      <c r="J1293">
        <v>1</v>
      </c>
      <c r="K1293" s="2">
        <v>45758</v>
      </c>
    </row>
    <row r="1294" spans="1:11" x14ac:dyDescent="0.25">
      <c r="A1294" s="1" t="s">
        <v>362</v>
      </c>
      <c r="B1294" s="1"/>
      <c r="C1294" s="1" t="s">
        <v>2991</v>
      </c>
      <c r="D1294" s="1" t="s">
        <v>3435</v>
      </c>
      <c r="E1294" s="1"/>
      <c r="F1294">
        <v>1.3</v>
      </c>
      <c r="G1294">
        <v>0</v>
      </c>
      <c r="H1294">
        <v>70</v>
      </c>
      <c r="I1294">
        <v>0</v>
      </c>
      <c r="J1294">
        <v>1</v>
      </c>
      <c r="K1294" s="2">
        <v>45758</v>
      </c>
    </row>
    <row r="1295" spans="1:11" x14ac:dyDescent="0.25">
      <c r="A1295" s="1" t="s">
        <v>362</v>
      </c>
      <c r="B1295" s="1"/>
      <c r="C1295" s="1" t="s">
        <v>2992</v>
      </c>
      <c r="D1295" s="1" t="s">
        <v>3435</v>
      </c>
      <c r="E1295" s="1"/>
      <c r="F1295">
        <v>1</v>
      </c>
      <c r="G1295">
        <v>0</v>
      </c>
      <c r="H1295">
        <v>55</v>
      </c>
      <c r="I1295">
        <v>0</v>
      </c>
      <c r="J1295">
        <v>1</v>
      </c>
      <c r="K1295" s="2">
        <v>45758</v>
      </c>
    </row>
    <row r="1296" spans="1:11" x14ac:dyDescent="0.25">
      <c r="A1296" s="1" t="s">
        <v>362</v>
      </c>
      <c r="B1296" s="1"/>
      <c r="C1296" s="1" t="s">
        <v>2993</v>
      </c>
      <c r="D1296" s="1" t="s">
        <v>3388</v>
      </c>
      <c r="E1296" s="1"/>
      <c r="F1296">
        <v>0.8</v>
      </c>
      <c r="G1296">
        <v>0.5</v>
      </c>
      <c r="H1296">
        <v>15</v>
      </c>
      <c r="I1296">
        <v>0</v>
      </c>
      <c r="J1296">
        <v>1</v>
      </c>
      <c r="K1296" s="2">
        <v>45762</v>
      </c>
    </row>
    <row r="1297" spans="1:11" x14ac:dyDescent="0.25">
      <c r="A1297" s="1" t="s">
        <v>362</v>
      </c>
      <c r="B1297" s="1"/>
      <c r="C1297" s="1" t="s">
        <v>2994</v>
      </c>
      <c r="D1297" s="1" t="s">
        <v>3436</v>
      </c>
      <c r="E1297" s="1"/>
      <c r="F1297">
        <v>1.1000000000000001</v>
      </c>
      <c r="G1297">
        <v>0</v>
      </c>
      <c r="H1297">
        <v>60</v>
      </c>
      <c r="I1297">
        <v>0</v>
      </c>
      <c r="J1297">
        <v>1</v>
      </c>
      <c r="K1297" s="2">
        <v>45779</v>
      </c>
    </row>
    <row r="1298" spans="1:11" x14ac:dyDescent="0.25">
      <c r="A1298" s="1" t="s">
        <v>362</v>
      </c>
      <c r="B1298" s="1"/>
      <c r="C1298" s="1" t="s">
        <v>2995</v>
      </c>
      <c r="D1298" s="1" t="s">
        <v>3372</v>
      </c>
      <c r="E1298" s="1"/>
      <c r="F1298">
        <v>1</v>
      </c>
      <c r="G1298">
        <v>0.1</v>
      </c>
      <c r="H1298">
        <v>50</v>
      </c>
      <c r="I1298">
        <v>0</v>
      </c>
      <c r="J1298">
        <v>1</v>
      </c>
      <c r="K1298" s="2">
        <v>45778</v>
      </c>
    </row>
    <row r="1299" spans="1:11" x14ac:dyDescent="0.25">
      <c r="A1299" s="1" t="s">
        <v>362</v>
      </c>
      <c r="B1299" s="1"/>
      <c r="C1299" s="1" t="s">
        <v>3017</v>
      </c>
      <c r="D1299" s="1" t="s">
        <v>3424</v>
      </c>
      <c r="E1299" s="1"/>
      <c r="F1299">
        <v>0</v>
      </c>
      <c r="G1299">
        <v>0</v>
      </c>
      <c r="H1299">
        <v>5</v>
      </c>
      <c r="I1299">
        <v>0</v>
      </c>
      <c r="J1299">
        <v>1</v>
      </c>
      <c r="K1299" s="2">
        <v>45783</v>
      </c>
    </row>
    <row r="1300" spans="1:11" x14ac:dyDescent="0.25">
      <c r="A1300" s="1" t="s">
        <v>442</v>
      </c>
      <c r="B1300" s="1"/>
      <c r="C1300" s="1" t="s">
        <v>2808</v>
      </c>
      <c r="D1300" s="1" t="s">
        <v>3370</v>
      </c>
      <c r="E1300" s="1"/>
      <c r="F1300">
        <v>0</v>
      </c>
      <c r="G1300">
        <v>0</v>
      </c>
      <c r="H1300">
        <v>0</v>
      </c>
      <c r="I1300">
        <v>0</v>
      </c>
      <c r="J1300">
        <v>1</v>
      </c>
      <c r="K1300" s="2">
        <v>45744</v>
      </c>
    </row>
    <row r="1301" spans="1:11" x14ac:dyDescent="0.25">
      <c r="A1301" s="1" t="s">
        <v>442</v>
      </c>
      <c r="B1301" s="1"/>
      <c r="C1301" s="1" t="s">
        <v>2989</v>
      </c>
      <c r="D1301" s="1" t="s">
        <v>3433</v>
      </c>
      <c r="E1301" s="1"/>
      <c r="F1301">
        <v>1.5</v>
      </c>
      <c r="G1301">
        <v>1.7</v>
      </c>
      <c r="H1301">
        <v>-10</v>
      </c>
      <c r="I1301">
        <v>0</v>
      </c>
      <c r="J1301">
        <v>1</v>
      </c>
      <c r="K1301" s="2">
        <v>45771</v>
      </c>
    </row>
    <row r="1302" spans="1:11" x14ac:dyDescent="0.25">
      <c r="A1302" s="1" t="s">
        <v>442</v>
      </c>
      <c r="B1302" s="1"/>
      <c r="C1302" s="1" t="s">
        <v>2828</v>
      </c>
      <c r="D1302" s="1" t="s">
        <v>3434</v>
      </c>
      <c r="E1302" s="1"/>
      <c r="F1302">
        <v>5</v>
      </c>
      <c r="G1302">
        <v>11.9</v>
      </c>
      <c r="H1302">
        <v>-370</v>
      </c>
      <c r="I1302">
        <v>0</v>
      </c>
      <c r="J1302">
        <v>1</v>
      </c>
      <c r="K1302" s="2">
        <v>45772</v>
      </c>
    </row>
    <row r="1303" spans="1:11" x14ac:dyDescent="0.25">
      <c r="A1303" s="1" t="s">
        <v>442</v>
      </c>
      <c r="B1303" s="1"/>
      <c r="C1303" s="1" t="s">
        <v>2990</v>
      </c>
      <c r="D1303" s="1" t="s">
        <v>3372</v>
      </c>
      <c r="E1303" s="1"/>
      <c r="F1303">
        <v>1</v>
      </c>
      <c r="G1303">
        <v>0</v>
      </c>
      <c r="H1303">
        <v>55</v>
      </c>
      <c r="I1303">
        <v>0</v>
      </c>
      <c r="J1303">
        <v>1</v>
      </c>
      <c r="K1303" s="2">
        <v>45772</v>
      </c>
    </row>
    <row r="1304" spans="1:11" x14ac:dyDescent="0.25">
      <c r="A1304" s="1" t="s">
        <v>442</v>
      </c>
      <c r="B1304" s="1"/>
      <c r="C1304" s="1" t="s">
        <v>2991</v>
      </c>
      <c r="D1304" s="1" t="s">
        <v>3435</v>
      </c>
      <c r="E1304" s="1"/>
      <c r="F1304">
        <v>1.3</v>
      </c>
      <c r="G1304">
        <v>0</v>
      </c>
      <c r="H1304">
        <v>70</v>
      </c>
      <c r="I1304">
        <v>0</v>
      </c>
      <c r="J1304">
        <v>1</v>
      </c>
      <c r="K1304" s="2">
        <v>45772</v>
      </c>
    </row>
    <row r="1305" spans="1:11" x14ac:dyDescent="0.25">
      <c r="A1305" s="1" t="s">
        <v>442</v>
      </c>
      <c r="B1305" s="1"/>
      <c r="C1305" s="1" t="s">
        <v>2992</v>
      </c>
      <c r="D1305" s="1" t="s">
        <v>3435</v>
      </c>
      <c r="E1305" s="1"/>
      <c r="F1305">
        <v>1</v>
      </c>
      <c r="G1305">
        <v>0</v>
      </c>
      <c r="H1305">
        <v>55</v>
      </c>
      <c r="I1305">
        <v>0</v>
      </c>
      <c r="J1305">
        <v>1</v>
      </c>
      <c r="K1305" s="2">
        <v>45772</v>
      </c>
    </row>
    <row r="1306" spans="1:11" x14ac:dyDescent="0.25">
      <c r="A1306" s="1" t="s">
        <v>600</v>
      </c>
      <c r="B1306" s="1"/>
      <c r="C1306" s="1" t="s">
        <v>2808</v>
      </c>
      <c r="D1306" s="1" t="s">
        <v>3370</v>
      </c>
      <c r="E1306" s="1"/>
      <c r="F1306">
        <v>0</v>
      </c>
      <c r="G1306">
        <v>0</v>
      </c>
      <c r="H1306">
        <v>0</v>
      </c>
      <c r="I1306">
        <v>0</v>
      </c>
      <c r="J1306">
        <v>1</v>
      </c>
      <c r="K1306" s="2">
        <v>45765</v>
      </c>
    </row>
    <row r="1307" spans="1:11" x14ac:dyDescent="0.25">
      <c r="A1307" s="1" t="s">
        <v>266</v>
      </c>
      <c r="B1307" s="1"/>
      <c r="C1307" s="1" t="s">
        <v>3018</v>
      </c>
      <c r="D1307" s="1" t="s">
        <v>3433</v>
      </c>
      <c r="E1307" s="1"/>
      <c r="F1307">
        <v>1.5</v>
      </c>
      <c r="G1307">
        <v>0</v>
      </c>
      <c r="H1307">
        <v>85</v>
      </c>
      <c r="I1307">
        <v>0</v>
      </c>
      <c r="J1307">
        <v>1</v>
      </c>
      <c r="K1307" s="2">
        <v>45736</v>
      </c>
    </row>
    <row r="1308" spans="1:11" x14ac:dyDescent="0.25">
      <c r="A1308" s="1" t="s">
        <v>266</v>
      </c>
      <c r="B1308" s="1"/>
      <c r="C1308" s="1" t="s">
        <v>2828</v>
      </c>
      <c r="D1308" s="1" t="s">
        <v>3434</v>
      </c>
      <c r="E1308" s="1"/>
      <c r="F1308">
        <v>5</v>
      </c>
      <c r="G1308">
        <v>3.7</v>
      </c>
      <c r="H1308">
        <v>75</v>
      </c>
      <c r="I1308">
        <v>0</v>
      </c>
      <c r="J1308">
        <v>1</v>
      </c>
      <c r="K1308" s="2">
        <v>45737</v>
      </c>
    </row>
    <row r="1309" spans="1:11" x14ac:dyDescent="0.25">
      <c r="A1309" s="1" t="s">
        <v>266</v>
      </c>
      <c r="B1309" s="1"/>
      <c r="C1309" s="1" t="s">
        <v>2990</v>
      </c>
      <c r="D1309" s="1" t="s">
        <v>3372</v>
      </c>
      <c r="E1309" s="1"/>
      <c r="F1309">
        <v>1</v>
      </c>
      <c r="G1309">
        <v>0</v>
      </c>
      <c r="H1309">
        <v>55</v>
      </c>
      <c r="I1309">
        <v>0</v>
      </c>
      <c r="J1309">
        <v>1</v>
      </c>
      <c r="K1309" s="2">
        <v>45737</v>
      </c>
    </row>
    <row r="1310" spans="1:11" x14ac:dyDescent="0.25">
      <c r="A1310" s="1" t="s">
        <v>266</v>
      </c>
      <c r="B1310" s="1"/>
      <c r="C1310" s="1" t="s">
        <v>2991</v>
      </c>
      <c r="D1310" s="1" t="s">
        <v>3435</v>
      </c>
      <c r="E1310" s="1"/>
      <c r="F1310">
        <v>1.3</v>
      </c>
      <c r="G1310">
        <v>0</v>
      </c>
      <c r="H1310">
        <v>70</v>
      </c>
      <c r="I1310">
        <v>0</v>
      </c>
      <c r="J1310">
        <v>1</v>
      </c>
      <c r="K1310" s="2">
        <v>45737</v>
      </c>
    </row>
    <row r="1311" spans="1:11" x14ac:dyDescent="0.25">
      <c r="A1311" s="1" t="s">
        <v>266</v>
      </c>
      <c r="B1311" s="1"/>
      <c r="C1311" s="1" t="s">
        <v>2992</v>
      </c>
      <c r="D1311" s="1" t="s">
        <v>3435</v>
      </c>
      <c r="E1311" s="1"/>
      <c r="F1311">
        <v>1</v>
      </c>
      <c r="G1311">
        <v>0</v>
      </c>
      <c r="H1311">
        <v>55</v>
      </c>
      <c r="I1311">
        <v>0</v>
      </c>
      <c r="J1311">
        <v>1</v>
      </c>
      <c r="K1311" s="2">
        <v>45737</v>
      </c>
    </row>
    <row r="1312" spans="1:11" x14ac:dyDescent="0.25">
      <c r="A1312" s="1" t="s">
        <v>266</v>
      </c>
      <c r="B1312" s="1"/>
      <c r="C1312" s="1" t="s">
        <v>2993</v>
      </c>
      <c r="D1312" s="1" t="s">
        <v>3388</v>
      </c>
      <c r="E1312" s="1"/>
      <c r="F1312">
        <v>0.8</v>
      </c>
      <c r="G1312">
        <v>0.3</v>
      </c>
      <c r="H1312">
        <v>30</v>
      </c>
      <c r="I1312">
        <v>0</v>
      </c>
      <c r="J1312">
        <v>1</v>
      </c>
      <c r="K1312" s="2">
        <v>45751</v>
      </c>
    </row>
    <row r="1313" spans="1:11" x14ac:dyDescent="0.25">
      <c r="A1313" s="1" t="s">
        <v>266</v>
      </c>
      <c r="B1313" s="1"/>
      <c r="C1313" s="1" t="s">
        <v>2994</v>
      </c>
      <c r="D1313" s="1" t="s">
        <v>3436</v>
      </c>
      <c r="E1313" s="1"/>
      <c r="F1313">
        <v>1.1000000000000001</v>
      </c>
      <c r="G1313">
        <v>2.1</v>
      </c>
      <c r="H1313">
        <v>-55</v>
      </c>
      <c r="I1313">
        <v>0</v>
      </c>
      <c r="J1313">
        <v>1</v>
      </c>
      <c r="K1313" s="2">
        <v>45751</v>
      </c>
    </row>
    <row r="1314" spans="1:11" x14ac:dyDescent="0.25">
      <c r="A1314" s="1" t="s">
        <v>266</v>
      </c>
      <c r="B1314" s="1"/>
      <c r="C1314" s="1" t="s">
        <v>2995</v>
      </c>
      <c r="D1314" s="1" t="s">
        <v>3372</v>
      </c>
      <c r="E1314" s="1"/>
      <c r="F1314">
        <v>1</v>
      </c>
      <c r="G1314">
        <v>0.1</v>
      </c>
      <c r="H1314">
        <v>50</v>
      </c>
      <c r="I1314">
        <v>0</v>
      </c>
      <c r="J1314">
        <v>1</v>
      </c>
      <c r="K1314" s="2">
        <v>45783</v>
      </c>
    </row>
    <row r="1315" spans="1:11" x14ac:dyDescent="0.25">
      <c r="A1315" s="1" t="s">
        <v>289</v>
      </c>
      <c r="B1315" s="1"/>
      <c r="C1315" s="1" t="s">
        <v>3018</v>
      </c>
      <c r="D1315" s="1" t="s">
        <v>3433</v>
      </c>
      <c r="E1315" s="1"/>
      <c r="F1315">
        <v>1.5</v>
      </c>
      <c r="G1315">
        <v>0</v>
      </c>
      <c r="H1315">
        <v>85</v>
      </c>
      <c r="I1315">
        <v>0</v>
      </c>
      <c r="J1315">
        <v>1</v>
      </c>
      <c r="K1315" s="2">
        <v>45744</v>
      </c>
    </row>
    <row r="1316" spans="1:11" x14ac:dyDescent="0.25">
      <c r="A1316" s="1" t="s">
        <v>289</v>
      </c>
      <c r="B1316" s="1"/>
      <c r="C1316" s="1" t="s">
        <v>2828</v>
      </c>
      <c r="D1316" s="1" t="s">
        <v>3434</v>
      </c>
      <c r="E1316" s="1"/>
      <c r="F1316">
        <v>5</v>
      </c>
      <c r="G1316">
        <v>4.4000000000000004</v>
      </c>
      <c r="H1316">
        <v>35</v>
      </c>
      <c r="I1316">
        <v>0</v>
      </c>
      <c r="J1316">
        <v>1</v>
      </c>
      <c r="K1316" s="2">
        <v>45747</v>
      </c>
    </row>
    <row r="1317" spans="1:11" x14ac:dyDescent="0.25">
      <c r="A1317" s="1" t="s">
        <v>289</v>
      </c>
      <c r="B1317" s="1"/>
      <c r="C1317" s="1" t="s">
        <v>2990</v>
      </c>
      <c r="D1317" s="1" t="s">
        <v>3372</v>
      </c>
      <c r="E1317" s="1"/>
      <c r="F1317">
        <v>1</v>
      </c>
      <c r="G1317">
        <v>0</v>
      </c>
      <c r="H1317">
        <v>55</v>
      </c>
      <c r="I1317">
        <v>0</v>
      </c>
      <c r="J1317">
        <v>1</v>
      </c>
      <c r="K1317" s="2">
        <v>45747</v>
      </c>
    </row>
    <row r="1318" spans="1:11" x14ac:dyDescent="0.25">
      <c r="A1318" s="1" t="s">
        <v>289</v>
      </c>
      <c r="B1318" s="1"/>
      <c r="C1318" s="1" t="s">
        <v>2991</v>
      </c>
      <c r="D1318" s="1" t="s">
        <v>3435</v>
      </c>
      <c r="E1318" s="1"/>
      <c r="F1318">
        <v>1.3</v>
      </c>
      <c r="G1318">
        <v>0</v>
      </c>
      <c r="H1318">
        <v>70</v>
      </c>
      <c r="I1318">
        <v>0</v>
      </c>
      <c r="J1318">
        <v>1</v>
      </c>
      <c r="K1318" s="2">
        <v>45747</v>
      </c>
    </row>
    <row r="1319" spans="1:11" x14ac:dyDescent="0.25">
      <c r="A1319" s="1" t="s">
        <v>289</v>
      </c>
      <c r="B1319" s="1"/>
      <c r="C1319" s="1" t="s">
        <v>2992</v>
      </c>
      <c r="D1319" s="1" t="s">
        <v>3435</v>
      </c>
      <c r="E1319" s="1"/>
      <c r="F1319">
        <v>1</v>
      </c>
      <c r="G1319">
        <v>0</v>
      </c>
      <c r="H1319">
        <v>55</v>
      </c>
      <c r="I1319">
        <v>0</v>
      </c>
      <c r="J1319">
        <v>1</v>
      </c>
      <c r="K1319" s="2">
        <v>45747</v>
      </c>
    </row>
    <row r="1320" spans="1:11" x14ac:dyDescent="0.25">
      <c r="A1320" s="1" t="s">
        <v>289</v>
      </c>
      <c r="B1320" s="1"/>
      <c r="C1320" s="1" t="s">
        <v>2993</v>
      </c>
      <c r="D1320" s="1" t="s">
        <v>3388</v>
      </c>
      <c r="E1320" s="1"/>
      <c r="F1320">
        <v>0.8</v>
      </c>
      <c r="G1320">
        <v>0.3</v>
      </c>
      <c r="H1320">
        <v>30</v>
      </c>
      <c r="I1320">
        <v>0</v>
      </c>
      <c r="J1320">
        <v>1</v>
      </c>
      <c r="K1320" s="2">
        <v>45754</v>
      </c>
    </row>
    <row r="1321" spans="1:11" x14ac:dyDescent="0.25">
      <c r="A1321" s="1" t="s">
        <v>289</v>
      </c>
      <c r="B1321" s="1"/>
      <c r="C1321" s="1" t="s">
        <v>2994</v>
      </c>
      <c r="D1321" s="1" t="s">
        <v>3436</v>
      </c>
      <c r="E1321" s="1"/>
      <c r="F1321">
        <v>1.1000000000000001</v>
      </c>
      <c r="G1321">
        <v>2.9</v>
      </c>
      <c r="H1321">
        <v>-95</v>
      </c>
      <c r="I1321">
        <v>0</v>
      </c>
      <c r="J1321">
        <v>1</v>
      </c>
      <c r="K1321" s="2">
        <v>45779</v>
      </c>
    </row>
    <row r="1322" spans="1:11" x14ac:dyDescent="0.25">
      <c r="A1322" s="1" t="s">
        <v>289</v>
      </c>
      <c r="B1322" s="1"/>
      <c r="C1322" s="1" t="s">
        <v>2995</v>
      </c>
      <c r="D1322" s="1" t="s">
        <v>3372</v>
      </c>
      <c r="E1322" s="1"/>
      <c r="F1322">
        <v>1</v>
      </c>
      <c r="G1322">
        <v>0.3</v>
      </c>
      <c r="H1322">
        <v>40</v>
      </c>
      <c r="I1322">
        <v>0</v>
      </c>
      <c r="J1322">
        <v>1</v>
      </c>
      <c r="K1322" s="2">
        <v>45783</v>
      </c>
    </row>
    <row r="1323" spans="1:11" x14ac:dyDescent="0.25">
      <c r="A1323" s="1" t="s">
        <v>363</v>
      </c>
      <c r="B1323" s="1"/>
      <c r="C1323" s="1" t="s">
        <v>2808</v>
      </c>
      <c r="D1323" s="1" t="s">
        <v>3370</v>
      </c>
      <c r="E1323" s="1"/>
      <c r="F1323">
        <v>0</v>
      </c>
      <c r="G1323">
        <v>0</v>
      </c>
      <c r="H1323">
        <v>0</v>
      </c>
      <c r="I1323">
        <v>0</v>
      </c>
      <c r="J1323">
        <v>1</v>
      </c>
      <c r="K1323" s="2">
        <v>45735</v>
      </c>
    </row>
    <row r="1324" spans="1:11" x14ac:dyDescent="0.25">
      <c r="A1324" s="1" t="s">
        <v>363</v>
      </c>
      <c r="B1324" s="1"/>
      <c r="C1324" s="1" t="s">
        <v>3018</v>
      </c>
      <c r="D1324" s="1" t="s">
        <v>3433</v>
      </c>
      <c r="E1324" s="1"/>
      <c r="F1324">
        <v>1.5</v>
      </c>
      <c r="G1324">
        <v>0</v>
      </c>
      <c r="H1324">
        <v>85</v>
      </c>
      <c r="I1324">
        <v>0</v>
      </c>
      <c r="J1324">
        <v>1</v>
      </c>
      <c r="K1324" s="2">
        <v>45755</v>
      </c>
    </row>
    <row r="1325" spans="1:11" x14ac:dyDescent="0.25">
      <c r="A1325" s="1" t="s">
        <v>363</v>
      </c>
      <c r="B1325" s="1"/>
      <c r="C1325" s="1" t="s">
        <v>2828</v>
      </c>
      <c r="D1325" s="1" t="s">
        <v>3434</v>
      </c>
      <c r="E1325" s="1"/>
      <c r="F1325">
        <v>5</v>
      </c>
      <c r="G1325">
        <v>5.2</v>
      </c>
      <c r="H1325">
        <v>-5</v>
      </c>
      <c r="I1325">
        <v>0</v>
      </c>
      <c r="J1325">
        <v>1</v>
      </c>
      <c r="K1325" s="2">
        <v>45756</v>
      </c>
    </row>
    <row r="1326" spans="1:11" x14ac:dyDescent="0.25">
      <c r="A1326" s="1" t="s">
        <v>363</v>
      </c>
      <c r="B1326" s="1"/>
      <c r="C1326" s="1" t="s">
        <v>2990</v>
      </c>
      <c r="D1326" s="1" t="s">
        <v>3372</v>
      </c>
      <c r="E1326" s="1"/>
      <c r="F1326">
        <v>1</v>
      </c>
      <c r="G1326">
        <v>0</v>
      </c>
      <c r="H1326">
        <v>55</v>
      </c>
      <c r="I1326">
        <v>0</v>
      </c>
      <c r="J1326">
        <v>1</v>
      </c>
      <c r="K1326" s="2">
        <v>45756</v>
      </c>
    </row>
    <row r="1327" spans="1:11" x14ac:dyDescent="0.25">
      <c r="A1327" s="1" t="s">
        <v>363</v>
      </c>
      <c r="B1327" s="1"/>
      <c r="C1327" s="1" t="s">
        <v>2991</v>
      </c>
      <c r="D1327" s="1" t="s">
        <v>3435</v>
      </c>
      <c r="E1327" s="1"/>
      <c r="F1327">
        <v>1.3</v>
      </c>
      <c r="G1327">
        <v>0</v>
      </c>
      <c r="H1327">
        <v>70</v>
      </c>
      <c r="I1327">
        <v>0</v>
      </c>
      <c r="J1327">
        <v>1</v>
      </c>
      <c r="K1327" s="2">
        <v>45756</v>
      </c>
    </row>
    <row r="1328" spans="1:11" x14ac:dyDescent="0.25">
      <c r="A1328" s="1" t="s">
        <v>363</v>
      </c>
      <c r="B1328" s="1"/>
      <c r="C1328" s="1" t="s">
        <v>2992</v>
      </c>
      <c r="D1328" s="1" t="s">
        <v>3435</v>
      </c>
      <c r="E1328" s="1"/>
      <c r="F1328">
        <v>1</v>
      </c>
      <c r="G1328">
        <v>0</v>
      </c>
      <c r="H1328">
        <v>55</v>
      </c>
      <c r="I1328">
        <v>0</v>
      </c>
      <c r="J1328">
        <v>1</v>
      </c>
      <c r="K1328" s="2">
        <v>45756</v>
      </c>
    </row>
    <row r="1329" spans="1:11" x14ac:dyDescent="0.25">
      <c r="A1329" s="1" t="s">
        <v>363</v>
      </c>
      <c r="B1329" s="1"/>
      <c r="C1329" s="1" t="s">
        <v>2993</v>
      </c>
      <c r="D1329" s="1" t="s">
        <v>3388</v>
      </c>
      <c r="E1329" s="1"/>
      <c r="F1329">
        <v>0.8</v>
      </c>
      <c r="G1329">
        <v>0.2</v>
      </c>
      <c r="H1329">
        <v>40</v>
      </c>
      <c r="I1329">
        <v>0</v>
      </c>
      <c r="J1329">
        <v>1</v>
      </c>
      <c r="K1329" s="2">
        <v>45761</v>
      </c>
    </row>
    <row r="1330" spans="1:11" x14ac:dyDescent="0.25">
      <c r="A1330" s="1" t="s">
        <v>363</v>
      </c>
      <c r="B1330" s="1"/>
      <c r="C1330" s="1" t="s">
        <v>2994</v>
      </c>
      <c r="D1330" s="1" t="s">
        <v>3436</v>
      </c>
      <c r="E1330" s="1"/>
      <c r="F1330">
        <v>1.1000000000000001</v>
      </c>
      <c r="G1330">
        <v>0</v>
      </c>
      <c r="H1330">
        <v>60</v>
      </c>
      <c r="I1330">
        <v>0</v>
      </c>
      <c r="J1330">
        <v>1</v>
      </c>
      <c r="K1330" s="2">
        <v>45779</v>
      </c>
    </row>
    <row r="1331" spans="1:11" x14ac:dyDescent="0.25">
      <c r="A1331" s="1" t="s">
        <v>363</v>
      </c>
      <c r="B1331" s="1"/>
      <c r="C1331" s="1" t="s">
        <v>2995</v>
      </c>
      <c r="D1331" s="1" t="s">
        <v>3372</v>
      </c>
      <c r="E1331" s="1"/>
      <c r="F1331">
        <v>1</v>
      </c>
      <c r="G1331">
        <v>0.1</v>
      </c>
      <c r="H1331">
        <v>50</v>
      </c>
      <c r="I1331">
        <v>0</v>
      </c>
      <c r="J1331">
        <v>1</v>
      </c>
      <c r="K1331" s="2">
        <v>45783</v>
      </c>
    </row>
    <row r="1332" spans="1:11" x14ac:dyDescent="0.25">
      <c r="A1332" s="1" t="s">
        <v>443</v>
      </c>
      <c r="B1332" s="1"/>
      <c r="C1332" s="1" t="s">
        <v>2808</v>
      </c>
      <c r="D1332" s="1" t="s">
        <v>3370</v>
      </c>
      <c r="E1332" s="1"/>
      <c r="F1332">
        <v>0</v>
      </c>
      <c r="G1332">
        <v>0</v>
      </c>
      <c r="H1332">
        <v>0</v>
      </c>
      <c r="I1332">
        <v>0</v>
      </c>
      <c r="J1332">
        <v>1</v>
      </c>
      <c r="K1332" s="2">
        <v>45744</v>
      </c>
    </row>
    <row r="1333" spans="1:11" x14ac:dyDescent="0.25">
      <c r="A1333" s="1" t="s">
        <v>443</v>
      </c>
      <c r="B1333" s="1"/>
      <c r="C1333" s="1" t="s">
        <v>3018</v>
      </c>
      <c r="D1333" s="1" t="s">
        <v>3433</v>
      </c>
      <c r="E1333" s="1"/>
      <c r="F1333">
        <v>1.5</v>
      </c>
      <c r="G1333">
        <v>0</v>
      </c>
      <c r="H1333">
        <v>85</v>
      </c>
      <c r="I1333">
        <v>0</v>
      </c>
      <c r="J1333">
        <v>1</v>
      </c>
      <c r="K1333" s="2">
        <v>45763</v>
      </c>
    </row>
    <row r="1334" spans="1:11" x14ac:dyDescent="0.25">
      <c r="A1334" s="1" t="s">
        <v>443</v>
      </c>
      <c r="B1334" s="1"/>
      <c r="C1334" s="1" t="s">
        <v>2828</v>
      </c>
      <c r="D1334" s="1" t="s">
        <v>3434</v>
      </c>
      <c r="E1334" s="1"/>
      <c r="F1334">
        <v>5</v>
      </c>
      <c r="G1334">
        <v>4.8</v>
      </c>
      <c r="H1334">
        <v>10</v>
      </c>
      <c r="I1334">
        <v>0</v>
      </c>
      <c r="J1334">
        <v>1</v>
      </c>
      <c r="K1334" s="2">
        <v>45765</v>
      </c>
    </row>
    <row r="1335" spans="1:11" x14ac:dyDescent="0.25">
      <c r="A1335" s="1" t="s">
        <v>443</v>
      </c>
      <c r="B1335" s="1"/>
      <c r="C1335" s="1" t="s">
        <v>2990</v>
      </c>
      <c r="D1335" s="1" t="s">
        <v>3372</v>
      </c>
      <c r="E1335" s="1"/>
      <c r="F1335">
        <v>1</v>
      </c>
      <c r="G1335">
        <v>0</v>
      </c>
      <c r="H1335">
        <v>55</v>
      </c>
      <c r="I1335">
        <v>0</v>
      </c>
      <c r="J1335">
        <v>1</v>
      </c>
      <c r="K1335" s="2">
        <v>45765</v>
      </c>
    </row>
    <row r="1336" spans="1:11" x14ac:dyDescent="0.25">
      <c r="A1336" s="1" t="s">
        <v>443</v>
      </c>
      <c r="B1336" s="1"/>
      <c r="C1336" s="1" t="s">
        <v>2991</v>
      </c>
      <c r="D1336" s="1" t="s">
        <v>3435</v>
      </c>
      <c r="E1336" s="1"/>
      <c r="F1336">
        <v>1.3</v>
      </c>
      <c r="G1336">
        <v>0</v>
      </c>
      <c r="H1336">
        <v>70</v>
      </c>
      <c r="I1336">
        <v>0</v>
      </c>
      <c r="J1336">
        <v>1</v>
      </c>
      <c r="K1336" s="2">
        <v>45765</v>
      </c>
    </row>
    <row r="1337" spans="1:11" x14ac:dyDescent="0.25">
      <c r="A1337" s="1" t="s">
        <v>443</v>
      </c>
      <c r="B1337" s="1"/>
      <c r="C1337" s="1" t="s">
        <v>2992</v>
      </c>
      <c r="D1337" s="1" t="s">
        <v>3435</v>
      </c>
      <c r="E1337" s="1"/>
      <c r="F1337">
        <v>1</v>
      </c>
      <c r="G1337">
        <v>0</v>
      </c>
      <c r="H1337">
        <v>55</v>
      </c>
      <c r="I1337">
        <v>0</v>
      </c>
      <c r="J1337">
        <v>1</v>
      </c>
      <c r="K1337" s="2">
        <v>45765</v>
      </c>
    </row>
    <row r="1338" spans="1:11" x14ac:dyDescent="0.25">
      <c r="A1338" s="1" t="s">
        <v>443</v>
      </c>
      <c r="B1338" s="1"/>
      <c r="C1338" s="1" t="s">
        <v>2993</v>
      </c>
      <c r="D1338" s="1" t="s">
        <v>3388</v>
      </c>
      <c r="E1338" s="1"/>
      <c r="F1338">
        <v>0.8</v>
      </c>
      <c r="G1338">
        <v>0.8</v>
      </c>
      <c r="H1338">
        <v>-5</v>
      </c>
      <c r="I1338">
        <v>0</v>
      </c>
      <c r="J1338">
        <v>1</v>
      </c>
      <c r="K1338" s="2">
        <v>45775</v>
      </c>
    </row>
    <row r="1339" spans="1:11" x14ac:dyDescent="0.25">
      <c r="A1339" s="1" t="s">
        <v>601</v>
      </c>
      <c r="B1339" s="1"/>
      <c r="C1339" s="1" t="s">
        <v>2808</v>
      </c>
      <c r="D1339" s="1" t="s">
        <v>3370</v>
      </c>
      <c r="E1339" s="1"/>
      <c r="F1339">
        <v>0</v>
      </c>
      <c r="G1339">
        <v>0</v>
      </c>
      <c r="H1339">
        <v>0</v>
      </c>
      <c r="I1339">
        <v>0</v>
      </c>
      <c r="J1339">
        <v>1</v>
      </c>
      <c r="K1339" s="2">
        <v>45765</v>
      </c>
    </row>
    <row r="1340" spans="1:11" x14ac:dyDescent="0.25">
      <c r="A1340" s="1" t="s">
        <v>601</v>
      </c>
      <c r="B1340" s="1"/>
      <c r="C1340" s="1" t="s">
        <v>3018</v>
      </c>
      <c r="D1340" s="1" t="s">
        <v>3433</v>
      </c>
      <c r="E1340" s="1"/>
      <c r="F1340">
        <v>1.5</v>
      </c>
      <c r="G1340">
        <v>0</v>
      </c>
      <c r="H1340">
        <v>85</v>
      </c>
      <c r="I1340">
        <v>0</v>
      </c>
      <c r="J1340">
        <v>1</v>
      </c>
      <c r="K1340" s="2">
        <v>45777</v>
      </c>
    </row>
    <row r="1341" spans="1:11" x14ac:dyDescent="0.25">
      <c r="A1341" s="1" t="s">
        <v>601</v>
      </c>
      <c r="B1341" s="1"/>
      <c r="C1341" s="1" t="s">
        <v>2828</v>
      </c>
      <c r="D1341" s="1" t="s">
        <v>3434</v>
      </c>
      <c r="E1341" s="1"/>
      <c r="F1341">
        <v>5</v>
      </c>
      <c r="G1341">
        <v>1.7</v>
      </c>
      <c r="H1341">
        <v>185</v>
      </c>
      <c r="I1341">
        <v>0</v>
      </c>
      <c r="J1341">
        <v>1</v>
      </c>
      <c r="K1341" s="2">
        <v>45782</v>
      </c>
    </row>
    <row r="1342" spans="1:11" x14ac:dyDescent="0.25">
      <c r="A1342" s="1" t="s">
        <v>601</v>
      </c>
      <c r="B1342" s="1"/>
      <c r="C1342" s="1" t="s">
        <v>2990</v>
      </c>
      <c r="D1342" s="1" t="s">
        <v>3372</v>
      </c>
      <c r="E1342" s="1"/>
      <c r="F1342">
        <v>1</v>
      </c>
      <c r="G1342">
        <v>0</v>
      </c>
      <c r="H1342">
        <v>55</v>
      </c>
      <c r="I1342">
        <v>0</v>
      </c>
      <c r="J1342">
        <v>1</v>
      </c>
      <c r="K1342" s="2">
        <v>45782</v>
      </c>
    </row>
    <row r="1343" spans="1:11" x14ac:dyDescent="0.25">
      <c r="A1343" s="1" t="s">
        <v>601</v>
      </c>
      <c r="B1343" s="1"/>
      <c r="C1343" s="1" t="s">
        <v>2991</v>
      </c>
      <c r="D1343" s="1" t="s">
        <v>3435</v>
      </c>
      <c r="E1343" s="1"/>
      <c r="F1343">
        <v>1.3</v>
      </c>
      <c r="G1343">
        <v>0</v>
      </c>
      <c r="H1343">
        <v>70</v>
      </c>
      <c r="I1343">
        <v>0</v>
      </c>
      <c r="J1343">
        <v>1</v>
      </c>
      <c r="K1343" s="2">
        <v>45782</v>
      </c>
    </row>
    <row r="1344" spans="1:11" x14ac:dyDescent="0.25">
      <c r="A1344" s="1" t="s">
        <v>601</v>
      </c>
      <c r="B1344" s="1"/>
      <c r="C1344" s="1" t="s">
        <v>2992</v>
      </c>
      <c r="D1344" s="1" t="s">
        <v>3435</v>
      </c>
      <c r="E1344" s="1"/>
      <c r="F1344">
        <v>1</v>
      </c>
      <c r="G1344">
        <v>0</v>
      </c>
      <c r="H1344">
        <v>55</v>
      </c>
      <c r="I1344">
        <v>0</v>
      </c>
      <c r="J1344">
        <v>1</v>
      </c>
      <c r="K1344" s="2">
        <v>45782</v>
      </c>
    </row>
    <row r="1345" spans="1:11" x14ac:dyDescent="0.25">
      <c r="A1345" s="1" t="s">
        <v>406</v>
      </c>
      <c r="B1345" s="1"/>
      <c r="C1345" s="1" t="s">
        <v>2808</v>
      </c>
      <c r="D1345" s="1" t="s">
        <v>3370</v>
      </c>
      <c r="E1345" s="1"/>
      <c r="F1345">
        <v>0</v>
      </c>
      <c r="G1345">
        <v>0</v>
      </c>
      <c r="H1345">
        <v>0</v>
      </c>
      <c r="I1345">
        <v>0</v>
      </c>
      <c r="J1345">
        <v>16</v>
      </c>
      <c r="K1345" s="2">
        <v>45737</v>
      </c>
    </row>
    <row r="1346" spans="1:11" x14ac:dyDescent="0.25">
      <c r="A1346" s="1" t="s">
        <v>406</v>
      </c>
      <c r="B1346" s="1"/>
      <c r="C1346" s="1" t="s">
        <v>2903</v>
      </c>
      <c r="D1346" s="1" t="s">
        <v>3412</v>
      </c>
      <c r="E1346" s="1"/>
      <c r="F1346">
        <v>0.7</v>
      </c>
      <c r="G1346">
        <v>1.7</v>
      </c>
      <c r="H1346">
        <v>-60</v>
      </c>
      <c r="I1346">
        <v>0</v>
      </c>
      <c r="J1346">
        <v>16</v>
      </c>
      <c r="K1346" s="2">
        <v>45744</v>
      </c>
    </row>
    <row r="1347" spans="1:11" x14ac:dyDescent="0.25">
      <c r="A1347" s="1" t="s">
        <v>406</v>
      </c>
      <c r="B1347" s="1"/>
      <c r="C1347" s="1" t="s">
        <v>3019</v>
      </c>
      <c r="D1347" s="1" t="s">
        <v>3413</v>
      </c>
      <c r="E1347" s="1"/>
      <c r="F1347">
        <v>0.3</v>
      </c>
      <c r="G1347">
        <v>1.7</v>
      </c>
      <c r="H1347">
        <v>-80</v>
      </c>
      <c r="I1347">
        <v>0</v>
      </c>
      <c r="J1347">
        <v>16</v>
      </c>
      <c r="K1347" s="2">
        <v>45744</v>
      </c>
    </row>
    <row r="1348" spans="1:11" x14ac:dyDescent="0.25">
      <c r="A1348" s="1" t="s">
        <v>406</v>
      </c>
      <c r="B1348" s="1"/>
      <c r="C1348" s="1" t="s">
        <v>2918</v>
      </c>
      <c r="D1348" s="1" t="s">
        <v>3412</v>
      </c>
      <c r="E1348" s="1"/>
      <c r="F1348">
        <v>0.7</v>
      </c>
      <c r="G1348">
        <v>1.7</v>
      </c>
      <c r="H1348">
        <v>-60</v>
      </c>
      <c r="I1348">
        <v>0</v>
      </c>
      <c r="J1348">
        <v>16</v>
      </c>
      <c r="K1348" s="2">
        <v>45744</v>
      </c>
    </row>
    <row r="1349" spans="1:11" x14ac:dyDescent="0.25">
      <c r="A1349" s="1" t="s">
        <v>406</v>
      </c>
      <c r="B1349" s="1"/>
      <c r="C1349" s="1" t="s">
        <v>3020</v>
      </c>
      <c r="D1349" s="1" t="s">
        <v>3388</v>
      </c>
      <c r="E1349" s="1"/>
      <c r="F1349">
        <v>1.1000000000000001</v>
      </c>
      <c r="G1349">
        <v>5.3</v>
      </c>
      <c r="H1349">
        <v>-265</v>
      </c>
      <c r="I1349">
        <v>0</v>
      </c>
      <c r="J1349">
        <v>16</v>
      </c>
      <c r="K1349" s="2">
        <v>45741</v>
      </c>
    </row>
    <row r="1350" spans="1:11" x14ac:dyDescent="0.25">
      <c r="A1350" s="1" t="s">
        <v>406</v>
      </c>
      <c r="B1350" s="1"/>
      <c r="C1350" s="1" t="s">
        <v>2915</v>
      </c>
      <c r="D1350" s="1" t="s">
        <v>3448</v>
      </c>
      <c r="E1350" s="1"/>
      <c r="F1350">
        <v>10.9</v>
      </c>
      <c r="G1350">
        <v>26.9</v>
      </c>
      <c r="H1350">
        <v>-1020</v>
      </c>
      <c r="I1350">
        <v>0</v>
      </c>
      <c r="J1350">
        <v>16</v>
      </c>
      <c r="K1350" s="2">
        <v>45744</v>
      </c>
    </row>
    <row r="1351" spans="1:11" x14ac:dyDescent="0.25">
      <c r="A1351" s="1" t="s">
        <v>406</v>
      </c>
      <c r="B1351" s="1"/>
      <c r="C1351" s="1" t="s">
        <v>3006</v>
      </c>
      <c r="D1351" s="1" t="s">
        <v>3372</v>
      </c>
      <c r="E1351" s="1"/>
      <c r="F1351">
        <v>1</v>
      </c>
      <c r="G1351">
        <v>0</v>
      </c>
      <c r="H1351">
        <v>50</v>
      </c>
      <c r="I1351">
        <v>0</v>
      </c>
      <c r="J1351">
        <v>16</v>
      </c>
      <c r="K1351" s="2">
        <v>45744</v>
      </c>
    </row>
    <row r="1352" spans="1:11" x14ac:dyDescent="0.25">
      <c r="A1352" s="1" t="s">
        <v>406</v>
      </c>
      <c r="B1352" s="1"/>
      <c r="C1352" s="1" t="s">
        <v>2864</v>
      </c>
      <c r="D1352" s="1" t="s">
        <v>3427</v>
      </c>
      <c r="E1352" s="1"/>
      <c r="F1352">
        <v>2.5</v>
      </c>
      <c r="G1352">
        <v>4.7</v>
      </c>
      <c r="H1352">
        <v>-90</v>
      </c>
      <c r="I1352">
        <v>10</v>
      </c>
      <c r="J1352">
        <v>6</v>
      </c>
      <c r="K1352" s="2">
        <v>45754</v>
      </c>
    </row>
    <row r="1353" spans="1:11" x14ac:dyDescent="0.25">
      <c r="A1353" s="1" t="s">
        <v>741</v>
      </c>
      <c r="B1353" s="1"/>
      <c r="C1353" s="1" t="s">
        <v>2808</v>
      </c>
      <c r="D1353" s="1" t="s">
        <v>3370</v>
      </c>
      <c r="E1353" s="1"/>
      <c r="F1353">
        <v>0</v>
      </c>
      <c r="G1353">
        <v>0</v>
      </c>
      <c r="H1353">
        <v>0</v>
      </c>
      <c r="I1353">
        <v>0</v>
      </c>
      <c r="J1353">
        <v>16</v>
      </c>
      <c r="K1353" s="2">
        <v>45771</v>
      </c>
    </row>
    <row r="1354" spans="1:11" x14ac:dyDescent="0.25">
      <c r="A1354" s="1" t="s">
        <v>741</v>
      </c>
      <c r="B1354" s="1"/>
      <c r="C1354" s="1" t="s">
        <v>2903</v>
      </c>
      <c r="D1354" s="1" t="s">
        <v>3412</v>
      </c>
      <c r="E1354" s="1"/>
      <c r="F1354">
        <v>0.7</v>
      </c>
      <c r="G1354">
        <v>4.8</v>
      </c>
      <c r="H1354">
        <v>-255</v>
      </c>
      <c r="I1354">
        <v>0</v>
      </c>
      <c r="J1354">
        <v>16</v>
      </c>
      <c r="K1354" s="2">
        <v>45772</v>
      </c>
    </row>
    <row r="1355" spans="1:11" x14ac:dyDescent="0.25">
      <c r="A1355" s="1" t="s">
        <v>741</v>
      </c>
      <c r="B1355" s="1"/>
      <c r="C1355" s="1" t="s">
        <v>3019</v>
      </c>
      <c r="D1355" s="1" t="s">
        <v>3413</v>
      </c>
      <c r="E1355" s="1"/>
      <c r="F1355">
        <v>0.3</v>
      </c>
      <c r="G1355">
        <v>2.4</v>
      </c>
      <c r="H1355">
        <v>-125</v>
      </c>
      <c r="I1355">
        <v>0</v>
      </c>
      <c r="J1355">
        <v>16</v>
      </c>
      <c r="K1355" s="2">
        <v>45775</v>
      </c>
    </row>
    <row r="1356" spans="1:11" x14ac:dyDescent="0.25">
      <c r="A1356" s="1" t="s">
        <v>741</v>
      </c>
      <c r="B1356" s="1"/>
      <c r="C1356" s="1" t="s">
        <v>2918</v>
      </c>
      <c r="D1356" s="1" t="s">
        <v>3412</v>
      </c>
      <c r="E1356" s="1"/>
      <c r="F1356">
        <v>0.7</v>
      </c>
      <c r="G1356">
        <v>2.2999999999999998</v>
      </c>
      <c r="H1356">
        <v>-100</v>
      </c>
      <c r="I1356">
        <v>0</v>
      </c>
      <c r="J1356">
        <v>16</v>
      </c>
      <c r="K1356" s="2">
        <v>45772</v>
      </c>
    </row>
    <row r="1357" spans="1:11" x14ac:dyDescent="0.25">
      <c r="A1357" s="1" t="s">
        <v>741</v>
      </c>
      <c r="B1357" s="1"/>
      <c r="C1357" s="1" t="s">
        <v>3020</v>
      </c>
      <c r="D1357" s="1" t="s">
        <v>3388</v>
      </c>
      <c r="E1357" s="1"/>
      <c r="F1357">
        <v>1.1000000000000001</v>
      </c>
      <c r="G1357">
        <v>2.2999999999999998</v>
      </c>
      <c r="H1357">
        <v>-80</v>
      </c>
      <c r="I1357">
        <v>0</v>
      </c>
      <c r="J1357">
        <v>16</v>
      </c>
      <c r="K1357" s="2">
        <v>45772</v>
      </c>
    </row>
    <row r="1358" spans="1:11" x14ac:dyDescent="0.25">
      <c r="A1358" s="1" t="s">
        <v>741</v>
      </c>
      <c r="B1358" s="1"/>
      <c r="C1358" s="1" t="s">
        <v>2915</v>
      </c>
      <c r="D1358" s="1" t="s">
        <v>3448</v>
      </c>
      <c r="E1358" s="1"/>
      <c r="F1358">
        <v>10.9</v>
      </c>
      <c r="G1358">
        <v>13.8</v>
      </c>
      <c r="H1358">
        <v>-180</v>
      </c>
      <c r="I1358">
        <v>1</v>
      </c>
      <c r="J1358">
        <v>13</v>
      </c>
      <c r="K1358" s="2">
        <v>45777</v>
      </c>
    </row>
    <row r="1359" spans="1:11" x14ac:dyDescent="0.25">
      <c r="A1359" s="1" t="s">
        <v>419</v>
      </c>
      <c r="B1359" s="1"/>
      <c r="C1359" s="1" t="s">
        <v>2808</v>
      </c>
      <c r="D1359" s="1" t="s">
        <v>3370</v>
      </c>
      <c r="E1359" s="1"/>
      <c r="F1359">
        <v>0</v>
      </c>
      <c r="G1359">
        <v>0</v>
      </c>
      <c r="H1359">
        <v>0</v>
      </c>
      <c r="I1359">
        <v>0</v>
      </c>
      <c r="J1359">
        <v>2</v>
      </c>
      <c r="K1359" s="2">
        <v>45740</v>
      </c>
    </row>
    <row r="1360" spans="1:11" x14ac:dyDescent="0.25">
      <c r="A1360" s="1" t="s">
        <v>419</v>
      </c>
      <c r="B1360" s="1"/>
      <c r="C1360" s="1" t="s">
        <v>2926</v>
      </c>
      <c r="D1360" s="1" t="s">
        <v>3371</v>
      </c>
      <c r="E1360" s="1"/>
      <c r="F1360">
        <v>0.1</v>
      </c>
      <c r="G1360">
        <v>0</v>
      </c>
      <c r="H1360">
        <v>10</v>
      </c>
      <c r="I1360">
        <v>0</v>
      </c>
      <c r="J1360">
        <v>2</v>
      </c>
      <c r="K1360" s="2">
        <v>45744</v>
      </c>
    </row>
    <row r="1361" spans="1:11" x14ac:dyDescent="0.25">
      <c r="A1361" s="1" t="s">
        <v>419</v>
      </c>
      <c r="B1361" s="1"/>
      <c r="C1361" s="1" t="s">
        <v>2926</v>
      </c>
      <c r="D1361" s="1" t="s">
        <v>3371</v>
      </c>
      <c r="E1361" s="1"/>
      <c r="F1361">
        <v>0.3</v>
      </c>
      <c r="G1361">
        <v>0</v>
      </c>
      <c r="H1361">
        <v>20</v>
      </c>
      <c r="I1361">
        <v>0</v>
      </c>
      <c r="J1361">
        <v>2</v>
      </c>
      <c r="K1361" s="2">
        <v>45744</v>
      </c>
    </row>
    <row r="1362" spans="1:11" x14ac:dyDescent="0.25">
      <c r="A1362" s="1" t="s">
        <v>419</v>
      </c>
      <c r="B1362" s="1"/>
      <c r="C1362" s="1" t="s">
        <v>2869</v>
      </c>
      <c r="D1362" s="1" t="s">
        <v>3386</v>
      </c>
      <c r="E1362" s="1"/>
      <c r="F1362">
        <v>1.5</v>
      </c>
      <c r="G1362">
        <v>0.9</v>
      </c>
      <c r="H1362">
        <v>45</v>
      </c>
      <c r="I1362">
        <v>0</v>
      </c>
      <c r="J1362">
        <v>2</v>
      </c>
      <c r="K1362" s="2">
        <v>45743</v>
      </c>
    </row>
    <row r="1363" spans="1:11" x14ac:dyDescent="0.25">
      <c r="A1363" s="1" t="s">
        <v>419</v>
      </c>
      <c r="B1363" s="1"/>
      <c r="C1363" s="1" t="s">
        <v>2812</v>
      </c>
      <c r="D1363" s="1" t="s">
        <v>3374</v>
      </c>
      <c r="E1363" s="1"/>
      <c r="F1363">
        <v>0.3</v>
      </c>
      <c r="G1363">
        <v>0</v>
      </c>
      <c r="H1363">
        <v>20</v>
      </c>
      <c r="I1363">
        <v>0</v>
      </c>
      <c r="J1363">
        <v>2</v>
      </c>
      <c r="K1363" s="2">
        <v>45744</v>
      </c>
    </row>
    <row r="1364" spans="1:11" x14ac:dyDescent="0.25">
      <c r="A1364" s="1" t="s">
        <v>419</v>
      </c>
      <c r="B1364" s="1"/>
      <c r="C1364" s="1" t="s">
        <v>2870</v>
      </c>
      <c r="D1364" s="1" t="s">
        <v>3375</v>
      </c>
      <c r="E1364" s="1"/>
      <c r="F1364">
        <v>0.2</v>
      </c>
      <c r="G1364">
        <v>0</v>
      </c>
      <c r="H1364">
        <v>15</v>
      </c>
      <c r="I1364">
        <v>0</v>
      </c>
      <c r="J1364">
        <v>2</v>
      </c>
      <c r="K1364" s="2">
        <v>45770</v>
      </c>
    </row>
    <row r="1365" spans="1:11" x14ac:dyDescent="0.25">
      <c r="A1365" s="1" t="s">
        <v>419</v>
      </c>
      <c r="B1365" s="1"/>
      <c r="C1365" s="1" t="s">
        <v>3021</v>
      </c>
      <c r="D1365" s="1" t="s">
        <v>3425</v>
      </c>
      <c r="E1365" s="1"/>
      <c r="F1365">
        <v>1.2</v>
      </c>
      <c r="G1365">
        <v>1.3</v>
      </c>
      <c r="H1365">
        <v>0</v>
      </c>
      <c r="I1365">
        <v>0</v>
      </c>
      <c r="J1365">
        <v>2</v>
      </c>
      <c r="K1365" s="2">
        <v>45770</v>
      </c>
    </row>
    <row r="1366" spans="1:11" x14ac:dyDescent="0.25">
      <c r="A1366" s="1" t="s">
        <v>419</v>
      </c>
      <c r="B1366" s="1"/>
      <c r="C1366" s="1" t="s">
        <v>2948</v>
      </c>
      <c r="D1366" s="1" t="s">
        <v>3388</v>
      </c>
      <c r="E1366" s="1"/>
      <c r="F1366">
        <v>0.5</v>
      </c>
      <c r="G1366">
        <v>1.1000000000000001</v>
      </c>
      <c r="H1366">
        <v>-35</v>
      </c>
      <c r="I1366">
        <v>0</v>
      </c>
      <c r="J1366">
        <v>2</v>
      </c>
      <c r="K1366" s="2">
        <v>45751</v>
      </c>
    </row>
    <row r="1367" spans="1:11" x14ac:dyDescent="0.25">
      <c r="A1367" s="1" t="s">
        <v>419</v>
      </c>
      <c r="B1367" s="1"/>
      <c r="C1367" s="1" t="s">
        <v>3022</v>
      </c>
      <c r="D1367" s="1" t="s">
        <v>3388</v>
      </c>
      <c r="E1367" s="1"/>
      <c r="F1367">
        <v>0.5</v>
      </c>
      <c r="G1367">
        <v>0.3</v>
      </c>
      <c r="H1367">
        <v>20</v>
      </c>
      <c r="I1367">
        <v>0</v>
      </c>
      <c r="J1367">
        <v>2</v>
      </c>
      <c r="K1367" s="2">
        <v>45754</v>
      </c>
    </row>
    <row r="1368" spans="1:11" x14ac:dyDescent="0.25">
      <c r="A1368" s="1" t="s">
        <v>419</v>
      </c>
      <c r="B1368" s="1"/>
      <c r="C1368" s="1" t="s">
        <v>3023</v>
      </c>
      <c r="D1368" s="1" t="s">
        <v>3372</v>
      </c>
      <c r="E1368" s="1"/>
      <c r="F1368">
        <v>2</v>
      </c>
      <c r="G1368">
        <v>0</v>
      </c>
      <c r="H1368">
        <v>105</v>
      </c>
      <c r="I1368">
        <v>0</v>
      </c>
      <c r="J1368">
        <v>2</v>
      </c>
      <c r="K1368" s="2">
        <v>45765</v>
      </c>
    </row>
    <row r="1369" spans="1:11" x14ac:dyDescent="0.25">
      <c r="A1369" s="1" t="s">
        <v>419</v>
      </c>
      <c r="B1369" s="1"/>
      <c r="C1369" s="1" t="s">
        <v>3024</v>
      </c>
      <c r="D1369" s="1" t="s">
        <v>3388</v>
      </c>
      <c r="E1369" s="1"/>
      <c r="F1369">
        <v>0.5</v>
      </c>
      <c r="G1369">
        <v>0.3</v>
      </c>
      <c r="H1369">
        <v>10</v>
      </c>
      <c r="I1369">
        <v>0</v>
      </c>
      <c r="J1369">
        <v>2</v>
      </c>
      <c r="K1369" s="2">
        <v>45754</v>
      </c>
    </row>
    <row r="1370" spans="1:11" x14ac:dyDescent="0.25">
      <c r="A1370" s="1" t="s">
        <v>940</v>
      </c>
      <c r="B1370" s="1"/>
      <c r="C1370" s="1" t="s">
        <v>2808</v>
      </c>
      <c r="D1370" s="1" t="s">
        <v>3370</v>
      </c>
      <c r="E1370" s="1"/>
      <c r="F1370">
        <v>0</v>
      </c>
      <c r="G1370">
        <v>0</v>
      </c>
      <c r="H1370">
        <v>0</v>
      </c>
      <c r="I1370">
        <v>0</v>
      </c>
      <c r="J1370">
        <v>4</v>
      </c>
      <c r="K1370" s="2">
        <v>45785</v>
      </c>
    </row>
    <row r="1371" spans="1:11" x14ac:dyDescent="0.25">
      <c r="A1371" s="1" t="s">
        <v>940</v>
      </c>
      <c r="B1371" s="1"/>
      <c r="C1371" s="1" t="s">
        <v>2926</v>
      </c>
      <c r="D1371" s="1" t="s">
        <v>3371</v>
      </c>
      <c r="E1371" s="1"/>
      <c r="F1371">
        <v>0.1</v>
      </c>
      <c r="G1371">
        <v>0</v>
      </c>
      <c r="H1371">
        <v>10</v>
      </c>
      <c r="I1371">
        <v>0</v>
      </c>
      <c r="J1371">
        <v>4</v>
      </c>
      <c r="K1371" s="2">
        <v>45789</v>
      </c>
    </row>
    <row r="1372" spans="1:11" x14ac:dyDescent="0.25">
      <c r="A1372" s="1" t="s">
        <v>940</v>
      </c>
      <c r="B1372" s="1"/>
      <c r="C1372" s="1" t="s">
        <v>2926</v>
      </c>
      <c r="D1372" s="1" t="s">
        <v>3371</v>
      </c>
      <c r="E1372" s="1"/>
      <c r="F1372">
        <v>0.3</v>
      </c>
      <c r="G1372">
        <v>0</v>
      </c>
      <c r="H1372">
        <v>25</v>
      </c>
      <c r="I1372">
        <v>0</v>
      </c>
      <c r="J1372">
        <v>4</v>
      </c>
      <c r="K1372" s="2">
        <v>45786</v>
      </c>
    </row>
    <row r="1373" spans="1:11" x14ac:dyDescent="0.25">
      <c r="A1373" s="1" t="s">
        <v>940</v>
      </c>
      <c r="B1373" s="1"/>
      <c r="C1373" s="1" t="s">
        <v>2869</v>
      </c>
      <c r="D1373" s="1" t="s">
        <v>3386</v>
      </c>
      <c r="E1373" s="1"/>
      <c r="F1373">
        <v>2</v>
      </c>
      <c r="G1373">
        <v>1.7</v>
      </c>
      <c r="H1373">
        <v>0</v>
      </c>
      <c r="I1373">
        <v>0</v>
      </c>
      <c r="J1373">
        <v>4</v>
      </c>
      <c r="K1373" s="2">
        <v>45789</v>
      </c>
    </row>
    <row r="1374" spans="1:11" x14ac:dyDescent="0.25">
      <c r="A1374" s="1" t="s">
        <v>940</v>
      </c>
      <c r="B1374" s="1"/>
      <c r="C1374" s="1" t="s">
        <v>2812</v>
      </c>
      <c r="D1374" s="1" t="s">
        <v>3374</v>
      </c>
      <c r="E1374" s="1"/>
      <c r="F1374">
        <v>0.3</v>
      </c>
      <c r="G1374">
        <v>0</v>
      </c>
      <c r="H1374">
        <v>20</v>
      </c>
      <c r="I1374">
        <v>0</v>
      </c>
      <c r="J1374">
        <v>4</v>
      </c>
      <c r="K1374" s="2">
        <v>45789</v>
      </c>
    </row>
    <row r="1375" spans="1:11" x14ac:dyDescent="0.25">
      <c r="A1375" s="1" t="s">
        <v>464</v>
      </c>
      <c r="B1375" s="1"/>
      <c r="C1375" s="1" t="s">
        <v>2808</v>
      </c>
      <c r="D1375" s="1" t="s">
        <v>3370</v>
      </c>
      <c r="E1375" s="1"/>
      <c r="F1375">
        <v>0</v>
      </c>
      <c r="G1375">
        <v>0</v>
      </c>
      <c r="H1375">
        <v>0</v>
      </c>
      <c r="I1375">
        <v>0</v>
      </c>
      <c r="J1375">
        <v>7</v>
      </c>
      <c r="K1375" s="2">
        <v>45744</v>
      </c>
    </row>
    <row r="1376" spans="1:11" x14ac:dyDescent="0.25">
      <c r="A1376" s="1" t="s">
        <v>464</v>
      </c>
      <c r="B1376" s="1"/>
      <c r="C1376" s="1" t="s">
        <v>2926</v>
      </c>
      <c r="D1376" s="1" t="s">
        <v>3371</v>
      </c>
      <c r="E1376" s="1"/>
      <c r="F1376">
        <v>0.2</v>
      </c>
      <c r="G1376">
        <v>0</v>
      </c>
      <c r="H1376">
        <v>15</v>
      </c>
      <c r="I1376">
        <v>0</v>
      </c>
      <c r="J1376">
        <v>8</v>
      </c>
      <c r="K1376" s="2">
        <v>45769</v>
      </c>
    </row>
    <row r="1377" spans="1:11" x14ac:dyDescent="0.25">
      <c r="A1377" s="1" t="s">
        <v>464</v>
      </c>
      <c r="B1377" s="1"/>
      <c r="C1377" s="1" t="s">
        <v>2926</v>
      </c>
      <c r="D1377" s="1" t="s">
        <v>3371</v>
      </c>
      <c r="E1377" s="1"/>
      <c r="F1377">
        <v>0.3</v>
      </c>
      <c r="G1377">
        <v>0</v>
      </c>
      <c r="H1377">
        <v>25</v>
      </c>
      <c r="I1377">
        <v>0</v>
      </c>
      <c r="J1377">
        <v>8</v>
      </c>
      <c r="K1377" s="2">
        <v>45769</v>
      </c>
    </row>
    <row r="1378" spans="1:11" x14ac:dyDescent="0.25">
      <c r="A1378" s="1" t="s">
        <v>464</v>
      </c>
      <c r="B1378" s="1"/>
      <c r="C1378" s="1" t="s">
        <v>2869</v>
      </c>
      <c r="D1378" s="1" t="s">
        <v>3386</v>
      </c>
      <c r="E1378" s="1"/>
      <c r="F1378">
        <v>3</v>
      </c>
      <c r="G1378">
        <v>2.2000000000000002</v>
      </c>
      <c r="H1378">
        <v>40</v>
      </c>
      <c r="I1378">
        <v>0</v>
      </c>
      <c r="J1378">
        <v>8</v>
      </c>
      <c r="K1378" s="2">
        <v>45770</v>
      </c>
    </row>
    <row r="1379" spans="1:11" x14ac:dyDescent="0.25">
      <c r="A1379" s="1" t="s">
        <v>464</v>
      </c>
      <c r="B1379" s="1"/>
      <c r="C1379" s="1" t="s">
        <v>2812</v>
      </c>
      <c r="D1379" s="1" t="s">
        <v>3374</v>
      </c>
      <c r="E1379" s="1"/>
      <c r="F1379">
        <v>0.3</v>
      </c>
      <c r="G1379">
        <v>0</v>
      </c>
      <c r="H1379">
        <v>20</v>
      </c>
      <c r="I1379">
        <v>0</v>
      </c>
      <c r="J1379">
        <v>8</v>
      </c>
      <c r="K1379" s="2">
        <v>45771</v>
      </c>
    </row>
    <row r="1380" spans="1:11" x14ac:dyDescent="0.25">
      <c r="A1380" s="1" t="s">
        <v>464</v>
      </c>
      <c r="B1380" s="1"/>
      <c r="C1380" s="1" t="s">
        <v>2870</v>
      </c>
      <c r="D1380" s="1" t="s">
        <v>3375</v>
      </c>
      <c r="E1380" s="1"/>
      <c r="F1380">
        <v>0.2</v>
      </c>
      <c r="G1380">
        <v>0.9</v>
      </c>
      <c r="H1380">
        <v>-30</v>
      </c>
      <c r="I1380">
        <v>0</v>
      </c>
      <c r="J1380">
        <v>8</v>
      </c>
      <c r="K1380" s="2">
        <v>45771</v>
      </c>
    </row>
    <row r="1381" spans="1:11" x14ac:dyDescent="0.25">
      <c r="A1381" s="1" t="s">
        <v>464</v>
      </c>
      <c r="B1381" s="1"/>
      <c r="C1381" s="1" t="s">
        <v>3021</v>
      </c>
      <c r="D1381" s="1" t="s">
        <v>3425</v>
      </c>
      <c r="E1381" s="1"/>
      <c r="F1381">
        <v>1.8</v>
      </c>
      <c r="G1381">
        <v>3.6</v>
      </c>
      <c r="H1381">
        <v>-75</v>
      </c>
      <c r="I1381">
        <v>0</v>
      </c>
      <c r="J1381">
        <v>8</v>
      </c>
      <c r="K1381" s="2">
        <v>45783</v>
      </c>
    </row>
    <row r="1382" spans="1:11" x14ac:dyDescent="0.25">
      <c r="A1382" s="1" t="s">
        <v>464</v>
      </c>
      <c r="B1382" s="1"/>
      <c r="C1382" s="1" t="s">
        <v>2948</v>
      </c>
      <c r="D1382" s="1" t="s">
        <v>3388</v>
      </c>
      <c r="E1382" s="1"/>
      <c r="F1382">
        <v>0.7</v>
      </c>
      <c r="G1382">
        <v>5.0999999999999996</v>
      </c>
      <c r="H1382">
        <v>-275</v>
      </c>
      <c r="I1382">
        <v>0</v>
      </c>
      <c r="J1382">
        <v>8</v>
      </c>
      <c r="K1382" s="2">
        <v>45775</v>
      </c>
    </row>
    <row r="1383" spans="1:11" x14ac:dyDescent="0.25">
      <c r="A1383" s="1" t="s">
        <v>464</v>
      </c>
      <c r="B1383" s="1"/>
      <c r="C1383" s="1" t="s">
        <v>3022</v>
      </c>
      <c r="D1383" s="1" t="s">
        <v>3388</v>
      </c>
      <c r="E1383" s="1"/>
      <c r="F1383">
        <v>0.7</v>
      </c>
      <c r="G1383">
        <v>0.3</v>
      </c>
      <c r="H1383">
        <v>25</v>
      </c>
      <c r="I1383">
        <v>0</v>
      </c>
      <c r="J1383">
        <v>8</v>
      </c>
      <c r="K1383" s="2">
        <v>45775</v>
      </c>
    </row>
    <row r="1384" spans="1:11" x14ac:dyDescent="0.25">
      <c r="A1384" s="1" t="s">
        <v>464</v>
      </c>
      <c r="B1384" s="1"/>
      <c r="C1384" s="1" t="s">
        <v>3023</v>
      </c>
      <c r="D1384" s="1" t="s">
        <v>3372</v>
      </c>
      <c r="E1384" s="1"/>
      <c r="F1384">
        <v>2</v>
      </c>
      <c r="G1384">
        <v>0.1</v>
      </c>
      <c r="H1384">
        <v>100</v>
      </c>
      <c r="I1384">
        <v>0</v>
      </c>
      <c r="J1384">
        <v>8</v>
      </c>
      <c r="K1384" s="2">
        <v>45783</v>
      </c>
    </row>
    <row r="1385" spans="1:11" x14ac:dyDescent="0.25">
      <c r="A1385" s="1" t="s">
        <v>464</v>
      </c>
      <c r="B1385" s="1"/>
      <c r="C1385" s="1" t="s">
        <v>3024</v>
      </c>
      <c r="D1385" s="1" t="s">
        <v>3371</v>
      </c>
      <c r="E1385" s="1"/>
      <c r="F1385">
        <v>1.1000000000000001</v>
      </c>
      <c r="G1385">
        <v>0.3</v>
      </c>
      <c r="H1385">
        <v>50</v>
      </c>
      <c r="I1385">
        <v>0</v>
      </c>
      <c r="J1385">
        <v>8</v>
      </c>
      <c r="K1385" s="2">
        <v>45783</v>
      </c>
    </row>
    <row r="1386" spans="1:11" x14ac:dyDescent="0.25">
      <c r="A1386" s="1" t="s">
        <v>464</v>
      </c>
      <c r="B1386" s="1"/>
      <c r="C1386" s="1" t="s">
        <v>2848</v>
      </c>
      <c r="D1386" s="1" t="s">
        <v>3372</v>
      </c>
      <c r="E1386" s="1"/>
      <c r="F1386">
        <v>1</v>
      </c>
      <c r="G1386">
        <v>0.1</v>
      </c>
      <c r="H1386">
        <v>50</v>
      </c>
      <c r="I1386">
        <v>0</v>
      </c>
      <c r="J1386">
        <v>8</v>
      </c>
      <c r="K1386" s="2">
        <v>45785</v>
      </c>
    </row>
    <row r="1387" spans="1:11" x14ac:dyDescent="0.25">
      <c r="A1387" s="1" t="s">
        <v>291</v>
      </c>
      <c r="B1387" s="1"/>
      <c r="C1387" s="1" t="s">
        <v>2963</v>
      </c>
      <c r="D1387" s="1" t="s">
        <v>3412</v>
      </c>
      <c r="E1387" s="1"/>
      <c r="F1387">
        <v>1.6</v>
      </c>
      <c r="G1387">
        <v>3.6</v>
      </c>
      <c r="H1387">
        <v>-125</v>
      </c>
      <c r="I1387">
        <v>0</v>
      </c>
      <c r="J1387">
        <v>131</v>
      </c>
      <c r="K1387" s="2">
        <v>45744</v>
      </c>
    </row>
    <row r="1388" spans="1:11" x14ac:dyDescent="0.25">
      <c r="A1388" s="1" t="s">
        <v>291</v>
      </c>
      <c r="B1388" s="1"/>
      <c r="C1388" s="1" t="s">
        <v>2872</v>
      </c>
      <c r="D1388" s="1" t="s">
        <v>3371</v>
      </c>
      <c r="E1388" s="1"/>
      <c r="F1388">
        <v>4.4000000000000004</v>
      </c>
      <c r="G1388">
        <v>6.6</v>
      </c>
      <c r="H1388">
        <v>-115</v>
      </c>
      <c r="I1388">
        <v>0</v>
      </c>
      <c r="J1388">
        <v>131</v>
      </c>
      <c r="K1388" s="2">
        <v>45744</v>
      </c>
    </row>
    <row r="1389" spans="1:11" x14ac:dyDescent="0.25">
      <c r="A1389" s="1" t="s">
        <v>291</v>
      </c>
      <c r="B1389" s="1"/>
      <c r="C1389" s="1" t="s">
        <v>2869</v>
      </c>
      <c r="D1389" s="1" t="s">
        <v>3386</v>
      </c>
      <c r="E1389" s="1"/>
      <c r="F1389">
        <v>11.9</v>
      </c>
      <c r="G1389">
        <v>27.5</v>
      </c>
      <c r="H1389">
        <v>-780</v>
      </c>
      <c r="I1389">
        <v>0</v>
      </c>
      <c r="J1389">
        <v>131</v>
      </c>
      <c r="K1389" s="2">
        <v>45743</v>
      </c>
    </row>
    <row r="1390" spans="1:11" x14ac:dyDescent="0.25">
      <c r="A1390" s="1" t="s">
        <v>291</v>
      </c>
      <c r="B1390" s="1"/>
      <c r="C1390" s="1" t="s">
        <v>2812</v>
      </c>
      <c r="D1390" s="1" t="s">
        <v>3374</v>
      </c>
      <c r="E1390" s="1"/>
      <c r="F1390">
        <v>0.3</v>
      </c>
      <c r="G1390">
        <v>0</v>
      </c>
      <c r="H1390">
        <v>20</v>
      </c>
      <c r="I1390">
        <v>0</v>
      </c>
      <c r="J1390">
        <v>131</v>
      </c>
      <c r="K1390" s="2">
        <v>45744</v>
      </c>
    </row>
    <row r="1391" spans="1:11" x14ac:dyDescent="0.25">
      <c r="A1391" s="1" t="s">
        <v>291</v>
      </c>
      <c r="B1391" s="1"/>
      <c r="C1391" s="1" t="s">
        <v>2870</v>
      </c>
      <c r="D1391" s="1" t="s">
        <v>3375</v>
      </c>
      <c r="E1391" s="1"/>
      <c r="F1391">
        <v>11</v>
      </c>
      <c r="G1391">
        <v>7.7</v>
      </c>
      <c r="H1391">
        <v>175</v>
      </c>
      <c r="I1391">
        <v>0</v>
      </c>
      <c r="J1391">
        <v>131</v>
      </c>
      <c r="K1391" s="2">
        <v>45749</v>
      </c>
    </row>
    <row r="1392" spans="1:11" x14ac:dyDescent="0.25">
      <c r="A1392" s="1" t="s">
        <v>291</v>
      </c>
      <c r="B1392" s="1"/>
      <c r="C1392" s="1" t="s">
        <v>2924</v>
      </c>
      <c r="D1392" s="1" t="s">
        <v>3372</v>
      </c>
      <c r="E1392" s="1"/>
      <c r="F1392">
        <v>1</v>
      </c>
      <c r="G1392">
        <v>0.2</v>
      </c>
      <c r="H1392">
        <v>45</v>
      </c>
      <c r="I1392">
        <v>0</v>
      </c>
      <c r="J1392">
        <v>131</v>
      </c>
      <c r="K1392" s="2">
        <v>45749</v>
      </c>
    </row>
    <row r="1393" spans="1:11" x14ac:dyDescent="0.25">
      <c r="A1393" s="1" t="s">
        <v>735</v>
      </c>
      <c r="B1393" s="1"/>
      <c r="C1393" s="1" t="s">
        <v>2808</v>
      </c>
      <c r="D1393" s="1" t="s">
        <v>3370</v>
      </c>
      <c r="E1393" s="1"/>
      <c r="F1393">
        <v>0</v>
      </c>
      <c r="G1393">
        <v>0</v>
      </c>
      <c r="H1393">
        <v>0</v>
      </c>
      <c r="I1393">
        <v>0</v>
      </c>
      <c r="J1393">
        <v>30</v>
      </c>
      <c r="K1393" s="2">
        <v>45778</v>
      </c>
    </row>
    <row r="1394" spans="1:11" x14ac:dyDescent="0.25">
      <c r="A1394" s="1" t="s">
        <v>735</v>
      </c>
      <c r="B1394" s="1"/>
      <c r="C1394" s="1" t="s">
        <v>2963</v>
      </c>
      <c r="D1394" s="1" t="s">
        <v>3412</v>
      </c>
      <c r="E1394" s="1"/>
      <c r="F1394">
        <v>0.8</v>
      </c>
      <c r="G1394">
        <v>0</v>
      </c>
      <c r="H1394">
        <v>50</v>
      </c>
      <c r="I1394">
        <v>0</v>
      </c>
      <c r="J1394">
        <v>30</v>
      </c>
      <c r="K1394" s="2">
        <v>45784</v>
      </c>
    </row>
    <row r="1395" spans="1:11" x14ac:dyDescent="0.25">
      <c r="A1395" s="1" t="s">
        <v>735</v>
      </c>
      <c r="B1395" s="1"/>
      <c r="C1395" s="1" t="s">
        <v>2872</v>
      </c>
      <c r="D1395" s="1" t="s">
        <v>3371</v>
      </c>
      <c r="E1395" s="1"/>
      <c r="F1395">
        <v>1</v>
      </c>
      <c r="G1395">
        <v>0</v>
      </c>
      <c r="H1395">
        <v>55</v>
      </c>
      <c r="I1395">
        <v>0</v>
      </c>
      <c r="J1395">
        <v>30</v>
      </c>
      <c r="K1395" s="2">
        <v>45784</v>
      </c>
    </row>
    <row r="1396" spans="1:11" x14ac:dyDescent="0.25">
      <c r="A1396" s="1" t="s">
        <v>735</v>
      </c>
      <c r="B1396" s="1"/>
      <c r="C1396" s="1" t="s">
        <v>2869</v>
      </c>
      <c r="D1396" s="1" t="s">
        <v>3386</v>
      </c>
      <c r="E1396" s="1"/>
      <c r="F1396">
        <v>3.5</v>
      </c>
      <c r="G1396">
        <v>9.1</v>
      </c>
      <c r="H1396">
        <v>-305</v>
      </c>
      <c r="I1396">
        <v>0</v>
      </c>
      <c r="J1396">
        <v>30</v>
      </c>
      <c r="K1396" s="2">
        <v>45785</v>
      </c>
    </row>
    <row r="1397" spans="1:11" x14ac:dyDescent="0.25">
      <c r="A1397" s="1" t="s">
        <v>735</v>
      </c>
      <c r="B1397" s="1"/>
      <c r="C1397" s="1" t="s">
        <v>2812</v>
      </c>
      <c r="D1397" s="1" t="s">
        <v>3374</v>
      </c>
      <c r="E1397" s="1"/>
      <c r="F1397">
        <v>0.3</v>
      </c>
      <c r="G1397">
        <v>0</v>
      </c>
      <c r="H1397">
        <v>20</v>
      </c>
      <c r="I1397">
        <v>0</v>
      </c>
      <c r="J1397">
        <v>30</v>
      </c>
      <c r="K1397" s="2">
        <v>45786</v>
      </c>
    </row>
    <row r="1398" spans="1:11" x14ac:dyDescent="0.25">
      <c r="A1398" s="1" t="s">
        <v>487</v>
      </c>
      <c r="B1398" s="1"/>
      <c r="C1398" s="1" t="s">
        <v>2808</v>
      </c>
      <c r="D1398" s="1" t="s">
        <v>3370</v>
      </c>
      <c r="E1398" s="1"/>
      <c r="F1398">
        <v>0</v>
      </c>
      <c r="G1398">
        <v>0</v>
      </c>
      <c r="H1398">
        <v>0</v>
      </c>
      <c r="I1398">
        <v>0</v>
      </c>
      <c r="J1398">
        <v>131</v>
      </c>
      <c r="K1398" s="2">
        <v>45749</v>
      </c>
    </row>
    <row r="1399" spans="1:11" x14ac:dyDescent="0.25">
      <c r="A1399" s="1" t="s">
        <v>479</v>
      </c>
      <c r="B1399" s="1"/>
      <c r="C1399" s="1" t="s">
        <v>2808</v>
      </c>
      <c r="D1399" s="1" t="s">
        <v>3370</v>
      </c>
      <c r="E1399" s="1"/>
      <c r="F1399">
        <v>0</v>
      </c>
      <c r="G1399">
        <v>0</v>
      </c>
      <c r="H1399">
        <v>0</v>
      </c>
      <c r="I1399">
        <v>0</v>
      </c>
      <c r="J1399">
        <v>8</v>
      </c>
      <c r="K1399" s="2">
        <v>45749</v>
      </c>
    </row>
    <row r="1400" spans="1:11" x14ac:dyDescent="0.25">
      <c r="A1400" s="1" t="s">
        <v>479</v>
      </c>
      <c r="B1400" s="1"/>
      <c r="C1400" s="1" t="s">
        <v>3025</v>
      </c>
      <c r="D1400" s="1" t="s">
        <v>3388</v>
      </c>
      <c r="E1400" s="1"/>
      <c r="F1400">
        <v>0.5</v>
      </c>
      <c r="G1400">
        <v>2.9</v>
      </c>
      <c r="H1400">
        <v>-150</v>
      </c>
      <c r="I1400">
        <v>0</v>
      </c>
      <c r="J1400">
        <v>8</v>
      </c>
      <c r="K1400" s="2">
        <v>45762</v>
      </c>
    </row>
    <row r="1401" spans="1:11" x14ac:dyDescent="0.25">
      <c r="A1401" s="1" t="s">
        <v>479</v>
      </c>
      <c r="B1401" s="1"/>
      <c r="C1401" s="1" t="s">
        <v>3026</v>
      </c>
      <c r="D1401" s="1" t="s">
        <v>3388</v>
      </c>
      <c r="E1401" s="1"/>
      <c r="F1401">
        <v>3</v>
      </c>
      <c r="G1401">
        <v>1.4</v>
      </c>
      <c r="H1401">
        <v>105</v>
      </c>
      <c r="I1401">
        <v>0</v>
      </c>
      <c r="J1401">
        <v>8</v>
      </c>
      <c r="K1401" s="2">
        <v>45779</v>
      </c>
    </row>
    <row r="1402" spans="1:11" x14ac:dyDescent="0.25">
      <c r="A1402" s="1" t="s">
        <v>479</v>
      </c>
      <c r="B1402" s="1"/>
      <c r="C1402" s="1" t="s">
        <v>2828</v>
      </c>
      <c r="D1402" s="1" t="s">
        <v>3387</v>
      </c>
      <c r="E1402" s="1"/>
      <c r="F1402">
        <v>0.5</v>
      </c>
      <c r="G1402">
        <v>0</v>
      </c>
      <c r="H1402">
        <v>25</v>
      </c>
      <c r="I1402">
        <v>0</v>
      </c>
      <c r="J1402">
        <v>0</v>
      </c>
      <c r="K1402" s="2">
        <v>45782</v>
      </c>
    </row>
    <row r="1403" spans="1:11" x14ac:dyDescent="0.25">
      <c r="A1403" s="1" t="s">
        <v>479</v>
      </c>
      <c r="B1403" s="1"/>
      <c r="C1403" s="1" t="s">
        <v>2848</v>
      </c>
      <c r="D1403" s="1" t="s">
        <v>3372</v>
      </c>
      <c r="E1403" s="1"/>
      <c r="F1403">
        <v>1</v>
      </c>
      <c r="G1403">
        <v>0</v>
      </c>
      <c r="H1403">
        <v>55</v>
      </c>
      <c r="I1403">
        <v>0</v>
      </c>
      <c r="J1403">
        <v>0</v>
      </c>
      <c r="K1403" s="2">
        <v>45782</v>
      </c>
    </row>
    <row r="1404" spans="1:11" x14ac:dyDescent="0.25">
      <c r="A1404" s="1" t="s">
        <v>188</v>
      </c>
      <c r="B1404" s="1"/>
      <c r="C1404" s="1" t="s">
        <v>2808</v>
      </c>
      <c r="D1404" s="1" t="s">
        <v>3370</v>
      </c>
      <c r="E1404" s="1"/>
      <c r="F1404">
        <v>0</v>
      </c>
      <c r="G1404">
        <v>0</v>
      </c>
      <c r="H1404">
        <v>0</v>
      </c>
      <c r="I1404">
        <v>0</v>
      </c>
      <c r="J1404">
        <v>9</v>
      </c>
      <c r="K1404" s="2">
        <v>45764</v>
      </c>
    </row>
    <row r="1405" spans="1:11" x14ac:dyDescent="0.25">
      <c r="A1405" s="1" t="s">
        <v>188</v>
      </c>
      <c r="B1405" s="1"/>
      <c r="C1405" s="1" t="s">
        <v>3027</v>
      </c>
      <c r="D1405" s="1" t="s">
        <v>3422</v>
      </c>
      <c r="E1405" s="1"/>
      <c r="F1405">
        <v>3.3</v>
      </c>
      <c r="G1405">
        <v>6</v>
      </c>
      <c r="H1405">
        <v>-140</v>
      </c>
      <c r="I1405">
        <v>0</v>
      </c>
      <c r="J1405">
        <v>9</v>
      </c>
      <c r="K1405" s="2">
        <v>45764</v>
      </c>
    </row>
    <row r="1406" spans="1:11" x14ac:dyDescent="0.25">
      <c r="A1406" s="1" t="s">
        <v>193</v>
      </c>
      <c r="B1406" s="1"/>
      <c r="C1406" s="1" t="s">
        <v>2808</v>
      </c>
      <c r="D1406" s="1" t="s">
        <v>3370</v>
      </c>
      <c r="E1406" s="1"/>
      <c r="F1406">
        <v>0</v>
      </c>
      <c r="G1406">
        <v>0</v>
      </c>
      <c r="H1406">
        <v>0</v>
      </c>
      <c r="I1406">
        <v>0</v>
      </c>
      <c r="J1406">
        <v>11</v>
      </c>
      <c r="K1406" s="2">
        <v>45764</v>
      </c>
    </row>
    <row r="1407" spans="1:11" x14ac:dyDescent="0.25">
      <c r="A1407" s="1" t="s">
        <v>193</v>
      </c>
      <c r="B1407" s="1"/>
      <c r="C1407" s="1" t="s">
        <v>3027</v>
      </c>
      <c r="D1407" s="1" t="s">
        <v>3422</v>
      </c>
      <c r="E1407" s="1"/>
      <c r="F1407">
        <v>3.8</v>
      </c>
      <c r="G1407">
        <v>18.899999999999999</v>
      </c>
      <c r="H1407">
        <v>-770</v>
      </c>
      <c r="I1407">
        <v>0</v>
      </c>
      <c r="J1407">
        <v>7</v>
      </c>
      <c r="K1407" s="2">
        <v>45764</v>
      </c>
    </row>
    <row r="1408" spans="1:11" x14ac:dyDescent="0.25">
      <c r="A1408" s="1" t="s">
        <v>193</v>
      </c>
      <c r="B1408" s="1"/>
      <c r="C1408" s="1" t="s">
        <v>3028</v>
      </c>
      <c r="D1408" s="1" t="s">
        <v>3449</v>
      </c>
      <c r="E1408" s="1"/>
      <c r="F1408">
        <v>1.2</v>
      </c>
      <c r="G1408">
        <v>0.6</v>
      </c>
      <c r="H1408">
        <v>35</v>
      </c>
      <c r="I1408">
        <v>0</v>
      </c>
      <c r="J1408">
        <v>11</v>
      </c>
      <c r="K1408" s="2">
        <v>45764</v>
      </c>
    </row>
    <row r="1409" spans="1:11" x14ac:dyDescent="0.25">
      <c r="A1409" s="1" t="s">
        <v>200</v>
      </c>
      <c r="B1409" s="1"/>
      <c r="C1409" s="1" t="s">
        <v>2868</v>
      </c>
      <c r="D1409" s="1" t="s">
        <v>3388</v>
      </c>
      <c r="E1409" s="1"/>
      <c r="F1409">
        <v>7.2</v>
      </c>
      <c r="G1409">
        <v>12.4</v>
      </c>
      <c r="H1409">
        <v>-320</v>
      </c>
      <c r="I1409">
        <v>0</v>
      </c>
      <c r="J1409">
        <v>39</v>
      </c>
      <c r="K1409" s="2">
        <v>45757</v>
      </c>
    </row>
    <row r="1410" spans="1:11" x14ac:dyDescent="0.25">
      <c r="A1410" s="1" t="s">
        <v>200</v>
      </c>
      <c r="B1410" s="1"/>
      <c r="C1410" s="1" t="s">
        <v>2943</v>
      </c>
      <c r="D1410" s="1" t="s">
        <v>3423</v>
      </c>
      <c r="E1410" s="1"/>
      <c r="F1410">
        <v>0</v>
      </c>
      <c r="G1410">
        <v>13</v>
      </c>
      <c r="H1410">
        <v>0</v>
      </c>
      <c r="I1410">
        <v>0</v>
      </c>
      <c r="J1410">
        <v>39</v>
      </c>
      <c r="K1410" s="2">
        <v>45757</v>
      </c>
    </row>
    <row r="1411" spans="1:11" x14ac:dyDescent="0.25">
      <c r="A1411" s="1" t="s">
        <v>308</v>
      </c>
      <c r="B1411" s="1"/>
      <c r="C1411" s="1" t="s">
        <v>2808</v>
      </c>
      <c r="D1411" s="1" t="s">
        <v>3370</v>
      </c>
      <c r="E1411" s="1"/>
      <c r="F1411">
        <v>0</v>
      </c>
      <c r="G1411">
        <v>0.1</v>
      </c>
      <c r="H1411">
        <v>0</v>
      </c>
      <c r="I1411">
        <v>0</v>
      </c>
      <c r="J1411">
        <v>18</v>
      </c>
      <c r="K1411" s="2">
        <v>45764</v>
      </c>
    </row>
    <row r="1412" spans="1:11" x14ac:dyDescent="0.25">
      <c r="A1412" s="1" t="s">
        <v>308</v>
      </c>
      <c r="B1412" s="1"/>
      <c r="C1412" s="1" t="s">
        <v>2868</v>
      </c>
      <c r="D1412" s="1" t="s">
        <v>3388</v>
      </c>
      <c r="E1412" s="1"/>
      <c r="F1412">
        <v>3.3</v>
      </c>
      <c r="G1412">
        <v>14.4</v>
      </c>
      <c r="H1412">
        <v>-690</v>
      </c>
      <c r="I1412">
        <v>0</v>
      </c>
      <c r="J1412">
        <v>27</v>
      </c>
      <c r="K1412" s="2">
        <v>45764</v>
      </c>
    </row>
    <row r="1413" spans="1:11" x14ac:dyDescent="0.25">
      <c r="A1413" s="1" t="s">
        <v>308</v>
      </c>
      <c r="B1413" s="1"/>
      <c r="C1413" s="1" t="s">
        <v>2961</v>
      </c>
      <c r="D1413" s="1" t="s">
        <v>3422</v>
      </c>
      <c r="E1413" s="1"/>
      <c r="F1413">
        <v>1</v>
      </c>
      <c r="G1413">
        <v>5.9</v>
      </c>
      <c r="H1413">
        <v>-200</v>
      </c>
      <c r="I1413">
        <v>0</v>
      </c>
      <c r="J1413">
        <v>18</v>
      </c>
      <c r="K1413" s="2">
        <v>45764</v>
      </c>
    </row>
    <row r="1414" spans="1:11" x14ac:dyDescent="0.25">
      <c r="A1414" s="1" t="s">
        <v>308</v>
      </c>
      <c r="B1414" s="1"/>
      <c r="C1414" s="1" t="s">
        <v>3029</v>
      </c>
      <c r="D1414" s="1" t="s">
        <v>3450</v>
      </c>
      <c r="E1414" s="1"/>
      <c r="F1414">
        <v>6.5</v>
      </c>
      <c r="G1414">
        <v>24</v>
      </c>
      <c r="H1414">
        <v>-915</v>
      </c>
      <c r="I1414">
        <v>0</v>
      </c>
      <c r="J1414">
        <v>21</v>
      </c>
      <c r="K1414" s="2">
        <v>45729</v>
      </c>
    </row>
    <row r="1415" spans="1:11" x14ac:dyDescent="0.25">
      <c r="A1415" s="1" t="s">
        <v>308</v>
      </c>
      <c r="B1415" s="1"/>
      <c r="C1415" s="1" t="s">
        <v>3027</v>
      </c>
      <c r="D1415" s="1" t="s">
        <v>3422</v>
      </c>
      <c r="E1415" s="1"/>
      <c r="F1415">
        <v>5.5</v>
      </c>
      <c r="G1415">
        <v>24.3</v>
      </c>
      <c r="H1415">
        <v>-785</v>
      </c>
      <c r="I1415">
        <v>0</v>
      </c>
      <c r="J1415">
        <v>21</v>
      </c>
      <c r="K1415" s="2">
        <v>45764</v>
      </c>
    </row>
    <row r="1416" spans="1:11" x14ac:dyDescent="0.25">
      <c r="A1416" s="1" t="s">
        <v>319</v>
      </c>
      <c r="B1416" s="1"/>
      <c r="C1416" s="1" t="s">
        <v>2903</v>
      </c>
      <c r="D1416" s="1" t="s">
        <v>3412</v>
      </c>
      <c r="E1416" s="1"/>
      <c r="F1416">
        <v>2.6</v>
      </c>
      <c r="G1416">
        <v>2.6</v>
      </c>
      <c r="H1416">
        <v>0</v>
      </c>
      <c r="I1416">
        <v>0</v>
      </c>
      <c r="J1416">
        <v>19</v>
      </c>
      <c r="K1416" s="2">
        <v>45729</v>
      </c>
    </row>
    <row r="1417" spans="1:11" x14ac:dyDescent="0.25">
      <c r="A1417" s="1" t="s">
        <v>319</v>
      </c>
      <c r="B1417" s="1"/>
      <c r="C1417" s="1" t="s">
        <v>2974</v>
      </c>
      <c r="D1417" s="1" t="s">
        <v>3412</v>
      </c>
      <c r="E1417" s="1"/>
      <c r="F1417">
        <v>2.6</v>
      </c>
      <c r="G1417">
        <v>8.6</v>
      </c>
      <c r="H1417">
        <v>-370</v>
      </c>
      <c r="I1417">
        <v>0</v>
      </c>
      <c r="J1417">
        <v>19</v>
      </c>
      <c r="K1417" s="2">
        <v>45729</v>
      </c>
    </row>
    <row r="1418" spans="1:11" x14ac:dyDescent="0.25">
      <c r="A1418" s="1" t="s">
        <v>319</v>
      </c>
      <c r="B1418" s="1"/>
      <c r="C1418" s="1" t="s">
        <v>3030</v>
      </c>
      <c r="D1418" s="1" t="s">
        <v>3429</v>
      </c>
      <c r="E1418" s="1"/>
      <c r="F1418">
        <v>0</v>
      </c>
      <c r="G1418">
        <v>0.1</v>
      </c>
      <c r="H1418">
        <v>-5</v>
      </c>
      <c r="I1418">
        <v>0</v>
      </c>
      <c r="J1418">
        <v>22</v>
      </c>
      <c r="K1418" s="2">
        <v>45764</v>
      </c>
    </row>
    <row r="1419" spans="1:11" x14ac:dyDescent="0.25">
      <c r="A1419" s="1" t="s">
        <v>319</v>
      </c>
      <c r="B1419" s="1"/>
      <c r="C1419" s="1" t="s">
        <v>3031</v>
      </c>
      <c r="D1419" s="1" t="s">
        <v>3450</v>
      </c>
      <c r="E1419" s="1"/>
      <c r="F1419">
        <v>4</v>
      </c>
      <c r="G1419">
        <v>3.7</v>
      </c>
      <c r="H1419">
        <v>40</v>
      </c>
      <c r="I1419">
        <v>0</v>
      </c>
      <c r="J1419">
        <v>3</v>
      </c>
      <c r="K1419" s="2">
        <v>45736</v>
      </c>
    </row>
    <row r="1420" spans="1:11" x14ac:dyDescent="0.25">
      <c r="A1420" s="1" t="s">
        <v>319</v>
      </c>
      <c r="B1420" s="1"/>
      <c r="C1420" s="1" t="s">
        <v>2961</v>
      </c>
      <c r="D1420" s="1" t="s">
        <v>3422</v>
      </c>
      <c r="E1420" s="1"/>
      <c r="F1420">
        <v>1</v>
      </c>
      <c r="G1420">
        <v>4</v>
      </c>
      <c r="H1420">
        <v>-125</v>
      </c>
      <c r="I1420">
        <v>0</v>
      </c>
      <c r="J1420">
        <v>3</v>
      </c>
      <c r="K1420" s="2">
        <v>45737</v>
      </c>
    </row>
    <row r="1421" spans="1:11" x14ac:dyDescent="0.25">
      <c r="A1421" s="1" t="s">
        <v>319</v>
      </c>
      <c r="B1421" s="1"/>
      <c r="C1421" s="1" t="s">
        <v>3029</v>
      </c>
      <c r="D1421" s="1" t="s">
        <v>3450</v>
      </c>
      <c r="E1421" s="1"/>
      <c r="F1421">
        <v>5.5</v>
      </c>
      <c r="G1421">
        <v>21.3</v>
      </c>
      <c r="H1421">
        <v>-830</v>
      </c>
      <c r="I1421">
        <v>0</v>
      </c>
      <c r="J1421">
        <v>19</v>
      </c>
      <c r="K1421" s="2">
        <v>45737</v>
      </c>
    </row>
    <row r="1422" spans="1:11" x14ac:dyDescent="0.25">
      <c r="A1422" s="1" t="s">
        <v>319</v>
      </c>
      <c r="B1422" s="1"/>
      <c r="C1422" s="1" t="s">
        <v>3027</v>
      </c>
      <c r="D1422" s="1" t="s">
        <v>3422</v>
      </c>
      <c r="E1422" s="1"/>
      <c r="F1422">
        <v>4.5</v>
      </c>
      <c r="G1422">
        <v>0</v>
      </c>
      <c r="H1422">
        <v>190</v>
      </c>
      <c r="I1422">
        <v>1</v>
      </c>
      <c r="J1422">
        <v>0</v>
      </c>
      <c r="K1422" s="2">
        <v>45764</v>
      </c>
    </row>
    <row r="1423" spans="1:11" x14ac:dyDescent="0.25">
      <c r="A1423" s="1" t="s">
        <v>112</v>
      </c>
      <c r="B1423" s="1"/>
      <c r="C1423" s="1" t="s">
        <v>2808</v>
      </c>
      <c r="D1423" s="1" t="s">
        <v>3370</v>
      </c>
      <c r="E1423" s="1"/>
      <c r="F1423">
        <v>0</v>
      </c>
      <c r="G1423">
        <v>0</v>
      </c>
      <c r="H1423">
        <v>0</v>
      </c>
      <c r="I1423">
        <v>0</v>
      </c>
      <c r="J1423">
        <v>10</v>
      </c>
      <c r="K1423" s="2">
        <v>45735</v>
      </c>
    </row>
    <row r="1424" spans="1:11" x14ac:dyDescent="0.25">
      <c r="A1424" s="1" t="s">
        <v>112</v>
      </c>
      <c r="B1424" s="1"/>
      <c r="C1424" s="1" t="s">
        <v>3031</v>
      </c>
      <c r="D1424" s="1" t="s">
        <v>3450</v>
      </c>
      <c r="E1424" s="1"/>
      <c r="F1424">
        <v>4</v>
      </c>
      <c r="G1424">
        <v>4.5</v>
      </c>
      <c r="H1424">
        <v>-5</v>
      </c>
      <c r="I1424">
        <v>0</v>
      </c>
      <c r="J1424">
        <v>4</v>
      </c>
      <c r="K1424" s="2">
        <v>45736</v>
      </c>
    </row>
    <row r="1425" spans="1:11" x14ac:dyDescent="0.25">
      <c r="A1425" s="1" t="s">
        <v>112</v>
      </c>
      <c r="B1425" s="1"/>
      <c r="C1425" s="1" t="s">
        <v>2961</v>
      </c>
      <c r="D1425" s="1" t="s">
        <v>3422</v>
      </c>
      <c r="E1425" s="1"/>
      <c r="F1425">
        <v>1</v>
      </c>
      <c r="G1425">
        <v>0</v>
      </c>
      <c r="H1425">
        <v>45</v>
      </c>
      <c r="I1425">
        <v>0</v>
      </c>
      <c r="J1425">
        <v>0</v>
      </c>
      <c r="K1425" s="2">
        <v>45741</v>
      </c>
    </row>
    <row r="1426" spans="1:11" x14ac:dyDescent="0.25">
      <c r="A1426" s="1" t="s">
        <v>112</v>
      </c>
      <c r="B1426" s="1"/>
      <c r="C1426" s="1" t="s">
        <v>3029</v>
      </c>
      <c r="D1426" s="1" t="s">
        <v>3450</v>
      </c>
      <c r="E1426" s="1"/>
      <c r="F1426">
        <v>4.5</v>
      </c>
      <c r="G1426">
        <v>16.3</v>
      </c>
      <c r="H1426">
        <v>-715</v>
      </c>
      <c r="I1426">
        <v>0</v>
      </c>
      <c r="J1426">
        <v>10</v>
      </c>
      <c r="K1426" s="2">
        <v>45741</v>
      </c>
    </row>
    <row r="1427" spans="1:11" x14ac:dyDescent="0.25">
      <c r="A1427" s="1" t="s">
        <v>465</v>
      </c>
      <c r="B1427" s="1"/>
      <c r="C1427" s="1" t="s">
        <v>2808</v>
      </c>
      <c r="D1427" s="1" t="s">
        <v>3370</v>
      </c>
      <c r="E1427" s="1"/>
      <c r="F1427">
        <v>0</v>
      </c>
      <c r="G1427">
        <v>0</v>
      </c>
      <c r="H1427">
        <v>0</v>
      </c>
      <c r="I1427">
        <v>0</v>
      </c>
      <c r="J1427">
        <v>20</v>
      </c>
      <c r="K1427" s="2">
        <v>45744</v>
      </c>
    </row>
    <row r="1428" spans="1:11" x14ac:dyDescent="0.25">
      <c r="A1428" s="1" t="s">
        <v>465</v>
      </c>
      <c r="B1428" s="1"/>
      <c r="C1428" s="1" t="s">
        <v>2903</v>
      </c>
      <c r="D1428" s="1" t="s">
        <v>3412</v>
      </c>
      <c r="E1428" s="1"/>
      <c r="F1428">
        <v>1.5</v>
      </c>
      <c r="G1428">
        <v>2.2999999999999998</v>
      </c>
      <c r="H1428">
        <v>-50</v>
      </c>
      <c r="I1428">
        <v>0</v>
      </c>
      <c r="J1428">
        <v>20</v>
      </c>
      <c r="K1428" s="2">
        <v>45757</v>
      </c>
    </row>
    <row r="1429" spans="1:11" x14ac:dyDescent="0.25">
      <c r="A1429" s="1" t="s">
        <v>465</v>
      </c>
      <c r="B1429" s="1"/>
      <c r="C1429" s="1" t="s">
        <v>2997</v>
      </c>
      <c r="D1429" s="1" t="s">
        <v>3413</v>
      </c>
      <c r="E1429" s="1"/>
      <c r="F1429">
        <v>1.5</v>
      </c>
      <c r="G1429">
        <v>2.2999999999999998</v>
      </c>
      <c r="H1429">
        <v>-50</v>
      </c>
      <c r="I1429">
        <v>0</v>
      </c>
      <c r="J1429">
        <v>20</v>
      </c>
      <c r="K1429" s="2">
        <v>45757</v>
      </c>
    </row>
    <row r="1430" spans="1:11" x14ac:dyDescent="0.25">
      <c r="A1430" s="1" t="s">
        <v>465</v>
      </c>
      <c r="B1430" s="1"/>
      <c r="C1430" s="1" t="s">
        <v>2974</v>
      </c>
      <c r="D1430" s="1" t="s">
        <v>3412</v>
      </c>
      <c r="E1430" s="1"/>
      <c r="F1430">
        <v>1.5</v>
      </c>
      <c r="G1430">
        <v>2.4</v>
      </c>
      <c r="H1430">
        <v>-50</v>
      </c>
      <c r="I1430">
        <v>0</v>
      </c>
      <c r="J1430">
        <v>20</v>
      </c>
      <c r="K1430" s="2">
        <v>45757</v>
      </c>
    </row>
    <row r="1431" spans="1:11" x14ac:dyDescent="0.25">
      <c r="A1431" s="1" t="s">
        <v>465</v>
      </c>
      <c r="B1431" s="1"/>
      <c r="C1431" s="1" t="s">
        <v>2868</v>
      </c>
      <c r="D1431" s="1" t="s">
        <v>3388</v>
      </c>
      <c r="E1431" s="1"/>
      <c r="F1431">
        <v>1.5</v>
      </c>
      <c r="G1431">
        <v>2.1</v>
      </c>
      <c r="H1431">
        <v>-35</v>
      </c>
      <c r="I1431">
        <v>0</v>
      </c>
      <c r="J1431">
        <v>20</v>
      </c>
      <c r="K1431" s="2">
        <v>45748</v>
      </c>
    </row>
    <row r="1432" spans="1:11" x14ac:dyDescent="0.25">
      <c r="A1432" s="1" t="s">
        <v>465</v>
      </c>
      <c r="B1432" s="1"/>
      <c r="C1432" s="1" t="s">
        <v>3030</v>
      </c>
      <c r="D1432" s="1" t="s">
        <v>3429</v>
      </c>
      <c r="E1432" s="1"/>
      <c r="F1432">
        <v>0</v>
      </c>
      <c r="G1432">
        <v>0</v>
      </c>
      <c r="H1432">
        <v>0</v>
      </c>
      <c r="I1432">
        <v>0</v>
      </c>
      <c r="J1432">
        <v>20</v>
      </c>
      <c r="K1432" s="2">
        <v>45747</v>
      </c>
    </row>
    <row r="1433" spans="1:11" x14ac:dyDescent="0.25">
      <c r="A1433" s="1" t="s">
        <v>465</v>
      </c>
      <c r="B1433" s="1"/>
      <c r="C1433" s="1" t="s">
        <v>3031</v>
      </c>
      <c r="D1433" s="1" t="s">
        <v>3450</v>
      </c>
      <c r="E1433" s="1"/>
      <c r="F1433">
        <v>4</v>
      </c>
      <c r="G1433">
        <v>3.7</v>
      </c>
      <c r="H1433">
        <v>10</v>
      </c>
      <c r="I1433">
        <v>0</v>
      </c>
      <c r="J1433">
        <v>3</v>
      </c>
      <c r="K1433" s="2">
        <v>45757</v>
      </c>
    </row>
    <row r="1434" spans="1:11" x14ac:dyDescent="0.25">
      <c r="A1434" s="1" t="s">
        <v>465</v>
      </c>
      <c r="B1434" s="1"/>
      <c r="C1434" s="1" t="s">
        <v>2961</v>
      </c>
      <c r="D1434" s="1" t="s">
        <v>3422</v>
      </c>
      <c r="E1434" s="1"/>
      <c r="F1434">
        <v>1</v>
      </c>
      <c r="G1434">
        <v>1.6</v>
      </c>
      <c r="H1434">
        <v>-20</v>
      </c>
      <c r="I1434">
        <v>0</v>
      </c>
      <c r="J1434">
        <v>3</v>
      </c>
      <c r="K1434" s="2">
        <v>45762</v>
      </c>
    </row>
    <row r="1435" spans="1:11" x14ac:dyDescent="0.25">
      <c r="A1435" s="1" t="s">
        <v>465</v>
      </c>
      <c r="B1435" s="1"/>
      <c r="C1435" s="1" t="s">
        <v>3029</v>
      </c>
      <c r="D1435" s="1" t="s">
        <v>3450</v>
      </c>
      <c r="E1435" s="1"/>
      <c r="F1435">
        <v>4</v>
      </c>
      <c r="G1435">
        <v>7.7</v>
      </c>
      <c r="H1435">
        <v>-190</v>
      </c>
      <c r="I1435">
        <v>0</v>
      </c>
      <c r="J1435">
        <v>5</v>
      </c>
      <c r="K1435" s="2">
        <v>45762</v>
      </c>
    </row>
    <row r="1436" spans="1:11" x14ac:dyDescent="0.25">
      <c r="A1436" s="1" t="s">
        <v>465</v>
      </c>
      <c r="B1436" s="1"/>
      <c r="C1436" s="1" t="s">
        <v>3027</v>
      </c>
      <c r="D1436" s="1" t="s">
        <v>3422</v>
      </c>
      <c r="E1436" s="1"/>
      <c r="F1436">
        <v>3</v>
      </c>
      <c r="G1436">
        <v>2.2999999999999998</v>
      </c>
      <c r="H1436">
        <v>30</v>
      </c>
      <c r="I1436">
        <v>0</v>
      </c>
      <c r="J1436">
        <v>5</v>
      </c>
      <c r="K1436" s="2">
        <v>45762</v>
      </c>
    </row>
    <row r="1437" spans="1:11" x14ac:dyDescent="0.25">
      <c r="A1437" s="1" t="s">
        <v>465</v>
      </c>
      <c r="B1437" s="1"/>
      <c r="C1437" s="1" t="s">
        <v>3028</v>
      </c>
      <c r="D1437" s="1" t="s">
        <v>3449</v>
      </c>
      <c r="E1437" s="1"/>
      <c r="F1437">
        <v>0.9</v>
      </c>
      <c r="G1437">
        <v>0.1</v>
      </c>
      <c r="H1437">
        <v>55</v>
      </c>
      <c r="I1437">
        <v>0</v>
      </c>
      <c r="J1437">
        <v>8</v>
      </c>
      <c r="K1437" s="2">
        <v>45762</v>
      </c>
    </row>
    <row r="1438" spans="1:11" x14ac:dyDescent="0.25">
      <c r="A1438" s="1" t="s">
        <v>678</v>
      </c>
      <c r="B1438" s="1"/>
      <c r="C1438" s="1" t="s">
        <v>2808</v>
      </c>
      <c r="D1438" s="1" t="s">
        <v>3370</v>
      </c>
      <c r="E1438" s="1"/>
      <c r="F1438">
        <v>0</v>
      </c>
      <c r="G1438">
        <v>0</v>
      </c>
      <c r="H1438">
        <v>0</v>
      </c>
      <c r="I1438">
        <v>0</v>
      </c>
      <c r="J1438">
        <v>25</v>
      </c>
      <c r="K1438" s="2">
        <v>45782</v>
      </c>
    </row>
    <row r="1439" spans="1:11" x14ac:dyDescent="0.25">
      <c r="A1439" s="1" t="s">
        <v>678</v>
      </c>
      <c r="B1439" s="1"/>
      <c r="C1439" s="1" t="s">
        <v>2903</v>
      </c>
      <c r="D1439" s="1" t="s">
        <v>3412</v>
      </c>
      <c r="E1439" s="1"/>
      <c r="F1439">
        <v>4.5999999999999996</v>
      </c>
      <c r="G1439">
        <v>0</v>
      </c>
      <c r="H1439">
        <v>290</v>
      </c>
      <c r="I1439">
        <v>0</v>
      </c>
      <c r="J1439">
        <v>20</v>
      </c>
      <c r="K1439" s="2">
        <v>45770</v>
      </c>
    </row>
    <row r="1440" spans="1:11" x14ac:dyDescent="0.25">
      <c r="A1440" s="1" t="s">
        <v>678</v>
      </c>
      <c r="B1440" s="1"/>
      <c r="C1440" s="1" t="s">
        <v>2997</v>
      </c>
      <c r="D1440" s="1" t="s">
        <v>3413</v>
      </c>
      <c r="E1440" s="1"/>
      <c r="F1440">
        <v>4.5999999999999996</v>
      </c>
      <c r="G1440">
        <v>0</v>
      </c>
      <c r="H1440">
        <v>290</v>
      </c>
      <c r="I1440">
        <v>0</v>
      </c>
      <c r="J1440">
        <v>20</v>
      </c>
      <c r="K1440" s="2">
        <v>45770</v>
      </c>
    </row>
    <row r="1441" spans="1:11" x14ac:dyDescent="0.25">
      <c r="A1441" s="1" t="s">
        <v>678</v>
      </c>
      <c r="B1441" s="1"/>
      <c r="C1441" s="1" t="s">
        <v>2974</v>
      </c>
      <c r="D1441" s="1" t="s">
        <v>3412</v>
      </c>
      <c r="E1441" s="1"/>
      <c r="F1441">
        <v>4.5999999999999996</v>
      </c>
      <c r="G1441">
        <v>0</v>
      </c>
      <c r="H1441">
        <v>290</v>
      </c>
      <c r="I1441">
        <v>0</v>
      </c>
      <c r="J1441">
        <v>20</v>
      </c>
      <c r="K1441" s="2">
        <v>45770</v>
      </c>
    </row>
    <row r="1442" spans="1:11" x14ac:dyDescent="0.25">
      <c r="A1442" s="1" t="s">
        <v>678</v>
      </c>
      <c r="B1442" s="1"/>
      <c r="C1442" s="1" t="s">
        <v>2868</v>
      </c>
      <c r="D1442" s="1" t="s">
        <v>3388</v>
      </c>
      <c r="E1442" s="1"/>
      <c r="F1442">
        <v>4.5999999999999996</v>
      </c>
      <c r="G1442">
        <v>0</v>
      </c>
      <c r="H1442">
        <v>290</v>
      </c>
      <c r="I1442">
        <v>0</v>
      </c>
      <c r="J1442">
        <v>20</v>
      </c>
      <c r="K1442" s="2">
        <v>45770</v>
      </c>
    </row>
    <row r="1443" spans="1:11" x14ac:dyDescent="0.25">
      <c r="A1443" s="1" t="s">
        <v>678</v>
      </c>
      <c r="B1443" s="1"/>
      <c r="C1443" s="1" t="s">
        <v>3030</v>
      </c>
      <c r="D1443" s="1" t="s">
        <v>3429</v>
      </c>
      <c r="E1443" s="1"/>
      <c r="F1443">
        <v>0</v>
      </c>
      <c r="G1443">
        <v>0</v>
      </c>
      <c r="H1443">
        <v>0</v>
      </c>
      <c r="I1443">
        <v>0</v>
      </c>
      <c r="J1443">
        <v>24</v>
      </c>
      <c r="K1443" s="2">
        <v>45772</v>
      </c>
    </row>
    <row r="1444" spans="1:11" x14ac:dyDescent="0.25">
      <c r="A1444" s="1" t="s">
        <v>678</v>
      </c>
      <c r="B1444" s="1"/>
      <c r="C1444" s="1" t="s">
        <v>3031</v>
      </c>
      <c r="D1444" s="1" t="s">
        <v>3450</v>
      </c>
      <c r="E1444" s="1"/>
      <c r="F1444">
        <v>4</v>
      </c>
      <c r="G1444">
        <v>6</v>
      </c>
      <c r="H1444">
        <v>-105</v>
      </c>
      <c r="I1444">
        <v>0</v>
      </c>
      <c r="J1444">
        <v>3</v>
      </c>
      <c r="K1444" s="2">
        <v>45771</v>
      </c>
    </row>
    <row r="1445" spans="1:11" x14ac:dyDescent="0.25">
      <c r="A1445" s="1" t="s">
        <v>678</v>
      </c>
      <c r="B1445" s="1"/>
      <c r="C1445" s="1" t="s">
        <v>2961</v>
      </c>
      <c r="D1445" s="1" t="s">
        <v>3422</v>
      </c>
      <c r="E1445" s="1"/>
      <c r="F1445">
        <v>1</v>
      </c>
      <c r="G1445">
        <v>0</v>
      </c>
      <c r="H1445">
        <v>45</v>
      </c>
      <c r="I1445">
        <v>0</v>
      </c>
      <c r="J1445">
        <v>3</v>
      </c>
      <c r="K1445" s="2">
        <v>45782</v>
      </c>
    </row>
    <row r="1446" spans="1:11" x14ac:dyDescent="0.25">
      <c r="A1446" s="1" t="s">
        <v>678</v>
      </c>
      <c r="B1446" s="1"/>
      <c r="C1446" s="1" t="s">
        <v>3029</v>
      </c>
      <c r="D1446" s="1" t="s">
        <v>3450</v>
      </c>
      <c r="E1446" s="1"/>
      <c r="F1446">
        <v>8.3000000000000007</v>
      </c>
      <c r="G1446">
        <v>40.700000000000003</v>
      </c>
      <c r="H1446">
        <v>-1785</v>
      </c>
      <c r="I1446">
        <v>0</v>
      </c>
      <c r="J1446">
        <v>20</v>
      </c>
      <c r="K1446" s="2">
        <v>45776</v>
      </c>
    </row>
    <row r="1447" spans="1:11" x14ac:dyDescent="0.25">
      <c r="A1447" s="1" t="s">
        <v>678</v>
      </c>
      <c r="B1447" s="1"/>
      <c r="C1447" s="1" t="s">
        <v>3027</v>
      </c>
      <c r="D1447" s="1" t="s">
        <v>3422</v>
      </c>
      <c r="E1447" s="1"/>
      <c r="F1447">
        <v>7.3</v>
      </c>
      <c r="G1447">
        <v>14.9</v>
      </c>
      <c r="H1447">
        <v>-320</v>
      </c>
      <c r="I1447">
        <v>1</v>
      </c>
      <c r="J1447">
        <v>24</v>
      </c>
      <c r="K1447" s="2">
        <v>45782</v>
      </c>
    </row>
    <row r="1448" spans="1:11" x14ac:dyDescent="0.25">
      <c r="A1448" s="1" t="s">
        <v>679</v>
      </c>
      <c r="B1448" s="1"/>
      <c r="C1448" s="1" t="s">
        <v>2808</v>
      </c>
      <c r="D1448" s="1" t="s">
        <v>3370</v>
      </c>
      <c r="E1448" s="1"/>
      <c r="F1448">
        <v>0</v>
      </c>
      <c r="G1448">
        <v>0</v>
      </c>
      <c r="H1448">
        <v>0</v>
      </c>
      <c r="I1448">
        <v>0</v>
      </c>
      <c r="J1448">
        <v>15</v>
      </c>
      <c r="K1448" s="2">
        <v>45782</v>
      </c>
    </row>
    <row r="1449" spans="1:11" x14ac:dyDescent="0.25">
      <c r="A1449" s="1" t="s">
        <v>679</v>
      </c>
      <c r="B1449" s="1"/>
      <c r="C1449" s="1" t="s">
        <v>2903</v>
      </c>
      <c r="D1449" s="1" t="s">
        <v>3412</v>
      </c>
      <c r="E1449" s="1"/>
      <c r="F1449">
        <v>2.8</v>
      </c>
      <c r="G1449">
        <v>4.2</v>
      </c>
      <c r="H1449">
        <v>-85</v>
      </c>
      <c r="I1449">
        <v>0</v>
      </c>
      <c r="J1449">
        <v>20</v>
      </c>
      <c r="K1449" s="2">
        <v>45770</v>
      </c>
    </row>
    <row r="1450" spans="1:11" x14ac:dyDescent="0.25">
      <c r="A1450" s="1" t="s">
        <v>679</v>
      </c>
      <c r="B1450" s="1"/>
      <c r="C1450" s="1" t="s">
        <v>2997</v>
      </c>
      <c r="D1450" s="1" t="s">
        <v>3413</v>
      </c>
      <c r="E1450" s="1"/>
      <c r="F1450">
        <v>2.8</v>
      </c>
      <c r="G1450">
        <v>10.4</v>
      </c>
      <c r="H1450">
        <v>-475</v>
      </c>
      <c r="I1450">
        <v>0</v>
      </c>
      <c r="J1450">
        <v>20</v>
      </c>
      <c r="K1450" s="2">
        <v>45768</v>
      </c>
    </row>
    <row r="1451" spans="1:11" x14ac:dyDescent="0.25">
      <c r="A1451" s="1" t="s">
        <v>679</v>
      </c>
      <c r="B1451" s="1"/>
      <c r="C1451" s="1" t="s">
        <v>2974</v>
      </c>
      <c r="D1451" s="1" t="s">
        <v>3412</v>
      </c>
      <c r="E1451" s="1"/>
      <c r="F1451">
        <v>2.8</v>
      </c>
      <c r="G1451">
        <v>7.2</v>
      </c>
      <c r="H1451">
        <v>-275</v>
      </c>
      <c r="I1451">
        <v>0</v>
      </c>
      <c r="J1451">
        <v>20</v>
      </c>
      <c r="K1451" s="2">
        <v>45768</v>
      </c>
    </row>
    <row r="1452" spans="1:11" x14ac:dyDescent="0.25">
      <c r="A1452" s="1" t="s">
        <v>679</v>
      </c>
      <c r="B1452" s="1"/>
      <c r="C1452" s="1" t="s">
        <v>2868</v>
      </c>
      <c r="D1452" s="1" t="s">
        <v>3388</v>
      </c>
      <c r="E1452" s="1"/>
      <c r="F1452">
        <v>2.8</v>
      </c>
      <c r="G1452">
        <v>4</v>
      </c>
      <c r="H1452">
        <v>-75</v>
      </c>
      <c r="I1452">
        <v>0</v>
      </c>
      <c r="J1452">
        <v>20</v>
      </c>
      <c r="K1452" s="2">
        <v>45770</v>
      </c>
    </row>
    <row r="1453" spans="1:11" x14ac:dyDescent="0.25">
      <c r="A1453" s="1" t="s">
        <v>679</v>
      </c>
      <c r="B1453" s="1"/>
      <c r="C1453" s="1" t="s">
        <v>3030</v>
      </c>
      <c r="D1453" s="1" t="s">
        <v>3429</v>
      </c>
      <c r="E1453" s="1"/>
      <c r="F1453">
        <v>0</v>
      </c>
      <c r="G1453">
        <v>0</v>
      </c>
      <c r="H1453">
        <v>0</v>
      </c>
      <c r="I1453">
        <v>0</v>
      </c>
      <c r="J1453">
        <v>20</v>
      </c>
      <c r="K1453" s="2">
        <v>45772</v>
      </c>
    </row>
    <row r="1454" spans="1:11" x14ac:dyDescent="0.25">
      <c r="A1454" s="1" t="s">
        <v>679</v>
      </c>
      <c r="B1454" s="1"/>
      <c r="C1454" s="1" t="s">
        <v>3031</v>
      </c>
      <c r="D1454" s="1" t="s">
        <v>3450</v>
      </c>
      <c r="E1454" s="1"/>
      <c r="F1454">
        <v>4</v>
      </c>
      <c r="G1454">
        <v>0</v>
      </c>
      <c r="H1454">
        <v>240</v>
      </c>
      <c r="I1454">
        <v>0</v>
      </c>
      <c r="J1454">
        <v>3</v>
      </c>
      <c r="K1454" s="2">
        <v>45770</v>
      </c>
    </row>
    <row r="1455" spans="1:11" x14ac:dyDescent="0.25">
      <c r="A1455" s="1" t="s">
        <v>679</v>
      </c>
      <c r="B1455" s="1"/>
      <c r="C1455" s="1" t="s">
        <v>2961</v>
      </c>
      <c r="D1455" s="1" t="s">
        <v>3422</v>
      </c>
      <c r="E1455" s="1"/>
      <c r="F1455">
        <v>1</v>
      </c>
      <c r="G1455">
        <v>0</v>
      </c>
      <c r="H1455">
        <v>45</v>
      </c>
      <c r="I1455">
        <v>0</v>
      </c>
      <c r="J1455">
        <v>3</v>
      </c>
      <c r="K1455" s="2">
        <v>45775</v>
      </c>
    </row>
    <row r="1456" spans="1:11" x14ac:dyDescent="0.25">
      <c r="A1456" s="1" t="s">
        <v>679</v>
      </c>
      <c r="B1456" s="1"/>
      <c r="C1456" s="1" t="s">
        <v>3029</v>
      </c>
      <c r="D1456" s="1" t="s">
        <v>3450</v>
      </c>
      <c r="E1456" s="1"/>
      <c r="F1456">
        <v>5.8</v>
      </c>
      <c r="G1456">
        <v>20.2</v>
      </c>
      <c r="H1456">
        <v>-755</v>
      </c>
      <c r="I1456">
        <v>0</v>
      </c>
      <c r="J1456">
        <v>15</v>
      </c>
      <c r="K1456" s="2">
        <v>45776</v>
      </c>
    </row>
    <row r="1457" spans="1:11" x14ac:dyDescent="0.25">
      <c r="A1457" s="1" t="s">
        <v>679</v>
      </c>
      <c r="B1457" s="1"/>
      <c r="C1457" s="1" t="s">
        <v>3027</v>
      </c>
      <c r="D1457" s="1" t="s">
        <v>3422</v>
      </c>
      <c r="E1457" s="1"/>
      <c r="F1457">
        <v>4.8</v>
      </c>
      <c r="G1457">
        <v>4.5999999999999996</v>
      </c>
      <c r="H1457">
        <v>10</v>
      </c>
      <c r="I1457">
        <v>0</v>
      </c>
      <c r="J1457">
        <v>15</v>
      </c>
      <c r="K1457" s="2">
        <v>45782</v>
      </c>
    </row>
    <row r="1458" spans="1:11" x14ac:dyDescent="0.25">
      <c r="A1458" s="1" t="s">
        <v>898</v>
      </c>
      <c r="B1458" s="1"/>
      <c r="C1458" s="1" t="s">
        <v>2808</v>
      </c>
      <c r="D1458" s="1" t="s">
        <v>3370</v>
      </c>
      <c r="E1458" s="1"/>
      <c r="F1458">
        <v>0</v>
      </c>
      <c r="G1458">
        <v>0</v>
      </c>
      <c r="H1458">
        <v>0</v>
      </c>
      <c r="I1458">
        <v>0</v>
      </c>
      <c r="J1458">
        <v>20</v>
      </c>
      <c r="K1458" s="2">
        <v>45783</v>
      </c>
    </row>
    <row r="1459" spans="1:11" x14ac:dyDescent="0.25">
      <c r="A1459" s="1" t="s">
        <v>898</v>
      </c>
      <c r="B1459" s="1"/>
      <c r="C1459" s="1" t="s">
        <v>2997</v>
      </c>
      <c r="D1459" s="1" t="s">
        <v>3413</v>
      </c>
      <c r="E1459" s="1"/>
      <c r="F1459">
        <v>3.7</v>
      </c>
      <c r="G1459">
        <v>4.9000000000000004</v>
      </c>
      <c r="H1459">
        <v>-70</v>
      </c>
      <c r="I1459">
        <v>0</v>
      </c>
      <c r="J1459">
        <v>20</v>
      </c>
      <c r="K1459" s="2">
        <v>45784</v>
      </c>
    </row>
    <row r="1460" spans="1:11" x14ac:dyDescent="0.25">
      <c r="A1460" s="1" t="s">
        <v>898</v>
      </c>
      <c r="B1460" s="1"/>
      <c r="C1460" s="1" t="s">
        <v>2974</v>
      </c>
      <c r="D1460" s="1" t="s">
        <v>3412</v>
      </c>
      <c r="E1460" s="1"/>
      <c r="F1460">
        <v>3.7</v>
      </c>
      <c r="G1460">
        <v>4.9000000000000004</v>
      </c>
      <c r="H1460">
        <v>-70</v>
      </c>
      <c r="I1460">
        <v>0</v>
      </c>
      <c r="J1460">
        <v>20</v>
      </c>
      <c r="K1460" s="2">
        <v>45784</v>
      </c>
    </row>
    <row r="1461" spans="1:11" x14ac:dyDescent="0.25">
      <c r="A1461" s="1" t="s">
        <v>898</v>
      </c>
      <c r="B1461" s="1"/>
      <c r="C1461" s="1" t="s">
        <v>2868</v>
      </c>
      <c r="D1461" s="1" t="s">
        <v>3388</v>
      </c>
      <c r="E1461" s="1"/>
      <c r="F1461">
        <v>3.7</v>
      </c>
      <c r="G1461">
        <v>6.2</v>
      </c>
      <c r="H1461">
        <v>-155</v>
      </c>
      <c r="I1461">
        <v>0</v>
      </c>
      <c r="J1461">
        <v>20</v>
      </c>
      <c r="K1461" s="2">
        <v>45784</v>
      </c>
    </row>
    <row r="1462" spans="1:11" x14ac:dyDescent="0.25">
      <c r="A1462" s="1" t="s">
        <v>898</v>
      </c>
      <c r="B1462" s="1"/>
      <c r="C1462" s="1" t="s">
        <v>3031</v>
      </c>
      <c r="D1462" s="1" t="s">
        <v>3450</v>
      </c>
      <c r="E1462" s="1"/>
      <c r="F1462">
        <v>4</v>
      </c>
      <c r="G1462">
        <v>0</v>
      </c>
      <c r="H1462">
        <v>240</v>
      </c>
      <c r="I1462">
        <v>0</v>
      </c>
      <c r="J1462">
        <v>6</v>
      </c>
      <c r="K1462" s="2">
        <v>45789</v>
      </c>
    </row>
    <row r="1463" spans="1:11" x14ac:dyDescent="0.25">
      <c r="A1463" s="1" t="s">
        <v>899</v>
      </c>
      <c r="B1463" s="1"/>
      <c r="C1463" s="1" t="s">
        <v>2808</v>
      </c>
      <c r="D1463" s="1" t="s">
        <v>3370</v>
      </c>
      <c r="E1463" s="1"/>
      <c r="F1463">
        <v>0</v>
      </c>
      <c r="G1463">
        <v>0</v>
      </c>
      <c r="H1463">
        <v>0</v>
      </c>
      <c r="I1463">
        <v>0</v>
      </c>
      <c r="J1463">
        <v>20</v>
      </c>
      <c r="K1463" s="2">
        <v>45783</v>
      </c>
    </row>
    <row r="1464" spans="1:11" x14ac:dyDescent="0.25">
      <c r="A1464" s="1" t="s">
        <v>899</v>
      </c>
      <c r="B1464" s="1"/>
      <c r="C1464" s="1" t="s">
        <v>2903</v>
      </c>
      <c r="D1464" s="1" t="s">
        <v>3412</v>
      </c>
      <c r="E1464" s="1"/>
      <c r="F1464">
        <v>3.7</v>
      </c>
      <c r="G1464">
        <v>3.8</v>
      </c>
      <c r="H1464">
        <v>-5</v>
      </c>
      <c r="I1464">
        <v>0</v>
      </c>
      <c r="J1464">
        <v>20</v>
      </c>
      <c r="K1464" s="2">
        <v>45784</v>
      </c>
    </row>
    <row r="1465" spans="1:11" x14ac:dyDescent="0.25">
      <c r="A1465" s="1" t="s">
        <v>899</v>
      </c>
      <c r="B1465" s="1"/>
      <c r="C1465" s="1" t="s">
        <v>2997</v>
      </c>
      <c r="D1465" s="1" t="s">
        <v>3413</v>
      </c>
      <c r="E1465" s="1"/>
      <c r="F1465">
        <v>3.7</v>
      </c>
      <c r="G1465">
        <v>3.8</v>
      </c>
      <c r="H1465">
        <v>-5</v>
      </c>
      <c r="I1465">
        <v>0</v>
      </c>
      <c r="J1465">
        <v>20</v>
      </c>
      <c r="K1465" s="2">
        <v>45784</v>
      </c>
    </row>
    <row r="1466" spans="1:11" x14ac:dyDescent="0.25">
      <c r="A1466" s="1" t="s">
        <v>899</v>
      </c>
      <c r="B1466" s="1"/>
      <c r="C1466" s="1" t="s">
        <v>2974</v>
      </c>
      <c r="D1466" s="1" t="s">
        <v>3412</v>
      </c>
      <c r="E1466" s="1"/>
      <c r="F1466">
        <v>3.7</v>
      </c>
      <c r="G1466">
        <v>4.4000000000000004</v>
      </c>
      <c r="H1466">
        <v>-40</v>
      </c>
      <c r="I1466">
        <v>0</v>
      </c>
      <c r="J1466">
        <v>20</v>
      </c>
      <c r="K1466" s="2">
        <v>45784</v>
      </c>
    </row>
    <row r="1467" spans="1:11" x14ac:dyDescent="0.25">
      <c r="A1467" s="1" t="s">
        <v>899</v>
      </c>
      <c r="B1467" s="1"/>
      <c r="C1467" s="1" t="s">
        <v>2868</v>
      </c>
      <c r="D1467" s="1" t="s">
        <v>3388</v>
      </c>
      <c r="E1467" s="1"/>
      <c r="F1467">
        <v>3.7</v>
      </c>
      <c r="G1467">
        <v>1</v>
      </c>
      <c r="H1467">
        <v>175</v>
      </c>
      <c r="I1467">
        <v>0</v>
      </c>
      <c r="J1467">
        <v>20</v>
      </c>
      <c r="K1467" s="2">
        <v>45784</v>
      </c>
    </row>
    <row r="1468" spans="1:11" x14ac:dyDescent="0.25">
      <c r="A1468" s="1" t="s">
        <v>899</v>
      </c>
      <c r="B1468" s="1"/>
      <c r="C1468" s="1" t="s">
        <v>3031</v>
      </c>
      <c r="D1468" s="1" t="s">
        <v>3450</v>
      </c>
      <c r="E1468" s="1"/>
      <c r="F1468">
        <v>4</v>
      </c>
      <c r="G1468">
        <v>0</v>
      </c>
      <c r="H1468">
        <v>240</v>
      </c>
      <c r="I1468">
        <v>0</v>
      </c>
      <c r="J1468">
        <v>6</v>
      </c>
      <c r="K1468" s="2">
        <v>45789</v>
      </c>
    </row>
    <row r="1469" spans="1:11" x14ac:dyDescent="0.25">
      <c r="A1469" s="1" t="s">
        <v>957</v>
      </c>
      <c r="B1469" s="1"/>
      <c r="C1469" s="1" t="s">
        <v>2808</v>
      </c>
      <c r="D1469" s="1" t="s">
        <v>3370</v>
      </c>
      <c r="E1469" s="1"/>
      <c r="F1469">
        <v>0</v>
      </c>
      <c r="G1469">
        <v>0</v>
      </c>
      <c r="H1469">
        <v>0</v>
      </c>
      <c r="I1469">
        <v>0</v>
      </c>
      <c r="J1469">
        <v>20</v>
      </c>
      <c r="K1469" s="2">
        <v>45789</v>
      </c>
    </row>
    <row r="1470" spans="1:11" x14ac:dyDescent="0.25">
      <c r="A1470" s="1" t="s">
        <v>958</v>
      </c>
      <c r="B1470" s="1"/>
      <c r="C1470" s="1" t="s">
        <v>2808</v>
      </c>
      <c r="D1470" s="1" t="s">
        <v>3370</v>
      </c>
      <c r="E1470" s="1"/>
      <c r="F1470">
        <v>0</v>
      </c>
      <c r="G1470">
        <v>0</v>
      </c>
      <c r="H1470">
        <v>0</v>
      </c>
      <c r="I1470">
        <v>0</v>
      </c>
      <c r="J1470">
        <v>20</v>
      </c>
      <c r="K1470" s="2">
        <v>45789</v>
      </c>
    </row>
    <row r="1471" spans="1:11" x14ac:dyDescent="0.25">
      <c r="A1471" s="1" t="s">
        <v>853</v>
      </c>
      <c r="B1471" s="1"/>
      <c r="C1471" s="1" t="s">
        <v>2808</v>
      </c>
      <c r="D1471" s="1" t="s">
        <v>3370</v>
      </c>
      <c r="E1471" s="1"/>
      <c r="F1471">
        <v>0</v>
      </c>
      <c r="G1471">
        <v>0.4</v>
      </c>
      <c r="H1471">
        <v>0</v>
      </c>
      <c r="I1471">
        <v>0</v>
      </c>
      <c r="J1471">
        <v>1</v>
      </c>
      <c r="K1471" s="2">
        <v>45787</v>
      </c>
    </row>
    <row r="1472" spans="1:11" x14ac:dyDescent="0.25">
      <c r="A1472" s="1" t="s">
        <v>853</v>
      </c>
      <c r="B1472" s="1"/>
      <c r="C1472" s="1" t="s">
        <v>3032</v>
      </c>
      <c r="D1472" s="1" t="s">
        <v>3451</v>
      </c>
      <c r="E1472" s="1"/>
      <c r="F1472">
        <v>0.8</v>
      </c>
      <c r="G1472">
        <v>0</v>
      </c>
      <c r="H1472">
        <v>55</v>
      </c>
      <c r="I1472">
        <v>0</v>
      </c>
      <c r="J1472">
        <v>1</v>
      </c>
      <c r="K1472" s="2">
        <v>45782</v>
      </c>
    </row>
    <row r="1473" spans="1:11" x14ac:dyDescent="0.25">
      <c r="A1473" s="1" t="s">
        <v>854</v>
      </c>
      <c r="B1473" s="1"/>
      <c r="C1473" s="1" t="s">
        <v>2808</v>
      </c>
      <c r="D1473" s="1" t="s">
        <v>3370</v>
      </c>
      <c r="E1473" s="1"/>
      <c r="F1473">
        <v>0</v>
      </c>
      <c r="G1473">
        <v>0.4</v>
      </c>
      <c r="H1473">
        <v>0</v>
      </c>
      <c r="I1473">
        <v>0</v>
      </c>
      <c r="J1473">
        <v>1</v>
      </c>
      <c r="K1473" s="2">
        <v>45787</v>
      </c>
    </row>
    <row r="1474" spans="1:11" x14ac:dyDescent="0.25">
      <c r="A1474" s="1" t="s">
        <v>854</v>
      </c>
      <c r="B1474" s="1"/>
      <c r="C1474" s="1" t="s">
        <v>3032</v>
      </c>
      <c r="D1474" s="1" t="s">
        <v>3451</v>
      </c>
      <c r="E1474" s="1"/>
      <c r="F1474">
        <v>0.8</v>
      </c>
      <c r="G1474">
        <v>0.2</v>
      </c>
      <c r="H1474">
        <v>45</v>
      </c>
      <c r="I1474">
        <v>0</v>
      </c>
      <c r="J1474">
        <v>1</v>
      </c>
      <c r="K1474" s="2">
        <v>45782</v>
      </c>
    </row>
    <row r="1475" spans="1:11" x14ac:dyDescent="0.25">
      <c r="A1475" s="1" t="s">
        <v>855</v>
      </c>
      <c r="B1475" s="1"/>
      <c r="C1475" s="1" t="s">
        <v>2808</v>
      </c>
      <c r="D1475" s="1" t="s">
        <v>3370</v>
      </c>
      <c r="E1475" s="1"/>
      <c r="F1475">
        <v>0</v>
      </c>
      <c r="G1475">
        <v>0</v>
      </c>
      <c r="H1475">
        <v>0</v>
      </c>
      <c r="I1475">
        <v>0</v>
      </c>
      <c r="J1475">
        <v>1</v>
      </c>
      <c r="K1475" s="2">
        <v>45780</v>
      </c>
    </row>
    <row r="1476" spans="1:11" x14ac:dyDescent="0.25">
      <c r="A1476" s="1" t="s">
        <v>855</v>
      </c>
      <c r="B1476" s="1"/>
      <c r="C1476" s="1" t="s">
        <v>3032</v>
      </c>
      <c r="D1476" s="1" t="s">
        <v>3451</v>
      </c>
      <c r="E1476" s="1"/>
      <c r="F1476">
        <v>0.8</v>
      </c>
      <c r="G1476">
        <v>0.4</v>
      </c>
      <c r="H1476">
        <v>30</v>
      </c>
      <c r="I1476">
        <v>0</v>
      </c>
      <c r="J1476">
        <v>1</v>
      </c>
      <c r="K1476" s="2">
        <v>45780</v>
      </c>
    </row>
    <row r="1477" spans="1:11" x14ac:dyDescent="0.25">
      <c r="A1477" s="1" t="s">
        <v>856</v>
      </c>
      <c r="B1477" s="1"/>
      <c r="C1477" s="1" t="s">
        <v>2808</v>
      </c>
      <c r="D1477" s="1" t="s">
        <v>3370</v>
      </c>
      <c r="E1477" s="1"/>
      <c r="F1477">
        <v>0</v>
      </c>
      <c r="G1477">
        <v>0.4</v>
      </c>
      <c r="H1477">
        <v>0</v>
      </c>
      <c r="I1477">
        <v>0</v>
      </c>
      <c r="J1477">
        <v>1</v>
      </c>
      <c r="K1477" s="2">
        <v>45787</v>
      </c>
    </row>
    <row r="1478" spans="1:11" x14ac:dyDescent="0.25">
      <c r="A1478" s="1" t="s">
        <v>856</v>
      </c>
      <c r="B1478" s="1"/>
      <c r="C1478" s="1" t="s">
        <v>3032</v>
      </c>
      <c r="D1478" s="1" t="s">
        <v>3451</v>
      </c>
      <c r="E1478" s="1"/>
      <c r="F1478">
        <v>0.8</v>
      </c>
      <c r="G1478">
        <v>0.3</v>
      </c>
      <c r="H1478">
        <v>40</v>
      </c>
      <c r="I1478">
        <v>0</v>
      </c>
      <c r="J1478">
        <v>1</v>
      </c>
      <c r="K1478" s="2">
        <v>45782</v>
      </c>
    </row>
    <row r="1479" spans="1:11" x14ac:dyDescent="0.25">
      <c r="A1479" s="1" t="s">
        <v>857</v>
      </c>
      <c r="B1479" s="1"/>
      <c r="C1479" s="1" t="s">
        <v>2808</v>
      </c>
      <c r="D1479" s="1" t="s">
        <v>3370</v>
      </c>
      <c r="E1479" s="1"/>
      <c r="F1479">
        <v>0</v>
      </c>
      <c r="G1479">
        <v>0</v>
      </c>
      <c r="H1479">
        <v>0</v>
      </c>
      <c r="I1479">
        <v>0</v>
      </c>
      <c r="J1479">
        <v>1</v>
      </c>
      <c r="K1479" s="2">
        <v>45780</v>
      </c>
    </row>
    <row r="1480" spans="1:11" x14ac:dyDescent="0.25">
      <c r="A1480" s="1" t="s">
        <v>857</v>
      </c>
      <c r="B1480" s="1"/>
      <c r="C1480" s="1" t="s">
        <v>3032</v>
      </c>
      <c r="D1480" s="1" t="s">
        <v>3451</v>
      </c>
      <c r="E1480" s="1"/>
      <c r="F1480">
        <v>0.8</v>
      </c>
      <c r="G1480">
        <v>0.4</v>
      </c>
      <c r="H1480">
        <v>30</v>
      </c>
      <c r="I1480">
        <v>0</v>
      </c>
      <c r="J1480">
        <v>1</v>
      </c>
      <c r="K1480" s="2">
        <v>45780</v>
      </c>
    </row>
    <row r="1481" spans="1:11" x14ac:dyDescent="0.25">
      <c r="A1481" s="1" t="s">
        <v>858</v>
      </c>
      <c r="B1481" s="1"/>
      <c r="C1481" s="1" t="s">
        <v>2808</v>
      </c>
      <c r="D1481" s="1" t="s">
        <v>3370</v>
      </c>
      <c r="E1481" s="1"/>
      <c r="F1481">
        <v>0</v>
      </c>
      <c r="G1481">
        <v>0</v>
      </c>
      <c r="H1481">
        <v>0</v>
      </c>
      <c r="I1481">
        <v>0</v>
      </c>
      <c r="J1481">
        <v>1</v>
      </c>
      <c r="K1481" s="2">
        <v>45780</v>
      </c>
    </row>
    <row r="1482" spans="1:11" x14ac:dyDescent="0.25">
      <c r="A1482" s="1" t="s">
        <v>858</v>
      </c>
      <c r="B1482" s="1"/>
      <c r="C1482" s="1" t="s">
        <v>3032</v>
      </c>
      <c r="D1482" s="1" t="s">
        <v>3451</v>
      </c>
      <c r="E1482" s="1"/>
      <c r="F1482">
        <v>0.8</v>
      </c>
      <c r="G1482">
        <v>0.4</v>
      </c>
      <c r="H1482">
        <v>25</v>
      </c>
      <c r="I1482">
        <v>0</v>
      </c>
      <c r="J1482">
        <v>1</v>
      </c>
      <c r="K1482" s="2">
        <v>45780</v>
      </c>
    </row>
    <row r="1483" spans="1:11" x14ac:dyDescent="0.25">
      <c r="A1483" s="1" t="s">
        <v>859</v>
      </c>
      <c r="B1483" s="1"/>
      <c r="C1483" s="1" t="s">
        <v>2808</v>
      </c>
      <c r="D1483" s="1" t="s">
        <v>3370</v>
      </c>
      <c r="E1483" s="1"/>
      <c r="F1483">
        <v>0</v>
      </c>
      <c r="G1483">
        <v>0</v>
      </c>
      <c r="H1483">
        <v>0</v>
      </c>
      <c r="I1483">
        <v>0</v>
      </c>
      <c r="J1483">
        <v>1</v>
      </c>
      <c r="K1483" s="2">
        <v>45780</v>
      </c>
    </row>
    <row r="1484" spans="1:11" x14ac:dyDescent="0.25">
      <c r="A1484" s="1" t="s">
        <v>859</v>
      </c>
      <c r="B1484" s="1"/>
      <c r="C1484" s="1" t="s">
        <v>3032</v>
      </c>
      <c r="D1484" s="1" t="s">
        <v>3451</v>
      </c>
      <c r="E1484" s="1"/>
      <c r="F1484">
        <v>0.8</v>
      </c>
      <c r="G1484">
        <v>0.5</v>
      </c>
      <c r="H1484">
        <v>25</v>
      </c>
      <c r="I1484">
        <v>0</v>
      </c>
      <c r="J1484">
        <v>1</v>
      </c>
      <c r="K1484" s="2">
        <v>45780</v>
      </c>
    </row>
    <row r="1485" spans="1:11" x14ac:dyDescent="0.25">
      <c r="A1485" s="1" t="s">
        <v>860</v>
      </c>
      <c r="B1485" s="1"/>
      <c r="C1485" s="1" t="s">
        <v>2808</v>
      </c>
      <c r="D1485" s="1" t="s">
        <v>3370</v>
      </c>
      <c r="E1485" s="1"/>
      <c r="F1485">
        <v>0</v>
      </c>
      <c r="G1485">
        <v>0.4</v>
      </c>
      <c r="H1485">
        <v>0</v>
      </c>
      <c r="I1485">
        <v>0</v>
      </c>
      <c r="J1485">
        <v>1</v>
      </c>
      <c r="K1485" s="2">
        <v>45787</v>
      </c>
    </row>
    <row r="1486" spans="1:11" x14ac:dyDescent="0.25">
      <c r="A1486" s="1" t="s">
        <v>860</v>
      </c>
      <c r="B1486" s="1"/>
      <c r="C1486" s="1" t="s">
        <v>3032</v>
      </c>
      <c r="D1486" s="1" t="s">
        <v>3451</v>
      </c>
      <c r="E1486" s="1"/>
      <c r="F1486">
        <v>0.8</v>
      </c>
      <c r="G1486">
        <v>0.1</v>
      </c>
      <c r="H1486">
        <v>50</v>
      </c>
      <c r="I1486">
        <v>0</v>
      </c>
      <c r="J1486">
        <v>1</v>
      </c>
      <c r="K1486" s="2">
        <v>45782</v>
      </c>
    </row>
    <row r="1487" spans="1:11" x14ac:dyDescent="0.25">
      <c r="A1487" s="1" t="s">
        <v>113</v>
      </c>
      <c r="B1487" s="1"/>
      <c r="C1487" s="1" t="s">
        <v>2808</v>
      </c>
      <c r="D1487" s="1" t="s">
        <v>3370</v>
      </c>
      <c r="E1487" s="1"/>
      <c r="F1487">
        <v>0</v>
      </c>
      <c r="G1487">
        <v>0</v>
      </c>
      <c r="H1487">
        <v>0</v>
      </c>
      <c r="I1487">
        <v>0</v>
      </c>
      <c r="J1487">
        <v>8</v>
      </c>
      <c r="K1487" s="2">
        <v>45733</v>
      </c>
    </row>
    <row r="1488" spans="1:11" x14ac:dyDescent="0.25">
      <c r="A1488" s="1" t="s">
        <v>113</v>
      </c>
      <c r="B1488" s="1"/>
      <c r="C1488" s="1" t="s">
        <v>3033</v>
      </c>
      <c r="D1488" s="1" t="s">
        <v>3404</v>
      </c>
      <c r="E1488" s="1"/>
      <c r="F1488">
        <v>2</v>
      </c>
      <c r="G1488">
        <v>0</v>
      </c>
      <c r="H1488">
        <v>105</v>
      </c>
      <c r="I1488">
        <v>0</v>
      </c>
      <c r="J1488">
        <v>8</v>
      </c>
      <c r="K1488" s="2">
        <v>45744</v>
      </c>
    </row>
    <row r="1489" spans="1:11" x14ac:dyDescent="0.25">
      <c r="A1489" s="1" t="s">
        <v>113</v>
      </c>
      <c r="B1489" s="1"/>
      <c r="C1489" s="1" t="s">
        <v>2868</v>
      </c>
      <c r="D1489" s="1" t="s">
        <v>3371</v>
      </c>
      <c r="E1489" s="1"/>
      <c r="F1489">
        <v>0.7</v>
      </c>
      <c r="G1489">
        <v>0</v>
      </c>
      <c r="H1489">
        <v>40</v>
      </c>
      <c r="I1489">
        <v>0</v>
      </c>
      <c r="J1489">
        <v>9</v>
      </c>
      <c r="K1489" s="2">
        <v>45744</v>
      </c>
    </row>
    <row r="1490" spans="1:11" x14ac:dyDescent="0.25">
      <c r="A1490" s="1" t="s">
        <v>113</v>
      </c>
      <c r="B1490" s="1"/>
      <c r="C1490" s="1" t="s">
        <v>2869</v>
      </c>
      <c r="D1490" s="1" t="s">
        <v>3406</v>
      </c>
      <c r="E1490" s="1"/>
      <c r="F1490">
        <v>5.3</v>
      </c>
      <c r="G1490">
        <v>5.8</v>
      </c>
      <c r="H1490">
        <v>-5</v>
      </c>
      <c r="I1490">
        <v>0</v>
      </c>
      <c r="J1490">
        <v>8</v>
      </c>
      <c r="K1490" s="2">
        <v>45747</v>
      </c>
    </row>
    <row r="1491" spans="1:11" x14ac:dyDescent="0.25">
      <c r="A1491" s="1" t="s">
        <v>113</v>
      </c>
      <c r="B1491" s="1"/>
      <c r="C1491" s="1" t="s">
        <v>2870</v>
      </c>
      <c r="D1491" s="1" t="s">
        <v>3375</v>
      </c>
      <c r="E1491" s="1"/>
      <c r="F1491">
        <v>1.1000000000000001</v>
      </c>
      <c r="G1491">
        <v>3.5</v>
      </c>
      <c r="H1491">
        <v>-120</v>
      </c>
      <c r="I1491">
        <v>0</v>
      </c>
      <c r="J1491">
        <v>8</v>
      </c>
      <c r="K1491" s="2">
        <v>45747</v>
      </c>
    </row>
    <row r="1492" spans="1:11" x14ac:dyDescent="0.25">
      <c r="A1492" s="1" t="s">
        <v>114</v>
      </c>
      <c r="B1492" s="1"/>
      <c r="C1492" s="1" t="s">
        <v>2808</v>
      </c>
      <c r="D1492" s="1" t="s">
        <v>3370</v>
      </c>
      <c r="E1492" s="1"/>
      <c r="F1492">
        <v>0</v>
      </c>
      <c r="G1492">
        <v>0</v>
      </c>
      <c r="H1492">
        <v>0</v>
      </c>
      <c r="I1492">
        <v>0</v>
      </c>
      <c r="J1492">
        <v>16</v>
      </c>
      <c r="K1492" s="2">
        <v>45755</v>
      </c>
    </row>
    <row r="1493" spans="1:11" x14ac:dyDescent="0.25">
      <c r="A1493" s="1" t="s">
        <v>114</v>
      </c>
      <c r="B1493" s="1"/>
      <c r="C1493" s="1" t="s">
        <v>3033</v>
      </c>
      <c r="D1493" s="1" t="s">
        <v>3404</v>
      </c>
      <c r="E1493" s="1"/>
      <c r="F1493">
        <v>4</v>
      </c>
      <c r="G1493">
        <v>0</v>
      </c>
      <c r="H1493">
        <v>210</v>
      </c>
      <c r="I1493">
        <v>0</v>
      </c>
      <c r="J1493">
        <v>16</v>
      </c>
      <c r="K1493" s="2">
        <v>45758</v>
      </c>
    </row>
    <row r="1494" spans="1:11" x14ac:dyDescent="0.25">
      <c r="A1494" s="1" t="s">
        <v>114</v>
      </c>
      <c r="B1494" s="1"/>
      <c r="C1494" s="1" t="s">
        <v>2868</v>
      </c>
      <c r="D1494" s="1" t="s">
        <v>3371</v>
      </c>
      <c r="E1494" s="1"/>
      <c r="F1494">
        <v>1.1000000000000001</v>
      </c>
      <c r="G1494">
        <v>0</v>
      </c>
      <c r="H1494">
        <v>65</v>
      </c>
      <c r="I1494">
        <v>0</v>
      </c>
      <c r="J1494">
        <v>16</v>
      </c>
      <c r="K1494" s="2">
        <v>45758</v>
      </c>
    </row>
    <row r="1495" spans="1:11" x14ac:dyDescent="0.25">
      <c r="A1495" s="1" t="s">
        <v>114</v>
      </c>
      <c r="B1495" s="1"/>
      <c r="C1495" s="1" t="s">
        <v>2869</v>
      </c>
      <c r="D1495" s="1" t="s">
        <v>3406</v>
      </c>
      <c r="E1495" s="1"/>
      <c r="F1495">
        <v>8.6999999999999993</v>
      </c>
      <c r="G1495">
        <v>6.8</v>
      </c>
      <c r="H1495">
        <v>110</v>
      </c>
      <c r="I1495">
        <v>0</v>
      </c>
      <c r="J1495">
        <v>15</v>
      </c>
      <c r="K1495" s="2">
        <v>45762</v>
      </c>
    </row>
    <row r="1496" spans="1:11" x14ac:dyDescent="0.25">
      <c r="A1496" s="1" t="s">
        <v>114</v>
      </c>
      <c r="B1496" s="1"/>
      <c r="C1496" s="1" t="s">
        <v>2812</v>
      </c>
      <c r="D1496" s="1" t="s">
        <v>3374</v>
      </c>
      <c r="E1496" s="1"/>
      <c r="F1496">
        <v>0.5</v>
      </c>
      <c r="G1496">
        <v>0</v>
      </c>
      <c r="H1496">
        <v>40</v>
      </c>
      <c r="I1496">
        <v>0</v>
      </c>
      <c r="J1496">
        <v>15</v>
      </c>
      <c r="K1496" s="2">
        <v>45768</v>
      </c>
    </row>
    <row r="1497" spans="1:11" x14ac:dyDescent="0.25">
      <c r="A1497" s="1" t="s">
        <v>114</v>
      </c>
      <c r="B1497" s="1"/>
      <c r="C1497" s="1" t="s">
        <v>2870</v>
      </c>
      <c r="D1497" s="1" t="s">
        <v>3375</v>
      </c>
      <c r="E1497" s="1"/>
      <c r="F1497">
        <v>1.9</v>
      </c>
      <c r="G1497">
        <v>8.3000000000000007</v>
      </c>
      <c r="H1497">
        <v>-325</v>
      </c>
      <c r="I1497">
        <v>0</v>
      </c>
      <c r="J1497">
        <v>15</v>
      </c>
      <c r="K1497" s="2">
        <v>45768</v>
      </c>
    </row>
    <row r="1498" spans="1:11" x14ac:dyDescent="0.25">
      <c r="A1498" s="1" t="s">
        <v>616</v>
      </c>
      <c r="B1498" s="1"/>
      <c r="C1498" s="1" t="s">
        <v>2808</v>
      </c>
      <c r="D1498" s="1" t="s">
        <v>3370</v>
      </c>
      <c r="E1498" s="1"/>
      <c r="F1498">
        <v>0</v>
      </c>
      <c r="G1498">
        <v>0</v>
      </c>
      <c r="H1498">
        <v>0</v>
      </c>
      <c r="I1498">
        <v>0</v>
      </c>
      <c r="J1498">
        <v>58</v>
      </c>
      <c r="K1498" s="2">
        <v>45762</v>
      </c>
    </row>
    <row r="1499" spans="1:11" x14ac:dyDescent="0.25">
      <c r="A1499" s="1" t="s">
        <v>616</v>
      </c>
      <c r="B1499" s="1"/>
      <c r="C1499" s="1" t="s">
        <v>3034</v>
      </c>
      <c r="D1499" s="1" t="s">
        <v>3389</v>
      </c>
      <c r="E1499" s="1"/>
      <c r="F1499">
        <v>0</v>
      </c>
      <c r="G1499">
        <v>0</v>
      </c>
      <c r="H1499">
        <v>-100</v>
      </c>
      <c r="I1499">
        <v>0</v>
      </c>
      <c r="J1499">
        <v>58</v>
      </c>
      <c r="K1499" s="2">
        <v>45768</v>
      </c>
    </row>
    <row r="1500" spans="1:11" x14ac:dyDescent="0.25">
      <c r="A1500" s="1" t="s">
        <v>616</v>
      </c>
      <c r="B1500" s="1"/>
      <c r="C1500" s="1" t="s">
        <v>2816</v>
      </c>
      <c r="D1500" s="1" t="s">
        <v>3372</v>
      </c>
      <c r="E1500" s="1"/>
      <c r="F1500">
        <v>0.3</v>
      </c>
      <c r="G1500">
        <v>0</v>
      </c>
      <c r="H1500">
        <v>15</v>
      </c>
      <c r="I1500">
        <v>0</v>
      </c>
      <c r="J1500">
        <v>58</v>
      </c>
      <c r="K1500" s="2">
        <v>45769</v>
      </c>
    </row>
    <row r="1501" spans="1:11" x14ac:dyDescent="0.25">
      <c r="A1501" s="1" t="s">
        <v>616</v>
      </c>
      <c r="B1501" s="1"/>
      <c r="C1501" s="1" t="s">
        <v>2817</v>
      </c>
      <c r="D1501" s="1" t="s">
        <v>3377</v>
      </c>
      <c r="E1501" s="1"/>
      <c r="F1501">
        <v>0.3</v>
      </c>
      <c r="G1501">
        <v>0</v>
      </c>
      <c r="H1501">
        <v>15</v>
      </c>
      <c r="I1501">
        <v>0</v>
      </c>
      <c r="J1501">
        <v>58</v>
      </c>
      <c r="K1501" s="2">
        <v>45782</v>
      </c>
    </row>
    <row r="1502" spans="1:11" x14ac:dyDescent="0.25">
      <c r="A1502" s="1" t="s">
        <v>130</v>
      </c>
      <c r="B1502" s="1"/>
      <c r="C1502" s="1" t="s">
        <v>2808</v>
      </c>
      <c r="D1502" s="1" t="s">
        <v>3370</v>
      </c>
      <c r="E1502" s="1"/>
      <c r="F1502">
        <v>0</v>
      </c>
      <c r="G1502">
        <v>0</v>
      </c>
      <c r="H1502">
        <v>0</v>
      </c>
      <c r="I1502">
        <v>0</v>
      </c>
      <c r="J1502">
        <v>50</v>
      </c>
      <c r="K1502" s="2">
        <v>45770</v>
      </c>
    </row>
    <row r="1503" spans="1:11" x14ac:dyDescent="0.25">
      <c r="A1503" s="1" t="s">
        <v>593</v>
      </c>
      <c r="B1503" s="1"/>
      <c r="C1503" s="1" t="s">
        <v>2808</v>
      </c>
      <c r="D1503" s="1" t="s">
        <v>3370</v>
      </c>
      <c r="E1503" s="1"/>
      <c r="F1503">
        <v>0</v>
      </c>
      <c r="G1503">
        <v>0</v>
      </c>
      <c r="H1503">
        <v>0</v>
      </c>
      <c r="I1503">
        <v>0</v>
      </c>
      <c r="J1503">
        <v>141</v>
      </c>
      <c r="K1503" s="2">
        <v>45772</v>
      </c>
    </row>
    <row r="1504" spans="1:11" x14ac:dyDescent="0.25">
      <c r="A1504" s="1" t="s">
        <v>593</v>
      </c>
      <c r="B1504" s="1"/>
      <c r="C1504" s="1" t="s">
        <v>3035</v>
      </c>
      <c r="D1504" s="1" t="s">
        <v>3389</v>
      </c>
      <c r="E1504" s="1"/>
      <c r="F1504">
        <v>0</v>
      </c>
      <c r="G1504">
        <v>0</v>
      </c>
      <c r="H1504">
        <v>880</v>
      </c>
      <c r="I1504">
        <v>0</v>
      </c>
      <c r="J1504">
        <v>141</v>
      </c>
      <c r="K1504" s="2">
        <v>45783</v>
      </c>
    </row>
    <row r="1505" spans="1:11" x14ac:dyDescent="0.25">
      <c r="A1505" s="1" t="s">
        <v>593</v>
      </c>
      <c r="B1505" s="1"/>
      <c r="C1505" s="1" t="s">
        <v>3036</v>
      </c>
      <c r="D1505" s="1" t="s">
        <v>3389</v>
      </c>
      <c r="E1505" s="1"/>
      <c r="F1505">
        <v>0</v>
      </c>
      <c r="G1505">
        <v>0</v>
      </c>
      <c r="H1505">
        <v>1145</v>
      </c>
      <c r="I1505">
        <v>0</v>
      </c>
      <c r="J1505">
        <v>141</v>
      </c>
      <c r="K1505" s="2">
        <v>45785</v>
      </c>
    </row>
    <row r="1506" spans="1:11" x14ac:dyDescent="0.25">
      <c r="A1506" s="1" t="s">
        <v>593</v>
      </c>
      <c r="B1506" s="1"/>
      <c r="C1506" s="1" t="s">
        <v>3037</v>
      </c>
      <c r="D1506" s="1" t="s">
        <v>3372</v>
      </c>
      <c r="E1506" s="1"/>
      <c r="F1506">
        <v>0.3</v>
      </c>
      <c r="G1506">
        <v>0</v>
      </c>
      <c r="H1506">
        <v>15</v>
      </c>
      <c r="I1506">
        <v>0</v>
      </c>
      <c r="J1506">
        <v>141</v>
      </c>
      <c r="K1506" s="2">
        <v>45784</v>
      </c>
    </row>
    <row r="1507" spans="1:11" x14ac:dyDescent="0.25">
      <c r="A1507" s="1" t="s">
        <v>593</v>
      </c>
      <c r="B1507" s="1"/>
      <c r="C1507" s="1" t="s">
        <v>2817</v>
      </c>
      <c r="D1507" s="1" t="s">
        <v>3452</v>
      </c>
      <c r="E1507" s="1"/>
      <c r="F1507">
        <v>1</v>
      </c>
      <c r="G1507">
        <v>0</v>
      </c>
      <c r="H1507">
        <v>50</v>
      </c>
      <c r="I1507">
        <v>0</v>
      </c>
      <c r="J1507">
        <v>141</v>
      </c>
      <c r="K1507" s="2">
        <v>45785</v>
      </c>
    </row>
    <row r="1508" spans="1:11" x14ac:dyDescent="0.25">
      <c r="A1508" s="1" t="s">
        <v>151</v>
      </c>
      <c r="B1508" s="1"/>
      <c r="C1508" s="1" t="s">
        <v>2808</v>
      </c>
      <c r="D1508" s="1" t="s">
        <v>3370</v>
      </c>
      <c r="E1508" s="1"/>
      <c r="F1508">
        <v>0</v>
      </c>
      <c r="G1508">
        <v>0</v>
      </c>
      <c r="H1508">
        <v>0</v>
      </c>
      <c r="I1508">
        <v>0</v>
      </c>
      <c r="J1508">
        <v>1</v>
      </c>
      <c r="K1508" s="2">
        <v>45768</v>
      </c>
    </row>
    <row r="1509" spans="1:11" x14ac:dyDescent="0.25">
      <c r="A1509" s="1" t="s">
        <v>151</v>
      </c>
      <c r="B1509" s="1"/>
      <c r="C1509" s="1" t="s">
        <v>3038</v>
      </c>
      <c r="D1509" s="1" t="s">
        <v>3453</v>
      </c>
      <c r="E1509" s="1"/>
      <c r="F1509">
        <v>0</v>
      </c>
      <c r="G1509">
        <v>0</v>
      </c>
      <c r="H1509">
        <v>0</v>
      </c>
      <c r="I1509">
        <v>0</v>
      </c>
      <c r="J1509">
        <v>1</v>
      </c>
      <c r="K1509" s="2">
        <v>45769</v>
      </c>
    </row>
    <row r="1510" spans="1:11" x14ac:dyDescent="0.25">
      <c r="A1510" s="1" t="s">
        <v>151</v>
      </c>
      <c r="B1510" s="1"/>
      <c r="C1510" s="1" t="s">
        <v>2848</v>
      </c>
      <c r="D1510" s="1" t="s">
        <v>3372</v>
      </c>
      <c r="E1510" s="1"/>
      <c r="F1510">
        <v>0</v>
      </c>
      <c r="G1510">
        <v>0.2</v>
      </c>
      <c r="H1510">
        <v>-10</v>
      </c>
      <c r="I1510">
        <v>0</v>
      </c>
      <c r="J1510">
        <v>1</v>
      </c>
      <c r="K1510" s="2">
        <v>45771</v>
      </c>
    </row>
    <row r="1511" spans="1:11" x14ac:dyDescent="0.25">
      <c r="A1511" s="1" t="s">
        <v>151</v>
      </c>
      <c r="B1511" s="1"/>
      <c r="C1511" s="1" t="s">
        <v>2847</v>
      </c>
      <c r="D1511" s="1" t="s">
        <v>3377</v>
      </c>
      <c r="E1511" s="1"/>
      <c r="F1511">
        <v>0</v>
      </c>
      <c r="G1511">
        <v>0</v>
      </c>
      <c r="H1511">
        <v>0</v>
      </c>
      <c r="I1511">
        <v>0</v>
      </c>
      <c r="J1511">
        <v>1</v>
      </c>
      <c r="K1511" s="2">
        <v>45784</v>
      </c>
    </row>
    <row r="1512" spans="1:11" x14ac:dyDescent="0.25">
      <c r="A1512" s="1" t="s">
        <v>157</v>
      </c>
      <c r="B1512" s="1"/>
      <c r="C1512" s="1" t="s">
        <v>2808</v>
      </c>
      <c r="D1512" s="1" t="s">
        <v>3370</v>
      </c>
      <c r="E1512" s="1"/>
      <c r="F1512">
        <v>0</v>
      </c>
      <c r="G1512">
        <v>0</v>
      </c>
      <c r="H1512">
        <v>0</v>
      </c>
      <c r="I1512">
        <v>0</v>
      </c>
      <c r="J1512">
        <v>1</v>
      </c>
      <c r="K1512" s="2">
        <v>45756</v>
      </c>
    </row>
    <row r="1513" spans="1:11" x14ac:dyDescent="0.25">
      <c r="A1513" s="1" t="s">
        <v>157</v>
      </c>
      <c r="B1513" s="1"/>
      <c r="C1513" s="1" t="s">
        <v>3038</v>
      </c>
      <c r="D1513" s="1" t="s">
        <v>3453</v>
      </c>
      <c r="E1513" s="1"/>
      <c r="F1513">
        <v>0</v>
      </c>
      <c r="G1513">
        <v>0</v>
      </c>
      <c r="H1513">
        <v>0</v>
      </c>
      <c r="I1513">
        <v>0</v>
      </c>
      <c r="J1513">
        <v>1</v>
      </c>
      <c r="K1513" s="2">
        <v>45756</v>
      </c>
    </row>
    <row r="1514" spans="1:11" x14ac:dyDescent="0.25">
      <c r="A1514" s="1" t="s">
        <v>157</v>
      </c>
      <c r="B1514" s="1"/>
      <c r="C1514" s="1" t="s">
        <v>2816</v>
      </c>
      <c r="D1514" s="1" t="s">
        <v>3372</v>
      </c>
      <c r="E1514" s="1"/>
      <c r="F1514">
        <v>0.3</v>
      </c>
      <c r="G1514">
        <v>0.7</v>
      </c>
      <c r="H1514">
        <v>-20</v>
      </c>
      <c r="I1514">
        <v>0</v>
      </c>
      <c r="J1514">
        <v>1</v>
      </c>
      <c r="K1514" s="2">
        <v>45756</v>
      </c>
    </row>
    <row r="1515" spans="1:11" x14ac:dyDescent="0.25">
      <c r="A1515" s="1" t="s">
        <v>157</v>
      </c>
      <c r="B1515" s="1"/>
      <c r="C1515" s="1" t="s">
        <v>2817</v>
      </c>
      <c r="D1515" s="1" t="s">
        <v>3377</v>
      </c>
      <c r="E1515" s="1"/>
      <c r="F1515">
        <v>0.3</v>
      </c>
      <c r="G1515">
        <v>0</v>
      </c>
      <c r="H1515">
        <v>20</v>
      </c>
      <c r="I1515">
        <v>0</v>
      </c>
      <c r="J1515">
        <v>1</v>
      </c>
      <c r="K1515" s="2">
        <v>45768</v>
      </c>
    </row>
    <row r="1516" spans="1:11" x14ac:dyDescent="0.25">
      <c r="A1516" s="1" t="s">
        <v>685</v>
      </c>
      <c r="B1516" s="1"/>
      <c r="C1516" s="1" t="s">
        <v>2808</v>
      </c>
      <c r="D1516" s="1" t="s">
        <v>3370</v>
      </c>
      <c r="E1516" s="1"/>
      <c r="F1516">
        <v>0</v>
      </c>
      <c r="G1516">
        <v>0</v>
      </c>
      <c r="H1516">
        <v>0</v>
      </c>
      <c r="I1516">
        <v>0</v>
      </c>
      <c r="J1516">
        <v>143</v>
      </c>
      <c r="K1516" s="2">
        <v>45770</v>
      </c>
    </row>
    <row r="1517" spans="1:11" x14ac:dyDescent="0.25">
      <c r="A1517" s="1" t="s">
        <v>685</v>
      </c>
      <c r="B1517" s="1"/>
      <c r="C1517" s="1" t="s">
        <v>2869</v>
      </c>
      <c r="D1517" s="1" t="s">
        <v>3373</v>
      </c>
      <c r="E1517" s="1"/>
      <c r="F1517">
        <v>5</v>
      </c>
      <c r="G1517">
        <v>16.5</v>
      </c>
      <c r="H1517">
        <v>-615</v>
      </c>
      <c r="I1517">
        <v>0</v>
      </c>
      <c r="J1517">
        <v>143</v>
      </c>
      <c r="K1517" s="2">
        <v>45770</v>
      </c>
    </row>
    <row r="1518" spans="1:11" x14ac:dyDescent="0.25">
      <c r="A1518" s="1" t="s">
        <v>155</v>
      </c>
      <c r="B1518" s="1"/>
      <c r="C1518" s="1" t="s">
        <v>2808</v>
      </c>
      <c r="D1518" s="1" t="s">
        <v>3454</v>
      </c>
      <c r="E1518" s="1"/>
      <c r="F1518">
        <v>0</v>
      </c>
      <c r="G1518">
        <v>0</v>
      </c>
      <c r="H1518">
        <v>0</v>
      </c>
      <c r="I1518">
        <v>0</v>
      </c>
      <c r="J1518">
        <v>127</v>
      </c>
      <c r="K1518" s="2">
        <v>45756</v>
      </c>
    </row>
    <row r="1519" spans="1:11" x14ac:dyDescent="0.25">
      <c r="A1519" s="1" t="s">
        <v>155</v>
      </c>
      <c r="B1519" s="1"/>
      <c r="C1519" s="1" t="s">
        <v>3039</v>
      </c>
      <c r="D1519" s="1" t="s">
        <v>3387</v>
      </c>
      <c r="E1519" s="1"/>
      <c r="F1519">
        <v>0</v>
      </c>
      <c r="G1519">
        <v>5.0999999999999996</v>
      </c>
      <c r="H1519">
        <v>-245</v>
      </c>
      <c r="I1519">
        <v>0</v>
      </c>
      <c r="J1519">
        <v>127</v>
      </c>
      <c r="K1519" s="2">
        <v>45757</v>
      </c>
    </row>
    <row r="1520" spans="1:11" x14ac:dyDescent="0.25">
      <c r="A1520" s="1" t="s">
        <v>155</v>
      </c>
      <c r="B1520" s="1"/>
      <c r="C1520" s="1" t="s">
        <v>2848</v>
      </c>
      <c r="D1520" s="1" t="s">
        <v>3372</v>
      </c>
      <c r="E1520" s="1"/>
      <c r="F1520">
        <v>0</v>
      </c>
      <c r="G1520">
        <v>0</v>
      </c>
      <c r="H1520">
        <v>0</v>
      </c>
      <c r="I1520">
        <v>0</v>
      </c>
      <c r="J1520">
        <v>127</v>
      </c>
      <c r="K1520" s="2">
        <v>45757</v>
      </c>
    </row>
    <row r="1521" spans="1:11" x14ac:dyDescent="0.25">
      <c r="A1521" s="1" t="s">
        <v>155</v>
      </c>
      <c r="B1521" s="1"/>
      <c r="C1521" s="1" t="s">
        <v>2847</v>
      </c>
      <c r="D1521" s="1" t="s">
        <v>3377</v>
      </c>
      <c r="E1521" s="1"/>
      <c r="F1521">
        <v>0</v>
      </c>
      <c r="G1521">
        <v>0.2</v>
      </c>
      <c r="H1521">
        <v>-10</v>
      </c>
      <c r="I1521">
        <v>0</v>
      </c>
      <c r="J1521">
        <v>127</v>
      </c>
      <c r="K1521" s="2">
        <v>45768</v>
      </c>
    </row>
    <row r="1522" spans="1:11" x14ac:dyDescent="0.25">
      <c r="A1522" s="1" t="s">
        <v>727</v>
      </c>
      <c r="B1522" s="1"/>
      <c r="C1522" s="1" t="s">
        <v>2808</v>
      </c>
      <c r="D1522" s="1" t="s">
        <v>3370</v>
      </c>
      <c r="E1522" s="1"/>
      <c r="F1522">
        <v>0</v>
      </c>
      <c r="G1522">
        <v>0</v>
      </c>
      <c r="H1522">
        <v>0</v>
      </c>
      <c r="I1522">
        <v>0</v>
      </c>
      <c r="J1522">
        <v>96</v>
      </c>
      <c r="K1522" s="2">
        <v>45771</v>
      </c>
    </row>
    <row r="1523" spans="1:11" x14ac:dyDescent="0.25">
      <c r="A1523" s="1" t="s">
        <v>727</v>
      </c>
      <c r="B1523" s="1"/>
      <c r="C1523" s="1" t="s">
        <v>2918</v>
      </c>
      <c r="D1523" s="1" t="s">
        <v>3388</v>
      </c>
      <c r="E1523" s="1"/>
      <c r="F1523">
        <v>0.1</v>
      </c>
      <c r="G1523">
        <v>0.7</v>
      </c>
      <c r="H1523">
        <v>-30</v>
      </c>
      <c r="I1523">
        <v>0</v>
      </c>
      <c r="J1523">
        <v>96</v>
      </c>
      <c r="K1523" s="2">
        <v>45778</v>
      </c>
    </row>
    <row r="1524" spans="1:11" x14ac:dyDescent="0.25">
      <c r="A1524" s="1" t="s">
        <v>727</v>
      </c>
      <c r="B1524" s="1"/>
      <c r="C1524" s="1" t="s">
        <v>2919</v>
      </c>
      <c r="D1524" s="1" t="s">
        <v>3388</v>
      </c>
      <c r="E1524" s="1"/>
      <c r="F1524">
        <v>0.1</v>
      </c>
      <c r="G1524">
        <v>0</v>
      </c>
      <c r="H1524">
        <v>10</v>
      </c>
      <c r="I1524">
        <v>0</v>
      </c>
      <c r="J1524">
        <v>96</v>
      </c>
      <c r="K1524" s="2">
        <v>45778</v>
      </c>
    </row>
    <row r="1525" spans="1:11" x14ac:dyDescent="0.25">
      <c r="A1525" s="1" t="s">
        <v>727</v>
      </c>
      <c r="B1525" s="1"/>
      <c r="C1525" s="1" t="s">
        <v>2915</v>
      </c>
      <c r="D1525" s="1" t="s">
        <v>3418</v>
      </c>
      <c r="E1525" s="1"/>
      <c r="F1525">
        <v>3.7</v>
      </c>
      <c r="G1525">
        <v>4.5</v>
      </c>
      <c r="H1525">
        <v>-20</v>
      </c>
      <c r="I1525">
        <v>0</v>
      </c>
      <c r="J1525">
        <v>96</v>
      </c>
      <c r="K1525" s="2">
        <v>45778</v>
      </c>
    </row>
    <row r="1526" spans="1:11" x14ac:dyDescent="0.25">
      <c r="A1526" s="1">
        <v>0</v>
      </c>
      <c r="B1526" s="1"/>
      <c r="C1526" s="1" t="s">
        <v>2808</v>
      </c>
      <c r="D1526" s="1" t="s">
        <v>3370</v>
      </c>
      <c r="E1526" s="1"/>
      <c r="F1526">
        <v>0</v>
      </c>
      <c r="G1526">
        <v>0</v>
      </c>
      <c r="H1526">
        <v>0</v>
      </c>
      <c r="I1526">
        <v>0</v>
      </c>
      <c r="J1526">
        <v>800</v>
      </c>
      <c r="K1526" s="2">
        <v>45789</v>
      </c>
    </row>
    <row r="1527" spans="1:11" x14ac:dyDescent="0.25">
      <c r="A1527" s="1" t="s">
        <v>603</v>
      </c>
      <c r="B1527" s="1"/>
      <c r="C1527" s="1" t="s">
        <v>2808</v>
      </c>
      <c r="D1527" s="1" t="s">
        <v>3370</v>
      </c>
      <c r="E1527" s="1"/>
      <c r="F1527">
        <v>0</v>
      </c>
      <c r="G1527">
        <v>0</v>
      </c>
      <c r="H1527">
        <v>0</v>
      </c>
      <c r="I1527">
        <v>0</v>
      </c>
      <c r="J1527">
        <v>144</v>
      </c>
      <c r="K1527" s="2">
        <v>45765</v>
      </c>
    </row>
    <row r="1528" spans="1:11" x14ac:dyDescent="0.25">
      <c r="A1528" s="1" t="s">
        <v>603</v>
      </c>
      <c r="B1528" s="1"/>
      <c r="C1528" s="1" t="s">
        <v>3040</v>
      </c>
      <c r="D1528" s="1" t="s">
        <v>3455</v>
      </c>
      <c r="E1528" s="1"/>
      <c r="F1528">
        <v>5</v>
      </c>
      <c r="G1528">
        <v>3.7</v>
      </c>
      <c r="H1528">
        <v>110</v>
      </c>
      <c r="I1528">
        <v>0</v>
      </c>
      <c r="J1528">
        <v>173</v>
      </c>
      <c r="K1528" s="2">
        <v>45779</v>
      </c>
    </row>
    <row r="1529" spans="1:11" x14ac:dyDescent="0.25">
      <c r="A1529" s="1" t="s">
        <v>603</v>
      </c>
      <c r="B1529" s="1"/>
      <c r="C1529" s="1" t="s">
        <v>2870</v>
      </c>
      <c r="D1529" s="1" t="s">
        <v>3391</v>
      </c>
      <c r="E1529" s="1"/>
      <c r="F1529">
        <v>3.6</v>
      </c>
      <c r="G1529">
        <v>9.1999999999999993</v>
      </c>
      <c r="H1529">
        <v>-300</v>
      </c>
      <c r="I1529">
        <v>0</v>
      </c>
      <c r="J1529">
        <v>173</v>
      </c>
      <c r="K1529" s="2">
        <v>45778</v>
      </c>
    </row>
    <row r="1530" spans="1:11" x14ac:dyDescent="0.25">
      <c r="A1530" s="1" t="s">
        <v>926</v>
      </c>
      <c r="B1530" s="1"/>
      <c r="C1530" s="1" t="s">
        <v>2808</v>
      </c>
      <c r="D1530" s="1" t="s">
        <v>3370</v>
      </c>
      <c r="E1530" s="1"/>
      <c r="F1530">
        <v>0</v>
      </c>
      <c r="G1530">
        <v>0</v>
      </c>
      <c r="H1530">
        <v>0</v>
      </c>
      <c r="I1530">
        <v>0</v>
      </c>
      <c r="J1530">
        <v>1</v>
      </c>
      <c r="K1530" s="2">
        <v>45789</v>
      </c>
    </row>
    <row r="1531" spans="1:11" x14ac:dyDescent="0.25">
      <c r="A1531" s="1" t="s">
        <v>578</v>
      </c>
      <c r="B1531" s="1"/>
      <c r="C1531" s="1" t="s">
        <v>2808</v>
      </c>
      <c r="D1531" s="1" t="s">
        <v>3370</v>
      </c>
      <c r="E1531" s="1"/>
      <c r="F1531">
        <v>0</v>
      </c>
      <c r="G1531">
        <v>0</v>
      </c>
      <c r="H1531">
        <v>0</v>
      </c>
      <c r="I1531">
        <v>0</v>
      </c>
      <c r="J1531">
        <v>20</v>
      </c>
      <c r="K1531" s="2">
        <v>45775</v>
      </c>
    </row>
    <row r="1532" spans="1:11" x14ac:dyDescent="0.25">
      <c r="A1532" s="1" t="s">
        <v>578</v>
      </c>
      <c r="B1532" s="1"/>
      <c r="C1532" s="1" t="s">
        <v>3041</v>
      </c>
      <c r="D1532" s="1" t="s">
        <v>3413</v>
      </c>
      <c r="E1532" s="1"/>
      <c r="F1532">
        <v>13.3</v>
      </c>
      <c r="G1532">
        <v>11.5</v>
      </c>
      <c r="H1532">
        <v>115</v>
      </c>
      <c r="I1532">
        <v>0</v>
      </c>
      <c r="J1532">
        <v>20</v>
      </c>
      <c r="K1532" s="2">
        <v>45769</v>
      </c>
    </row>
    <row r="1533" spans="1:11" x14ac:dyDescent="0.25">
      <c r="A1533" s="1" t="s">
        <v>578</v>
      </c>
      <c r="B1533" s="1"/>
      <c r="C1533" s="1" t="s">
        <v>3042</v>
      </c>
      <c r="D1533" s="1" t="s">
        <v>3388</v>
      </c>
      <c r="E1533" s="1"/>
      <c r="F1533">
        <v>5.5</v>
      </c>
      <c r="G1533">
        <v>6</v>
      </c>
      <c r="H1533">
        <v>-35</v>
      </c>
      <c r="I1533">
        <v>0</v>
      </c>
      <c r="J1533">
        <v>20</v>
      </c>
      <c r="K1533" s="2">
        <v>45764</v>
      </c>
    </row>
    <row r="1534" spans="1:11" x14ac:dyDescent="0.25">
      <c r="A1534" s="1" t="s">
        <v>578</v>
      </c>
      <c r="B1534" s="1"/>
      <c r="C1534" s="1" t="s">
        <v>3043</v>
      </c>
      <c r="D1534" s="1" t="s">
        <v>3456</v>
      </c>
      <c r="E1534" s="1"/>
      <c r="F1534">
        <v>4</v>
      </c>
      <c r="G1534">
        <v>1.2</v>
      </c>
      <c r="H1534">
        <v>155</v>
      </c>
      <c r="I1534">
        <v>0</v>
      </c>
      <c r="J1534">
        <v>20</v>
      </c>
      <c r="K1534" s="2">
        <v>45771</v>
      </c>
    </row>
    <row r="1535" spans="1:11" x14ac:dyDescent="0.25">
      <c r="A1535" s="1" t="s">
        <v>578</v>
      </c>
      <c r="B1535" s="1"/>
      <c r="C1535" s="1" t="s">
        <v>3044</v>
      </c>
      <c r="D1535" s="1" t="s">
        <v>3457</v>
      </c>
      <c r="E1535" s="1"/>
      <c r="F1535">
        <v>60.6</v>
      </c>
      <c r="G1535">
        <v>20.3</v>
      </c>
      <c r="H1535">
        <v>2200</v>
      </c>
      <c r="I1535">
        <v>0</v>
      </c>
      <c r="J1535">
        <v>20</v>
      </c>
      <c r="K1535" s="2">
        <v>45771</v>
      </c>
    </row>
    <row r="1536" spans="1:11" x14ac:dyDescent="0.25">
      <c r="A1536" s="1" t="s">
        <v>578</v>
      </c>
      <c r="B1536" s="1"/>
      <c r="C1536" s="1" t="s">
        <v>3045</v>
      </c>
      <c r="D1536" s="1" t="s">
        <v>3456</v>
      </c>
      <c r="E1536" s="1"/>
      <c r="F1536">
        <v>6</v>
      </c>
      <c r="G1536">
        <v>22.9</v>
      </c>
      <c r="H1536">
        <v>-920</v>
      </c>
      <c r="I1536">
        <v>0</v>
      </c>
      <c r="J1536">
        <v>20</v>
      </c>
      <c r="K1536" s="2">
        <v>45771</v>
      </c>
    </row>
    <row r="1537" spans="1:11" x14ac:dyDescent="0.25">
      <c r="A1537" s="1" t="s">
        <v>578</v>
      </c>
      <c r="B1537" s="1"/>
      <c r="C1537" s="1" t="s">
        <v>2864</v>
      </c>
      <c r="D1537" s="1" t="s">
        <v>3427</v>
      </c>
      <c r="E1537" s="1"/>
      <c r="F1537">
        <v>2</v>
      </c>
      <c r="G1537">
        <v>0</v>
      </c>
      <c r="H1537">
        <v>85</v>
      </c>
      <c r="I1537">
        <v>0</v>
      </c>
      <c r="J1537">
        <v>20</v>
      </c>
      <c r="K1537" s="2">
        <v>45778</v>
      </c>
    </row>
    <row r="1538" spans="1:11" x14ac:dyDescent="0.25">
      <c r="A1538" s="1" t="s">
        <v>578</v>
      </c>
      <c r="B1538" s="1"/>
      <c r="C1538" s="1" t="s">
        <v>3046</v>
      </c>
      <c r="D1538" s="1" t="s">
        <v>3456</v>
      </c>
      <c r="E1538" s="1"/>
      <c r="F1538">
        <v>15</v>
      </c>
      <c r="G1538">
        <v>5.2</v>
      </c>
      <c r="H1538">
        <v>540</v>
      </c>
      <c r="I1538">
        <v>0</v>
      </c>
      <c r="J1538">
        <v>20</v>
      </c>
      <c r="K1538" s="2">
        <v>45771</v>
      </c>
    </row>
    <row r="1539" spans="1:11" x14ac:dyDescent="0.25">
      <c r="A1539" s="1" t="s">
        <v>578</v>
      </c>
      <c r="B1539" s="1"/>
      <c r="C1539" s="1" t="s">
        <v>3047</v>
      </c>
      <c r="D1539" s="1" t="s">
        <v>3435</v>
      </c>
      <c r="E1539" s="1"/>
      <c r="F1539">
        <v>20</v>
      </c>
      <c r="G1539">
        <v>22</v>
      </c>
      <c r="H1539">
        <v>-105</v>
      </c>
      <c r="I1539">
        <v>0</v>
      </c>
      <c r="J1539">
        <v>20</v>
      </c>
      <c r="K1539" s="2">
        <v>45772</v>
      </c>
    </row>
    <row r="1540" spans="1:11" x14ac:dyDescent="0.25">
      <c r="A1540" s="1" t="s">
        <v>578</v>
      </c>
      <c r="B1540" s="1"/>
      <c r="C1540" s="1" t="s">
        <v>3048</v>
      </c>
      <c r="D1540" s="1" t="s">
        <v>3388</v>
      </c>
      <c r="E1540" s="1"/>
      <c r="F1540">
        <v>10.199999999999999</v>
      </c>
      <c r="G1540">
        <v>16.5</v>
      </c>
      <c r="H1540">
        <v>-395</v>
      </c>
      <c r="I1540">
        <v>0</v>
      </c>
      <c r="J1540">
        <v>20</v>
      </c>
      <c r="K1540" s="2">
        <v>45775</v>
      </c>
    </row>
    <row r="1541" spans="1:11" x14ac:dyDescent="0.25">
      <c r="A1541" s="1" t="s">
        <v>578</v>
      </c>
      <c r="B1541" s="1"/>
      <c r="C1541" s="1" t="s">
        <v>3049</v>
      </c>
      <c r="D1541" s="1" t="s">
        <v>3456</v>
      </c>
      <c r="E1541" s="1"/>
      <c r="F1541">
        <v>15</v>
      </c>
      <c r="G1541">
        <v>4.8</v>
      </c>
      <c r="H1541">
        <v>560</v>
      </c>
      <c r="I1541">
        <v>0</v>
      </c>
      <c r="J1541">
        <v>20</v>
      </c>
      <c r="K1541" s="2">
        <v>45778</v>
      </c>
    </row>
    <row r="1542" spans="1:11" x14ac:dyDescent="0.25">
      <c r="A1542" s="1" t="s">
        <v>578</v>
      </c>
      <c r="B1542" s="1"/>
      <c r="C1542" s="1" t="s">
        <v>3050</v>
      </c>
      <c r="D1542" s="1" t="s">
        <v>3456</v>
      </c>
      <c r="E1542" s="1"/>
      <c r="F1542">
        <v>3.3</v>
      </c>
      <c r="G1542">
        <v>6.3</v>
      </c>
      <c r="H1542">
        <v>-160</v>
      </c>
      <c r="I1542">
        <v>0</v>
      </c>
      <c r="J1542">
        <v>20</v>
      </c>
      <c r="K1542" s="2">
        <v>45778</v>
      </c>
    </row>
    <row r="1543" spans="1:11" x14ac:dyDescent="0.25">
      <c r="A1543" s="1" t="s">
        <v>578</v>
      </c>
      <c r="B1543" s="1"/>
      <c r="C1543" s="1" t="s">
        <v>3051</v>
      </c>
      <c r="D1543" s="1" t="s">
        <v>3435</v>
      </c>
      <c r="E1543" s="1"/>
      <c r="F1543">
        <v>5</v>
      </c>
      <c r="G1543">
        <v>5.3</v>
      </c>
      <c r="H1543">
        <v>-15</v>
      </c>
      <c r="I1543">
        <v>0</v>
      </c>
      <c r="J1543">
        <v>20</v>
      </c>
      <c r="K1543" s="2">
        <v>45778</v>
      </c>
    </row>
    <row r="1544" spans="1:11" x14ac:dyDescent="0.25">
      <c r="A1544" s="1" t="s">
        <v>578</v>
      </c>
      <c r="B1544" s="1"/>
      <c r="C1544" s="1" t="s">
        <v>3052</v>
      </c>
      <c r="D1544" s="1" t="s">
        <v>3456</v>
      </c>
      <c r="E1544" s="1"/>
      <c r="F1544">
        <v>6.7</v>
      </c>
      <c r="G1544">
        <v>24</v>
      </c>
      <c r="H1544">
        <v>-945</v>
      </c>
      <c r="I1544">
        <v>0</v>
      </c>
      <c r="J1544">
        <v>20</v>
      </c>
      <c r="K1544" s="2">
        <v>45779</v>
      </c>
    </row>
    <row r="1545" spans="1:11" x14ac:dyDescent="0.25">
      <c r="A1545" s="1" t="s">
        <v>578</v>
      </c>
      <c r="B1545" s="1"/>
      <c r="C1545" s="1" t="s">
        <v>2816</v>
      </c>
      <c r="D1545" s="1" t="s">
        <v>3372</v>
      </c>
      <c r="E1545" s="1"/>
      <c r="F1545">
        <v>1</v>
      </c>
      <c r="G1545">
        <v>0.9</v>
      </c>
      <c r="H1545">
        <v>5</v>
      </c>
      <c r="I1545">
        <v>0</v>
      </c>
      <c r="J1545">
        <v>20</v>
      </c>
      <c r="K1545" s="2">
        <v>45778</v>
      </c>
    </row>
    <row r="1546" spans="1:11" x14ac:dyDescent="0.25">
      <c r="A1546" s="1" t="s">
        <v>795</v>
      </c>
      <c r="B1546" s="1"/>
      <c r="C1546" s="1" t="s">
        <v>2808</v>
      </c>
      <c r="D1546" s="1" t="s">
        <v>3370</v>
      </c>
      <c r="E1546" s="1"/>
      <c r="F1546">
        <v>0</v>
      </c>
      <c r="G1546">
        <v>0</v>
      </c>
      <c r="H1546">
        <v>0</v>
      </c>
      <c r="I1546">
        <v>0</v>
      </c>
      <c r="J1546">
        <v>20</v>
      </c>
      <c r="K1546" s="2">
        <v>45784</v>
      </c>
    </row>
    <row r="1547" spans="1:11" x14ac:dyDescent="0.25">
      <c r="A1547" s="1" t="s">
        <v>795</v>
      </c>
      <c r="B1547" s="1"/>
      <c r="C1547" s="1" t="s">
        <v>3041</v>
      </c>
      <c r="D1547" s="1" t="s">
        <v>3413</v>
      </c>
      <c r="E1547" s="1"/>
      <c r="F1547">
        <v>13.3</v>
      </c>
      <c r="G1547">
        <v>15.7</v>
      </c>
      <c r="H1547">
        <v>-140</v>
      </c>
      <c r="I1547">
        <v>0</v>
      </c>
      <c r="J1547">
        <v>20</v>
      </c>
      <c r="K1547" s="2">
        <v>45784</v>
      </c>
    </row>
    <row r="1548" spans="1:11" x14ac:dyDescent="0.25">
      <c r="A1548" s="1" t="s">
        <v>795</v>
      </c>
      <c r="B1548" s="1"/>
      <c r="C1548" s="1" t="s">
        <v>3042</v>
      </c>
      <c r="D1548" s="1" t="s">
        <v>3388</v>
      </c>
      <c r="E1548" s="1"/>
      <c r="F1548">
        <v>5.5</v>
      </c>
      <c r="G1548">
        <v>7.5</v>
      </c>
      <c r="H1548">
        <v>-125</v>
      </c>
      <c r="I1548">
        <v>0</v>
      </c>
      <c r="J1548">
        <v>20</v>
      </c>
      <c r="K1548" s="2">
        <v>45784</v>
      </c>
    </row>
    <row r="1549" spans="1:11" x14ac:dyDescent="0.25">
      <c r="A1549" s="1" t="s">
        <v>795</v>
      </c>
      <c r="B1549" s="1"/>
      <c r="C1549" s="1" t="s">
        <v>3043</v>
      </c>
      <c r="D1549" s="1" t="s">
        <v>3456</v>
      </c>
      <c r="E1549" s="1"/>
      <c r="F1549">
        <v>4</v>
      </c>
      <c r="G1549">
        <v>7</v>
      </c>
      <c r="H1549">
        <v>-165</v>
      </c>
      <c r="I1549">
        <v>0</v>
      </c>
      <c r="J1549">
        <v>20</v>
      </c>
      <c r="K1549" s="2">
        <v>45784</v>
      </c>
    </row>
    <row r="1550" spans="1:11" x14ac:dyDescent="0.25">
      <c r="A1550" s="1" t="s">
        <v>795</v>
      </c>
      <c r="B1550" s="1"/>
      <c r="C1550" s="1" t="s">
        <v>3044</v>
      </c>
      <c r="D1550" s="1" t="s">
        <v>3457</v>
      </c>
      <c r="E1550" s="1"/>
      <c r="F1550">
        <v>60.6</v>
      </c>
      <c r="G1550">
        <v>52.6</v>
      </c>
      <c r="H1550">
        <v>440</v>
      </c>
      <c r="I1550">
        <v>0</v>
      </c>
      <c r="J1550">
        <v>20</v>
      </c>
      <c r="K1550" s="2">
        <v>45784</v>
      </c>
    </row>
    <row r="1551" spans="1:11" x14ac:dyDescent="0.25">
      <c r="A1551" s="1" t="s">
        <v>795</v>
      </c>
      <c r="B1551" s="1"/>
      <c r="C1551" s="1" t="s">
        <v>3045</v>
      </c>
      <c r="D1551" s="1" t="s">
        <v>3456</v>
      </c>
      <c r="E1551" s="1"/>
      <c r="F1551">
        <v>6</v>
      </c>
      <c r="G1551">
        <v>7.4</v>
      </c>
      <c r="H1551">
        <v>-75</v>
      </c>
      <c r="I1551">
        <v>0</v>
      </c>
      <c r="J1551">
        <v>20</v>
      </c>
      <c r="K1551" s="2">
        <v>45784</v>
      </c>
    </row>
    <row r="1552" spans="1:11" x14ac:dyDescent="0.25">
      <c r="A1552" s="1" t="s">
        <v>795</v>
      </c>
      <c r="B1552" s="1"/>
      <c r="C1552" s="1" t="s">
        <v>2864</v>
      </c>
      <c r="D1552" s="1" t="s">
        <v>3427</v>
      </c>
      <c r="E1552" s="1"/>
      <c r="F1552">
        <v>2</v>
      </c>
      <c r="G1552">
        <v>0</v>
      </c>
      <c r="H1552">
        <v>85</v>
      </c>
      <c r="I1552">
        <v>0</v>
      </c>
      <c r="J1552">
        <v>20</v>
      </c>
      <c r="K1552" s="2">
        <v>45784</v>
      </c>
    </row>
    <row r="1553" spans="1:11" x14ac:dyDescent="0.25">
      <c r="A1553" s="1" t="s">
        <v>795</v>
      </c>
      <c r="B1553" s="1"/>
      <c r="C1553" s="1" t="s">
        <v>3046</v>
      </c>
      <c r="D1553" s="1" t="s">
        <v>3456</v>
      </c>
      <c r="E1553" s="1"/>
      <c r="F1553">
        <v>15</v>
      </c>
      <c r="G1553">
        <v>5.2</v>
      </c>
      <c r="H1553">
        <v>535</v>
      </c>
      <c r="I1553">
        <v>0</v>
      </c>
      <c r="J1553">
        <v>20</v>
      </c>
      <c r="K1553" s="2">
        <v>45784</v>
      </c>
    </row>
    <row r="1554" spans="1:11" x14ac:dyDescent="0.25">
      <c r="A1554" s="1" t="s">
        <v>795</v>
      </c>
      <c r="B1554" s="1"/>
      <c r="C1554" s="1" t="s">
        <v>3047</v>
      </c>
      <c r="D1554" s="1" t="s">
        <v>3435</v>
      </c>
      <c r="E1554" s="1"/>
      <c r="F1554">
        <v>20</v>
      </c>
      <c r="G1554">
        <v>6.5</v>
      </c>
      <c r="H1554">
        <v>740</v>
      </c>
      <c r="I1554">
        <v>0</v>
      </c>
      <c r="J1554">
        <v>20</v>
      </c>
      <c r="K1554" s="2">
        <v>45784</v>
      </c>
    </row>
    <row r="1555" spans="1:11" x14ac:dyDescent="0.25">
      <c r="A1555" s="1" t="s">
        <v>906</v>
      </c>
      <c r="B1555" s="1"/>
      <c r="C1555" s="1" t="s">
        <v>2808</v>
      </c>
      <c r="D1555" s="1" t="s">
        <v>3370</v>
      </c>
      <c r="E1555" s="1"/>
      <c r="F1555">
        <v>0</v>
      </c>
      <c r="G1555">
        <v>0</v>
      </c>
      <c r="H1555">
        <v>0</v>
      </c>
      <c r="I1555">
        <v>0</v>
      </c>
      <c r="J1555">
        <v>20</v>
      </c>
      <c r="K1555" s="2">
        <v>45784</v>
      </c>
    </row>
    <row r="1556" spans="1:11" x14ac:dyDescent="0.25">
      <c r="A1556" s="1" t="s">
        <v>543</v>
      </c>
      <c r="B1556" s="1"/>
      <c r="C1556" s="1" t="s">
        <v>2808</v>
      </c>
      <c r="D1556" s="1" t="s">
        <v>3370</v>
      </c>
      <c r="E1556" s="1"/>
      <c r="F1556">
        <v>0</v>
      </c>
      <c r="G1556">
        <v>0</v>
      </c>
      <c r="H1556">
        <v>0</v>
      </c>
      <c r="I1556">
        <v>0</v>
      </c>
      <c r="J1556">
        <v>71</v>
      </c>
      <c r="K1556" s="2">
        <v>45756</v>
      </c>
    </row>
    <row r="1557" spans="1:11" x14ac:dyDescent="0.25">
      <c r="A1557" s="1" t="s">
        <v>543</v>
      </c>
      <c r="B1557" s="1"/>
      <c r="C1557" s="1" t="s">
        <v>2871</v>
      </c>
      <c r="D1557" s="1" t="s">
        <v>3404</v>
      </c>
      <c r="E1557" s="1"/>
      <c r="F1557">
        <v>3.1</v>
      </c>
      <c r="G1557">
        <v>0.7</v>
      </c>
      <c r="H1557">
        <v>130</v>
      </c>
      <c r="I1557">
        <v>0</v>
      </c>
      <c r="J1557">
        <v>71</v>
      </c>
      <c r="K1557" s="2">
        <v>45762</v>
      </c>
    </row>
    <row r="1558" spans="1:11" x14ac:dyDescent="0.25">
      <c r="A1558" s="1" t="s">
        <v>543</v>
      </c>
      <c r="B1558" s="1"/>
      <c r="C1558" s="1" t="s">
        <v>2872</v>
      </c>
      <c r="D1558" s="1" t="s">
        <v>3371</v>
      </c>
      <c r="E1558" s="1"/>
      <c r="F1558">
        <v>2.9</v>
      </c>
      <c r="G1558">
        <v>0.3</v>
      </c>
      <c r="H1558">
        <v>135</v>
      </c>
      <c r="I1558">
        <v>0</v>
      </c>
      <c r="J1558">
        <v>71</v>
      </c>
      <c r="K1558" s="2">
        <v>45762</v>
      </c>
    </row>
    <row r="1559" spans="1:11" x14ac:dyDescent="0.25">
      <c r="A1559" s="1" t="s">
        <v>543</v>
      </c>
      <c r="B1559" s="1"/>
      <c r="C1559" s="1" t="s">
        <v>2873</v>
      </c>
      <c r="D1559" s="1" t="s">
        <v>3373</v>
      </c>
      <c r="E1559" s="1"/>
      <c r="F1559">
        <v>15.8</v>
      </c>
      <c r="G1559">
        <v>32.799999999999997</v>
      </c>
      <c r="H1559">
        <v>-910</v>
      </c>
      <c r="I1559">
        <v>0</v>
      </c>
      <c r="J1559">
        <v>71</v>
      </c>
      <c r="K1559" s="2">
        <v>45777</v>
      </c>
    </row>
    <row r="1560" spans="1:11" x14ac:dyDescent="0.25">
      <c r="A1560" s="1" t="s">
        <v>543</v>
      </c>
      <c r="B1560" s="1"/>
      <c r="C1560" s="1" t="s">
        <v>2812</v>
      </c>
      <c r="D1560" s="1" t="s">
        <v>3374</v>
      </c>
      <c r="E1560" s="1"/>
      <c r="F1560">
        <v>0.3</v>
      </c>
      <c r="G1560">
        <v>0</v>
      </c>
      <c r="H1560">
        <v>20</v>
      </c>
      <c r="I1560">
        <v>0</v>
      </c>
      <c r="J1560">
        <v>71</v>
      </c>
      <c r="K1560" s="2">
        <v>45779</v>
      </c>
    </row>
    <row r="1561" spans="1:11" x14ac:dyDescent="0.25">
      <c r="A1561" s="1" t="s">
        <v>543</v>
      </c>
      <c r="B1561" s="1"/>
      <c r="C1561" s="1" t="s">
        <v>2870</v>
      </c>
      <c r="D1561" s="1" t="s">
        <v>3375</v>
      </c>
      <c r="E1561" s="1"/>
      <c r="F1561">
        <v>4.5</v>
      </c>
      <c r="G1561">
        <v>26.6</v>
      </c>
      <c r="H1561">
        <v>-1135</v>
      </c>
      <c r="I1561">
        <v>0</v>
      </c>
      <c r="J1561">
        <v>71</v>
      </c>
      <c r="K1561" s="2">
        <v>45779</v>
      </c>
    </row>
    <row r="1562" spans="1:11" x14ac:dyDescent="0.25">
      <c r="A1562" s="1" t="s">
        <v>543</v>
      </c>
      <c r="B1562" s="1"/>
      <c r="C1562" s="1" t="s">
        <v>3053</v>
      </c>
      <c r="D1562" s="1" t="s">
        <v>3403</v>
      </c>
      <c r="E1562" s="1"/>
      <c r="F1562">
        <v>3.1</v>
      </c>
      <c r="G1562">
        <v>2.7</v>
      </c>
      <c r="H1562">
        <v>30</v>
      </c>
      <c r="I1562">
        <v>0</v>
      </c>
      <c r="J1562">
        <v>71</v>
      </c>
      <c r="K1562" s="2">
        <v>45779</v>
      </c>
    </row>
    <row r="1563" spans="1:11" x14ac:dyDescent="0.25">
      <c r="A1563" s="1" t="s">
        <v>543</v>
      </c>
      <c r="B1563" s="1"/>
      <c r="C1563" s="1" t="s">
        <v>3054</v>
      </c>
      <c r="D1563" s="1" t="s">
        <v>3403</v>
      </c>
      <c r="E1563" s="1"/>
      <c r="F1563">
        <v>2.4</v>
      </c>
      <c r="G1563">
        <v>1.8</v>
      </c>
      <c r="H1563">
        <v>40</v>
      </c>
      <c r="I1563">
        <v>0</v>
      </c>
      <c r="J1563">
        <v>71</v>
      </c>
      <c r="K1563" s="2">
        <v>45779</v>
      </c>
    </row>
    <row r="1564" spans="1:11" x14ac:dyDescent="0.25">
      <c r="A1564" s="1" t="s">
        <v>543</v>
      </c>
      <c r="B1564" s="1"/>
      <c r="C1564" s="1" t="s">
        <v>3055</v>
      </c>
      <c r="D1564" s="1" t="s">
        <v>3403</v>
      </c>
      <c r="E1564" s="1"/>
      <c r="F1564">
        <v>0.4</v>
      </c>
      <c r="G1564">
        <v>0.2</v>
      </c>
      <c r="H1564">
        <v>20</v>
      </c>
      <c r="I1564">
        <v>0</v>
      </c>
      <c r="J1564">
        <v>71</v>
      </c>
      <c r="K1564" s="2">
        <v>45779</v>
      </c>
    </row>
    <row r="1565" spans="1:11" x14ac:dyDescent="0.25">
      <c r="A1565" s="1" t="s">
        <v>543</v>
      </c>
      <c r="B1565" s="1"/>
      <c r="C1565" s="1" t="s">
        <v>3056</v>
      </c>
      <c r="D1565" s="1" t="s">
        <v>3372</v>
      </c>
      <c r="E1565" s="1"/>
      <c r="F1565">
        <v>1</v>
      </c>
      <c r="G1565">
        <v>0.8</v>
      </c>
      <c r="H1565">
        <v>10</v>
      </c>
      <c r="I1565">
        <v>0</v>
      </c>
      <c r="J1565">
        <v>71</v>
      </c>
      <c r="K1565" s="2">
        <v>45782</v>
      </c>
    </row>
    <row r="1566" spans="1:11" x14ac:dyDescent="0.25">
      <c r="A1566" s="1" t="s">
        <v>543</v>
      </c>
      <c r="B1566" s="1"/>
      <c r="C1566" s="1" t="s">
        <v>2817</v>
      </c>
      <c r="D1566" s="1" t="s">
        <v>3417</v>
      </c>
      <c r="E1566" s="1"/>
      <c r="F1566">
        <v>1</v>
      </c>
      <c r="G1566">
        <v>0.3</v>
      </c>
      <c r="H1566">
        <v>45</v>
      </c>
      <c r="I1566">
        <v>0</v>
      </c>
      <c r="J1566">
        <v>71</v>
      </c>
      <c r="K1566" s="2">
        <v>45779</v>
      </c>
    </row>
    <row r="1567" spans="1:11" x14ac:dyDescent="0.25">
      <c r="A1567" s="1" t="s">
        <v>428</v>
      </c>
      <c r="B1567" s="1"/>
      <c r="C1567" s="1" t="s">
        <v>2808</v>
      </c>
      <c r="D1567" s="1" t="s">
        <v>3370</v>
      </c>
      <c r="E1567" s="1"/>
      <c r="F1567">
        <v>0</v>
      </c>
      <c r="G1567">
        <v>0</v>
      </c>
      <c r="H1567">
        <v>0</v>
      </c>
      <c r="I1567">
        <v>0</v>
      </c>
      <c r="J1567">
        <v>90</v>
      </c>
      <c r="K1567" s="2">
        <v>45762</v>
      </c>
    </row>
    <row r="1568" spans="1:11" x14ac:dyDescent="0.25">
      <c r="A1568" s="1" t="s">
        <v>428</v>
      </c>
      <c r="B1568" s="1"/>
      <c r="C1568" s="1" t="s">
        <v>2858</v>
      </c>
      <c r="D1568" s="1" t="s">
        <v>3399</v>
      </c>
      <c r="E1568" s="1"/>
      <c r="F1568">
        <v>3.2</v>
      </c>
      <c r="G1568">
        <v>4.5</v>
      </c>
      <c r="H1568">
        <v>-60</v>
      </c>
      <c r="I1568">
        <v>0</v>
      </c>
      <c r="J1568">
        <v>90</v>
      </c>
      <c r="K1568" s="2">
        <v>45768</v>
      </c>
    </row>
    <row r="1569" spans="1:11" x14ac:dyDescent="0.25">
      <c r="A1569" s="1" t="s">
        <v>428</v>
      </c>
      <c r="B1569" s="1"/>
      <c r="C1569" s="1" t="s">
        <v>2859</v>
      </c>
      <c r="D1569" s="1" t="s">
        <v>3458</v>
      </c>
      <c r="E1569" s="1"/>
      <c r="F1569">
        <v>6.2</v>
      </c>
      <c r="G1569">
        <v>3.8</v>
      </c>
      <c r="H1569">
        <v>120</v>
      </c>
      <c r="I1569">
        <v>0</v>
      </c>
      <c r="J1569">
        <v>90</v>
      </c>
      <c r="K1569" s="2">
        <v>45768</v>
      </c>
    </row>
    <row r="1570" spans="1:11" x14ac:dyDescent="0.25">
      <c r="A1570" s="1" t="s">
        <v>428</v>
      </c>
      <c r="B1570" s="1"/>
      <c r="C1570" s="1" t="s">
        <v>3057</v>
      </c>
      <c r="D1570" s="1" t="s">
        <v>3459</v>
      </c>
      <c r="E1570" s="1"/>
      <c r="F1570">
        <v>6.2</v>
      </c>
      <c r="G1570">
        <v>1.7</v>
      </c>
      <c r="H1570">
        <v>95</v>
      </c>
      <c r="I1570">
        <v>0</v>
      </c>
      <c r="J1570">
        <v>90</v>
      </c>
      <c r="K1570" s="2">
        <v>45768</v>
      </c>
    </row>
    <row r="1571" spans="1:11" x14ac:dyDescent="0.25">
      <c r="A1571" s="1" t="s">
        <v>428</v>
      </c>
      <c r="B1571" s="1"/>
      <c r="C1571" s="1" t="s">
        <v>2860</v>
      </c>
      <c r="D1571" s="1" t="s">
        <v>3401</v>
      </c>
      <c r="E1571" s="1"/>
      <c r="F1571">
        <v>3.2</v>
      </c>
      <c r="G1571">
        <v>2.1</v>
      </c>
      <c r="H1571">
        <v>55</v>
      </c>
      <c r="I1571">
        <v>0</v>
      </c>
      <c r="J1571">
        <v>90</v>
      </c>
      <c r="K1571" s="2">
        <v>45768</v>
      </c>
    </row>
    <row r="1572" spans="1:11" x14ac:dyDescent="0.25">
      <c r="A1572" s="1" t="s">
        <v>428</v>
      </c>
      <c r="B1572" s="1"/>
      <c r="C1572" s="1" t="s">
        <v>2828</v>
      </c>
      <c r="D1572" s="1" t="s">
        <v>3460</v>
      </c>
      <c r="E1572" s="1"/>
      <c r="F1572">
        <v>3.2</v>
      </c>
      <c r="G1572">
        <v>4.5999999999999996</v>
      </c>
      <c r="H1572">
        <v>-65</v>
      </c>
      <c r="I1572">
        <v>0</v>
      </c>
      <c r="J1572">
        <v>90</v>
      </c>
      <c r="K1572" s="2">
        <v>45771</v>
      </c>
    </row>
    <row r="1573" spans="1:11" x14ac:dyDescent="0.25">
      <c r="A1573" s="1" t="s">
        <v>428</v>
      </c>
      <c r="B1573" s="1"/>
      <c r="C1573" s="1" t="s">
        <v>3058</v>
      </c>
      <c r="D1573" s="1" t="s">
        <v>3461</v>
      </c>
      <c r="E1573" s="1"/>
      <c r="F1573">
        <v>4</v>
      </c>
      <c r="G1573">
        <v>2</v>
      </c>
      <c r="H1573">
        <v>85</v>
      </c>
      <c r="I1573">
        <v>0</v>
      </c>
      <c r="J1573">
        <v>13</v>
      </c>
      <c r="K1573" s="2">
        <v>45769</v>
      </c>
    </row>
    <row r="1574" spans="1:11" x14ac:dyDescent="0.25">
      <c r="A1574" s="1" t="s">
        <v>428</v>
      </c>
      <c r="B1574" s="1"/>
      <c r="C1574" s="1" t="s">
        <v>3059</v>
      </c>
      <c r="D1574" s="1" t="s">
        <v>3462</v>
      </c>
      <c r="E1574" s="1"/>
      <c r="F1574">
        <v>1</v>
      </c>
      <c r="G1574">
        <v>0</v>
      </c>
      <c r="H1574">
        <v>45</v>
      </c>
      <c r="I1574">
        <v>0</v>
      </c>
      <c r="J1574">
        <v>13</v>
      </c>
      <c r="K1574" s="2">
        <v>45769</v>
      </c>
    </row>
    <row r="1575" spans="1:11" x14ac:dyDescent="0.25">
      <c r="A1575" s="1" t="s">
        <v>428</v>
      </c>
      <c r="B1575" s="1"/>
      <c r="C1575" s="1" t="s">
        <v>3060</v>
      </c>
      <c r="D1575" s="1" t="s">
        <v>3385</v>
      </c>
      <c r="E1575" s="1"/>
      <c r="F1575">
        <v>2.5</v>
      </c>
      <c r="G1575">
        <v>3.1</v>
      </c>
      <c r="H1575">
        <v>-25</v>
      </c>
      <c r="I1575">
        <v>0</v>
      </c>
      <c r="J1575">
        <v>90</v>
      </c>
      <c r="K1575" s="2">
        <v>45771</v>
      </c>
    </row>
    <row r="1576" spans="1:11" x14ac:dyDescent="0.25">
      <c r="A1576" s="1" t="s">
        <v>428</v>
      </c>
      <c r="B1576" s="1"/>
      <c r="C1576" s="1" t="s">
        <v>3061</v>
      </c>
      <c r="D1576" s="1" t="s">
        <v>3463</v>
      </c>
      <c r="E1576" s="1"/>
      <c r="F1576">
        <v>0.9</v>
      </c>
      <c r="G1576">
        <v>0.7</v>
      </c>
      <c r="H1576">
        <v>15</v>
      </c>
      <c r="I1576">
        <v>0</v>
      </c>
      <c r="J1576">
        <v>90</v>
      </c>
      <c r="K1576" s="2">
        <v>45772</v>
      </c>
    </row>
    <row r="1577" spans="1:11" x14ac:dyDescent="0.25">
      <c r="A1577" s="1" t="s">
        <v>428</v>
      </c>
      <c r="B1577" s="1"/>
      <c r="C1577" s="1" t="s">
        <v>3062</v>
      </c>
      <c r="D1577" s="1" t="s">
        <v>3372</v>
      </c>
      <c r="E1577" s="1"/>
      <c r="F1577">
        <v>1</v>
      </c>
      <c r="G1577">
        <v>0.1</v>
      </c>
      <c r="H1577">
        <v>45</v>
      </c>
      <c r="I1577">
        <v>0</v>
      </c>
      <c r="J1577">
        <v>90</v>
      </c>
      <c r="K1577" s="2">
        <v>45775</v>
      </c>
    </row>
    <row r="1578" spans="1:11" x14ac:dyDescent="0.25">
      <c r="A1578" s="1" t="s">
        <v>428</v>
      </c>
      <c r="B1578" s="1"/>
      <c r="C1578" s="1" t="s">
        <v>3063</v>
      </c>
      <c r="D1578" s="1" t="s">
        <v>3377</v>
      </c>
      <c r="E1578" s="1"/>
      <c r="F1578">
        <v>3.3</v>
      </c>
      <c r="G1578">
        <v>1.7</v>
      </c>
      <c r="H1578">
        <v>80</v>
      </c>
      <c r="I1578">
        <v>0</v>
      </c>
      <c r="J1578">
        <v>90</v>
      </c>
      <c r="K1578" s="2">
        <v>45775</v>
      </c>
    </row>
    <row r="1579" spans="1:11" x14ac:dyDescent="0.25">
      <c r="A1579" s="1" t="s">
        <v>822</v>
      </c>
      <c r="B1579" s="1"/>
      <c r="C1579" s="1" t="s">
        <v>2808</v>
      </c>
      <c r="D1579" s="1" t="s">
        <v>3370</v>
      </c>
      <c r="E1579" s="1"/>
      <c r="F1579">
        <v>0</v>
      </c>
      <c r="G1579">
        <v>0</v>
      </c>
      <c r="H1579">
        <v>0</v>
      </c>
      <c r="I1579">
        <v>0</v>
      </c>
      <c r="J1579">
        <v>29</v>
      </c>
      <c r="K1579" s="2">
        <v>45782</v>
      </c>
    </row>
    <row r="1580" spans="1:11" x14ac:dyDescent="0.25">
      <c r="A1580" s="1" t="s">
        <v>951</v>
      </c>
      <c r="B1580" s="1"/>
      <c r="C1580" s="1" t="s">
        <v>2808</v>
      </c>
      <c r="D1580" s="1" t="s">
        <v>3370</v>
      </c>
      <c r="E1580" s="1"/>
      <c r="F1580">
        <v>0</v>
      </c>
      <c r="G1580">
        <v>0</v>
      </c>
      <c r="H1580">
        <v>0</v>
      </c>
      <c r="I1580">
        <v>0</v>
      </c>
      <c r="J1580">
        <v>2</v>
      </c>
      <c r="K1580" s="2">
        <v>45787</v>
      </c>
    </row>
    <row r="1581" spans="1:11" x14ac:dyDescent="0.25">
      <c r="A1581" s="1" t="s">
        <v>951</v>
      </c>
      <c r="B1581" s="1"/>
      <c r="C1581" s="1" t="s">
        <v>3064</v>
      </c>
      <c r="D1581" s="1" t="s">
        <v>3387</v>
      </c>
      <c r="E1581" s="1"/>
      <c r="F1581">
        <v>0.6</v>
      </c>
      <c r="G1581">
        <v>0</v>
      </c>
      <c r="H1581">
        <v>30</v>
      </c>
      <c r="I1581">
        <v>0</v>
      </c>
      <c r="J1581">
        <v>2</v>
      </c>
      <c r="K1581" s="2">
        <v>45789</v>
      </c>
    </row>
    <row r="1582" spans="1:11" x14ac:dyDescent="0.25">
      <c r="A1582" s="1" t="s">
        <v>951</v>
      </c>
      <c r="B1582" s="1"/>
      <c r="C1582" s="1" t="s">
        <v>3065</v>
      </c>
      <c r="D1582" s="1" t="s">
        <v>3387</v>
      </c>
      <c r="E1582" s="1"/>
      <c r="F1582">
        <v>2.1</v>
      </c>
      <c r="G1582">
        <v>0</v>
      </c>
      <c r="H1582">
        <v>105</v>
      </c>
      <c r="I1582">
        <v>0</v>
      </c>
      <c r="J1582">
        <v>2</v>
      </c>
      <c r="K1582" s="2">
        <v>45789</v>
      </c>
    </row>
    <row r="1583" spans="1:11" x14ac:dyDescent="0.25">
      <c r="A1583" s="1" t="s">
        <v>709</v>
      </c>
      <c r="B1583" s="1"/>
      <c r="C1583" s="1" t="s">
        <v>2808</v>
      </c>
      <c r="D1583" s="1" t="s">
        <v>3370</v>
      </c>
      <c r="E1583" s="1"/>
      <c r="F1583">
        <v>0</v>
      </c>
      <c r="G1583">
        <v>0</v>
      </c>
      <c r="H1583">
        <v>0</v>
      </c>
      <c r="I1583">
        <v>0</v>
      </c>
      <c r="J1583">
        <v>2</v>
      </c>
      <c r="K1583" s="2">
        <v>45769</v>
      </c>
    </row>
    <row r="1584" spans="1:11" x14ac:dyDescent="0.25">
      <c r="A1584" s="1" t="s">
        <v>709</v>
      </c>
      <c r="B1584" s="1"/>
      <c r="C1584" s="1" t="s">
        <v>3066</v>
      </c>
      <c r="D1584" s="1" t="s">
        <v>3387</v>
      </c>
      <c r="E1584" s="1"/>
      <c r="F1584">
        <v>0.2</v>
      </c>
      <c r="G1584">
        <v>0</v>
      </c>
      <c r="H1584">
        <v>15</v>
      </c>
      <c r="I1584">
        <v>0</v>
      </c>
      <c r="J1584">
        <v>2</v>
      </c>
      <c r="K1584" s="2">
        <v>45769</v>
      </c>
    </row>
    <row r="1585" spans="1:11" x14ac:dyDescent="0.25">
      <c r="A1585" s="1" t="s">
        <v>709</v>
      </c>
      <c r="B1585" s="1"/>
      <c r="C1585" s="1" t="s">
        <v>3067</v>
      </c>
      <c r="D1585" s="1" t="s">
        <v>3387</v>
      </c>
      <c r="E1585" s="1"/>
      <c r="F1585">
        <v>2.1</v>
      </c>
      <c r="G1585">
        <v>0</v>
      </c>
      <c r="H1585">
        <v>105</v>
      </c>
      <c r="I1585">
        <v>0</v>
      </c>
      <c r="J1585">
        <v>2</v>
      </c>
      <c r="K1585" s="2">
        <v>45769</v>
      </c>
    </row>
    <row r="1586" spans="1:11" x14ac:dyDescent="0.25">
      <c r="A1586" s="1" t="s">
        <v>709</v>
      </c>
      <c r="B1586" s="1"/>
      <c r="C1586" s="1" t="s">
        <v>3068</v>
      </c>
      <c r="D1586" s="1" t="s">
        <v>3385</v>
      </c>
      <c r="E1586" s="1"/>
      <c r="F1586">
        <v>0.3</v>
      </c>
      <c r="G1586">
        <v>0</v>
      </c>
      <c r="H1586">
        <v>15</v>
      </c>
      <c r="I1586">
        <v>0</v>
      </c>
      <c r="J1586">
        <v>2</v>
      </c>
      <c r="K1586" s="2">
        <v>45769</v>
      </c>
    </row>
    <row r="1587" spans="1:11" x14ac:dyDescent="0.25">
      <c r="A1587" s="1" t="s">
        <v>709</v>
      </c>
      <c r="B1587" s="1"/>
      <c r="C1587" s="1" t="s">
        <v>3069</v>
      </c>
      <c r="D1587" s="1" t="s">
        <v>3372</v>
      </c>
      <c r="E1587" s="1"/>
      <c r="F1587">
        <v>1</v>
      </c>
      <c r="G1587">
        <v>0.3</v>
      </c>
      <c r="H1587">
        <v>35</v>
      </c>
      <c r="I1587">
        <v>0</v>
      </c>
      <c r="J1587">
        <v>2</v>
      </c>
      <c r="K1587" s="2">
        <v>45771</v>
      </c>
    </row>
    <row r="1588" spans="1:11" x14ac:dyDescent="0.25">
      <c r="A1588" s="1" t="s">
        <v>709</v>
      </c>
      <c r="B1588" s="1"/>
      <c r="C1588" s="1" t="s">
        <v>2817</v>
      </c>
      <c r="D1588" s="1" t="s">
        <v>3377</v>
      </c>
      <c r="E1588" s="1"/>
      <c r="F1588">
        <v>0.3</v>
      </c>
      <c r="G1588">
        <v>0</v>
      </c>
      <c r="H1588">
        <v>15</v>
      </c>
      <c r="I1588">
        <v>0</v>
      </c>
      <c r="J1588">
        <v>2</v>
      </c>
      <c r="K1588" s="2">
        <v>45784</v>
      </c>
    </row>
    <row r="1589" spans="1:11" x14ac:dyDescent="0.25">
      <c r="A1589" s="1" t="s">
        <v>732</v>
      </c>
      <c r="B1589" s="1"/>
      <c r="C1589" s="1" t="s">
        <v>2808</v>
      </c>
      <c r="D1589" s="1" t="s">
        <v>3370</v>
      </c>
      <c r="E1589" s="1"/>
      <c r="F1589">
        <v>0</v>
      </c>
      <c r="G1589">
        <v>0</v>
      </c>
      <c r="H1589">
        <v>0</v>
      </c>
      <c r="I1589">
        <v>0</v>
      </c>
      <c r="J1589">
        <v>438</v>
      </c>
      <c r="K1589" s="2">
        <v>45771</v>
      </c>
    </row>
    <row r="1590" spans="1:11" x14ac:dyDescent="0.25">
      <c r="A1590" s="1" t="s">
        <v>732</v>
      </c>
      <c r="B1590" s="1"/>
      <c r="C1590" s="1" t="s">
        <v>3066</v>
      </c>
      <c r="D1590" s="1" t="s">
        <v>3387</v>
      </c>
      <c r="E1590" s="1"/>
      <c r="F1590">
        <v>17.7</v>
      </c>
      <c r="G1590">
        <v>31.9</v>
      </c>
      <c r="H1590">
        <v>-690</v>
      </c>
      <c r="I1590">
        <v>0</v>
      </c>
      <c r="J1590">
        <v>438</v>
      </c>
      <c r="K1590" s="2">
        <v>45777</v>
      </c>
    </row>
    <row r="1591" spans="1:11" x14ac:dyDescent="0.25">
      <c r="A1591" s="1" t="s">
        <v>732</v>
      </c>
      <c r="B1591" s="1"/>
      <c r="C1591" s="1" t="s">
        <v>3067</v>
      </c>
      <c r="D1591" s="1" t="s">
        <v>3387</v>
      </c>
      <c r="E1591" s="1"/>
      <c r="F1591">
        <v>23.9</v>
      </c>
      <c r="G1591">
        <v>10.9</v>
      </c>
      <c r="H1591">
        <v>635</v>
      </c>
      <c r="I1591">
        <v>0</v>
      </c>
      <c r="J1591">
        <v>438</v>
      </c>
      <c r="K1591" s="2">
        <v>45777</v>
      </c>
    </row>
    <row r="1592" spans="1:11" x14ac:dyDescent="0.25">
      <c r="A1592" s="1" t="s">
        <v>732</v>
      </c>
      <c r="B1592" s="1"/>
      <c r="C1592" s="1" t="s">
        <v>3068</v>
      </c>
      <c r="D1592" s="1" t="s">
        <v>3385</v>
      </c>
      <c r="E1592" s="1"/>
      <c r="F1592">
        <v>10.1</v>
      </c>
      <c r="G1592">
        <v>3.2</v>
      </c>
      <c r="H1592">
        <v>340</v>
      </c>
      <c r="I1592">
        <v>0</v>
      </c>
      <c r="J1592">
        <v>438</v>
      </c>
      <c r="K1592" s="2">
        <v>45777</v>
      </c>
    </row>
    <row r="1593" spans="1:11" x14ac:dyDescent="0.25">
      <c r="A1593" s="1" t="s">
        <v>950</v>
      </c>
      <c r="B1593" s="1"/>
      <c r="C1593" s="1" t="s">
        <v>2808</v>
      </c>
      <c r="D1593" s="1" t="s">
        <v>3370</v>
      </c>
      <c r="E1593" s="1"/>
      <c r="F1593">
        <v>0</v>
      </c>
      <c r="G1593">
        <v>0</v>
      </c>
      <c r="H1593">
        <v>0</v>
      </c>
      <c r="I1593">
        <v>0</v>
      </c>
      <c r="J1593">
        <v>2</v>
      </c>
      <c r="K1593" s="2">
        <v>45789</v>
      </c>
    </row>
    <row r="1594" spans="1:11" x14ac:dyDescent="0.25">
      <c r="A1594" s="1" t="s">
        <v>950</v>
      </c>
      <c r="B1594" s="1"/>
      <c r="C1594" s="1" t="s">
        <v>3066</v>
      </c>
      <c r="D1594" s="1" t="s">
        <v>3387</v>
      </c>
      <c r="E1594" s="1"/>
      <c r="F1594">
        <v>0.2</v>
      </c>
      <c r="G1594">
        <v>0</v>
      </c>
      <c r="H1594">
        <v>15</v>
      </c>
      <c r="I1594">
        <v>0</v>
      </c>
      <c r="J1594">
        <v>2</v>
      </c>
      <c r="K1594" s="2">
        <v>45789</v>
      </c>
    </row>
    <row r="1595" spans="1:11" x14ac:dyDescent="0.25">
      <c r="A1595" s="1" t="s">
        <v>950</v>
      </c>
      <c r="B1595" s="1"/>
      <c r="C1595" s="1" t="s">
        <v>3067</v>
      </c>
      <c r="D1595" s="1" t="s">
        <v>3387</v>
      </c>
      <c r="E1595" s="1"/>
      <c r="F1595">
        <v>2.1</v>
      </c>
      <c r="G1595">
        <v>0</v>
      </c>
      <c r="H1595">
        <v>105</v>
      </c>
      <c r="I1595">
        <v>0</v>
      </c>
      <c r="J1595">
        <v>2</v>
      </c>
      <c r="K1595" s="2">
        <v>45789</v>
      </c>
    </row>
    <row r="1596" spans="1:11" x14ac:dyDescent="0.25">
      <c r="A1596" s="1" t="s">
        <v>708</v>
      </c>
      <c r="B1596" s="1"/>
      <c r="C1596" s="1" t="s">
        <v>2808</v>
      </c>
      <c r="D1596" s="1" t="s">
        <v>3370</v>
      </c>
      <c r="E1596" s="1"/>
      <c r="F1596">
        <v>0</v>
      </c>
      <c r="G1596">
        <v>0</v>
      </c>
      <c r="H1596">
        <v>0</v>
      </c>
      <c r="I1596">
        <v>0</v>
      </c>
      <c r="J1596">
        <v>6</v>
      </c>
      <c r="K1596" s="2">
        <v>45783</v>
      </c>
    </row>
    <row r="1597" spans="1:11" x14ac:dyDescent="0.25">
      <c r="A1597" s="1" t="s">
        <v>708</v>
      </c>
      <c r="B1597" s="1"/>
      <c r="C1597" s="1" t="s">
        <v>3070</v>
      </c>
      <c r="D1597" s="1" t="s">
        <v>3387</v>
      </c>
      <c r="E1597" s="1"/>
      <c r="F1597">
        <v>0.1</v>
      </c>
      <c r="G1597">
        <v>0.2</v>
      </c>
      <c r="H1597">
        <v>0</v>
      </c>
      <c r="I1597">
        <v>0</v>
      </c>
      <c r="J1597">
        <v>4</v>
      </c>
      <c r="K1597" s="2">
        <v>45783</v>
      </c>
    </row>
    <row r="1598" spans="1:11" x14ac:dyDescent="0.25">
      <c r="A1598" s="1" t="s">
        <v>708</v>
      </c>
      <c r="B1598" s="1"/>
      <c r="C1598" s="1" t="s">
        <v>3067</v>
      </c>
      <c r="D1598" s="1" t="s">
        <v>3387</v>
      </c>
      <c r="E1598" s="1"/>
      <c r="F1598">
        <v>2.1</v>
      </c>
      <c r="G1598">
        <v>0.4</v>
      </c>
      <c r="H1598">
        <v>85</v>
      </c>
      <c r="I1598">
        <v>0</v>
      </c>
      <c r="J1598">
        <v>4</v>
      </c>
      <c r="K1598" s="2">
        <v>45783</v>
      </c>
    </row>
    <row r="1599" spans="1:11" x14ac:dyDescent="0.25">
      <c r="A1599" s="1" t="s">
        <v>708</v>
      </c>
      <c r="B1599" s="1"/>
      <c r="C1599" s="1" t="s">
        <v>3068</v>
      </c>
      <c r="D1599" s="1" t="s">
        <v>3385</v>
      </c>
      <c r="E1599" s="1"/>
      <c r="F1599">
        <v>0.4</v>
      </c>
      <c r="G1599">
        <v>0.4</v>
      </c>
      <c r="H1599">
        <v>0</v>
      </c>
      <c r="I1599">
        <v>2</v>
      </c>
      <c r="J1599">
        <v>2</v>
      </c>
      <c r="K1599" s="2">
        <v>45785</v>
      </c>
    </row>
    <row r="1600" spans="1:11" x14ac:dyDescent="0.25">
      <c r="A1600" s="1" t="s">
        <v>708</v>
      </c>
      <c r="B1600" s="1"/>
      <c r="C1600" s="1" t="s">
        <v>2816</v>
      </c>
      <c r="D1600" s="1" t="s">
        <v>3372</v>
      </c>
      <c r="E1600" s="1"/>
      <c r="F1600">
        <v>0.8</v>
      </c>
      <c r="G1600">
        <v>0</v>
      </c>
      <c r="H1600">
        <v>40</v>
      </c>
      <c r="I1600">
        <v>0</v>
      </c>
      <c r="J1600">
        <v>0</v>
      </c>
      <c r="K1600" s="2">
        <v>45789</v>
      </c>
    </row>
    <row r="1601" spans="1:11" x14ac:dyDescent="0.25">
      <c r="A1601" s="1" t="s">
        <v>708</v>
      </c>
      <c r="B1601" s="1"/>
      <c r="C1601" s="1" t="s">
        <v>2817</v>
      </c>
      <c r="D1601" s="1" t="s">
        <v>3377</v>
      </c>
      <c r="E1601" s="1"/>
      <c r="F1601">
        <v>0.3</v>
      </c>
      <c r="G1601">
        <v>0</v>
      </c>
      <c r="H1601">
        <v>15</v>
      </c>
      <c r="I1601">
        <v>0</v>
      </c>
      <c r="J1601">
        <v>0</v>
      </c>
      <c r="K1601" s="2">
        <v>45789</v>
      </c>
    </row>
    <row r="1602" spans="1:11" x14ac:dyDescent="0.25">
      <c r="A1602" s="1" t="s">
        <v>794</v>
      </c>
      <c r="B1602" s="1"/>
      <c r="C1602" s="1" t="s">
        <v>2808</v>
      </c>
      <c r="D1602" s="1" t="s">
        <v>3370</v>
      </c>
      <c r="E1602" s="1"/>
      <c r="F1602">
        <v>0</v>
      </c>
      <c r="G1602">
        <v>0</v>
      </c>
      <c r="H1602">
        <v>0</v>
      </c>
      <c r="I1602">
        <v>0</v>
      </c>
      <c r="J1602">
        <v>55</v>
      </c>
      <c r="K1602" s="2">
        <v>45777</v>
      </c>
    </row>
    <row r="1603" spans="1:11" x14ac:dyDescent="0.25">
      <c r="A1603" s="1" t="s">
        <v>794</v>
      </c>
      <c r="B1603" s="1"/>
      <c r="C1603" s="1" t="s">
        <v>3070</v>
      </c>
      <c r="D1603" s="1" t="s">
        <v>3387</v>
      </c>
      <c r="E1603" s="1"/>
      <c r="F1603">
        <v>4</v>
      </c>
      <c r="G1603">
        <v>1.7</v>
      </c>
      <c r="H1603">
        <v>115</v>
      </c>
      <c r="I1603">
        <v>0</v>
      </c>
      <c r="J1603">
        <v>55</v>
      </c>
      <c r="K1603" s="2">
        <v>45779</v>
      </c>
    </row>
    <row r="1604" spans="1:11" x14ac:dyDescent="0.25">
      <c r="A1604" s="1" t="s">
        <v>794</v>
      </c>
      <c r="B1604" s="1"/>
      <c r="C1604" s="1" t="s">
        <v>3067</v>
      </c>
      <c r="D1604" s="1" t="s">
        <v>3387</v>
      </c>
      <c r="E1604" s="1"/>
      <c r="F1604">
        <v>4.8</v>
      </c>
      <c r="G1604">
        <v>1.7</v>
      </c>
      <c r="H1604">
        <v>150</v>
      </c>
      <c r="I1604">
        <v>0</v>
      </c>
      <c r="J1604">
        <v>55</v>
      </c>
      <c r="K1604" s="2">
        <v>45779</v>
      </c>
    </row>
    <row r="1605" spans="1:11" x14ac:dyDescent="0.25">
      <c r="A1605" s="1" t="s">
        <v>794</v>
      </c>
      <c r="B1605" s="1"/>
      <c r="C1605" s="1" t="s">
        <v>3068</v>
      </c>
      <c r="D1605" s="1" t="s">
        <v>3385</v>
      </c>
      <c r="E1605" s="1"/>
      <c r="F1605">
        <v>3.2</v>
      </c>
      <c r="G1605">
        <v>0.1</v>
      </c>
      <c r="H1605">
        <v>160</v>
      </c>
      <c r="I1605">
        <v>0</v>
      </c>
      <c r="J1605">
        <v>55</v>
      </c>
      <c r="K1605" s="2">
        <v>45779</v>
      </c>
    </row>
    <row r="1606" spans="1:11" x14ac:dyDescent="0.25">
      <c r="A1606" s="1" t="s">
        <v>913</v>
      </c>
      <c r="B1606" s="1"/>
      <c r="C1606" s="1" t="s">
        <v>2808</v>
      </c>
      <c r="D1606" s="1" t="s">
        <v>3370</v>
      </c>
      <c r="E1606" s="1"/>
      <c r="F1606">
        <v>0</v>
      </c>
      <c r="G1606">
        <v>0</v>
      </c>
      <c r="H1606">
        <v>0</v>
      </c>
      <c r="I1606">
        <v>0</v>
      </c>
      <c r="J1606">
        <v>2</v>
      </c>
      <c r="K1606" s="2">
        <v>45783</v>
      </c>
    </row>
    <row r="1607" spans="1:11" x14ac:dyDescent="0.25">
      <c r="A1607" s="1" t="s">
        <v>913</v>
      </c>
      <c r="B1607" s="1"/>
      <c r="C1607" s="1" t="s">
        <v>3070</v>
      </c>
      <c r="D1607" s="1" t="s">
        <v>3387</v>
      </c>
      <c r="E1607" s="1"/>
      <c r="F1607">
        <v>0.1</v>
      </c>
      <c r="G1607">
        <v>0</v>
      </c>
      <c r="H1607">
        <v>10</v>
      </c>
      <c r="I1607">
        <v>0</v>
      </c>
      <c r="J1607">
        <v>2</v>
      </c>
      <c r="K1607" s="2">
        <v>45783</v>
      </c>
    </row>
    <row r="1608" spans="1:11" x14ac:dyDescent="0.25">
      <c r="A1608" s="1" t="s">
        <v>913</v>
      </c>
      <c r="B1608" s="1"/>
      <c r="C1608" s="1" t="s">
        <v>3067</v>
      </c>
      <c r="D1608" s="1" t="s">
        <v>3387</v>
      </c>
      <c r="E1608" s="1"/>
      <c r="F1608">
        <v>2.1</v>
      </c>
      <c r="G1608">
        <v>0</v>
      </c>
      <c r="H1608">
        <v>105</v>
      </c>
      <c r="I1608">
        <v>0</v>
      </c>
      <c r="J1608">
        <v>2</v>
      </c>
      <c r="K1608" s="2">
        <v>45783</v>
      </c>
    </row>
    <row r="1609" spans="1:11" x14ac:dyDescent="0.25">
      <c r="A1609" s="1" t="s">
        <v>527</v>
      </c>
      <c r="B1609" s="1"/>
      <c r="C1609" s="1" t="s">
        <v>2808</v>
      </c>
      <c r="D1609" s="1" t="s">
        <v>3370</v>
      </c>
      <c r="E1609" s="1"/>
      <c r="F1609">
        <v>0</v>
      </c>
      <c r="G1609">
        <v>0</v>
      </c>
      <c r="H1609">
        <v>0</v>
      </c>
      <c r="I1609">
        <v>0</v>
      </c>
      <c r="J1609">
        <v>1200</v>
      </c>
      <c r="K1609" s="2">
        <v>45775</v>
      </c>
    </row>
    <row r="1610" spans="1:11" x14ac:dyDescent="0.25">
      <c r="A1610" s="1" t="s">
        <v>527</v>
      </c>
      <c r="B1610" s="1"/>
      <c r="C1610" s="1" t="s">
        <v>2984</v>
      </c>
      <c r="D1610" s="1" t="s">
        <v>3452</v>
      </c>
      <c r="E1610" s="1"/>
      <c r="F1610">
        <v>12.2</v>
      </c>
      <c r="G1610">
        <v>14.9</v>
      </c>
      <c r="H1610">
        <v>-130</v>
      </c>
      <c r="I1610">
        <v>0</v>
      </c>
      <c r="J1610">
        <v>1200</v>
      </c>
      <c r="K1610" s="2">
        <v>45785</v>
      </c>
    </row>
    <row r="1611" spans="1:11" x14ac:dyDescent="0.25">
      <c r="A1611" s="1" t="s">
        <v>527</v>
      </c>
      <c r="B1611" s="1"/>
      <c r="C1611" s="1" t="s">
        <v>2848</v>
      </c>
      <c r="D1611" s="1" t="s">
        <v>3372</v>
      </c>
      <c r="E1611" s="1"/>
      <c r="F1611">
        <v>1</v>
      </c>
      <c r="G1611">
        <v>0</v>
      </c>
      <c r="H1611">
        <v>55</v>
      </c>
      <c r="I1611">
        <v>0</v>
      </c>
      <c r="J1611">
        <v>1200</v>
      </c>
      <c r="K1611" s="2">
        <v>45785</v>
      </c>
    </row>
    <row r="1612" spans="1:11" x14ac:dyDescent="0.25">
      <c r="A1612" s="1" t="s">
        <v>527</v>
      </c>
      <c r="B1612" s="1"/>
      <c r="C1612" s="1" t="s">
        <v>2817</v>
      </c>
      <c r="D1612" s="1" t="s">
        <v>3377</v>
      </c>
      <c r="E1612" s="1"/>
      <c r="F1612">
        <v>3.3</v>
      </c>
      <c r="G1612">
        <v>0.7</v>
      </c>
      <c r="H1612">
        <v>130</v>
      </c>
      <c r="I1612">
        <v>0</v>
      </c>
      <c r="J1612">
        <v>1200</v>
      </c>
      <c r="K1612" s="2">
        <v>45789</v>
      </c>
    </row>
    <row r="1613" spans="1:11" x14ac:dyDescent="0.25">
      <c r="A1613" s="1" t="s">
        <v>528</v>
      </c>
      <c r="B1613" s="1"/>
      <c r="C1613" s="1" t="s">
        <v>2808</v>
      </c>
      <c r="D1613" s="1" t="s">
        <v>3370</v>
      </c>
      <c r="E1613" s="1"/>
      <c r="F1613">
        <v>0</v>
      </c>
      <c r="G1613">
        <v>0</v>
      </c>
      <c r="H1613">
        <v>0</v>
      </c>
      <c r="I1613">
        <v>0</v>
      </c>
      <c r="J1613">
        <v>1200</v>
      </c>
      <c r="K1613" s="2">
        <v>45775</v>
      </c>
    </row>
    <row r="1614" spans="1:11" x14ac:dyDescent="0.25">
      <c r="A1614" s="1" t="s">
        <v>528</v>
      </c>
      <c r="B1614" s="1"/>
      <c r="C1614" s="1" t="s">
        <v>2984</v>
      </c>
      <c r="D1614" s="1" t="s">
        <v>3452</v>
      </c>
      <c r="E1614" s="1"/>
      <c r="F1614">
        <v>12.2</v>
      </c>
      <c r="G1614">
        <v>10.9</v>
      </c>
      <c r="H1614">
        <v>65</v>
      </c>
      <c r="I1614">
        <v>0</v>
      </c>
      <c r="J1614">
        <v>1200</v>
      </c>
      <c r="K1614" s="2">
        <v>45786</v>
      </c>
    </row>
    <row r="1615" spans="1:11" x14ac:dyDescent="0.25">
      <c r="A1615" s="1" t="s">
        <v>528</v>
      </c>
      <c r="B1615" s="1"/>
      <c r="C1615" s="1" t="s">
        <v>2848</v>
      </c>
      <c r="D1615" s="1" t="s">
        <v>3372</v>
      </c>
      <c r="E1615" s="1"/>
      <c r="F1615">
        <v>1</v>
      </c>
      <c r="G1615">
        <v>0</v>
      </c>
      <c r="H1615">
        <v>55</v>
      </c>
      <c r="I1615">
        <v>0</v>
      </c>
      <c r="J1615">
        <v>1200</v>
      </c>
      <c r="K1615" s="2">
        <v>45789</v>
      </c>
    </row>
    <row r="1616" spans="1:11" x14ac:dyDescent="0.25">
      <c r="A1616" s="1" t="s">
        <v>529</v>
      </c>
      <c r="B1616" s="1"/>
      <c r="C1616" s="1" t="s">
        <v>2808</v>
      </c>
      <c r="D1616" s="1" t="s">
        <v>3370</v>
      </c>
      <c r="E1616" s="1"/>
      <c r="F1616">
        <v>0</v>
      </c>
      <c r="G1616">
        <v>0</v>
      </c>
      <c r="H1616">
        <v>0</v>
      </c>
      <c r="I1616">
        <v>0</v>
      </c>
      <c r="J1616">
        <v>1200</v>
      </c>
      <c r="K1616" s="2">
        <v>45775</v>
      </c>
    </row>
    <row r="1617" spans="1:11" x14ac:dyDescent="0.25">
      <c r="A1617" s="1" t="s">
        <v>529</v>
      </c>
      <c r="B1617" s="1"/>
      <c r="C1617" s="1" t="s">
        <v>2984</v>
      </c>
      <c r="D1617" s="1" t="s">
        <v>3452</v>
      </c>
      <c r="E1617" s="1"/>
      <c r="F1617">
        <v>12.2</v>
      </c>
      <c r="G1617">
        <v>8.1999999999999993</v>
      </c>
      <c r="H1617">
        <v>195</v>
      </c>
      <c r="I1617">
        <v>0</v>
      </c>
      <c r="J1617">
        <v>1200</v>
      </c>
      <c r="K1617" s="2">
        <v>45786</v>
      </c>
    </row>
    <row r="1618" spans="1:11" x14ac:dyDescent="0.25">
      <c r="A1618" s="1" t="s">
        <v>529</v>
      </c>
      <c r="B1618" s="1"/>
      <c r="C1618" s="1" t="s">
        <v>2848</v>
      </c>
      <c r="D1618" s="1" t="s">
        <v>3372</v>
      </c>
      <c r="E1618" s="1"/>
      <c r="F1618">
        <v>1</v>
      </c>
      <c r="G1618">
        <v>0</v>
      </c>
      <c r="H1618">
        <v>55</v>
      </c>
      <c r="I1618">
        <v>0</v>
      </c>
      <c r="J1618">
        <v>1200</v>
      </c>
      <c r="K1618" s="2">
        <v>45789</v>
      </c>
    </row>
    <row r="1619" spans="1:11" x14ac:dyDescent="0.25">
      <c r="A1619" s="1" t="s">
        <v>535</v>
      </c>
      <c r="B1619" s="1"/>
      <c r="C1619" s="1" t="s">
        <v>2808</v>
      </c>
      <c r="D1619" s="1" t="s">
        <v>3370</v>
      </c>
      <c r="E1619" s="1"/>
      <c r="F1619">
        <v>0</v>
      </c>
      <c r="G1619">
        <v>0</v>
      </c>
      <c r="H1619">
        <v>0</v>
      </c>
      <c r="I1619">
        <v>0</v>
      </c>
      <c r="J1619">
        <v>1200</v>
      </c>
      <c r="K1619" s="2">
        <v>45785</v>
      </c>
    </row>
    <row r="1620" spans="1:11" x14ac:dyDescent="0.25">
      <c r="A1620" s="1" t="s">
        <v>538</v>
      </c>
      <c r="B1620" s="1"/>
      <c r="C1620" s="1" t="s">
        <v>2808</v>
      </c>
      <c r="D1620" s="1" t="s">
        <v>3370</v>
      </c>
      <c r="E1620" s="1"/>
      <c r="F1620">
        <v>0</v>
      </c>
      <c r="G1620">
        <v>0</v>
      </c>
      <c r="H1620">
        <v>0</v>
      </c>
      <c r="I1620">
        <v>0</v>
      </c>
      <c r="J1620">
        <v>1200</v>
      </c>
      <c r="K1620" s="2">
        <v>45785</v>
      </c>
    </row>
    <row r="1621" spans="1:11" x14ac:dyDescent="0.25">
      <c r="A1621" s="1" t="s">
        <v>573</v>
      </c>
      <c r="B1621" s="1"/>
      <c r="C1621" s="1" t="s">
        <v>2808</v>
      </c>
      <c r="D1621" s="1" t="s">
        <v>3370</v>
      </c>
      <c r="E1621" s="1"/>
      <c r="F1621">
        <v>0</v>
      </c>
      <c r="G1621">
        <v>0</v>
      </c>
      <c r="H1621">
        <v>0</v>
      </c>
      <c r="I1621">
        <v>0</v>
      </c>
      <c r="J1621">
        <v>1200</v>
      </c>
      <c r="K1621" s="2">
        <v>45789</v>
      </c>
    </row>
    <row r="1622" spans="1:11" x14ac:dyDescent="0.25">
      <c r="A1622" s="1" t="s">
        <v>844</v>
      </c>
      <c r="B1622" s="1"/>
      <c r="C1622" s="1" t="s">
        <v>2808</v>
      </c>
      <c r="D1622" s="1" t="s">
        <v>3370</v>
      </c>
      <c r="E1622" s="1"/>
      <c r="F1622">
        <v>0</v>
      </c>
      <c r="G1622">
        <v>0</v>
      </c>
      <c r="H1622">
        <v>0</v>
      </c>
      <c r="I1622">
        <v>0</v>
      </c>
      <c r="J1622">
        <v>8</v>
      </c>
      <c r="K1622" s="2">
        <v>45782</v>
      </c>
    </row>
    <row r="1623" spans="1:11" x14ac:dyDescent="0.25">
      <c r="A1623" s="1" t="s">
        <v>844</v>
      </c>
      <c r="B1623" s="1"/>
      <c r="C1623" s="1" t="s">
        <v>3071</v>
      </c>
      <c r="D1623" s="1" t="s">
        <v>3372</v>
      </c>
      <c r="E1623" s="1"/>
      <c r="F1623">
        <v>1</v>
      </c>
      <c r="G1623">
        <v>0</v>
      </c>
      <c r="H1623">
        <v>55</v>
      </c>
      <c r="I1623">
        <v>0</v>
      </c>
      <c r="J1623">
        <v>8</v>
      </c>
      <c r="K1623" s="2">
        <v>45783</v>
      </c>
    </row>
    <row r="1624" spans="1:11" x14ac:dyDescent="0.25">
      <c r="A1624" s="1" t="s">
        <v>719</v>
      </c>
      <c r="B1624" s="1"/>
      <c r="C1624" s="1" t="s">
        <v>2808</v>
      </c>
      <c r="D1624" s="1" t="s">
        <v>3370</v>
      </c>
      <c r="E1624" s="1"/>
      <c r="F1624">
        <v>0</v>
      </c>
      <c r="G1624">
        <v>0</v>
      </c>
      <c r="H1624">
        <v>0</v>
      </c>
      <c r="I1624">
        <v>0</v>
      </c>
      <c r="J1624">
        <v>312</v>
      </c>
      <c r="K1624" s="2">
        <v>45770</v>
      </c>
    </row>
    <row r="1625" spans="1:11" x14ac:dyDescent="0.25">
      <c r="A1625" s="1" t="s">
        <v>719</v>
      </c>
      <c r="B1625" s="1"/>
      <c r="C1625" s="1" t="s">
        <v>2997</v>
      </c>
      <c r="D1625" s="1" t="s">
        <v>3413</v>
      </c>
      <c r="E1625" s="1"/>
      <c r="F1625">
        <v>7.7</v>
      </c>
      <c r="G1625">
        <v>12.2</v>
      </c>
      <c r="H1625">
        <v>-280</v>
      </c>
      <c r="I1625">
        <v>0</v>
      </c>
      <c r="J1625">
        <v>312</v>
      </c>
      <c r="K1625" s="2">
        <v>45778</v>
      </c>
    </row>
    <row r="1626" spans="1:11" x14ac:dyDescent="0.25">
      <c r="A1626" s="1" t="s">
        <v>719</v>
      </c>
      <c r="B1626" s="1"/>
      <c r="C1626" s="1" t="s">
        <v>2918</v>
      </c>
      <c r="D1626" s="1" t="s">
        <v>3412</v>
      </c>
      <c r="E1626" s="1"/>
      <c r="F1626">
        <v>7.7</v>
      </c>
      <c r="G1626">
        <v>7.5</v>
      </c>
      <c r="H1626">
        <v>15</v>
      </c>
      <c r="I1626">
        <v>0</v>
      </c>
      <c r="J1626">
        <v>312</v>
      </c>
      <c r="K1626" s="2">
        <v>45778</v>
      </c>
    </row>
    <row r="1627" spans="1:11" x14ac:dyDescent="0.25">
      <c r="A1627" s="1" t="s">
        <v>719</v>
      </c>
      <c r="B1627" s="1"/>
      <c r="C1627" s="1" t="s">
        <v>2833</v>
      </c>
      <c r="D1627" s="1" t="s">
        <v>3388</v>
      </c>
      <c r="E1627" s="1"/>
      <c r="F1627">
        <v>3.3</v>
      </c>
      <c r="G1627">
        <v>5.0999999999999996</v>
      </c>
      <c r="H1627">
        <v>-110</v>
      </c>
      <c r="I1627">
        <v>0</v>
      </c>
      <c r="J1627">
        <v>312</v>
      </c>
      <c r="K1627" s="2">
        <v>45778</v>
      </c>
    </row>
    <row r="1628" spans="1:11" x14ac:dyDescent="0.25">
      <c r="A1628" s="1" t="s">
        <v>719</v>
      </c>
      <c r="B1628" s="1"/>
      <c r="C1628" s="1" t="s">
        <v>3072</v>
      </c>
      <c r="D1628" s="1" t="s">
        <v>3418</v>
      </c>
      <c r="E1628" s="1"/>
      <c r="F1628">
        <v>9.4</v>
      </c>
      <c r="G1628">
        <v>53.8</v>
      </c>
      <c r="H1628">
        <v>-2435</v>
      </c>
      <c r="I1628">
        <v>0</v>
      </c>
      <c r="J1628">
        <v>312</v>
      </c>
      <c r="K1628" s="2">
        <v>45782</v>
      </c>
    </row>
    <row r="1629" spans="1:11" x14ac:dyDescent="0.25">
      <c r="A1629" s="1" t="s">
        <v>719</v>
      </c>
      <c r="B1629" s="1"/>
      <c r="C1629" s="1" t="s">
        <v>3073</v>
      </c>
      <c r="D1629" s="1" t="s">
        <v>3427</v>
      </c>
      <c r="E1629" s="1"/>
      <c r="F1629">
        <v>61</v>
      </c>
      <c r="G1629">
        <v>4.9000000000000004</v>
      </c>
      <c r="H1629">
        <v>2350</v>
      </c>
      <c r="I1629">
        <v>2</v>
      </c>
      <c r="J1629">
        <v>3</v>
      </c>
      <c r="K1629" s="2">
        <v>45784</v>
      </c>
    </row>
    <row r="1630" spans="1:11" x14ac:dyDescent="0.25">
      <c r="A1630" s="1" t="s">
        <v>719</v>
      </c>
      <c r="B1630" s="1"/>
      <c r="C1630" s="1" t="s">
        <v>2870</v>
      </c>
      <c r="D1630" s="1" t="s">
        <v>3391</v>
      </c>
      <c r="E1630" s="1"/>
      <c r="F1630">
        <v>7.7</v>
      </c>
      <c r="G1630">
        <v>12.2</v>
      </c>
      <c r="H1630">
        <v>-245</v>
      </c>
      <c r="I1630">
        <v>0</v>
      </c>
      <c r="J1630">
        <v>304</v>
      </c>
      <c r="K1630" s="2">
        <v>45784</v>
      </c>
    </row>
    <row r="1631" spans="1:11" x14ac:dyDescent="0.25">
      <c r="A1631" s="1" t="s">
        <v>719</v>
      </c>
      <c r="B1631" s="1"/>
      <c r="C1631" s="1" t="s">
        <v>3074</v>
      </c>
      <c r="D1631" s="1" t="s">
        <v>3388</v>
      </c>
      <c r="E1631" s="1"/>
      <c r="F1631">
        <v>10.199999999999999</v>
      </c>
      <c r="G1631">
        <v>1.4</v>
      </c>
      <c r="H1631">
        <v>550</v>
      </c>
      <c r="I1631">
        <v>0</v>
      </c>
      <c r="J1631">
        <v>304</v>
      </c>
      <c r="K1631" s="2">
        <v>45784</v>
      </c>
    </row>
    <row r="1632" spans="1:11" x14ac:dyDescent="0.25">
      <c r="A1632" s="1" t="s">
        <v>719</v>
      </c>
      <c r="B1632" s="1"/>
      <c r="C1632" s="1" t="s">
        <v>2828</v>
      </c>
      <c r="D1632" s="1" t="s">
        <v>3391</v>
      </c>
      <c r="E1632" s="1"/>
      <c r="F1632">
        <v>25.8</v>
      </c>
      <c r="G1632">
        <v>18.100000000000001</v>
      </c>
      <c r="H1632">
        <v>430</v>
      </c>
      <c r="I1632">
        <v>0</v>
      </c>
      <c r="J1632">
        <v>304</v>
      </c>
      <c r="K1632" s="2">
        <v>45784</v>
      </c>
    </row>
    <row r="1633" spans="1:11" x14ac:dyDescent="0.25">
      <c r="A1633" s="1" t="s">
        <v>590</v>
      </c>
      <c r="B1633" s="1"/>
      <c r="C1633" s="1" t="s">
        <v>2808</v>
      </c>
      <c r="D1633" s="1" t="s">
        <v>3370</v>
      </c>
      <c r="E1633" s="1"/>
      <c r="F1633">
        <v>0</v>
      </c>
      <c r="G1633">
        <v>0</v>
      </c>
      <c r="H1633">
        <v>0</v>
      </c>
      <c r="I1633">
        <v>0</v>
      </c>
      <c r="J1633">
        <v>100</v>
      </c>
      <c r="K1633" s="2">
        <v>45761</v>
      </c>
    </row>
    <row r="1634" spans="1:11" x14ac:dyDescent="0.25">
      <c r="A1634" s="1" t="s">
        <v>590</v>
      </c>
      <c r="B1634" s="1"/>
      <c r="C1634" s="1" t="s">
        <v>3075</v>
      </c>
      <c r="D1634" s="1" t="s">
        <v>3382</v>
      </c>
      <c r="E1634" s="1"/>
      <c r="F1634">
        <v>2.7</v>
      </c>
      <c r="G1634">
        <v>2.5</v>
      </c>
      <c r="H1634">
        <v>15</v>
      </c>
      <c r="I1634">
        <v>0</v>
      </c>
      <c r="J1634">
        <v>100</v>
      </c>
      <c r="K1634" s="2">
        <v>45762</v>
      </c>
    </row>
    <row r="1635" spans="1:11" x14ac:dyDescent="0.25">
      <c r="A1635" s="1" t="s">
        <v>590</v>
      </c>
      <c r="B1635" s="1"/>
      <c r="C1635" s="1" t="s">
        <v>3076</v>
      </c>
      <c r="D1635" s="1" t="s">
        <v>3372</v>
      </c>
      <c r="E1635" s="1"/>
      <c r="F1635">
        <v>1</v>
      </c>
      <c r="G1635">
        <v>0</v>
      </c>
      <c r="H1635">
        <v>50</v>
      </c>
      <c r="I1635">
        <v>0</v>
      </c>
      <c r="J1635">
        <v>100</v>
      </c>
      <c r="K1635" s="2">
        <v>45762</v>
      </c>
    </row>
    <row r="1636" spans="1:11" x14ac:dyDescent="0.25">
      <c r="A1636" s="1" t="s">
        <v>590</v>
      </c>
      <c r="B1636" s="1"/>
      <c r="C1636" s="1" t="s">
        <v>2817</v>
      </c>
      <c r="D1636" s="1" t="s">
        <v>3377</v>
      </c>
      <c r="E1636" s="1"/>
      <c r="F1636">
        <v>0.8</v>
      </c>
      <c r="G1636">
        <v>0.2</v>
      </c>
      <c r="H1636">
        <v>30</v>
      </c>
      <c r="I1636">
        <v>0</v>
      </c>
      <c r="J1636">
        <v>100</v>
      </c>
      <c r="K1636" s="2">
        <v>45768</v>
      </c>
    </row>
    <row r="1637" spans="1:11" x14ac:dyDescent="0.25">
      <c r="A1637" s="1" t="s">
        <v>583</v>
      </c>
      <c r="B1637" s="1"/>
      <c r="C1637" s="1" t="s">
        <v>2808</v>
      </c>
      <c r="D1637" s="1" t="s">
        <v>3370</v>
      </c>
      <c r="E1637" s="1"/>
      <c r="F1637">
        <v>0</v>
      </c>
      <c r="G1637">
        <v>0</v>
      </c>
      <c r="H1637">
        <v>0</v>
      </c>
      <c r="I1637">
        <v>0</v>
      </c>
      <c r="J1637">
        <v>300</v>
      </c>
      <c r="K1637" s="2">
        <v>45761</v>
      </c>
    </row>
    <row r="1638" spans="1:11" x14ac:dyDescent="0.25">
      <c r="A1638" s="1" t="s">
        <v>583</v>
      </c>
      <c r="B1638" s="1"/>
      <c r="C1638" s="1" t="s">
        <v>3075</v>
      </c>
      <c r="D1638" s="1" t="s">
        <v>3382</v>
      </c>
      <c r="E1638" s="1"/>
      <c r="F1638">
        <v>17.8</v>
      </c>
      <c r="G1638">
        <v>6.7</v>
      </c>
      <c r="H1638">
        <v>545</v>
      </c>
      <c r="I1638">
        <v>0</v>
      </c>
      <c r="J1638">
        <v>300</v>
      </c>
      <c r="K1638" s="2">
        <v>45763</v>
      </c>
    </row>
    <row r="1639" spans="1:11" x14ac:dyDescent="0.25">
      <c r="A1639" s="1" t="s">
        <v>583</v>
      </c>
      <c r="B1639" s="1"/>
      <c r="C1639" s="1" t="s">
        <v>3076</v>
      </c>
      <c r="D1639" s="1" t="s">
        <v>3372</v>
      </c>
      <c r="E1639" s="1"/>
      <c r="F1639">
        <v>1</v>
      </c>
      <c r="G1639">
        <v>0.1</v>
      </c>
      <c r="H1639">
        <v>45</v>
      </c>
      <c r="I1639">
        <v>0</v>
      </c>
      <c r="J1639">
        <v>300</v>
      </c>
      <c r="K1639" s="2">
        <v>45775</v>
      </c>
    </row>
    <row r="1640" spans="1:11" x14ac:dyDescent="0.25">
      <c r="A1640" s="1" t="s">
        <v>583</v>
      </c>
      <c r="B1640" s="1"/>
      <c r="C1640" s="1" t="s">
        <v>2847</v>
      </c>
      <c r="D1640" s="1" t="s">
        <v>3419</v>
      </c>
      <c r="E1640" s="1"/>
      <c r="F1640">
        <v>1.8</v>
      </c>
      <c r="G1640">
        <v>0.9</v>
      </c>
      <c r="H1640">
        <v>55</v>
      </c>
      <c r="I1640">
        <v>0</v>
      </c>
      <c r="J1640">
        <v>300</v>
      </c>
      <c r="K1640" s="2">
        <v>45775</v>
      </c>
    </row>
    <row r="1641" spans="1:11" x14ac:dyDescent="0.25">
      <c r="A1641" s="1" t="s">
        <v>584</v>
      </c>
      <c r="B1641" s="1"/>
      <c r="C1641" s="1" t="s">
        <v>2808</v>
      </c>
      <c r="D1641" s="1" t="s">
        <v>3370</v>
      </c>
      <c r="E1641" s="1"/>
      <c r="F1641">
        <v>0</v>
      </c>
      <c r="G1641">
        <v>0</v>
      </c>
      <c r="H1641">
        <v>0</v>
      </c>
      <c r="I1641">
        <v>0</v>
      </c>
      <c r="J1641">
        <v>300</v>
      </c>
      <c r="K1641" s="2">
        <v>45761</v>
      </c>
    </row>
    <row r="1642" spans="1:11" x14ac:dyDescent="0.25">
      <c r="A1642" s="1" t="s">
        <v>584</v>
      </c>
      <c r="B1642" s="1"/>
      <c r="C1642" s="1" t="s">
        <v>3075</v>
      </c>
      <c r="D1642" s="1" t="s">
        <v>3382</v>
      </c>
      <c r="E1642" s="1"/>
      <c r="F1642">
        <v>17.8</v>
      </c>
      <c r="G1642">
        <v>3.9</v>
      </c>
      <c r="H1642">
        <v>680</v>
      </c>
      <c r="I1642">
        <v>0</v>
      </c>
      <c r="J1642">
        <v>300</v>
      </c>
      <c r="K1642" s="2">
        <v>45776</v>
      </c>
    </row>
    <row r="1643" spans="1:11" x14ac:dyDescent="0.25">
      <c r="A1643" s="1" t="s">
        <v>584</v>
      </c>
      <c r="B1643" s="1"/>
      <c r="C1643" s="1" t="s">
        <v>3076</v>
      </c>
      <c r="D1643" s="1" t="s">
        <v>3372</v>
      </c>
      <c r="E1643" s="1"/>
      <c r="F1643">
        <v>1</v>
      </c>
      <c r="G1643">
        <v>0.3</v>
      </c>
      <c r="H1643">
        <v>40</v>
      </c>
      <c r="I1643">
        <v>0</v>
      </c>
      <c r="J1643">
        <v>300</v>
      </c>
      <c r="K1643" s="2">
        <v>45782</v>
      </c>
    </row>
    <row r="1644" spans="1:11" x14ac:dyDescent="0.25">
      <c r="A1644" s="1" t="s">
        <v>584</v>
      </c>
      <c r="B1644" s="1"/>
      <c r="C1644" s="1" t="s">
        <v>2847</v>
      </c>
      <c r="D1644" s="1" t="s">
        <v>3419</v>
      </c>
      <c r="E1644" s="1"/>
      <c r="F1644">
        <v>1.8</v>
      </c>
      <c r="G1644">
        <v>2</v>
      </c>
      <c r="H1644">
        <v>-5</v>
      </c>
      <c r="I1644">
        <v>0</v>
      </c>
      <c r="J1644">
        <v>300</v>
      </c>
      <c r="K1644" s="2">
        <v>45782</v>
      </c>
    </row>
    <row r="1645" spans="1:11" x14ac:dyDescent="0.25">
      <c r="A1645" s="1" t="s">
        <v>276</v>
      </c>
      <c r="B1645" s="1"/>
      <c r="C1645" s="1" t="s">
        <v>3077</v>
      </c>
      <c r="D1645" s="1" t="s">
        <v>3371</v>
      </c>
      <c r="E1645" s="1"/>
      <c r="F1645">
        <v>5.5</v>
      </c>
      <c r="G1645">
        <v>3.9</v>
      </c>
      <c r="H1645">
        <v>100</v>
      </c>
      <c r="I1645">
        <v>0</v>
      </c>
      <c r="J1645">
        <v>588</v>
      </c>
      <c r="K1645" s="2">
        <v>45762</v>
      </c>
    </row>
    <row r="1646" spans="1:11" x14ac:dyDescent="0.25">
      <c r="A1646" s="1" t="s">
        <v>276</v>
      </c>
      <c r="B1646" s="1"/>
      <c r="C1646" s="1" t="s">
        <v>3078</v>
      </c>
      <c r="D1646" s="1" t="s">
        <v>3371</v>
      </c>
      <c r="E1646" s="1"/>
      <c r="F1646">
        <v>5.3</v>
      </c>
      <c r="G1646">
        <v>0</v>
      </c>
      <c r="H1646">
        <v>280</v>
      </c>
      <c r="I1646">
        <v>0</v>
      </c>
      <c r="J1646">
        <v>500</v>
      </c>
      <c r="K1646" s="2">
        <v>45758</v>
      </c>
    </row>
    <row r="1647" spans="1:11" x14ac:dyDescent="0.25">
      <c r="A1647" s="1" t="s">
        <v>276</v>
      </c>
      <c r="B1647" s="1"/>
      <c r="C1647" s="1" t="s">
        <v>3079</v>
      </c>
      <c r="D1647" s="1" t="s">
        <v>3371</v>
      </c>
      <c r="E1647" s="1"/>
      <c r="F1647">
        <v>0</v>
      </c>
      <c r="G1647">
        <v>0</v>
      </c>
      <c r="H1647">
        <v>0</v>
      </c>
      <c r="I1647">
        <v>0</v>
      </c>
      <c r="J1647">
        <v>500</v>
      </c>
      <c r="K1647" s="2">
        <v>45758</v>
      </c>
    </row>
    <row r="1648" spans="1:11" x14ac:dyDescent="0.25">
      <c r="A1648" s="1" t="s">
        <v>276</v>
      </c>
      <c r="B1648" s="1"/>
      <c r="C1648" s="1" t="s">
        <v>3080</v>
      </c>
      <c r="D1648" s="1" t="s">
        <v>3386</v>
      </c>
      <c r="E1648" s="1"/>
      <c r="F1648">
        <v>39.5</v>
      </c>
      <c r="G1648">
        <v>56.2</v>
      </c>
      <c r="H1648">
        <v>-860</v>
      </c>
      <c r="I1648">
        <v>0</v>
      </c>
      <c r="J1648">
        <v>588</v>
      </c>
      <c r="K1648" s="2">
        <v>45762</v>
      </c>
    </row>
    <row r="1649" spans="1:11" x14ac:dyDescent="0.25">
      <c r="A1649" s="1" t="s">
        <v>276</v>
      </c>
      <c r="B1649" s="1"/>
      <c r="C1649" s="1" t="s">
        <v>2812</v>
      </c>
      <c r="D1649" s="1" t="s">
        <v>3374</v>
      </c>
      <c r="E1649" s="1"/>
      <c r="F1649">
        <v>0</v>
      </c>
      <c r="G1649">
        <v>0</v>
      </c>
      <c r="H1649">
        <v>0</v>
      </c>
      <c r="I1649">
        <v>0</v>
      </c>
      <c r="J1649">
        <v>500</v>
      </c>
      <c r="K1649" s="2">
        <v>45758</v>
      </c>
    </row>
    <row r="1650" spans="1:11" x14ac:dyDescent="0.25">
      <c r="A1650" s="1" t="s">
        <v>276</v>
      </c>
      <c r="B1650" s="1"/>
      <c r="C1650" s="1" t="s">
        <v>3081</v>
      </c>
      <c r="D1650" s="1" t="s">
        <v>3425</v>
      </c>
      <c r="E1650" s="1"/>
      <c r="F1650">
        <v>2</v>
      </c>
      <c r="G1650">
        <v>2.2000000000000002</v>
      </c>
      <c r="H1650">
        <v>-5</v>
      </c>
      <c r="I1650">
        <v>0</v>
      </c>
      <c r="J1650">
        <v>2</v>
      </c>
      <c r="K1650" s="2">
        <v>45758</v>
      </c>
    </row>
    <row r="1651" spans="1:11" x14ac:dyDescent="0.25">
      <c r="A1651" s="1" t="s">
        <v>276</v>
      </c>
      <c r="B1651" s="1"/>
      <c r="C1651" s="1" t="s">
        <v>2870</v>
      </c>
      <c r="D1651" s="1" t="s">
        <v>3375</v>
      </c>
      <c r="E1651" s="1"/>
      <c r="F1651">
        <v>16.7</v>
      </c>
      <c r="G1651">
        <v>16.8</v>
      </c>
      <c r="H1651">
        <v>-5</v>
      </c>
      <c r="I1651">
        <v>0</v>
      </c>
      <c r="J1651">
        <v>588</v>
      </c>
      <c r="K1651" s="2">
        <v>45762</v>
      </c>
    </row>
    <row r="1652" spans="1:11" x14ac:dyDescent="0.25">
      <c r="A1652" s="1" t="s">
        <v>276</v>
      </c>
      <c r="B1652" s="1"/>
      <c r="C1652" s="1" t="s">
        <v>2923</v>
      </c>
      <c r="D1652" s="1" t="s">
        <v>3417</v>
      </c>
      <c r="E1652" s="1"/>
      <c r="F1652">
        <v>2.8</v>
      </c>
      <c r="G1652">
        <v>0</v>
      </c>
      <c r="H1652">
        <v>145</v>
      </c>
      <c r="I1652">
        <v>0</v>
      </c>
      <c r="J1652">
        <v>588</v>
      </c>
      <c r="K1652" s="2">
        <v>45762</v>
      </c>
    </row>
    <row r="1653" spans="1:11" x14ac:dyDescent="0.25">
      <c r="A1653" s="1" t="s">
        <v>789</v>
      </c>
      <c r="B1653" s="1"/>
      <c r="C1653" s="1" t="s">
        <v>2808</v>
      </c>
      <c r="D1653" s="1" t="s">
        <v>3370</v>
      </c>
      <c r="E1653" s="1"/>
      <c r="F1653">
        <v>0</v>
      </c>
      <c r="G1653">
        <v>0</v>
      </c>
      <c r="H1653">
        <v>0</v>
      </c>
      <c r="I1653">
        <v>0</v>
      </c>
      <c r="J1653">
        <v>500</v>
      </c>
      <c r="K1653" s="2">
        <v>45776</v>
      </c>
    </row>
    <row r="1654" spans="1:11" x14ac:dyDescent="0.25">
      <c r="A1654" s="1" t="s">
        <v>337</v>
      </c>
      <c r="B1654" s="1"/>
      <c r="C1654" s="1" t="s">
        <v>2864</v>
      </c>
      <c r="D1654" s="1" t="s">
        <v>3425</v>
      </c>
      <c r="E1654" s="1"/>
      <c r="F1654">
        <v>1</v>
      </c>
      <c r="G1654">
        <v>2.2999999999999998</v>
      </c>
      <c r="H1654">
        <v>-50</v>
      </c>
      <c r="I1654">
        <v>0</v>
      </c>
      <c r="J1654">
        <v>2</v>
      </c>
      <c r="K1654" s="2">
        <v>45730</v>
      </c>
    </row>
    <row r="1655" spans="1:11" x14ac:dyDescent="0.25">
      <c r="A1655" s="1" t="s">
        <v>168</v>
      </c>
      <c r="B1655" s="1"/>
      <c r="C1655" s="1" t="s">
        <v>2817</v>
      </c>
      <c r="D1655" s="1" t="s">
        <v>3377</v>
      </c>
      <c r="E1655" s="1"/>
      <c r="F1655">
        <v>2.7</v>
      </c>
      <c r="G1655">
        <v>1.2</v>
      </c>
      <c r="H1655">
        <v>75</v>
      </c>
      <c r="I1655">
        <v>0</v>
      </c>
      <c r="J1655">
        <v>800</v>
      </c>
      <c r="K1655" s="2">
        <v>45782</v>
      </c>
    </row>
    <row r="1656" spans="1:11" x14ac:dyDescent="0.25">
      <c r="A1656" s="1" t="s">
        <v>149</v>
      </c>
      <c r="B1656" s="1"/>
      <c r="C1656" s="1" t="s">
        <v>3007</v>
      </c>
      <c r="D1656" s="1" t="s">
        <v>3456</v>
      </c>
      <c r="E1656" s="1"/>
      <c r="F1656">
        <v>0</v>
      </c>
      <c r="G1656">
        <v>0</v>
      </c>
      <c r="H1656">
        <v>0</v>
      </c>
      <c r="I1656">
        <v>0</v>
      </c>
      <c r="J1656">
        <v>1</v>
      </c>
      <c r="K1656" s="2">
        <v>45786</v>
      </c>
    </row>
    <row r="1657" spans="1:11" x14ac:dyDescent="0.25">
      <c r="A1657" s="1" t="s">
        <v>149</v>
      </c>
      <c r="B1657" s="1"/>
      <c r="C1657" s="1" t="s">
        <v>3082</v>
      </c>
      <c r="D1657" s="1" t="s">
        <v>3435</v>
      </c>
      <c r="E1657" s="1"/>
      <c r="F1657">
        <v>0.5</v>
      </c>
      <c r="G1657">
        <v>0</v>
      </c>
      <c r="H1657">
        <v>30</v>
      </c>
      <c r="I1657">
        <v>0</v>
      </c>
      <c r="J1657">
        <v>1</v>
      </c>
      <c r="K1657" s="2">
        <v>45786</v>
      </c>
    </row>
    <row r="1658" spans="1:11" x14ac:dyDescent="0.25">
      <c r="A1658" s="1" t="s">
        <v>149</v>
      </c>
      <c r="B1658" s="1"/>
      <c r="C1658" s="1" t="s">
        <v>3083</v>
      </c>
      <c r="D1658" s="1" t="s">
        <v>3464</v>
      </c>
      <c r="E1658" s="1"/>
      <c r="F1658">
        <v>2</v>
      </c>
      <c r="G1658">
        <v>2.7</v>
      </c>
      <c r="H1658">
        <v>-35</v>
      </c>
      <c r="I1658">
        <v>0</v>
      </c>
      <c r="J1658">
        <v>1</v>
      </c>
      <c r="K1658" s="2">
        <v>45786</v>
      </c>
    </row>
    <row r="1659" spans="1:11" x14ac:dyDescent="0.25">
      <c r="A1659" s="1" t="s">
        <v>149</v>
      </c>
      <c r="B1659" s="1"/>
      <c r="C1659" s="1" t="s">
        <v>3084</v>
      </c>
      <c r="D1659" s="1" t="s">
        <v>3435</v>
      </c>
      <c r="E1659" s="1"/>
      <c r="F1659">
        <v>0.7</v>
      </c>
      <c r="G1659">
        <v>0</v>
      </c>
      <c r="H1659">
        <v>40</v>
      </c>
      <c r="I1659">
        <v>0</v>
      </c>
      <c r="J1659">
        <v>1</v>
      </c>
      <c r="K1659" s="2">
        <v>45786</v>
      </c>
    </row>
    <row r="1660" spans="1:11" x14ac:dyDescent="0.25">
      <c r="A1660" s="1" t="s">
        <v>149</v>
      </c>
      <c r="B1660" s="1"/>
      <c r="C1660" s="1" t="s">
        <v>3085</v>
      </c>
      <c r="D1660" s="1" t="s">
        <v>3465</v>
      </c>
      <c r="E1660" s="1"/>
      <c r="F1660">
        <v>0.5</v>
      </c>
      <c r="G1660">
        <v>0</v>
      </c>
      <c r="H1660">
        <v>30</v>
      </c>
      <c r="I1660">
        <v>0</v>
      </c>
      <c r="J1660">
        <v>1</v>
      </c>
      <c r="K1660" s="2">
        <v>45786</v>
      </c>
    </row>
    <row r="1661" spans="1:11" x14ac:dyDescent="0.25">
      <c r="A1661" s="1" t="s">
        <v>149</v>
      </c>
      <c r="B1661" s="1"/>
      <c r="C1661" s="1" t="s">
        <v>3086</v>
      </c>
      <c r="D1661" s="1" t="s">
        <v>3456</v>
      </c>
      <c r="E1661" s="1"/>
      <c r="F1661">
        <v>0.2</v>
      </c>
      <c r="G1661">
        <v>0</v>
      </c>
      <c r="H1661">
        <v>10</v>
      </c>
      <c r="I1661">
        <v>0</v>
      </c>
      <c r="J1661">
        <v>1</v>
      </c>
      <c r="K1661" s="2">
        <v>45786</v>
      </c>
    </row>
    <row r="1662" spans="1:11" x14ac:dyDescent="0.25">
      <c r="A1662" s="1" t="s">
        <v>149</v>
      </c>
      <c r="B1662" s="1"/>
      <c r="C1662" s="1" t="s">
        <v>3087</v>
      </c>
      <c r="D1662" s="1" t="s">
        <v>3388</v>
      </c>
      <c r="E1662" s="1"/>
      <c r="F1662">
        <v>0.5</v>
      </c>
      <c r="G1662">
        <v>0.2</v>
      </c>
      <c r="H1662">
        <v>25</v>
      </c>
      <c r="I1662">
        <v>0</v>
      </c>
      <c r="J1662">
        <v>1</v>
      </c>
      <c r="K1662" s="2">
        <v>45786</v>
      </c>
    </row>
    <row r="1663" spans="1:11" x14ac:dyDescent="0.25">
      <c r="A1663" s="1" t="s">
        <v>149</v>
      </c>
      <c r="B1663" s="1"/>
      <c r="C1663" s="1" t="s">
        <v>3049</v>
      </c>
      <c r="D1663" s="1" t="s">
        <v>3456</v>
      </c>
      <c r="E1663" s="1"/>
      <c r="F1663">
        <v>1.5</v>
      </c>
      <c r="G1663">
        <v>0</v>
      </c>
      <c r="H1663">
        <v>85</v>
      </c>
      <c r="I1663">
        <v>0</v>
      </c>
      <c r="J1663">
        <v>1</v>
      </c>
      <c r="K1663" s="2">
        <v>45786</v>
      </c>
    </row>
    <row r="1664" spans="1:11" x14ac:dyDescent="0.25">
      <c r="A1664" s="1" t="s">
        <v>149</v>
      </c>
      <c r="B1664" s="1"/>
      <c r="C1664" s="1" t="s">
        <v>2827</v>
      </c>
      <c r="D1664" s="1" t="s">
        <v>3436</v>
      </c>
      <c r="E1664" s="1"/>
      <c r="F1664">
        <v>1</v>
      </c>
      <c r="G1664">
        <v>0.4</v>
      </c>
      <c r="H1664">
        <v>35</v>
      </c>
      <c r="I1664">
        <v>0</v>
      </c>
      <c r="J1664">
        <v>1</v>
      </c>
      <c r="K1664" s="2">
        <v>45786</v>
      </c>
    </row>
    <row r="1665" spans="1:11" x14ac:dyDescent="0.25">
      <c r="A1665" s="1" t="s">
        <v>149</v>
      </c>
      <c r="B1665" s="1"/>
      <c r="C1665" s="1" t="s">
        <v>3088</v>
      </c>
      <c r="D1665" s="1" t="s">
        <v>3429</v>
      </c>
      <c r="E1665" s="1"/>
      <c r="F1665">
        <v>1</v>
      </c>
      <c r="G1665">
        <v>0</v>
      </c>
      <c r="H1665">
        <v>65</v>
      </c>
      <c r="I1665">
        <v>0</v>
      </c>
      <c r="J1665">
        <v>1</v>
      </c>
      <c r="K1665" s="2">
        <v>45786</v>
      </c>
    </row>
    <row r="1666" spans="1:11" x14ac:dyDescent="0.25">
      <c r="A1666" s="1" t="s">
        <v>149</v>
      </c>
      <c r="B1666" s="1"/>
      <c r="C1666" s="1" t="s">
        <v>3056</v>
      </c>
      <c r="D1666" s="1" t="s">
        <v>3372</v>
      </c>
      <c r="E1666" s="1"/>
      <c r="F1666">
        <v>1</v>
      </c>
      <c r="G1666">
        <v>0.2</v>
      </c>
      <c r="H1666">
        <v>45</v>
      </c>
      <c r="I1666">
        <v>0</v>
      </c>
      <c r="J1666">
        <v>1</v>
      </c>
      <c r="K1666" s="2">
        <v>45786</v>
      </c>
    </row>
    <row r="1667" spans="1:11" x14ac:dyDescent="0.25">
      <c r="A1667" s="1" t="s">
        <v>714</v>
      </c>
      <c r="B1667" s="1"/>
      <c r="C1667" s="1" t="s">
        <v>2808</v>
      </c>
      <c r="D1667" s="1" t="s">
        <v>3370</v>
      </c>
      <c r="E1667" s="1"/>
      <c r="F1667">
        <v>0</v>
      </c>
      <c r="G1667">
        <v>0</v>
      </c>
      <c r="H1667">
        <v>0</v>
      </c>
      <c r="I1667">
        <v>0</v>
      </c>
      <c r="J1667">
        <v>59</v>
      </c>
      <c r="K1667" s="2">
        <v>45770</v>
      </c>
    </row>
    <row r="1668" spans="1:11" x14ac:dyDescent="0.25">
      <c r="A1668" s="1" t="s">
        <v>714</v>
      </c>
      <c r="B1668" s="1"/>
      <c r="C1668" s="1" t="s">
        <v>3075</v>
      </c>
      <c r="D1668" s="1" t="s">
        <v>3382</v>
      </c>
      <c r="E1668" s="1"/>
      <c r="F1668">
        <v>1.7</v>
      </c>
      <c r="G1668">
        <v>0.7</v>
      </c>
      <c r="H1668">
        <v>50</v>
      </c>
      <c r="I1668">
        <v>0</v>
      </c>
      <c r="J1668">
        <v>59</v>
      </c>
      <c r="K1668" s="2">
        <v>45772</v>
      </c>
    </row>
    <row r="1669" spans="1:11" x14ac:dyDescent="0.25">
      <c r="A1669" s="1" t="s">
        <v>714</v>
      </c>
      <c r="B1669" s="1"/>
      <c r="C1669" s="1" t="s">
        <v>2821</v>
      </c>
      <c r="D1669" s="1" t="s">
        <v>3396</v>
      </c>
      <c r="E1669" s="1"/>
      <c r="F1669">
        <v>3.2</v>
      </c>
      <c r="G1669">
        <v>2.6</v>
      </c>
      <c r="H1669">
        <v>30</v>
      </c>
      <c r="I1669">
        <v>0</v>
      </c>
      <c r="J1669">
        <v>59</v>
      </c>
      <c r="K1669" s="2">
        <v>45772</v>
      </c>
    </row>
    <row r="1670" spans="1:11" x14ac:dyDescent="0.25">
      <c r="A1670" s="1" t="s">
        <v>714</v>
      </c>
      <c r="B1670" s="1"/>
      <c r="C1670" s="1" t="s">
        <v>2816</v>
      </c>
      <c r="D1670" s="1" t="s">
        <v>3372</v>
      </c>
      <c r="E1670" s="1"/>
      <c r="F1670">
        <v>1</v>
      </c>
      <c r="G1670">
        <v>0.3</v>
      </c>
      <c r="H1670">
        <v>35</v>
      </c>
      <c r="I1670">
        <v>0</v>
      </c>
      <c r="J1670">
        <v>59</v>
      </c>
      <c r="K1670" s="2">
        <v>45772</v>
      </c>
    </row>
    <row r="1671" spans="1:11" x14ac:dyDescent="0.25">
      <c r="A1671" s="1" t="s">
        <v>714</v>
      </c>
      <c r="B1671" s="1"/>
      <c r="C1671" s="1" t="s">
        <v>2817</v>
      </c>
      <c r="D1671" s="1" t="s">
        <v>3377</v>
      </c>
      <c r="E1671" s="1"/>
      <c r="F1671">
        <v>0.5</v>
      </c>
      <c r="G1671">
        <v>0</v>
      </c>
      <c r="H1671">
        <v>30</v>
      </c>
      <c r="I1671">
        <v>0</v>
      </c>
      <c r="J1671">
        <v>59</v>
      </c>
      <c r="K1671" s="2">
        <v>45784</v>
      </c>
    </row>
    <row r="1672" spans="1:11" x14ac:dyDescent="0.25">
      <c r="A1672" s="1" t="s">
        <v>677</v>
      </c>
      <c r="B1672" s="1"/>
      <c r="C1672" s="1" t="s">
        <v>2808</v>
      </c>
      <c r="D1672" s="1" t="s">
        <v>3370</v>
      </c>
      <c r="E1672" s="1"/>
      <c r="F1672">
        <v>0</v>
      </c>
      <c r="G1672">
        <v>0</v>
      </c>
      <c r="H1672">
        <v>0</v>
      </c>
      <c r="I1672">
        <v>0</v>
      </c>
      <c r="J1672">
        <v>203</v>
      </c>
      <c r="K1672" s="2">
        <v>45778</v>
      </c>
    </row>
    <row r="1673" spans="1:11" x14ac:dyDescent="0.25">
      <c r="A1673" s="1" t="s">
        <v>722</v>
      </c>
      <c r="B1673" s="1"/>
      <c r="C1673" s="1" t="s">
        <v>2808</v>
      </c>
      <c r="D1673" s="1" t="s">
        <v>3370</v>
      </c>
      <c r="E1673" s="1"/>
      <c r="F1673">
        <v>0</v>
      </c>
      <c r="G1673">
        <v>0</v>
      </c>
      <c r="H1673">
        <v>0</v>
      </c>
      <c r="I1673">
        <v>0</v>
      </c>
      <c r="J1673">
        <v>348</v>
      </c>
      <c r="K1673" s="2">
        <v>45771</v>
      </c>
    </row>
    <row r="1674" spans="1:11" x14ac:dyDescent="0.25">
      <c r="A1674" s="1" t="s">
        <v>722</v>
      </c>
      <c r="B1674" s="1"/>
      <c r="C1674" s="1" t="s">
        <v>2918</v>
      </c>
      <c r="D1674" s="1" t="s">
        <v>3388</v>
      </c>
      <c r="E1674" s="1"/>
      <c r="F1674">
        <v>0.2</v>
      </c>
      <c r="G1674">
        <v>0.6</v>
      </c>
      <c r="H1674">
        <v>-20</v>
      </c>
      <c r="I1674">
        <v>0</v>
      </c>
      <c r="J1674">
        <v>348</v>
      </c>
      <c r="K1674" s="2">
        <v>45783</v>
      </c>
    </row>
    <row r="1675" spans="1:11" x14ac:dyDescent="0.25">
      <c r="A1675" s="1" t="s">
        <v>722</v>
      </c>
      <c r="B1675" s="1"/>
      <c r="C1675" s="1" t="s">
        <v>3019</v>
      </c>
      <c r="D1675" s="1" t="s">
        <v>3414</v>
      </c>
      <c r="E1675" s="1"/>
      <c r="F1675">
        <v>0.2</v>
      </c>
      <c r="G1675">
        <v>2.4</v>
      </c>
      <c r="H1675">
        <v>-135</v>
      </c>
      <c r="I1675">
        <v>0</v>
      </c>
      <c r="J1675">
        <v>348</v>
      </c>
      <c r="K1675" s="2">
        <v>45783</v>
      </c>
    </row>
    <row r="1676" spans="1:11" x14ac:dyDescent="0.25">
      <c r="A1676" s="1" t="s">
        <v>722</v>
      </c>
      <c r="B1676" s="1"/>
      <c r="C1676" s="1" t="s">
        <v>2918</v>
      </c>
      <c r="D1676" s="1" t="s">
        <v>3388</v>
      </c>
      <c r="E1676" s="1"/>
      <c r="F1676">
        <v>0.2</v>
      </c>
      <c r="G1676">
        <v>2.4</v>
      </c>
      <c r="H1676">
        <v>-135</v>
      </c>
      <c r="I1676">
        <v>0</v>
      </c>
      <c r="J1676">
        <v>348</v>
      </c>
      <c r="K1676" s="2">
        <v>45783</v>
      </c>
    </row>
    <row r="1677" spans="1:11" x14ac:dyDescent="0.25">
      <c r="A1677" s="1" t="s">
        <v>722</v>
      </c>
      <c r="B1677" s="1"/>
      <c r="C1677" s="1" t="s">
        <v>2833</v>
      </c>
      <c r="D1677" s="1" t="s">
        <v>3388</v>
      </c>
      <c r="E1677" s="1"/>
      <c r="F1677">
        <v>0.2</v>
      </c>
      <c r="G1677">
        <v>7.2</v>
      </c>
      <c r="H1677">
        <v>-435</v>
      </c>
      <c r="I1677">
        <v>0</v>
      </c>
      <c r="J1677">
        <v>348</v>
      </c>
      <c r="K1677" s="2">
        <v>45783</v>
      </c>
    </row>
    <row r="1678" spans="1:11" x14ac:dyDescent="0.25">
      <c r="A1678" s="1" t="s">
        <v>722</v>
      </c>
      <c r="B1678" s="1"/>
      <c r="C1678" s="1" t="s">
        <v>2834</v>
      </c>
      <c r="D1678" s="1" t="s">
        <v>3466</v>
      </c>
      <c r="E1678" s="1"/>
      <c r="F1678">
        <v>6.4</v>
      </c>
      <c r="G1678">
        <v>34.299999999999997</v>
      </c>
      <c r="H1678">
        <v>-1540</v>
      </c>
      <c r="I1678">
        <v>1</v>
      </c>
      <c r="J1678">
        <v>347</v>
      </c>
      <c r="K1678" s="2">
        <v>45783</v>
      </c>
    </row>
    <row r="1679" spans="1:11" x14ac:dyDescent="0.25">
      <c r="A1679" s="1" t="s">
        <v>722</v>
      </c>
      <c r="B1679" s="1"/>
      <c r="C1679" s="1" t="s">
        <v>2823</v>
      </c>
      <c r="D1679" s="1" t="s">
        <v>3467</v>
      </c>
      <c r="E1679" s="1"/>
      <c r="F1679">
        <v>2.6</v>
      </c>
      <c r="G1679">
        <v>4.8</v>
      </c>
      <c r="H1679">
        <v>-105</v>
      </c>
      <c r="I1679">
        <v>0</v>
      </c>
      <c r="J1679">
        <v>347</v>
      </c>
      <c r="K1679" s="2">
        <v>45783</v>
      </c>
    </row>
    <row r="1680" spans="1:11" x14ac:dyDescent="0.25">
      <c r="A1680" s="1" t="s">
        <v>722</v>
      </c>
      <c r="B1680" s="1"/>
      <c r="C1680" s="1" t="s">
        <v>3089</v>
      </c>
      <c r="D1680" s="1" t="s">
        <v>3388</v>
      </c>
      <c r="E1680" s="1"/>
      <c r="F1680">
        <v>5.2</v>
      </c>
      <c r="G1680">
        <v>1.7</v>
      </c>
      <c r="H1680">
        <v>225</v>
      </c>
      <c r="I1680">
        <v>0</v>
      </c>
      <c r="J1680">
        <v>347</v>
      </c>
      <c r="K1680" s="2">
        <v>45783</v>
      </c>
    </row>
    <row r="1681" spans="1:11" x14ac:dyDescent="0.25">
      <c r="A1681" s="1" t="s">
        <v>722</v>
      </c>
      <c r="B1681" s="1"/>
      <c r="C1681" s="1" t="s">
        <v>2923</v>
      </c>
      <c r="D1681" s="1" t="s">
        <v>3419</v>
      </c>
      <c r="E1681" s="1"/>
      <c r="F1681">
        <v>1.7</v>
      </c>
      <c r="G1681">
        <v>7.3</v>
      </c>
      <c r="H1681">
        <v>-300</v>
      </c>
      <c r="I1681">
        <v>0</v>
      </c>
      <c r="J1681">
        <v>347</v>
      </c>
      <c r="K1681" s="2">
        <v>45783</v>
      </c>
    </row>
    <row r="1682" spans="1:11" x14ac:dyDescent="0.25">
      <c r="A1682" s="1" t="s">
        <v>945</v>
      </c>
      <c r="B1682" s="1"/>
      <c r="C1682" s="1" t="s">
        <v>2808</v>
      </c>
      <c r="D1682" s="1" t="s">
        <v>3370</v>
      </c>
      <c r="E1682" s="1"/>
      <c r="F1682">
        <v>0</v>
      </c>
      <c r="G1682">
        <v>0</v>
      </c>
      <c r="H1682">
        <v>0</v>
      </c>
      <c r="I1682">
        <v>0</v>
      </c>
      <c r="J1682">
        <v>400</v>
      </c>
      <c r="K1682" s="2">
        <v>45786</v>
      </c>
    </row>
    <row r="1683" spans="1:11" x14ac:dyDescent="0.25">
      <c r="A1683" s="1" t="s">
        <v>262</v>
      </c>
      <c r="B1683" s="1"/>
      <c r="C1683" s="1" t="s">
        <v>3090</v>
      </c>
      <c r="D1683" s="1" t="s">
        <v>3388</v>
      </c>
      <c r="E1683" s="1"/>
      <c r="F1683">
        <v>1.7</v>
      </c>
      <c r="G1683">
        <v>0</v>
      </c>
      <c r="H1683">
        <v>110</v>
      </c>
      <c r="I1683">
        <v>0</v>
      </c>
      <c r="J1683">
        <v>296</v>
      </c>
      <c r="K1683" s="2">
        <v>45740</v>
      </c>
    </row>
    <row r="1684" spans="1:11" x14ac:dyDescent="0.25">
      <c r="A1684" s="1" t="s">
        <v>262</v>
      </c>
      <c r="B1684" s="1"/>
      <c r="C1684" s="1" t="s">
        <v>2871</v>
      </c>
      <c r="D1684" s="1" t="s">
        <v>3404</v>
      </c>
      <c r="E1684" s="1"/>
      <c r="F1684">
        <v>1.2</v>
      </c>
      <c r="G1684">
        <v>0</v>
      </c>
      <c r="H1684">
        <v>70</v>
      </c>
      <c r="I1684">
        <v>0</v>
      </c>
      <c r="J1684">
        <v>296</v>
      </c>
      <c r="K1684" s="2">
        <v>45740</v>
      </c>
    </row>
    <row r="1685" spans="1:11" x14ac:dyDescent="0.25">
      <c r="A1685" s="1" t="s">
        <v>262</v>
      </c>
      <c r="B1685" s="1"/>
      <c r="C1685" s="1" t="s">
        <v>2872</v>
      </c>
      <c r="D1685" s="1" t="s">
        <v>3371</v>
      </c>
      <c r="E1685" s="1"/>
      <c r="F1685">
        <v>1.7</v>
      </c>
      <c r="G1685">
        <v>0</v>
      </c>
      <c r="H1685">
        <v>95</v>
      </c>
      <c r="I1685">
        <v>0</v>
      </c>
      <c r="J1685">
        <v>296</v>
      </c>
      <c r="K1685" s="2">
        <v>45740</v>
      </c>
    </row>
    <row r="1686" spans="1:11" x14ac:dyDescent="0.25">
      <c r="A1686" s="1" t="s">
        <v>262</v>
      </c>
      <c r="B1686" s="1"/>
      <c r="C1686" s="1" t="s">
        <v>3079</v>
      </c>
      <c r="D1686" s="1" t="s">
        <v>3374</v>
      </c>
      <c r="E1686" s="1"/>
      <c r="F1686">
        <v>0</v>
      </c>
      <c r="G1686">
        <v>0</v>
      </c>
      <c r="H1686">
        <v>0</v>
      </c>
      <c r="I1686">
        <v>0</v>
      </c>
      <c r="J1686">
        <v>296</v>
      </c>
      <c r="K1686" s="2">
        <v>45740</v>
      </c>
    </row>
    <row r="1687" spans="1:11" x14ac:dyDescent="0.25">
      <c r="A1687" s="1" t="s">
        <v>262</v>
      </c>
      <c r="B1687" s="1"/>
      <c r="C1687" s="1" t="s">
        <v>2953</v>
      </c>
      <c r="D1687" s="1" t="s">
        <v>3447</v>
      </c>
      <c r="E1687" s="1"/>
      <c r="F1687">
        <v>7.2</v>
      </c>
      <c r="G1687">
        <v>4.9000000000000004</v>
      </c>
      <c r="H1687">
        <v>145</v>
      </c>
      <c r="I1687">
        <v>0</v>
      </c>
      <c r="J1687">
        <v>296</v>
      </c>
      <c r="K1687" s="2">
        <v>45754</v>
      </c>
    </row>
    <row r="1688" spans="1:11" x14ac:dyDescent="0.25">
      <c r="A1688" s="1" t="s">
        <v>262</v>
      </c>
      <c r="B1688" s="1"/>
      <c r="C1688" s="1" t="s">
        <v>2951</v>
      </c>
      <c r="D1688" s="1" t="s">
        <v>3374</v>
      </c>
      <c r="E1688" s="1"/>
      <c r="F1688">
        <v>0</v>
      </c>
      <c r="G1688">
        <v>0</v>
      </c>
      <c r="H1688">
        <v>0</v>
      </c>
      <c r="I1688">
        <v>0</v>
      </c>
      <c r="J1688">
        <v>296</v>
      </c>
      <c r="K1688" s="2">
        <v>45754</v>
      </c>
    </row>
    <row r="1689" spans="1:11" x14ac:dyDescent="0.25">
      <c r="A1689" s="1" t="s">
        <v>262</v>
      </c>
      <c r="B1689" s="1"/>
      <c r="C1689" s="1" t="s">
        <v>2870</v>
      </c>
      <c r="D1689" s="1" t="s">
        <v>3375</v>
      </c>
      <c r="E1689" s="1"/>
      <c r="F1689">
        <v>12.4</v>
      </c>
      <c r="G1689">
        <v>23.8</v>
      </c>
      <c r="H1689">
        <v>-590</v>
      </c>
      <c r="I1689">
        <v>0</v>
      </c>
      <c r="J1689">
        <v>296</v>
      </c>
      <c r="K1689" s="2">
        <v>45754</v>
      </c>
    </row>
    <row r="1690" spans="1:11" x14ac:dyDescent="0.25">
      <c r="A1690" s="1" t="s">
        <v>262</v>
      </c>
      <c r="B1690" s="1"/>
      <c r="C1690" s="1" t="s">
        <v>3091</v>
      </c>
      <c r="D1690" s="1" t="s">
        <v>3425</v>
      </c>
      <c r="E1690" s="1"/>
      <c r="F1690">
        <v>1</v>
      </c>
      <c r="G1690">
        <v>2.2999999999999998</v>
      </c>
      <c r="H1690">
        <v>-50</v>
      </c>
      <c r="I1690">
        <v>0</v>
      </c>
      <c r="J1690">
        <v>5</v>
      </c>
      <c r="K1690" s="2">
        <v>45740</v>
      </c>
    </row>
    <row r="1691" spans="1:11" x14ac:dyDescent="0.25">
      <c r="A1691" s="1" t="s">
        <v>262</v>
      </c>
      <c r="B1691" s="1"/>
      <c r="C1691" s="1" t="s">
        <v>2873</v>
      </c>
      <c r="D1691" s="1" t="s">
        <v>3447</v>
      </c>
      <c r="E1691" s="1"/>
      <c r="F1691">
        <v>13.3</v>
      </c>
      <c r="G1691">
        <v>38.4</v>
      </c>
      <c r="H1691">
        <v>-1330</v>
      </c>
      <c r="I1691">
        <v>10</v>
      </c>
      <c r="J1691">
        <v>286</v>
      </c>
      <c r="K1691" s="2">
        <v>45741</v>
      </c>
    </row>
    <row r="1692" spans="1:11" x14ac:dyDescent="0.25">
      <c r="A1692" s="1" t="s">
        <v>262</v>
      </c>
      <c r="B1692" s="1"/>
      <c r="C1692" s="1" t="s">
        <v>2812</v>
      </c>
      <c r="D1692" s="1" t="s">
        <v>3374</v>
      </c>
      <c r="E1692" s="1"/>
      <c r="F1692">
        <v>0</v>
      </c>
      <c r="G1692">
        <v>0</v>
      </c>
      <c r="H1692">
        <v>0</v>
      </c>
      <c r="I1692">
        <v>0</v>
      </c>
      <c r="J1692">
        <v>286</v>
      </c>
      <c r="K1692" s="2">
        <v>45747</v>
      </c>
    </row>
    <row r="1693" spans="1:11" x14ac:dyDescent="0.25">
      <c r="A1693" s="1" t="s">
        <v>262</v>
      </c>
      <c r="B1693" s="1"/>
      <c r="C1693" s="1" t="s">
        <v>2870</v>
      </c>
      <c r="D1693" s="1" t="s">
        <v>3375</v>
      </c>
      <c r="E1693" s="1"/>
      <c r="F1693">
        <v>24.9</v>
      </c>
      <c r="G1693">
        <v>5.7</v>
      </c>
      <c r="H1693">
        <v>1005</v>
      </c>
      <c r="I1693">
        <v>0</v>
      </c>
      <c r="J1693">
        <v>286</v>
      </c>
      <c r="K1693" s="2">
        <v>45747</v>
      </c>
    </row>
    <row r="1694" spans="1:11" x14ac:dyDescent="0.25">
      <c r="A1694" s="1" t="s">
        <v>262</v>
      </c>
      <c r="B1694" s="1"/>
      <c r="C1694" s="1" t="s">
        <v>3053</v>
      </c>
      <c r="D1694" s="1" t="s">
        <v>3453</v>
      </c>
      <c r="E1694" s="1"/>
      <c r="F1694">
        <v>3</v>
      </c>
      <c r="G1694">
        <v>3.9</v>
      </c>
      <c r="H1694">
        <v>-45</v>
      </c>
      <c r="I1694">
        <v>0</v>
      </c>
      <c r="J1694">
        <v>286</v>
      </c>
      <c r="K1694" s="2">
        <v>45754</v>
      </c>
    </row>
    <row r="1695" spans="1:11" x14ac:dyDescent="0.25">
      <c r="A1695" s="1" t="s">
        <v>262</v>
      </c>
      <c r="B1695" s="1"/>
      <c r="C1695" s="1" t="s">
        <v>3092</v>
      </c>
      <c r="D1695" s="1" t="s">
        <v>3403</v>
      </c>
      <c r="E1695" s="1"/>
      <c r="F1695">
        <v>1</v>
      </c>
      <c r="G1695">
        <v>0.2</v>
      </c>
      <c r="H1695">
        <v>70</v>
      </c>
      <c r="I1695">
        <v>0</v>
      </c>
      <c r="J1695">
        <v>286</v>
      </c>
      <c r="K1695" s="2">
        <v>45755</v>
      </c>
    </row>
    <row r="1696" spans="1:11" x14ac:dyDescent="0.25">
      <c r="A1696" s="1" t="s">
        <v>262</v>
      </c>
      <c r="B1696" s="1"/>
      <c r="C1696" s="1" t="s">
        <v>3093</v>
      </c>
      <c r="D1696" s="1" t="s">
        <v>3372</v>
      </c>
      <c r="E1696" s="1"/>
      <c r="F1696">
        <v>1</v>
      </c>
      <c r="G1696">
        <v>0.1</v>
      </c>
      <c r="H1696">
        <v>50</v>
      </c>
      <c r="I1696">
        <v>0</v>
      </c>
      <c r="J1696">
        <v>286</v>
      </c>
      <c r="K1696" s="2">
        <v>45755</v>
      </c>
    </row>
    <row r="1697" spans="1:11" x14ac:dyDescent="0.25">
      <c r="A1697" s="1" t="s">
        <v>521</v>
      </c>
      <c r="B1697" s="1"/>
      <c r="C1697" s="1" t="s">
        <v>2808</v>
      </c>
      <c r="D1697" s="1" t="s">
        <v>3370</v>
      </c>
      <c r="E1697" s="1"/>
      <c r="F1697">
        <v>0</v>
      </c>
      <c r="G1697">
        <v>0</v>
      </c>
      <c r="H1697">
        <v>0</v>
      </c>
      <c r="I1697">
        <v>0</v>
      </c>
      <c r="J1697">
        <v>12</v>
      </c>
      <c r="K1697" s="2">
        <v>45783</v>
      </c>
    </row>
    <row r="1698" spans="1:11" x14ac:dyDescent="0.25">
      <c r="A1698" s="1" t="s">
        <v>521</v>
      </c>
      <c r="B1698" s="1"/>
      <c r="C1698" s="1" t="s">
        <v>3090</v>
      </c>
      <c r="D1698" s="1" t="s">
        <v>3388</v>
      </c>
      <c r="E1698" s="1"/>
      <c r="F1698">
        <v>0.3</v>
      </c>
      <c r="G1698">
        <v>0</v>
      </c>
      <c r="H1698">
        <v>20</v>
      </c>
      <c r="I1698">
        <v>0</v>
      </c>
      <c r="J1698">
        <v>12</v>
      </c>
      <c r="K1698" s="2">
        <v>45783</v>
      </c>
    </row>
    <row r="1699" spans="1:11" x14ac:dyDescent="0.25">
      <c r="A1699" s="1" t="s">
        <v>521</v>
      </c>
      <c r="B1699" s="1"/>
      <c r="C1699" s="1" t="s">
        <v>2871</v>
      </c>
      <c r="D1699" s="1" t="s">
        <v>3404</v>
      </c>
      <c r="E1699" s="1"/>
      <c r="F1699">
        <v>0.3</v>
      </c>
      <c r="G1699">
        <v>0</v>
      </c>
      <c r="H1699">
        <v>25</v>
      </c>
      <c r="I1699">
        <v>0</v>
      </c>
      <c r="J1699">
        <v>12</v>
      </c>
      <c r="K1699" s="2">
        <v>45783</v>
      </c>
    </row>
    <row r="1700" spans="1:11" x14ac:dyDescent="0.25">
      <c r="A1700" s="1" t="s">
        <v>521</v>
      </c>
      <c r="B1700" s="1"/>
      <c r="C1700" s="1" t="s">
        <v>2872</v>
      </c>
      <c r="D1700" s="1" t="s">
        <v>3371</v>
      </c>
      <c r="E1700" s="1"/>
      <c r="F1700">
        <v>0.3</v>
      </c>
      <c r="G1700">
        <v>0</v>
      </c>
      <c r="H1700">
        <v>25</v>
      </c>
      <c r="I1700">
        <v>0</v>
      </c>
      <c r="J1700">
        <v>12</v>
      </c>
      <c r="K1700" s="2">
        <v>45783</v>
      </c>
    </row>
    <row r="1701" spans="1:11" x14ac:dyDescent="0.25">
      <c r="A1701" s="1" t="s">
        <v>521</v>
      </c>
      <c r="B1701" s="1"/>
      <c r="C1701" s="1" t="s">
        <v>3079</v>
      </c>
      <c r="D1701" s="1" t="s">
        <v>3374</v>
      </c>
      <c r="E1701" s="1"/>
      <c r="F1701">
        <v>0</v>
      </c>
      <c r="G1701">
        <v>0</v>
      </c>
      <c r="H1701">
        <v>0</v>
      </c>
      <c r="I1701">
        <v>0</v>
      </c>
      <c r="J1701">
        <v>12</v>
      </c>
      <c r="K1701" s="2">
        <v>45784</v>
      </c>
    </row>
    <row r="1702" spans="1:11" x14ac:dyDescent="0.25">
      <c r="A1702" s="1" t="s">
        <v>521</v>
      </c>
      <c r="B1702" s="1"/>
      <c r="C1702" s="1" t="s">
        <v>2953</v>
      </c>
      <c r="D1702" s="1" t="s">
        <v>3447</v>
      </c>
      <c r="E1702" s="1"/>
      <c r="F1702">
        <v>1.3</v>
      </c>
      <c r="G1702">
        <v>3.1</v>
      </c>
      <c r="H1702">
        <v>-115</v>
      </c>
      <c r="I1702">
        <v>0</v>
      </c>
      <c r="J1702">
        <v>12</v>
      </c>
      <c r="K1702" s="2">
        <v>45786</v>
      </c>
    </row>
    <row r="1703" spans="1:11" x14ac:dyDescent="0.25">
      <c r="A1703" s="1" t="s">
        <v>521</v>
      </c>
      <c r="B1703" s="1"/>
      <c r="C1703" s="1" t="s">
        <v>2951</v>
      </c>
      <c r="D1703" s="1" t="s">
        <v>3374</v>
      </c>
      <c r="E1703" s="1"/>
      <c r="F1703">
        <v>0</v>
      </c>
      <c r="G1703">
        <v>0</v>
      </c>
      <c r="H1703">
        <v>0</v>
      </c>
      <c r="I1703">
        <v>0</v>
      </c>
      <c r="J1703">
        <v>12</v>
      </c>
      <c r="K1703" s="2">
        <v>45786</v>
      </c>
    </row>
    <row r="1704" spans="1:11" x14ac:dyDescent="0.25">
      <c r="A1704" s="1" t="s">
        <v>521</v>
      </c>
      <c r="B1704" s="1"/>
      <c r="C1704" s="1" t="s">
        <v>2870</v>
      </c>
      <c r="D1704" s="1" t="s">
        <v>3375</v>
      </c>
      <c r="E1704" s="1"/>
      <c r="F1704">
        <v>0.5</v>
      </c>
      <c r="G1704">
        <v>0</v>
      </c>
      <c r="H1704">
        <v>30</v>
      </c>
      <c r="I1704">
        <v>0</v>
      </c>
      <c r="J1704">
        <v>5</v>
      </c>
      <c r="K1704" s="2">
        <v>45786</v>
      </c>
    </row>
    <row r="1705" spans="1:11" x14ac:dyDescent="0.25">
      <c r="A1705" s="1" t="s">
        <v>433</v>
      </c>
      <c r="B1705" s="1"/>
      <c r="C1705" s="1" t="s">
        <v>2808</v>
      </c>
      <c r="D1705" s="1" t="s">
        <v>3370</v>
      </c>
      <c r="E1705" s="1"/>
      <c r="F1705">
        <v>0</v>
      </c>
      <c r="G1705">
        <v>0</v>
      </c>
      <c r="H1705">
        <v>0</v>
      </c>
      <c r="I1705">
        <v>0</v>
      </c>
      <c r="J1705">
        <v>39</v>
      </c>
      <c r="K1705" s="2">
        <v>45741</v>
      </c>
    </row>
    <row r="1706" spans="1:11" x14ac:dyDescent="0.25">
      <c r="A1706" s="1" t="s">
        <v>433</v>
      </c>
      <c r="B1706" s="1"/>
      <c r="C1706" s="1" t="s">
        <v>3094</v>
      </c>
      <c r="D1706" s="1" t="s">
        <v>3431</v>
      </c>
      <c r="E1706" s="1"/>
      <c r="F1706">
        <v>0.9</v>
      </c>
      <c r="G1706">
        <v>5.7</v>
      </c>
      <c r="H1706">
        <v>-300</v>
      </c>
      <c r="I1706">
        <v>0</v>
      </c>
      <c r="J1706">
        <v>39</v>
      </c>
      <c r="K1706" s="2">
        <v>45769</v>
      </c>
    </row>
    <row r="1707" spans="1:11" x14ac:dyDescent="0.25">
      <c r="A1707" s="1" t="s">
        <v>433</v>
      </c>
      <c r="B1707" s="1"/>
      <c r="C1707" s="1" t="s">
        <v>2982</v>
      </c>
      <c r="D1707" s="1" t="s">
        <v>3372</v>
      </c>
      <c r="E1707" s="1"/>
      <c r="F1707">
        <v>0.5</v>
      </c>
      <c r="G1707">
        <v>0</v>
      </c>
      <c r="H1707">
        <v>30</v>
      </c>
      <c r="I1707">
        <v>0</v>
      </c>
      <c r="J1707">
        <v>39</v>
      </c>
      <c r="K1707" s="2">
        <v>45742</v>
      </c>
    </row>
    <row r="1708" spans="1:11" x14ac:dyDescent="0.25">
      <c r="A1708" s="1" t="s">
        <v>433</v>
      </c>
      <c r="B1708" s="1"/>
      <c r="C1708" s="1" t="s">
        <v>2923</v>
      </c>
      <c r="D1708" s="1" t="s">
        <v>3449</v>
      </c>
      <c r="E1708" s="1"/>
      <c r="F1708">
        <v>2.4</v>
      </c>
      <c r="G1708">
        <v>0</v>
      </c>
      <c r="H1708">
        <v>155</v>
      </c>
      <c r="I1708">
        <v>0</v>
      </c>
      <c r="J1708">
        <v>39</v>
      </c>
      <c r="K1708" s="2">
        <v>45769</v>
      </c>
    </row>
    <row r="1709" spans="1:11" x14ac:dyDescent="0.25">
      <c r="A1709" s="1" t="s">
        <v>730</v>
      </c>
      <c r="B1709" s="1"/>
      <c r="C1709" s="1" t="s">
        <v>2808</v>
      </c>
      <c r="D1709" s="1" t="s">
        <v>3370</v>
      </c>
      <c r="E1709" s="1"/>
      <c r="F1709">
        <v>0</v>
      </c>
      <c r="G1709">
        <v>0</v>
      </c>
      <c r="H1709">
        <v>0</v>
      </c>
      <c r="I1709">
        <v>0</v>
      </c>
      <c r="J1709">
        <v>52</v>
      </c>
      <c r="K1709" s="2">
        <v>45772</v>
      </c>
    </row>
    <row r="1710" spans="1:11" x14ac:dyDescent="0.25">
      <c r="A1710" s="1" t="s">
        <v>730</v>
      </c>
      <c r="B1710" s="1"/>
      <c r="C1710" s="1" t="s">
        <v>3094</v>
      </c>
      <c r="D1710" s="1" t="s">
        <v>3431</v>
      </c>
      <c r="E1710" s="1"/>
      <c r="F1710">
        <v>1.1000000000000001</v>
      </c>
      <c r="G1710">
        <v>0</v>
      </c>
      <c r="H1710">
        <v>75</v>
      </c>
      <c r="I1710">
        <v>0</v>
      </c>
      <c r="J1710">
        <v>52</v>
      </c>
      <c r="K1710" s="2">
        <v>45775</v>
      </c>
    </row>
    <row r="1711" spans="1:11" x14ac:dyDescent="0.25">
      <c r="A1711" s="1" t="s">
        <v>730</v>
      </c>
      <c r="B1711" s="1"/>
      <c r="C1711" s="1" t="s">
        <v>2982</v>
      </c>
      <c r="D1711" s="1" t="s">
        <v>3372</v>
      </c>
      <c r="E1711" s="1"/>
      <c r="F1711">
        <v>0.5</v>
      </c>
      <c r="G1711">
        <v>0</v>
      </c>
      <c r="H1711">
        <v>30</v>
      </c>
      <c r="I1711">
        <v>0</v>
      </c>
      <c r="J1711">
        <v>52</v>
      </c>
      <c r="K1711" s="2">
        <v>45775</v>
      </c>
    </row>
    <row r="1712" spans="1:11" x14ac:dyDescent="0.25">
      <c r="A1712" s="1" t="s">
        <v>730</v>
      </c>
      <c r="B1712" s="1"/>
      <c r="C1712" s="1" t="s">
        <v>2923</v>
      </c>
      <c r="D1712" s="1" t="s">
        <v>3449</v>
      </c>
      <c r="E1712" s="1"/>
      <c r="F1712">
        <v>3.2</v>
      </c>
      <c r="G1712">
        <v>5.0999999999999996</v>
      </c>
      <c r="H1712">
        <v>-120</v>
      </c>
      <c r="I1712">
        <v>0</v>
      </c>
      <c r="J1712">
        <v>52</v>
      </c>
      <c r="K1712" s="2">
        <v>45775</v>
      </c>
    </row>
    <row r="1713" spans="1:11" x14ac:dyDescent="0.25">
      <c r="A1713" s="1" t="s">
        <v>392</v>
      </c>
      <c r="B1713" s="1"/>
      <c r="C1713" s="1" t="s">
        <v>2808</v>
      </c>
      <c r="D1713" s="1" t="s">
        <v>3370</v>
      </c>
      <c r="E1713" s="1"/>
      <c r="F1713">
        <v>0</v>
      </c>
      <c r="G1713">
        <v>0</v>
      </c>
      <c r="H1713">
        <v>0</v>
      </c>
      <c r="I1713">
        <v>0</v>
      </c>
      <c r="J1713">
        <v>521</v>
      </c>
      <c r="K1713" s="2">
        <v>45735</v>
      </c>
    </row>
    <row r="1714" spans="1:11" x14ac:dyDescent="0.25">
      <c r="A1714" s="1" t="s">
        <v>253</v>
      </c>
      <c r="B1714" s="1"/>
      <c r="C1714" s="1" t="s">
        <v>2808</v>
      </c>
      <c r="D1714" s="1" t="s">
        <v>3370</v>
      </c>
      <c r="E1714" s="1"/>
      <c r="F1714">
        <v>0</v>
      </c>
      <c r="G1714">
        <v>0</v>
      </c>
      <c r="H1714">
        <v>0</v>
      </c>
      <c r="I1714">
        <v>0</v>
      </c>
      <c r="J1714">
        <v>565</v>
      </c>
      <c r="K1714" s="2">
        <v>45734</v>
      </c>
    </row>
    <row r="1715" spans="1:11" x14ac:dyDescent="0.25">
      <c r="A1715" s="1" t="s">
        <v>649</v>
      </c>
      <c r="B1715" s="1"/>
      <c r="C1715" s="1" t="s">
        <v>2808</v>
      </c>
      <c r="D1715" s="1" t="s">
        <v>3370</v>
      </c>
      <c r="E1715" s="1"/>
      <c r="F1715">
        <v>0</v>
      </c>
      <c r="G1715">
        <v>0</v>
      </c>
      <c r="H1715">
        <v>0</v>
      </c>
      <c r="I1715">
        <v>0</v>
      </c>
      <c r="J1715">
        <v>522</v>
      </c>
      <c r="K1715" s="2">
        <v>45765</v>
      </c>
    </row>
    <row r="1716" spans="1:11" x14ac:dyDescent="0.25">
      <c r="A1716" s="1" t="s">
        <v>194</v>
      </c>
      <c r="B1716" s="1"/>
      <c r="C1716" s="1" t="s">
        <v>3095</v>
      </c>
      <c r="D1716" s="1" t="s">
        <v>3468</v>
      </c>
      <c r="E1716" s="1"/>
      <c r="F1716">
        <v>41.9</v>
      </c>
      <c r="G1716">
        <v>25</v>
      </c>
      <c r="H1716">
        <v>885</v>
      </c>
      <c r="I1716">
        <v>116</v>
      </c>
      <c r="J1716">
        <v>370</v>
      </c>
      <c r="K1716" s="2">
        <v>45741</v>
      </c>
    </row>
    <row r="1717" spans="1:11" x14ac:dyDescent="0.25">
      <c r="A1717" s="1" t="s">
        <v>209</v>
      </c>
      <c r="B1717" s="1"/>
      <c r="C1717" s="1" t="s">
        <v>2924</v>
      </c>
      <c r="D1717" s="1" t="s">
        <v>3372</v>
      </c>
      <c r="E1717" s="1"/>
      <c r="F1717">
        <v>1</v>
      </c>
      <c r="G1717">
        <v>0</v>
      </c>
      <c r="H1717">
        <v>50</v>
      </c>
      <c r="I1717">
        <v>0</v>
      </c>
      <c r="J1717">
        <v>422</v>
      </c>
      <c r="K1717" s="2">
        <v>45741</v>
      </c>
    </row>
    <row r="1718" spans="1:11" x14ac:dyDescent="0.25">
      <c r="A1718" s="1" t="s">
        <v>210</v>
      </c>
      <c r="B1718" s="1"/>
      <c r="C1718" s="1" t="s">
        <v>3095</v>
      </c>
      <c r="D1718" s="1" t="s">
        <v>3468</v>
      </c>
      <c r="E1718" s="1"/>
      <c r="F1718">
        <v>41.9</v>
      </c>
      <c r="G1718">
        <v>27.7</v>
      </c>
      <c r="H1718">
        <v>745</v>
      </c>
      <c r="I1718">
        <v>92</v>
      </c>
      <c r="J1718">
        <v>402</v>
      </c>
      <c r="K1718" s="2">
        <v>45741</v>
      </c>
    </row>
    <row r="1719" spans="1:11" x14ac:dyDescent="0.25">
      <c r="A1719" s="1" t="s">
        <v>210</v>
      </c>
      <c r="B1719" s="1"/>
      <c r="C1719" s="1" t="s">
        <v>2924</v>
      </c>
      <c r="D1719" s="1" t="s">
        <v>3372</v>
      </c>
      <c r="E1719" s="1"/>
      <c r="F1719">
        <v>1</v>
      </c>
      <c r="G1719">
        <v>0</v>
      </c>
      <c r="H1719">
        <v>55</v>
      </c>
      <c r="I1719">
        <v>0</v>
      </c>
      <c r="J1719">
        <v>402</v>
      </c>
      <c r="K1719" s="2">
        <v>45741</v>
      </c>
    </row>
    <row r="1720" spans="1:11" x14ac:dyDescent="0.25">
      <c r="A1720" s="1" t="s">
        <v>238</v>
      </c>
      <c r="B1720" s="1"/>
      <c r="C1720" s="1" t="s">
        <v>3095</v>
      </c>
      <c r="D1720" s="1" t="s">
        <v>3468</v>
      </c>
      <c r="E1720" s="1"/>
      <c r="F1720">
        <v>41.9</v>
      </c>
      <c r="G1720">
        <v>21.7</v>
      </c>
      <c r="H1720">
        <v>1055</v>
      </c>
      <c r="I1720">
        <v>89</v>
      </c>
      <c r="J1720">
        <v>402</v>
      </c>
      <c r="K1720" s="2">
        <v>45741</v>
      </c>
    </row>
    <row r="1721" spans="1:11" x14ac:dyDescent="0.25">
      <c r="A1721" s="1" t="s">
        <v>280</v>
      </c>
      <c r="B1721" s="1"/>
      <c r="C1721" s="1" t="s">
        <v>2926</v>
      </c>
      <c r="D1721" s="1" t="s">
        <v>3371</v>
      </c>
      <c r="E1721" s="1"/>
      <c r="F1721">
        <v>23.2</v>
      </c>
      <c r="G1721">
        <v>23.5</v>
      </c>
      <c r="H1721">
        <v>0</v>
      </c>
      <c r="I1721">
        <v>0</v>
      </c>
      <c r="J1721">
        <v>500</v>
      </c>
      <c r="K1721" s="2">
        <v>45735</v>
      </c>
    </row>
    <row r="1722" spans="1:11" x14ac:dyDescent="0.25">
      <c r="A1722" s="1" t="s">
        <v>281</v>
      </c>
      <c r="B1722" s="1"/>
      <c r="C1722" s="1" t="s">
        <v>2926</v>
      </c>
      <c r="D1722" s="1" t="s">
        <v>3371</v>
      </c>
      <c r="E1722" s="1"/>
      <c r="F1722">
        <v>23.2</v>
      </c>
      <c r="G1722">
        <v>7.9</v>
      </c>
      <c r="H1722">
        <v>805</v>
      </c>
      <c r="I1722">
        <v>0</v>
      </c>
      <c r="J1722">
        <v>503</v>
      </c>
      <c r="K1722" s="2">
        <v>45729</v>
      </c>
    </row>
    <row r="1723" spans="1:11" x14ac:dyDescent="0.25">
      <c r="A1723" s="1" t="s">
        <v>281</v>
      </c>
      <c r="B1723" s="1"/>
      <c r="C1723" s="1" t="s">
        <v>3096</v>
      </c>
      <c r="D1723" s="1" t="s">
        <v>3469</v>
      </c>
      <c r="E1723" s="1"/>
      <c r="F1723">
        <v>1</v>
      </c>
      <c r="G1723">
        <v>0</v>
      </c>
      <c r="H1723">
        <v>60</v>
      </c>
      <c r="I1723">
        <v>0</v>
      </c>
      <c r="J1723">
        <v>500</v>
      </c>
      <c r="K1723" s="2">
        <v>45729</v>
      </c>
    </row>
    <row r="1724" spans="1:11" x14ac:dyDescent="0.25">
      <c r="A1724" s="1" t="s">
        <v>281</v>
      </c>
      <c r="B1724" s="1"/>
      <c r="C1724" s="1" t="s">
        <v>2869</v>
      </c>
      <c r="D1724" s="1" t="s">
        <v>3470</v>
      </c>
      <c r="E1724" s="1"/>
      <c r="F1724">
        <v>51.5</v>
      </c>
      <c r="G1724">
        <v>33.700000000000003</v>
      </c>
      <c r="H1724">
        <v>955</v>
      </c>
      <c r="I1724">
        <v>2</v>
      </c>
      <c r="J1724">
        <v>501</v>
      </c>
      <c r="K1724" s="2">
        <v>45729</v>
      </c>
    </row>
    <row r="1725" spans="1:11" x14ac:dyDescent="0.25">
      <c r="A1725" s="1" t="s">
        <v>281</v>
      </c>
      <c r="B1725" s="1"/>
      <c r="C1725" s="1" t="s">
        <v>2812</v>
      </c>
      <c r="D1725" s="1" t="s">
        <v>3374</v>
      </c>
      <c r="E1725" s="1"/>
      <c r="F1725">
        <v>0.3</v>
      </c>
      <c r="G1725">
        <v>0</v>
      </c>
      <c r="H1725">
        <v>20</v>
      </c>
      <c r="I1725">
        <v>0</v>
      </c>
      <c r="J1725">
        <v>498</v>
      </c>
      <c r="K1725" s="2">
        <v>45729</v>
      </c>
    </row>
    <row r="1726" spans="1:11" x14ac:dyDescent="0.25">
      <c r="A1726" s="1" t="s">
        <v>281</v>
      </c>
      <c r="B1726" s="1"/>
      <c r="C1726" s="1" t="s">
        <v>3097</v>
      </c>
      <c r="D1726" s="1" t="s">
        <v>3425</v>
      </c>
      <c r="E1726" s="1"/>
      <c r="F1726">
        <v>1.5</v>
      </c>
      <c r="G1726">
        <v>4.5</v>
      </c>
      <c r="H1726">
        <v>-120</v>
      </c>
      <c r="I1726">
        <v>0</v>
      </c>
      <c r="J1726">
        <v>28</v>
      </c>
      <c r="K1726" s="2">
        <v>45730</v>
      </c>
    </row>
    <row r="1727" spans="1:11" x14ac:dyDescent="0.25">
      <c r="A1727" s="1" t="s">
        <v>281</v>
      </c>
      <c r="B1727" s="1"/>
      <c r="C1727" s="1" t="s">
        <v>3095</v>
      </c>
      <c r="D1727" s="1" t="s">
        <v>3468</v>
      </c>
      <c r="E1727" s="1"/>
      <c r="F1727">
        <v>41.9</v>
      </c>
      <c r="G1727">
        <v>18.100000000000001</v>
      </c>
      <c r="H1727">
        <v>1240</v>
      </c>
      <c r="I1727">
        <v>19</v>
      </c>
      <c r="J1727">
        <v>513</v>
      </c>
      <c r="K1727" s="2">
        <v>45738</v>
      </c>
    </row>
    <row r="1728" spans="1:11" x14ac:dyDescent="0.25">
      <c r="A1728" s="1" t="s">
        <v>244</v>
      </c>
      <c r="B1728" s="1"/>
      <c r="C1728" s="1" t="s">
        <v>2926</v>
      </c>
      <c r="D1728" s="1" t="s">
        <v>3371</v>
      </c>
      <c r="E1728" s="1"/>
      <c r="F1728">
        <v>23.2</v>
      </c>
      <c r="G1728">
        <v>26.7</v>
      </c>
      <c r="H1728">
        <v>-165</v>
      </c>
      <c r="I1728">
        <v>0</v>
      </c>
      <c r="J1728">
        <v>500</v>
      </c>
      <c r="K1728" s="2">
        <v>45734</v>
      </c>
    </row>
    <row r="1729" spans="1:11" x14ac:dyDescent="0.25">
      <c r="A1729" s="1" t="s">
        <v>244</v>
      </c>
      <c r="B1729" s="1"/>
      <c r="C1729" s="1" t="s">
        <v>3096</v>
      </c>
      <c r="D1729" s="1" t="s">
        <v>3469</v>
      </c>
      <c r="E1729" s="1"/>
      <c r="F1729">
        <v>1</v>
      </c>
      <c r="G1729">
        <v>0</v>
      </c>
      <c r="H1729">
        <v>60</v>
      </c>
      <c r="I1729">
        <v>0</v>
      </c>
      <c r="J1729">
        <v>500</v>
      </c>
      <c r="K1729" s="2">
        <v>45737</v>
      </c>
    </row>
    <row r="1730" spans="1:11" x14ac:dyDescent="0.25">
      <c r="A1730" s="1" t="s">
        <v>244</v>
      </c>
      <c r="B1730" s="1"/>
      <c r="C1730" s="1" t="s">
        <v>2869</v>
      </c>
      <c r="D1730" s="1" t="s">
        <v>3470</v>
      </c>
      <c r="E1730" s="1"/>
      <c r="F1730">
        <v>51.5</v>
      </c>
      <c r="G1730">
        <v>39.9</v>
      </c>
      <c r="H1730">
        <v>580</v>
      </c>
      <c r="I1730">
        <v>0</v>
      </c>
      <c r="J1730">
        <v>497</v>
      </c>
      <c r="K1730" s="2">
        <v>45737</v>
      </c>
    </row>
    <row r="1731" spans="1:11" x14ac:dyDescent="0.25">
      <c r="A1731" s="1" t="s">
        <v>244</v>
      </c>
      <c r="B1731" s="1"/>
      <c r="C1731" s="1" t="s">
        <v>2812</v>
      </c>
      <c r="D1731" s="1" t="s">
        <v>3374</v>
      </c>
      <c r="E1731" s="1"/>
      <c r="F1731">
        <v>0.3</v>
      </c>
      <c r="G1731">
        <v>0</v>
      </c>
      <c r="H1731">
        <v>20</v>
      </c>
      <c r="I1731">
        <v>0</v>
      </c>
      <c r="J1731">
        <v>500</v>
      </c>
      <c r="K1731" s="2">
        <v>45734</v>
      </c>
    </row>
    <row r="1732" spans="1:11" x14ac:dyDescent="0.25">
      <c r="A1732" s="1" t="s">
        <v>244</v>
      </c>
      <c r="B1732" s="1"/>
      <c r="C1732" s="1" t="s">
        <v>3097</v>
      </c>
      <c r="D1732" s="1" t="s">
        <v>3425</v>
      </c>
      <c r="E1732" s="1"/>
      <c r="F1732">
        <v>1.5</v>
      </c>
      <c r="G1732">
        <v>5.5</v>
      </c>
      <c r="H1732">
        <v>-165</v>
      </c>
      <c r="I1732">
        <v>0</v>
      </c>
      <c r="J1732">
        <v>32</v>
      </c>
      <c r="K1732" s="2">
        <v>45734</v>
      </c>
    </row>
    <row r="1733" spans="1:11" x14ac:dyDescent="0.25">
      <c r="A1733" s="1" t="s">
        <v>244</v>
      </c>
      <c r="B1733" s="1"/>
      <c r="C1733" s="1" t="s">
        <v>3095</v>
      </c>
      <c r="D1733" s="1" t="s">
        <v>3468</v>
      </c>
      <c r="E1733" s="1"/>
      <c r="F1733">
        <v>41.9</v>
      </c>
      <c r="G1733">
        <v>22</v>
      </c>
      <c r="H1733">
        <v>1040</v>
      </c>
      <c r="I1733">
        <v>18</v>
      </c>
      <c r="J1733">
        <v>479</v>
      </c>
      <c r="K1733" s="2">
        <v>45737</v>
      </c>
    </row>
    <row r="1734" spans="1:11" x14ac:dyDescent="0.25">
      <c r="A1734" s="1" t="s">
        <v>244</v>
      </c>
      <c r="B1734" s="1"/>
      <c r="C1734" s="1" t="s">
        <v>2924</v>
      </c>
      <c r="D1734" s="1" t="s">
        <v>3372</v>
      </c>
      <c r="E1734" s="1"/>
      <c r="F1734">
        <v>1</v>
      </c>
      <c r="G1734">
        <v>0</v>
      </c>
      <c r="H1734">
        <v>50</v>
      </c>
      <c r="I1734">
        <v>0</v>
      </c>
      <c r="J1734">
        <v>479</v>
      </c>
      <c r="K1734" s="2">
        <v>45737</v>
      </c>
    </row>
    <row r="1735" spans="1:11" x14ac:dyDescent="0.25">
      <c r="A1735" s="1" t="s">
        <v>336</v>
      </c>
      <c r="B1735" s="1"/>
      <c r="C1735" s="1" t="s">
        <v>3096</v>
      </c>
      <c r="D1735" s="1" t="s">
        <v>3469</v>
      </c>
      <c r="E1735" s="1"/>
      <c r="F1735">
        <v>1</v>
      </c>
      <c r="G1735">
        <v>0</v>
      </c>
      <c r="H1735">
        <v>60</v>
      </c>
      <c r="I1735">
        <v>0</v>
      </c>
      <c r="J1735">
        <v>500</v>
      </c>
      <c r="K1735" s="2">
        <v>45735</v>
      </c>
    </row>
    <row r="1736" spans="1:11" x14ac:dyDescent="0.25">
      <c r="A1736" s="1" t="s">
        <v>336</v>
      </c>
      <c r="B1736" s="1"/>
      <c r="C1736" s="1" t="s">
        <v>2869</v>
      </c>
      <c r="D1736" s="1" t="s">
        <v>3470</v>
      </c>
      <c r="E1736" s="1"/>
      <c r="F1736">
        <v>51.5</v>
      </c>
      <c r="G1736">
        <v>42.3</v>
      </c>
      <c r="H1736">
        <v>505</v>
      </c>
      <c r="I1736">
        <v>7</v>
      </c>
      <c r="J1736">
        <v>495</v>
      </c>
      <c r="K1736" s="2">
        <v>45743</v>
      </c>
    </row>
    <row r="1737" spans="1:11" x14ac:dyDescent="0.25">
      <c r="A1737" s="1" t="s">
        <v>336</v>
      </c>
      <c r="B1737" s="1"/>
      <c r="C1737" s="1" t="s">
        <v>2812</v>
      </c>
      <c r="D1737" s="1" t="s">
        <v>3374</v>
      </c>
      <c r="E1737" s="1"/>
      <c r="F1737">
        <v>0.3</v>
      </c>
      <c r="G1737">
        <v>0</v>
      </c>
      <c r="H1737">
        <v>20</v>
      </c>
      <c r="I1737">
        <v>0</v>
      </c>
      <c r="J1737">
        <v>493</v>
      </c>
      <c r="K1737" s="2">
        <v>45736</v>
      </c>
    </row>
    <row r="1738" spans="1:11" x14ac:dyDescent="0.25">
      <c r="A1738" s="1" t="s">
        <v>336</v>
      </c>
      <c r="B1738" s="1"/>
      <c r="C1738" s="1" t="s">
        <v>3097</v>
      </c>
      <c r="D1738" s="1" t="s">
        <v>3425</v>
      </c>
      <c r="E1738" s="1"/>
      <c r="F1738">
        <v>1.5</v>
      </c>
      <c r="G1738">
        <v>2.7</v>
      </c>
      <c r="H1738">
        <v>-50</v>
      </c>
      <c r="I1738">
        <v>0</v>
      </c>
      <c r="J1738">
        <v>24</v>
      </c>
      <c r="K1738" s="2">
        <v>45737</v>
      </c>
    </row>
    <row r="1739" spans="1:11" x14ac:dyDescent="0.25">
      <c r="A1739" s="1" t="s">
        <v>336</v>
      </c>
      <c r="B1739" s="1"/>
      <c r="C1739" s="1" t="s">
        <v>3095</v>
      </c>
      <c r="D1739" s="1" t="s">
        <v>3468</v>
      </c>
      <c r="E1739" s="1"/>
      <c r="F1739">
        <v>41.9</v>
      </c>
      <c r="G1739">
        <v>21.6</v>
      </c>
      <c r="H1739">
        <v>1060</v>
      </c>
      <c r="I1739">
        <v>32</v>
      </c>
      <c r="J1739">
        <v>459</v>
      </c>
      <c r="K1739" s="2">
        <v>45737</v>
      </c>
    </row>
    <row r="1740" spans="1:11" x14ac:dyDescent="0.25">
      <c r="A1740" s="1" t="s">
        <v>336</v>
      </c>
      <c r="B1740" s="1"/>
      <c r="C1740" s="1" t="s">
        <v>2924</v>
      </c>
      <c r="D1740" s="1" t="s">
        <v>3372</v>
      </c>
      <c r="E1740" s="1"/>
      <c r="F1740">
        <v>1</v>
      </c>
      <c r="G1740">
        <v>0.2</v>
      </c>
      <c r="H1740">
        <v>40</v>
      </c>
      <c r="I1740">
        <v>0</v>
      </c>
      <c r="J1740">
        <v>459</v>
      </c>
      <c r="K1740" s="2">
        <v>45737</v>
      </c>
    </row>
    <row r="1741" spans="1:11" x14ac:dyDescent="0.25">
      <c r="A1741" s="1" t="s">
        <v>366</v>
      </c>
      <c r="B1741" s="1"/>
      <c r="C1741" s="1" t="s">
        <v>2808</v>
      </c>
      <c r="D1741" s="1" t="s">
        <v>3370</v>
      </c>
      <c r="E1741" s="1"/>
      <c r="F1741">
        <v>0</v>
      </c>
      <c r="G1741">
        <v>0</v>
      </c>
      <c r="H1741">
        <v>0</v>
      </c>
      <c r="I1741">
        <v>0</v>
      </c>
      <c r="J1741">
        <v>328</v>
      </c>
      <c r="K1741" s="2">
        <v>45730</v>
      </c>
    </row>
    <row r="1742" spans="1:11" x14ac:dyDescent="0.25">
      <c r="A1742" s="1" t="s">
        <v>366</v>
      </c>
      <c r="B1742" s="1"/>
      <c r="C1742" s="1" t="s">
        <v>2926</v>
      </c>
      <c r="D1742" s="1" t="s">
        <v>3371</v>
      </c>
      <c r="E1742" s="1"/>
      <c r="F1742">
        <v>15.4</v>
      </c>
      <c r="G1742">
        <v>26.8</v>
      </c>
      <c r="H1742">
        <v>-580</v>
      </c>
      <c r="I1742">
        <v>0</v>
      </c>
      <c r="J1742">
        <v>335</v>
      </c>
      <c r="K1742" s="2">
        <v>45761</v>
      </c>
    </row>
    <row r="1743" spans="1:11" x14ac:dyDescent="0.25">
      <c r="A1743" s="1" t="s">
        <v>366</v>
      </c>
      <c r="B1743" s="1"/>
      <c r="C1743" s="1" t="s">
        <v>3096</v>
      </c>
      <c r="D1743" s="1" t="s">
        <v>3469</v>
      </c>
      <c r="E1743" s="1"/>
      <c r="F1743">
        <v>1</v>
      </c>
      <c r="G1743">
        <v>0</v>
      </c>
      <c r="H1743">
        <v>60</v>
      </c>
      <c r="I1743">
        <v>0</v>
      </c>
      <c r="J1743">
        <v>328</v>
      </c>
      <c r="K1743" s="2">
        <v>45737</v>
      </c>
    </row>
    <row r="1744" spans="1:11" x14ac:dyDescent="0.25">
      <c r="A1744" s="1" t="s">
        <v>366</v>
      </c>
      <c r="B1744" s="1"/>
      <c r="C1744" s="1" t="s">
        <v>2869</v>
      </c>
      <c r="D1744" s="1" t="s">
        <v>3470</v>
      </c>
      <c r="E1744" s="1"/>
      <c r="F1744">
        <v>34.299999999999997</v>
      </c>
      <c r="G1744">
        <v>21.6</v>
      </c>
      <c r="H1744">
        <v>690</v>
      </c>
      <c r="I1744">
        <v>0</v>
      </c>
      <c r="J1744">
        <v>323</v>
      </c>
      <c r="K1744" s="2">
        <v>45761</v>
      </c>
    </row>
    <row r="1745" spans="1:11" x14ac:dyDescent="0.25">
      <c r="A1745" s="1" t="s">
        <v>366</v>
      </c>
      <c r="B1745" s="1"/>
      <c r="C1745" s="1" t="s">
        <v>2812</v>
      </c>
      <c r="D1745" s="1" t="s">
        <v>3374</v>
      </c>
      <c r="E1745" s="1"/>
      <c r="F1745">
        <v>0.3</v>
      </c>
      <c r="G1745">
        <v>0</v>
      </c>
      <c r="H1745">
        <v>20</v>
      </c>
      <c r="I1745">
        <v>0</v>
      </c>
      <c r="J1745">
        <v>328</v>
      </c>
      <c r="K1745" s="2">
        <v>45737</v>
      </c>
    </row>
    <row r="1746" spans="1:11" x14ac:dyDescent="0.25">
      <c r="A1746" s="1" t="s">
        <v>366</v>
      </c>
      <c r="B1746" s="1"/>
      <c r="C1746" s="1" t="s">
        <v>3097</v>
      </c>
      <c r="D1746" s="1" t="s">
        <v>3425</v>
      </c>
      <c r="E1746" s="1"/>
      <c r="F1746">
        <v>1.5</v>
      </c>
      <c r="G1746">
        <v>7.7</v>
      </c>
      <c r="H1746">
        <v>-255</v>
      </c>
      <c r="I1746">
        <v>0</v>
      </c>
      <c r="J1746">
        <v>24</v>
      </c>
      <c r="K1746" s="2">
        <v>45761</v>
      </c>
    </row>
    <row r="1747" spans="1:11" x14ac:dyDescent="0.25">
      <c r="A1747" s="1" t="s">
        <v>469</v>
      </c>
      <c r="B1747" s="1"/>
      <c r="C1747" s="1" t="s">
        <v>2808</v>
      </c>
      <c r="D1747" s="1" t="s">
        <v>3370</v>
      </c>
      <c r="E1747" s="1"/>
      <c r="F1747">
        <v>0</v>
      </c>
      <c r="G1747">
        <v>0</v>
      </c>
      <c r="H1747">
        <v>0</v>
      </c>
      <c r="I1747">
        <v>0</v>
      </c>
      <c r="J1747">
        <v>500</v>
      </c>
      <c r="K1747" s="2">
        <v>45747</v>
      </c>
    </row>
    <row r="1748" spans="1:11" x14ac:dyDescent="0.25">
      <c r="A1748" s="1" t="s">
        <v>469</v>
      </c>
      <c r="B1748" s="1"/>
      <c r="C1748" s="1" t="s">
        <v>2926</v>
      </c>
      <c r="D1748" s="1" t="s">
        <v>3371</v>
      </c>
      <c r="E1748" s="1"/>
      <c r="F1748">
        <v>23.2</v>
      </c>
      <c r="G1748">
        <v>27.7</v>
      </c>
      <c r="H1748">
        <v>-220</v>
      </c>
      <c r="I1748">
        <v>0</v>
      </c>
      <c r="J1748">
        <v>476</v>
      </c>
      <c r="K1748" s="2">
        <v>45755</v>
      </c>
    </row>
    <row r="1749" spans="1:11" x14ac:dyDescent="0.25">
      <c r="A1749" s="1" t="s">
        <v>469</v>
      </c>
      <c r="B1749" s="1"/>
      <c r="C1749" s="1" t="s">
        <v>3096</v>
      </c>
      <c r="D1749" s="1" t="s">
        <v>3469</v>
      </c>
      <c r="E1749" s="1"/>
      <c r="F1749">
        <v>1</v>
      </c>
      <c r="G1749">
        <v>0.3</v>
      </c>
      <c r="H1749">
        <v>40</v>
      </c>
      <c r="I1749">
        <v>0</v>
      </c>
      <c r="J1749">
        <v>500</v>
      </c>
      <c r="K1749" s="2">
        <v>45747</v>
      </c>
    </row>
    <row r="1750" spans="1:11" x14ac:dyDescent="0.25">
      <c r="A1750" s="1" t="s">
        <v>469</v>
      </c>
      <c r="B1750" s="1"/>
      <c r="C1750" s="1" t="s">
        <v>2869</v>
      </c>
      <c r="D1750" s="1" t="s">
        <v>3470</v>
      </c>
      <c r="E1750" s="1"/>
      <c r="F1750">
        <v>51.5</v>
      </c>
      <c r="G1750">
        <v>41.9</v>
      </c>
      <c r="H1750">
        <v>535</v>
      </c>
      <c r="I1750">
        <v>0</v>
      </c>
      <c r="J1750">
        <v>490</v>
      </c>
      <c r="K1750" s="2">
        <v>45758</v>
      </c>
    </row>
    <row r="1751" spans="1:11" x14ac:dyDescent="0.25">
      <c r="A1751" s="1" t="s">
        <v>469</v>
      </c>
      <c r="B1751" s="1"/>
      <c r="C1751" s="1" t="s">
        <v>2812</v>
      </c>
      <c r="D1751" s="1" t="s">
        <v>3374</v>
      </c>
      <c r="E1751" s="1"/>
      <c r="F1751">
        <v>0.3</v>
      </c>
      <c r="G1751">
        <v>0</v>
      </c>
      <c r="H1751">
        <v>20</v>
      </c>
      <c r="I1751">
        <v>0</v>
      </c>
      <c r="J1751">
        <v>490</v>
      </c>
      <c r="K1751" s="2">
        <v>45758</v>
      </c>
    </row>
    <row r="1752" spans="1:11" x14ac:dyDescent="0.25">
      <c r="A1752" s="1" t="s">
        <v>469</v>
      </c>
      <c r="B1752" s="1"/>
      <c r="C1752" s="1" t="s">
        <v>3097</v>
      </c>
      <c r="D1752" s="1" t="s">
        <v>3425</v>
      </c>
      <c r="E1752" s="1"/>
      <c r="F1752">
        <v>1.5</v>
      </c>
      <c r="G1752">
        <v>5.7</v>
      </c>
      <c r="H1752">
        <v>-175</v>
      </c>
      <c r="I1752">
        <v>0</v>
      </c>
      <c r="J1752">
        <v>28</v>
      </c>
      <c r="K1752" s="2">
        <v>45755</v>
      </c>
    </row>
    <row r="1753" spans="1:11" x14ac:dyDescent="0.25">
      <c r="A1753" s="1" t="s">
        <v>470</v>
      </c>
      <c r="B1753" s="1"/>
      <c r="C1753" s="1" t="s">
        <v>2808</v>
      </c>
      <c r="D1753" s="1" t="s">
        <v>3370</v>
      </c>
      <c r="E1753" s="1"/>
      <c r="F1753">
        <v>0</v>
      </c>
      <c r="G1753">
        <v>0</v>
      </c>
      <c r="H1753">
        <v>0</v>
      </c>
      <c r="I1753">
        <v>0</v>
      </c>
      <c r="J1753">
        <v>500</v>
      </c>
      <c r="K1753" s="2">
        <v>45747</v>
      </c>
    </row>
    <row r="1754" spans="1:11" x14ac:dyDescent="0.25">
      <c r="A1754" s="1" t="s">
        <v>470</v>
      </c>
      <c r="B1754" s="1"/>
      <c r="C1754" s="1" t="s">
        <v>2926</v>
      </c>
      <c r="D1754" s="1" t="s">
        <v>3371</v>
      </c>
      <c r="E1754" s="1"/>
      <c r="F1754">
        <v>23.2</v>
      </c>
      <c r="G1754">
        <v>14.8</v>
      </c>
      <c r="H1754">
        <v>450</v>
      </c>
      <c r="I1754">
        <v>0</v>
      </c>
      <c r="J1754">
        <v>500</v>
      </c>
      <c r="K1754" s="2">
        <v>45761</v>
      </c>
    </row>
    <row r="1755" spans="1:11" x14ac:dyDescent="0.25">
      <c r="A1755" s="1" t="s">
        <v>470</v>
      </c>
      <c r="B1755" s="1"/>
      <c r="C1755" s="1" t="s">
        <v>3096</v>
      </c>
      <c r="D1755" s="1" t="s">
        <v>3469</v>
      </c>
      <c r="E1755" s="1"/>
      <c r="F1755">
        <v>1</v>
      </c>
      <c r="G1755">
        <v>0.1</v>
      </c>
      <c r="H1755">
        <v>55</v>
      </c>
      <c r="I1755">
        <v>0</v>
      </c>
      <c r="J1755">
        <v>500</v>
      </c>
      <c r="K1755" s="2">
        <v>45761</v>
      </c>
    </row>
    <row r="1756" spans="1:11" x14ac:dyDescent="0.25">
      <c r="A1756" s="1" t="s">
        <v>470</v>
      </c>
      <c r="B1756" s="1"/>
      <c r="C1756" s="1" t="s">
        <v>2869</v>
      </c>
      <c r="D1756" s="1" t="s">
        <v>3470</v>
      </c>
      <c r="E1756" s="1"/>
      <c r="F1756">
        <v>51.5</v>
      </c>
      <c r="G1756">
        <v>44.2</v>
      </c>
      <c r="H1756">
        <v>405</v>
      </c>
      <c r="I1756">
        <v>9</v>
      </c>
      <c r="J1756">
        <v>463</v>
      </c>
      <c r="K1756" s="2">
        <v>45765</v>
      </c>
    </row>
    <row r="1757" spans="1:11" x14ac:dyDescent="0.25">
      <c r="A1757" s="1" t="s">
        <v>470</v>
      </c>
      <c r="B1757" s="1"/>
      <c r="C1757" s="1" t="s">
        <v>2812</v>
      </c>
      <c r="D1757" s="1" t="s">
        <v>3374</v>
      </c>
      <c r="E1757" s="1"/>
      <c r="F1757">
        <v>0.3</v>
      </c>
      <c r="G1757">
        <v>0</v>
      </c>
      <c r="H1757">
        <v>20</v>
      </c>
      <c r="I1757">
        <v>0</v>
      </c>
      <c r="J1757">
        <v>491</v>
      </c>
      <c r="K1757" s="2">
        <v>45761</v>
      </c>
    </row>
    <row r="1758" spans="1:11" x14ac:dyDescent="0.25">
      <c r="A1758" s="1" t="s">
        <v>470</v>
      </c>
      <c r="B1758" s="1"/>
      <c r="C1758" s="1" t="s">
        <v>3097</v>
      </c>
      <c r="D1758" s="1" t="s">
        <v>3425</v>
      </c>
      <c r="E1758" s="1"/>
      <c r="F1758">
        <v>1.5</v>
      </c>
      <c r="G1758">
        <v>4.7</v>
      </c>
      <c r="H1758">
        <v>-130</v>
      </c>
      <c r="I1758">
        <v>0</v>
      </c>
      <c r="J1758">
        <v>28</v>
      </c>
      <c r="K1758" s="2">
        <v>45761</v>
      </c>
    </row>
    <row r="1759" spans="1:11" x14ac:dyDescent="0.25">
      <c r="A1759" s="1" t="s">
        <v>477</v>
      </c>
      <c r="B1759" s="1"/>
      <c r="C1759" s="1" t="s">
        <v>2808</v>
      </c>
      <c r="D1759" s="1" t="s">
        <v>3370</v>
      </c>
      <c r="E1759" s="1"/>
      <c r="F1759">
        <v>0</v>
      </c>
      <c r="G1759">
        <v>0</v>
      </c>
      <c r="H1759">
        <v>0</v>
      </c>
      <c r="I1759">
        <v>0</v>
      </c>
      <c r="J1759">
        <v>298</v>
      </c>
      <c r="K1759" s="2">
        <v>45747</v>
      </c>
    </row>
    <row r="1760" spans="1:11" x14ac:dyDescent="0.25">
      <c r="A1760" s="1" t="s">
        <v>477</v>
      </c>
      <c r="B1760" s="1"/>
      <c r="C1760" s="1" t="s">
        <v>3096</v>
      </c>
      <c r="D1760" s="1" t="s">
        <v>3469</v>
      </c>
      <c r="E1760" s="1"/>
      <c r="F1760">
        <v>1</v>
      </c>
      <c r="G1760">
        <v>0</v>
      </c>
      <c r="H1760">
        <v>60</v>
      </c>
      <c r="I1760">
        <v>0</v>
      </c>
      <c r="J1760">
        <v>298</v>
      </c>
      <c r="K1760" s="2">
        <v>45764</v>
      </c>
    </row>
    <row r="1761" spans="1:11" x14ac:dyDescent="0.25">
      <c r="A1761" s="1" t="s">
        <v>477</v>
      </c>
      <c r="B1761" s="1"/>
      <c r="C1761" s="1" t="s">
        <v>2869</v>
      </c>
      <c r="D1761" s="1" t="s">
        <v>3470</v>
      </c>
      <c r="E1761" s="1"/>
      <c r="F1761">
        <v>31.3</v>
      </c>
      <c r="G1761">
        <v>27.7</v>
      </c>
      <c r="H1761">
        <v>225</v>
      </c>
      <c r="I1761">
        <v>0</v>
      </c>
      <c r="J1761">
        <v>320</v>
      </c>
      <c r="K1761" s="2">
        <v>45768</v>
      </c>
    </row>
    <row r="1762" spans="1:11" x14ac:dyDescent="0.25">
      <c r="A1762" s="1" t="s">
        <v>477</v>
      </c>
      <c r="B1762" s="1"/>
      <c r="C1762" s="1" t="s">
        <v>2812</v>
      </c>
      <c r="D1762" s="1" t="s">
        <v>3374</v>
      </c>
      <c r="E1762" s="1"/>
      <c r="F1762">
        <v>0.3</v>
      </c>
      <c r="G1762">
        <v>0</v>
      </c>
      <c r="H1762">
        <v>20</v>
      </c>
      <c r="I1762">
        <v>0</v>
      </c>
      <c r="J1762">
        <v>298</v>
      </c>
      <c r="K1762" s="2">
        <v>45764</v>
      </c>
    </row>
    <row r="1763" spans="1:11" x14ac:dyDescent="0.25">
      <c r="A1763" s="1" t="s">
        <v>477</v>
      </c>
      <c r="B1763" s="1"/>
      <c r="C1763" s="1" t="s">
        <v>3097</v>
      </c>
      <c r="D1763" s="1" t="s">
        <v>3425</v>
      </c>
      <c r="E1763" s="1"/>
      <c r="F1763">
        <v>1.5</v>
      </c>
      <c r="G1763">
        <v>3.9</v>
      </c>
      <c r="H1763">
        <v>-100</v>
      </c>
      <c r="I1763">
        <v>0</v>
      </c>
      <c r="J1763">
        <v>20</v>
      </c>
      <c r="K1763" s="2">
        <v>45764</v>
      </c>
    </row>
    <row r="1764" spans="1:11" x14ac:dyDescent="0.25">
      <c r="A1764" s="1" t="s">
        <v>477</v>
      </c>
      <c r="B1764" s="1"/>
      <c r="C1764" s="1" t="s">
        <v>2924</v>
      </c>
      <c r="D1764" s="1" t="s">
        <v>3372</v>
      </c>
      <c r="E1764" s="1"/>
      <c r="F1764">
        <v>1</v>
      </c>
      <c r="G1764">
        <v>0.1</v>
      </c>
      <c r="H1764">
        <v>45</v>
      </c>
      <c r="I1764">
        <v>0</v>
      </c>
      <c r="J1764">
        <v>298</v>
      </c>
      <c r="K1764" s="2">
        <v>45765</v>
      </c>
    </row>
    <row r="1765" spans="1:11" x14ac:dyDescent="0.25">
      <c r="A1765" s="1" t="s">
        <v>477</v>
      </c>
      <c r="B1765" s="1"/>
      <c r="C1765" s="1" t="s">
        <v>3098</v>
      </c>
      <c r="D1765" s="1" t="s">
        <v>3417</v>
      </c>
      <c r="E1765" s="1"/>
      <c r="F1765">
        <v>1.5</v>
      </c>
      <c r="G1765">
        <v>0.9</v>
      </c>
      <c r="H1765">
        <v>35</v>
      </c>
      <c r="I1765">
        <v>0</v>
      </c>
      <c r="J1765">
        <v>314</v>
      </c>
      <c r="K1765" s="2">
        <v>45771</v>
      </c>
    </row>
    <row r="1766" spans="1:11" x14ac:dyDescent="0.25">
      <c r="A1766" s="1" t="s">
        <v>139</v>
      </c>
      <c r="B1766" s="1"/>
      <c r="C1766" s="1" t="s">
        <v>2808</v>
      </c>
      <c r="D1766" s="1" t="s">
        <v>3370</v>
      </c>
      <c r="E1766" s="1"/>
      <c r="F1766">
        <v>0</v>
      </c>
      <c r="G1766">
        <v>0</v>
      </c>
      <c r="H1766">
        <v>0</v>
      </c>
      <c r="I1766">
        <v>0</v>
      </c>
      <c r="J1766">
        <v>550</v>
      </c>
      <c r="K1766" s="2">
        <v>45759</v>
      </c>
    </row>
    <row r="1767" spans="1:11" x14ac:dyDescent="0.25">
      <c r="A1767" s="1" t="s">
        <v>139</v>
      </c>
      <c r="B1767" s="1"/>
      <c r="C1767" s="1" t="s">
        <v>2926</v>
      </c>
      <c r="D1767" s="1" t="s">
        <v>3371</v>
      </c>
      <c r="E1767" s="1"/>
      <c r="F1767">
        <v>25.5</v>
      </c>
      <c r="G1767">
        <v>14.5</v>
      </c>
      <c r="H1767">
        <v>580</v>
      </c>
      <c r="I1767">
        <v>0</v>
      </c>
      <c r="J1767">
        <v>558</v>
      </c>
      <c r="K1767" s="2">
        <v>45778</v>
      </c>
    </row>
    <row r="1768" spans="1:11" x14ac:dyDescent="0.25">
      <c r="A1768" s="1" t="s">
        <v>139</v>
      </c>
      <c r="B1768" s="1"/>
      <c r="C1768" s="1" t="s">
        <v>3096</v>
      </c>
      <c r="D1768" s="1" t="s">
        <v>3469</v>
      </c>
      <c r="E1768" s="1"/>
      <c r="F1768">
        <v>1</v>
      </c>
      <c r="G1768">
        <v>0.4</v>
      </c>
      <c r="H1768">
        <v>40</v>
      </c>
      <c r="I1768">
        <v>0</v>
      </c>
      <c r="J1768">
        <v>550</v>
      </c>
      <c r="K1768" s="2">
        <v>45758</v>
      </c>
    </row>
    <row r="1769" spans="1:11" x14ac:dyDescent="0.25">
      <c r="A1769" s="1" t="s">
        <v>139</v>
      </c>
      <c r="B1769" s="1"/>
      <c r="C1769" s="1" t="s">
        <v>2869</v>
      </c>
      <c r="D1769" s="1" t="s">
        <v>3470</v>
      </c>
      <c r="E1769" s="1"/>
      <c r="F1769">
        <v>56.5</v>
      </c>
      <c r="G1769">
        <v>63.6</v>
      </c>
      <c r="H1769">
        <v>-330</v>
      </c>
      <c r="I1769">
        <v>0</v>
      </c>
      <c r="J1769">
        <v>556</v>
      </c>
      <c r="K1769" s="2">
        <v>45777</v>
      </c>
    </row>
    <row r="1770" spans="1:11" x14ac:dyDescent="0.25">
      <c r="A1770" s="1" t="s">
        <v>139</v>
      </c>
      <c r="B1770" s="1"/>
      <c r="C1770" s="1" t="s">
        <v>2812</v>
      </c>
      <c r="D1770" s="1" t="s">
        <v>3374</v>
      </c>
      <c r="E1770" s="1"/>
      <c r="F1770">
        <v>0.3</v>
      </c>
      <c r="G1770">
        <v>0</v>
      </c>
      <c r="H1770">
        <v>20</v>
      </c>
      <c r="I1770">
        <v>0</v>
      </c>
      <c r="J1770">
        <v>550</v>
      </c>
      <c r="K1770" s="2">
        <v>45769</v>
      </c>
    </row>
    <row r="1771" spans="1:11" x14ac:dyDescent="0.25">
      <c r="A1771" s="1" t="s">
        <v>139</v>
      </c>
      <c r="B1771" s="1"/>
      <c r="C1771" s="1" t="s">
        <v>3097</v>
      </c>
      <c r="D1771" s="1" t="s">
        <v>3425</v>
      </c>
      <c r="E1771" s="1"/>
      <c r="F1771">
        <v>1.5</v>
      </c>
      <c r="G1771">
        <v>18.7</v>
      </c>
      <c r="H1771">
        <v>-720</v>
      </c>
      <c r="I1771">
        <v>0</v>
      </c>
      <c r="J1771">
        <v>94</v>
      </c>
      <c r="K1771" s="2">
        <v>45778</v>
      </c>
    </row>
    <row r="1772" spans="1:11" x14ac:dyDescent="0.25">
      <c r="A1772" s="1" t="s">
        <v>700</v>
      </c>
      <c r="B1772" s="1"/>
      <c r="C1772" s="1" t="s">
        <v>2808</v>
      </c>
      <c r="D1772" s="1" t="s">
        <v>3370</v>
      </c>
      <c r="E1772" s="1"/>
      <c r="F1772">
        <v>0</v>
      </c>
      <c r="G1772">
        <v>0</v>
      </c>
      <c r="H1772">
        <v>0</v>
      </c>
      <c r="I1772">
        <v>0</v>
      </c>
      <c r="J1772">
        <v>500</v>
      </c>
      <c r="K1772" s="2">
        <v>45765</v>
      </c>
    </row>
    <row r="1773" spans="1:11" x14ac:dyDescent="0.25">
      <c r="A1773" s="1" t="s">
        <v>700</v>
      </c>
      <c r="B1773" s="1"/>
      <c r="C1773" s="1" t="s">
        <v>2926</v>
      </c>
      <c r="D1773" s="1" t="s">
        <v>3371</v>
      </c>
      <c r="E1773" s="1"/>
      <c r="F1773">
        <v>23</v>
      </c>
      <c r="G1773">
        <v>12.8</v>
      </c>
      <c r="H1773">
        <v>540</v>
      </c>
      <c r="I1773">
        <v>0</v>
      </c>
      <c r="J1773">
        <v>507</v>
      </c>
      <c r="K1773" s="2">
        <v>45777</v>
      </c>
    </row>
    <row r="1774" spans="1:11" x14ac:dyDescent="0.25">
      <c r="A1774" s="1" t="s">
        <v>700</v>
      </c>
      <c r="B1774" s="1"/>
      <c r="C1774" s="1" t="s">
        <v>3096</v>
      </c>
      <c r="D1774" s="1" t="s">
        <v>3469</v>
      </c>
      <c r="E1774" s="1"/>
      <c r="F1774">
        <v>1</v>
      </c>
      <c r="G1774">
        <v>0</v>
      </c>
      <c r="H1774">
        <v>60</v>
      </c>
      <c r="I1774">
        <v>0</v>
      </c>
      <c r="J1774">
        <v>495</v>
      </c>
      <c r="K1774" s="2">
        <v>45770</v>
      </c>
    </row>
    <row r="1775" spans="1:11" x14ac:dyDescent="0.25">
      <c r="A1775" s="1" t="s">
        <v>700</v>
      </c>
      <c r="B1775" s="1"/>
      <c r="C1775" s="1" t="s">
        <v>2869</v>
      </c>
      <c r="D1775" s="1" t="s">
        <v>3470</v>
      </c>
      <c r="E1775" s="1"/>
      <c r="F1775">
        <v>51</v>
      </c>
      <c r="G1775">
        <v>39.4</v>
      </c>
      <c r="H1775">
        <v>580</v>
      </c>
      <c r="I1775">
        <v>5</v>
      </c>
      <c r="J1775">
        <v>490</v>
      </c>
      <c r="K1775" s="2">
        <v>45777</v>
      </c>
    </row>
    <row r="1776" spans="1:11" x14ac:dyDescent="0.25">
      <c r="A1776" s="1" t="s">
        <v>700</v>
      </c>
      <c r="B1776" s="1"/>
      <c r="C1776" s="1" t="s">
        <v>2812</v>
      </c>
      <c r="D1776" s="1" t="s">
        <v>3374</v>
      </c>
      <c r="E1776" s="1"/>
      <c r="F1776">
        <v>0.3</v>
      </c>
      <c r="G1776">
        <v>0</v>
      </c>
      <c r="H1776">
        <v>20</v>
      </c>
      <c r="I1776">
        <v>0</v>
      </c>
      <c r="J1776">
        <v>490</v>
      </c>
      <c r="K1776" s="2">
        <v>45777</v>
      </c>
    </row>
    <row r="1777" spans="1:11" x14ac:dyDescent="0.25">
      <c r="A1777" s="1" t="s">
        <v>700</v>
      </c>
      <c r="B1777" s="1"/>
      <c r="C1777" s="1" t="s">
        <v>3097</v>
      </c>
      <c r="D1777" s="1" t="s">
        <v>3425</v>
      </c>
      <c r="E1777" s="1"/>
      <c r="F1777">
        <v>1.5</v>
      </c>
      <c r="G1777">
        <v>5.8</v>
      </c>
      <c r="H1777">
        <v>-175</v>
      </c>
      <c r="I1777">
        <v>0</v>
      </c>
      <c r="J1777">
        <v>32</v>
      </c>
      <c r="K1777" s="2">
        <v>45777</v>
      </c>
    </row>
    <row r="1778" spans="1:11" x14ac:dyDescent="0.25">
      <c r="A1778" s="1" t="s">
        <v>700</v>
      </c>
      <c r="B1778" s="1"/>
      <c r="C1778" s="1" t="s">
        <v>3095</v>
      </c>
      <c r="D1778" s="1" t="s">
        <v>3468</v>
      </c>
      <c r="E1778" s="1"/>
      <c r="F1778">
        <v>41.5</v>
      </c>
      <c r="G1778">
        <v>25.3</v>
      </c>
      <c r="H1778">
        <v>850</v>
      </c>
      <c r="I1778">
        <v>26</v>
      </c>
      <c r="J1778">
        <v>464</v>
      </c>
      <c r="K1778" s="2">
        <v>45777</v>
      </c>
    </row>
    <row r="1779" spans="1:11" x14ac:dyDescent="0.25">
      <c r="A1779" s="1" t="s">
        <v>700</v>
      </c>
      <c r="B1779" s="1"/>
      <c r="C1779" s="1" t="s">
        <v>2924</v>
      </c>
      <c r="D1779" s="1" t="s">
        <v>3372</v>
      </c>
      <c r="E1779" s="1"/>
      <c r="F1779">
        <v>1</v>
      </c>
      <c r="G1779">
        <v>0</v>
      </c>
      <c r="H1779">
        <v>55</v>
      </c>
      <c r="I1779">
        <v>0</v>
      </c>
      <c r="J1779">
        <v>464</v>
      </c>
      <c r="K1779" s="2">
        <v>45777</v>
      </c>
    </row>
    <row r="1780" spans="1:11" x14ac:dyDescent="0.25">
      <c r="A1780" s="1" t="s">
        <v>701</v>
      </c>
      <c r="B1780" s="1"/>
      <c r="C1780" s="1" t="s">
        <v>2808</v>
      </c>
      <c r="D1780" s="1" t="s">
        <v>3370</v>
      </c>
      <c r="E1780" s="1"/>
      <c r="F1780">
        <v>0</v>
      </c>
      <c r="G1780">
        <v>0</v>
      </c>
      <c r="H1780">
        <v>0</v>
      </c>
      <c r="I1780">
        <v>0</v>
      </c>
      <c r="J1780">
        <v>500</v>
      </c>
      <c r="K1780" s="2">
        <v>45765</v>
      </c>
    </row>
    <row r="1781" spans="1:11" x14ac:dyDescent="0.25">
      <c r="A1781" s="1" t="s">
        <v>701</v>
      </c>
      <c r="B1781" s="1"/>
      <c r="C1781" s="1" t="s">
        <v>2926</v>
      </c>
      <c r="D1781" s="1" t="s">
        <v>3371</v>
      </c>
      <c r="E1781" s="1"/>
      <c r="F1781">
        <v>23.2</v>
      </c>
      <c r="G1781">
        <v>16.2</v>
      </c>
      <c r="H1781">
        <v>375</v>
      </c>
      <c r="I1781">
        <v>0</v>
      </c>
      <c r="J1781">
        <v>502</v>
      </c>
      <c r="K1781" s="2">
        <v>45777</v>
      </c>
    </row>
    <row r="1782" spans="1:11" x14ac:dyDescent="0.25">
      <c r="A1782" s="1" t="s">
        <v>701</v>
      </c>
      <c r="B1782" s="1"/>
      <c r="C1782" s="1" t="s">
        <v>3096</v>
      </c>
      <c r="D1782" s="1" t="s">
        <v>3469</v>
      </c>
      <c r="E1782" s="1"/>
      <c r="F1782">
        <v>1</v>
      </c>
      <c r="G1782">
        <v>0</v>
      </c>
      <c r="H1782">
        <v>60</v>
      </c>
      <c r="I1782">
        <v>0</v>
      </c>
      <c r="J1782">
        <v>498</v>
      </c>
      <c r="K1782" s="2">
        <v>45777</v>
      </c>
    </row>
    <row r="1783" spans="1:11" x14ac:dyDescent="0.25">
      <c r="A1783" s="1" t="s">
        <v>701</v>
      </c>
      <c r="B1783" s="1"/>
      <c r="C1783" s="1" t="s">
        <v>2869</v>
      </c>
      <c r="D1783" s="1" t="s">
        <v>3470</v>
      </c>
      <c r="E1783" s="1"/>
      <c r="F1783">
        <v>51.5</v>
      </c>
      <c r="G1783">
        <v>38.9</v>
      </c>
      <c r="H1783">
        <v>690</v>
      </c>
      <c r="I1783">
        <v>2</v>
      </c>
      <c r="J1783">
        <v>500</v>
      </c>
      <c r="K1783" s="2">
        <v>45777</v>
      </c>
    </row>
    <row r="1784" spans="1:11" x14ac:dyDescent="0.25">
      <c r="A1784" s="1" t="s">
        <v>701</v>
      </c>
      <c r="B1784" s="1"/>
      <c r="C1784" s="1" t="s">
        <v>2812</v>
      </c>
      <c r="D1784" s="1" t="s">
        <v>3374</v>
      </c>
      <c r="E1784" s="1"/>
      <c r="F1784">
        <v>0.3</v>
      </c>
      <c r="G1784">
        <v>0</v>
      </c>
      <c r="H1784">
        <v>20</v>
      </c>
      <c r="I1784">
        <v>0</v>
      </c>
      <c r="J1784">
        <v>498</v>
      </c>
      <c r="K1784" s="2">
        <v>45776</v>
      </c>
    </row>
    <row r="1785" spans="1:11" x14ac:dyDescent="0.25">
      <c r="A1785" s="1" t="s">
        <v>701</v>
      </c>
      <c r="B1785" s="1"/>
      <c r="C1785" s="1" t="s">
        <v>3097</v>
      </c>
      <c r="D1785" s="1" t="s">
        <v>3425</v>
      </c>
      <c r="E1785" s="1"/>
      <c r="F1785">
        <v>1.5</v>
      </c>
      <c r="G1785">
        <v>6.4</v>
      </c>
      <c r="H1785">
        <v>-200</v>
      </c>
      <c r="I1785">
        <v>0</v>
      </c>
      <c r="J1785">
        <v>32</v>
      </c>
      <c r="K1785" s="2">
        <v>45782</v>
      </c>
    </row>
    <row r="1786" spans="1:11" x14ac:dyDescent="0.25">
      <c r="A1786" s="1" t="s">
        <v>701</v>
      </c>
      <c r="B1786" s="1"/>
      <c r="C1786" s="1" t="s">
        <v>3095</v>
      </c>
      <c r="D1786" s="1" t="s">
        <v>3468</v>
      </c>
      <c r="E1786" s="1"/>
      <c r="F1786">
        <v>41.9</v>
      </c>
      <c r="G1786">
        <v>26</v>
      </c>
      <c r="H1786">
        <v>835</v>
      </c>
      <c r="I1786">
        <v>6</v>
      </c>
      <c r="J1786">
        <v>493</v>
      </c>
      <c r="K1786" s="2">
        <v>45777</v>
      </c>
    </row>
    <row r="1787" spans="1:11" x14ac:dyDescent="0.25">
      <c r="A1787" s="1" t="s">
        <v>701</v>
      </c>
      <c r="B1787" s="1"/>
      <c r="C1787" s="1" t="s">
        <v>2924</v>
      </c>
      <c r="D1787" s="1" t="s">
        <v>3372</v>
      </c>
      <c r="E1787" s="1"/>
      <c r="F1787">
        <v>1</v>
      </c>
      <c r="G1787">
        <v>0.1</v>
      </c>
      <c r="H1787">
        <v>45</v>
      </c>
      <c r="I1787">
        <v>0</v>
      </c>
      <c r="J1787">
        <v>492</v>
      </c>
      <c r="K1787" s="2">
        <v>45777</v>
      </c>
    </row>
    <row r="1788" spans="1:11" x14ac:dyDescent="0.25">
      <c r="A1788" s="1" t="s">
        <v>701</v>
      </c>
      <c r="B1788" s="1"/>
      <c r="C1788" s="1" t="s">
        <v>3098</v>
      </c>
      <c r="D1788" s="1" t="s">
        <v>3417</v>
      </c>
      <c r="E1788" s="1"/>
      <c r="F1788">
        <v>2.2999999999999998</v>
      </c>
      <c r="G1788">
        <v>0.5</v>
      </c>
      <c r="H1788">
        <v>100</v>
      </c>
      <c r="I1788">
        <v>0</v>
      </c>
      <c r="J1788">
        <v>493</v>
      </c>
      <c r="K1788" s="2">
        <v>45782</v>
      </c>
    </row>
    <row r="1789" spans="1:11" x14ac:dyDescent="0.25">
      <c r="A1789" s="1" t="s">
        <v>550</v>
      </c>
      <c r="B1789" s="1"/>
      <c r="C1789" s="1" t="s">
        <v>2808</v>
      </c>
      <c r="D1789" s="1" t="s">
        <v>3370</v>
      </c>
      <c r="E1789" s="1"/>
      <c r="F1789">
        <v>0</v>
      </c>
      <c r="G1789">
        <v>0</v>
      </c>
      <c r="H1789">
        <v>0</v>
      </c>
      <c r="I1789">
        <v>0</v>
      </c>
      <c r="J1789">
        <v>500</v>
      </c>
      <c r="K1789" s="2">
        <v>45765</v>
      </c>
    </row>
    <row r="1790" spans="1:11" x14ac:dyDescent="0.25">
      <c r="A1790" s="1" t="s">
        <v>550</v>
      </c>
      <c r="B1790" s="1"/>
      <c r="C1790" s="1" t="s">
        <v>3096</v>
      </c>
      <c r="D1790" s="1" t="s">
        <v>3469</v>
      </c>
      <c r="E1790" s="1"/>
      <c r="F1790">
        <v>1</v>
      </c>
      <c r="G1790">
        <v>0</v>
      </c>
      <c r="H1790">
        <v>60</v>
      </c>
      <c r="I1790">
        <v>0</v>
      </c>
      <c r="J1790">
        <v>500</v>
      </c>
      <c r="K1790" s="2">
        <v>45783</v>
      </c>
    </row>
    <row r="1791" spans="1:11" x14ac:dyDescent="0.25">
      <c r="A1791" s="1" t="s">
        <v>550</v>
      </c>
      <c r="B1791" s="1"/>
      <c r="C1791" s="1" t="s">
        <v>2869</v>
      </c>
      <c r="D1791" s="1" t="s">
        <v>3470</v>
      </c>
      <c r="E1791" s="1"/>
      <c r="F1791">
        <v>51.5</v>
      </c>
      <c r="G1791">
        <v>33.700000000000003</v>
      </c>
      <c r="H1791">
        <v>950</v>
      </c>
      <c r="I1791">
        <v>1</v>
      </c>
      <c r="J1791">
        <v>499</v>
      </c>
      <c r="K1791" s="2">
        <v>45789</v>
      </c>
    </row>
    <row r="1792" spans="1:11" x14ac:dyDescent="0.25">
      <c r="A1792" s="1" t="s">
        <v>550</v>
      </c>
      <c r="B1792" s="1"/>
      <c r="C1792" s="1" t="s">
        <v>2812</v>
      </c>
      <c r="D1792" s="1" t="s">
        <v>3374</v>
      </c>
      <c r="E1792" s="1"/>
      <c r="F1792">
        <v>0.3</v>
      </c>
      <c r="G1792">
        <v>0</v>
      </c>
      <c r="H1792">
        <v>20</v>
      </c>
      <c r="I1792">
        <v>0</v>
      </c>
      <c r="J1792">
        <v>499</v>
      </c>
      <c r="K1792" s="2">
        <v>45779</v>
      </c>
    </row>
    <row r="1793" spans="1:11" x14ac:dyDescent="0.25">
      <c r="A1793" s="1" t="s">
        <v>550</v>
      </c>
      <c r="B1793" s="1"/>
      <c r="C1793" s="1" t="s">
        <v>3097</v>
      </c>
      <c r="D1793" s="1" t="s">
        <v>3425</v>
      </c>
      <c r="E1793" s="1"/>
      <c r="F1793">
        <v>1.5</v>
      </c>
      <c r="G1793">
        <v>4.4000000000000004</v>
      </c>
      <c r="H1793">
        <v>-120</v>
      </c>
      <c r="I1793">
        <v>0</v>
      </c>
      <c r="J1793">
        <v>36</v>
      </c>
      <c r="K1793" s="2">
        <v>45783</v>
      </c>
    </row>
    <row r="1794" spans="1:11" x14ac:dyDescent="0.25">
      <c r="A1794" s="1" t="s">
        <v>550</v>
      </c>
      <c r="B1794" s="1"/>
      <c r="C1794" s="1" t="s">
        <v>2924</v>
      </c>
      <c r="D1794" s="1" t="s">
        <v>3372</v>
      </c>
      <c r="E1794" s="1"/>
      <c r="F1794">
        <v>1</v>
      </c>
      <c r="G1794">
        <v>0</v>
      </c>
      <c r="H1794">
        <v>55</v>
      </c>
      <c r="I1794">
        <v>0</v>
      </c>
      <c r="J1794">
        <v>456</v>
      </c>
      <c r="K1794" s="2">
        <v>45779</v>
      </c>
    </row>
    <row r="1795" spans="1:11" x14ac:dyDescent="0.25">
      <c r="A1795" s="1" t="s">
        <v>550</v>
      </c>
      <c r="B1795" s="1"/>
      <c r="C1795" s="1" t="s">
        <v>3098</v>
      </c>
      <c r="D1795" s="1" t="s">
        <v>3417</v>
      </c>
      <c r="E1795" s="1"/>
      <c r="F1795">
        <v>2.2999999999999998</v>
      </c>
      <c r="G1795">
        <v>1.1000000000000001</v>
      </c>
      <c r="H1795">
        <v>70</v>
      </c>
      <c r="I1795">
        <v>0</v>
      </c>
      <c r="J1795">
        <v>457</v>
      </c>
      <c r="K1795" s="2">
        <v>45783</v>
      </c>
    </row>
    <row r="1796" spans="1:11" x14ac:dyDescent="0.25">
      <c r="A1796" s="1" t="s">
        <v>783</v>
      </c>
      <c r="B1796" s="1"/>
      <c r="C1796" s="1" t="s">
        <v>2808</v>
      </c>
      <c r="D1796" s="1" t="s">
        <v>3370</v>
      </c>
      <c r="E1796" s="1"/>
      <c r="F1796">
        <v>0</v>
      </c>
      <c r="G1796">
        <v>0</v>
      </c>
      <c r="H1796">
        <v>0</v>
      </c>
      <c r="I1796">
        <v>0</v>
      </c>
      <c r="J1796">
        <v>132</v>
      </c>
      <c r="K1796" s="2">
        <v>45777</v>
      </c>
    </row>
    <row r="1797" spans="1:11" x14ac:dyDescent="0.25">
      <c r="A1797" s="1" t="s">
        <v>783</v>
      </c>
      <c r="B1797" s="1"/>
      <c r="C1797" s="1" t="s">
        <v>2926</v>
      </c>
      <c r="D1797" s="1" t="s">
        <v>3371</v>
      </c>
      <c r="E1797" s="1"/>
      <c r="F1797">
        <v>6.5</v>
      </c>
      <c r="G1797">
        <v>6.6</v>
      </c>
      <c r="H1797">
        <v>10</v>
      </c>
      <c r="I1797">
        <v>0</v>
      </c>
      <c r="J1797">
        <v>132</v>
      </c>
      <c r="K1797" s="2">
        <v>45789</v>
      </c>
    </row>
    <row r="1798" spans="1:11" x14ac:dyDescent="0.25">
      <c r="A1798" s="1" t="s">
        <v>783</v>
      </c>
      <c r="B1798" s="1"/>
      <c r="C1798" s="1" t="s">
        <v>3096</v>
      </c>
      <c r="D1798" s="1" t="s">
        <v>3469</v>
      </c>
      <c r="E1798" s="1"/>
      <c r="F1798">
        <v>1</v>
      </c>
      <c r="G1798">
        <v>5.2</v>
      </c>
      <c r="H1798">
        <v>-240</v>
      </c>
      <c r="I1798">
        <v>0</v>
      </c>
      <c r="J1798">
        <v>132</v>
      </c>
      <c r="K1798" s="2">
        <v>45785</v>
      </c>
    </row>
    <row r="1799" spans="1:11" x14ac:dyDescent="0.25">
      <c r="A1799" s="1" t="s">
        <v>783</v>
      </c>
      <c r="B1799" s="1"/>
      <c r="C1799" s="1" t="s">
        <v>2869</v>
      </c>
      <c r="D1799" s="1" t="s">
        <v>3470</v>
      </c>
      <c r="E1799" s="1"/>
      <c r="F1799">
        <v>14.7</v>
      </c>
      <c r="G1799">
        <v>7.9</v>
      </c>
      <c r="H1799">
        <v>355</v>
      </c>
      <c r="I1799">
        <v>0</v>
      </c>
      <c r="J1799">
        <v>132</v>
      </c>
      <c r="K1799" s="2">
        <v>45789</v>
      </c>
    </row>
    <row r="1800" spans="1:11" x14ac:dyDescent="0.25">
      <c r="A1800" s="1" t="s">
        <v>783</v>
      </c>
      <c r="B1800" s="1"/>
      <c r="C1800" s="1" t="s">
        <v>2812</v>
      </c>
      <c r="D1800" s="1" t="s">
        <v>3374</v>
      </c>
      <c r="E1800" s="1"/>
      <c r="F1800">
        <v>0.3</v>
      </c>
      <c r="G1800">
        <v>0</v>
      </c>
      <c r="H1800">
        <v>20</v>
      </c>
      <c r="I1800">
        <v>0</v>
      </c>
      <c r="J1800">
        <v>132</v>
      </c>
      <c r="K1800" s="2">
        <v>45785</v>
      </c>
    </row>
    <row r="1801" spans="1:11" x14ac:dyDescent="0.25">
      <c r="A1801" s="1" t="s">
        <v>783</v>
      </c>
      <c r="B1801" s="1"/>
      <c r="C1801" s="1" t="s">
        <v>3097</v>
      </c>
      <c r="D1801" s="1" t="s">
        <v>3425</v>
      </c>
      <c r="E1801" s="1"/>
      <c r="F1801">
        <v>1.5</v>
      </c>
      <c r="G1801">
        <v>1</v>
      </c>
      <c r="H1801">
        <v>20</v>
      </c>
      <c r="I1801">
        <v>0</v>
      </c>
      <c r="J1801">
        <v>12</v>
      </c>
      <c r="K1801" s="2">
        <v>45785</v>
      </c>
    </row>
    <row r="1802" spans="1:11" x14ac:dyDescent="0.25">
      <c r="A1802" s="1" t="s">
        <v>783</v>
      </c>
      <c r="B1802" s="1"/>
      <c r="C1802" s="1" t="s">
        <v>3095</v>
      </c>
      <c r="D1802" s="1" t="s">
        <v>3468</v>
      </c>
      <c r="E1802" s="1"/>
      <c r="F1802">
        <v>11.3</v>
      </c>
      <c r="G1802">
        <v>8.1999999999999993</v>
      </c>
      <c r="H1802">
        <v>165</v>
      </c>
      <c r="I1802">
        <v>10</v>
      </c>
      <c r="J1802">
        <v>122</v>
      </c>
      <c r="K1802" s="2">
        <v>45789</v>
      </c>
    </row>
    <row r="1803" spans="1:11" x14ac:dyDescent="0.25">
      <c r="A1803" s="1" t="s">
        <v>812</v>
      </c>
      <c r="B1803" s="1"/>
      <c r="C1803" s="1" t="s">
        <v>2808</v>
      </c>
      <c r="D1803" s="1" t="s">
        <v>3370</v>
      </c>
      <c r="E1803" s="1"/>
      <c r="F1803">
        <v>0</v>
      </c>
      <c r="G1803">
        <v>0</v>
      </c>
      <c r="H1803">
        <v>0</v>
      </c>
      <c r="I1803">
        <v>0</v>
      </c>
      <c r="J1803">
        <v>500</v>
      </c>
      <c r="K1803" s="2">
        <v>45777</v>
      </c>
    </row>
    <row r="1804" spans="1:11" x14ac:dyDescent="0.25">
      <c r="A1804" s="1" t="s">
        <v>812</v>
      </c>
      <c r="B1804" s="1"/>
      <c r="C1804" s="1" t="s">
        <v>2926</v>
      </c>
      <c r="D1804" s="1" t="s">
        <v>3371</v>
      </c>
      <c r="E1804" s="1"/>
      <c r="F1804">
        <v>23.2</v>
      </c>
      <c r="G1804">
        <v>16.100000000000001</v>
      </c>
      <c r="H1804">
        <v>385</v>
      </c>
      <c r="I1804">
        <v>0</v>
      </c>
      <c r="J1804">
        <v>504</v>
      </c>
      <c r="K1804" s="2">
        <v>45785</v>
      </c>
    </row>
    <row r="1805" spans="1:11" x14ac:dyDescent="0.25">
      <c r="A1805" s="1" t="s">
        <v>812</v>
      </c>
      <c r="B1805" s="1"/>
      <c r="C1805" s="1" t="s">
        <v>3096</v>
      </c>
      <c r="D1805" s="1" t="s">
        <v>3469</v>
      </c>
      <c r="E1805" s="1"/>
      <c r="F1805">
        <v>1</v>
      </c>
      <c r="G1805">
        <v>0</v>
      </c>
      <c r="H1805">
        <v>60</v>
      </c>
      <c r="I1805">
        <v>0</v>
      </c>
      <c r="J1805">
        <v>500</v>
      </c>
      <c r="K1805" s="2">
        <v>45783</v>
      </c>
    </row>
    <row r="1806" spans="1:11" x14ac:dyDescent="0.25">
      <c r="A1806" s="1" t="s">
        <v>812</v>
      </c>
      <c r="B1806" s="1"/>
      <c r="C1806" s="1" t="s">
        <v>2869</v>
      </c>
      <c r="D1806" s="1" t="s">
        <v>3470</v>
      </c>
      <c r="E1806" s="1"/>
      <c r="F1806">
        <v>51.5</v>
      </c>
      <c r="G1806">
        <v>33.799999999999997</v>
      </c>
      <c r="H1806">
        <v>925</v>
      </c>
      <c r="I1806">
        <v>7</v>
      </c>
      <c r="J1806">
        <v>497</v>
      </c>
      <c r="K1806" s="2">
        <v>45785</v>
      </c>
    </row>
    <row r="1807" spans="1:11" x14ac:dyDescent="0.25">
      <c r="A1807" s="1" t="s">
        <v>812</v>
      </c>
      <c r="B1807" s="1"/>
      <c r="C1807" s="1" t="s">
        <v>2812</v>
      </c>
      <c r="D1807" s="1" t="s">
        <v>3374</v>
      </c>
      <c r="E1807" s="1"/>
      <c r="F1807">
        <v>0.3</v>
      </c>
      <c r="G1807">
        <v>0</v>
      </c>
      <c r="H1807">
        <v>20</v>
      </c>
      <c r="I1807">
        <v>0</v>
      </c>
      <c r="J1807">
        <v>493</v>
      </c>
      <c r="K1807" s="2">
        <v>45783</v>
      </c>
    </row>
    <row r="1808" spans="1:11" x14ac:dyDescent="0.25">
      <c r="A1808" s="1" t="s">
        <v>812</v>
      </c>
      <c r="B1808" s="1"/>
      <c r="C1808" s="1" t="s">
        <v>3097</v>
      </c>
      <c r="D1808" s="1" t="s">
        <v>3425</v>
      </c>
      <c r="E1808" s="1"/>
      <c r="F1808">
        <v>1.5</v>
      </c>
      <c r="G1808">
        <v>5.6</v>
      </c>
      <c r="H1808">
        <v>-165</v>
      </c>
      <c r="I1808">
        <v>0</v>
      </c>
      <c r="J1808">
        <v>30</v>
      </c>
      <c r="K1808" s="2">
        <v>45783</v>
      </c>
    </row>
    <row r="1809" spans="1:11" x14ac:dyDescent="0.25">
      <c r="A1809" s="1" t="s">
        <v>812</v>
      </c>
      <c r="B1809" s="1"/>
      <c r="C1809" s="1" t="s">
        <v>3095</v>
      </c>
      <c r="D1809" s="1" t="s">
        <v>3468</v>
      </c>
      <c r="E1809" s="1"/>
      <c r="F1809">
        <v>41.9</v>
      </c>
      <c r="G1809">
        <v>24.4</v>
      </c>
      <c r="H1809">
        <v>915</v>
      </c>
      <c r="I1809">
        <v>38</v>
      </c>
      <c r="J1809">
        <v>459</v>
      </c>
      <c r="K1809" s="2">
        <v>45785</v>
      </c>
    </row>
    <row r="1810" spans="1:11" x14ac:dyDescent="0.25">
      <c r="A1810" s="1" t="s">
        <v>813</v>
      </c>
      <c r="B1810" s="1"/>
      <c r="C1810" s="1" t="s">
        <v>2808</v>
      </c>
      <c r="D1810" s="1" t="s">
        <v>3370</v>
      </c>
      <c r="E1810" s="1"/>
      <c r="F1810">
        <v>0</v>
      </c>
      <c r="G1810">
        <v>0</v>
      </c>
      <c r="H1810">
        <v>0</v>
      </c>
      <c r="I1810">
        <v>0</v>
      </c>
      <c r="J1810">
        <v>500</v>
      </c>
      <c r="K1810" s="2">
        <v>45777</v>
      </c>
    </row>
    <row r="1811" spans="1:11" x14ac:dyDescent="0.25">
      <c r="A1811" s="1" t="s">
        <v>813</v>
      </c>
      <c r="B1811" s="1"/>
      <c r="C1811" s="1" t="s">
        <v>2926</v>
      </c>
      <c r="D1811" s="1" t="s">
        <v>3371</v>
      </c>
      <c r="E1811" s="1"/>
      <c r="F1811">
        <v>23.2</v>
      </c>
      <c r="G1811">
        <v>15</v>
      </c>
      <c r="H1811">
        <v>440</v>
      </c>
      <c r="I1811">
        <v>0</v>
      </c>
      <c r="J1811">
        <v>501</v>
      </c>
      <c r="K1811" s="2">
        <v>45784</v>
      </c>
    </row>
    <row r="1812" spans="1:11" x14ac:dyDescent="0.25">
      <c r="A1812" s="1" t="s">
        <v>813</v>
      </c>
      <c r="B1812" s="1"/>
      <c r="C1812" s="1" t="s">
        <v>3096</v>
      </c>
      <c r="D1812" s="1" t="s">
        <v>3469</v>
      </c>
      <c r="E1812" s="1"/>
      <c r="F1812">
        <v>1</v>
      </c>
      <c r="G1812">
        <v>0</v>
      </c>
      <c r="H1812">
        <v>60</v>
      </c>
      <c r="I1812">
        <v>0</v>
      </c>
      <c r="J1812">
        <v>500</v>
      </c>
      <c r="K1812" s="2">
        <v>45785</v>
      </c>
    </row>
    <row r="1813" spans="1:11" x14ac:dyDescent="0.25">
      <c r="A1813" s="1" t="s">
        <v>813</v>
      </c>
      <c r="B1813" s="1"/>
      <c r="C1813" s="1" t="s">
        <v>2869</v>
      </c>
      <c r="D1813" s="1" t="s">
        <v>3470</v>
      </c>
      <c r="E1813" s="1"/>
      <c r="F1813">
        <v>51.5</v>
      </c>
      <c r="G1813">
        <v>42.4</v>
      </c>
      <c r="H1813">
        <v>490</v>
      </c>
      <c r="I1813">
        <v>0</v>
      </c>
      <c r="J1813">
        <v>500</v>
      </c>
      <c r="K1813" s="2">
        <v>45785</v>
      </c>
    </row>
    <row r="1814" spans="1:11" x14ac:dyDescent="0.25">
      <c r="A1814" s="1" t="s">
        <v>813</v>
      </c>
      <c r="B1814" s="1"/>
      <c r="C1814" s="1" t="s">
        <v>2812</v>
      </c>
      <c r="D1814" s="1" t="s">
        <v>3374</v>
      </c>
      <c r="E1814" s="1"/>
      <c r="F1814">
        <v>0.3</v>
      </c>
      <c r="G1814">
        <v>0</v>
      </c>
      <c r="H1814">
        <v>20</v>
      </c>
      <c r="I1814">
        <v>0</v>
      </c>
      <c r="J1814">
        <v>500</v>
      </c>
      <c r="K1814" s="2">
        <v>45789</v>
      </c>
    </row>
    <row r="1815" spans="1:11" x14ac:dyDescent="0.25">
      <c r="A1815" s="1" t="s">
        <v>814</v>
      </c>
      <c r="B1815" s="1"/>
      <c r="C1815" s="1" t="s">
        <v>2808</v>
      </c>
      <c r="D1815" s="1" t="s">
        <v>3370</v>
      </c>
      <c r="E1815" s="1"/>
      <c r="F1815">
        <v>0</v>
      </c>
      <c r="G1815">
        <v>0</v>
      </c>
      <c r="H1815">
        <v>0</v>
      </c>
      <c r="I1815">
        <v>0</v>
      </c>
      <c r="J1815">
        <v>500</v>
      </c>
      <c r="K1815" s="2">
        <v>45777</v>
      </c>
    </row>
    <row r="1816" spans="1:11" x14ac:dyDescent="0.25">
      <c r="A1816" s="1" t="s">
        <v>814</v>
      </c>
      <c r="B1816" s="1"/>
      <c r="C1816" s="1" t="s">
        <v>2869</v>
      </c>
      <c r="D1816" s="1" t="s">
        <v>3470</v>
      </c>
      <c r="E1816" s="1"/>
      <c r="F1816">
        <v>51.5</v>
      </c>
      <c r="G1816">
        <v>27.9</v>
      </c>
      <c r="H1816">
        <v>1260</v>
      </c>
      <c r="I1816">
        <v>0</v>
      </c>
      <c r="J1816">
        <v>496</v>
      </c>
      <c r="K1816" s="2">
        <v>45789</v>
      </c>
    </row>
    <row r="1817" spans="1:11" x14ac:dyDescent="0.25">
      <c r="A1817" s="1" t="s">
        <v>938</v>
      </c>
      <c r="B1817" s="1"/>
      <c r="C1817" s="1" t="s">
        <v>2808</v>
      </c>
      <c r="D1817" s="1" t="s">
        <v>3370</v>
      </c>
      <c r="E1817" s="1"/>
      <c r="F1817">
        <v>0</v>
      </c>
      <c r="G1817">
        <v>0</v>
      </c>
      <c r="H1817">
        <v>0</v>
      </c>
      <c r="I1817">
        <v>0</v>
      </c>
      <c r="J1817">
        <v>500</v>
      </c>
      <c r="K1817" s="2">
        <v>45789</v>
      </c>
    </row>
    <row r="1818" spans="1:11" x14ac:dyDescent="0.25">
      <c r="A1818" s="1" t="s">
        <v>938</v>
      </c>
      <c r="B1818" s="1"/>
      <c r="C1818" s="1" t="s">
        <v>3096</v>
      </c>
      <c r="D1818" s="1" t="s">
        <v>3469</v>
      </c>
      <c r="E1818" s="1"/>
      <c r="F1818">
        <v>1</v>
      </c>
      <c r="G1818">
        <v>0</v>
      </c>
      <c r="H1818">
        <v>60</v>
      </c>
      <c r="I1818">
        <v>0</v>
      </c>
      <c r="J1818">
        <v>500</v>
      </c>
      <c r="K1818" s="2">
        <v>45789</v>
      </c>
    </row>
    <row r="1819" spans="1:11" x14ac:dyDescent="0.25">
      <c r="A1819" s="1" t="s">
        <v>939</v>
      </c>
      <c r="B1819" s="1"/>
      <c r="C1819" s="1" t="s">
        <v>2808</v>
      </c>
      <c r="D1819" s="1" t="s">
        <v>3370</v>
      </c>
      <c r="E1819" s="1"/>
      <c r="F1819">
        <v>0</v>
      </c>
      <c r="G1819">
        <v>0</v>
      </c>
      <c r="H1819">
        <v>0</v>
      </c>
      <c r="I1819">
        <v>0</v>
      </c>
      <c r="J1819">
        <v>500</v>
      </c>
      <c r="K1819" s="2">
        <v>45789</v>
      </c>
    </row>
    <row r="1820" spans="1:11" x14ac:dyDescent="0.25">
      <c r="A1820" s="1" t="s">
        <v>959</v>
      </c>
      <c r="B1820" s="1"/>
      <c r="C1820" s="1" t="s">
        <v>2808</v>
      </c>
      <c r="D1820" s="1" t="s">
        <v>3370</v>
      </c>
      <c r="E1820" s="1"/>
      <c r="F1820">
        <v>0</v>
      </c>
      <c r="G1820">
        <v>0</v>
      </c>
      <c r="H1820">
        <v>0</v>
      </c>
      <c r="I1820">
        <v>0</v>
      </c>
      <c r="J1820">
        <v>500</v>
      </c>
      <c r="K1820" s="2">
        <v>45789</v>
      </c>
    </row>
    <row r="1821" spans="1:11" x14ac:dyDescent="0.25">
      <c r="A1821" s="1" t="s">
        <v>809</v>
      </c>
      <c r="B1821" s="1"/>
      <c r="C1821" s="1" t="s">
        <v>2808</v>
      </c>
      <c r="D1821" s="1" t="s">
        <v>3370</v>
      </c>
      <c r="E1821" s="1"/>
      <c r="F1821">
        <v>0</v>
      </c>
      <c r="G1821">
        <v>0</v>
      </c>
      <c r="H1821">
        <v>0</v>
      </c>
      <c r="I1821">
        <v>0</v>
      </c>
      <c r="J1821">
        <v>200</v>
      </c>
      <c r="K1821" s="2">
        <v>45778</v>
      </c>
    </row>
    <row r="1822" spans="1:11" x14ac:dyDescent="0.25">
      <c r="A1822" s="1" t="s">
        <v>809</v>
      </c>
      <c r="B1822" s="1"/>
      <c r="C1822" s="1" t="s">
        <v>2963</v>
      </c>
      <c r="D1822" s="1" t="s">
        <v>3404</v>
      </c>
      <c r="E1822" s="1"/>
      <c r="F1822">
        <v>2.4</v>
      </c>
      <c r="G1822">
        <v>0</v>
      </c>
      <c r="H1822">
        <v>135</v>
      </c>
      <c r="I1822">
        <v>0</v>
      </c>
      <c r="J1822">
        <v>196</v>
      </c>
      <c r="K1822" s="2">
        <v>45784</v>
      </c>
    </row>
    <row r="1823" spans="1:11" x14ac:dyDescent="0.25">
      <c r="A1823" s="1" t="s">
        <v>809</v>
      </c>
      <c r="B1823" s="1"/>
      <c r="C1823" s="1" t="s">
        <v>2872</v>
      </c>
      <c r="D1823" s="1" t="s">
        <v>3371</v>
      </c>
      <c r="E1823" s="1"/>
      <c r="F1823">
        <v>3.2</v>
      </c>
      <c r="G1823">
        <v>0.6</v>
      </c>
      <c r="H1823">
        <v>160</v>
      </c>
      <c r="I1823">
        <v>0</v>
      </c>
      <c r="J1823">
        <v>196</v>
      </c>
      <c r="K1823" s="2">
        <v>45780</v>
      </c>
    </row>
    <row r="1824" spans="1:11" x14ac:dyDescent="0.25">
      <c r="A1824" s="1" t="s">
        <v>809</v>
      </c>
      <c r="B1824" s="1"/>
      <c r="C1824" s="1" t="s">
        <v>2869</v>
      </c>
      <c r="D1824" s="1" t="s">
        <v>3405</v>
      </c>
      <c r="E1824" s="1"/>
      <c r="F1824">
        <v>6.2</v>
      </c>
      <c r="G1824">
        <v>11</v>
      </c>
      <c r="H1824">
        <v>-255</v>
      </c>
      <c r="I1824">
        <v>0</v>
      </c>
      <c r="J1824">
        <v>198</v>
      </c>
      <c r="K1824" s="2">
        <v>45784</v>
      </c>
    </row>
    <row r="1825" spans="1:11" x14ac:dyDescent="0.25">
      <c r="A1825" s="1" t="s">
        <v>809</v>
      </c>
      <c r="B1825" s="1"/>
      <c r="C1825" s="1" t="s">
        <v>2812</v>
      </c>
      <c r="D1825" s="1" t="s">
        <v>3374</v>
      </c>
      <c r="E1825" s="1"/>
      <c r="F1825">
        <v>0.3</v>
      </c>
      <c r="G1825">
        <v>0</v>
      </c>
      <c r="H1825">
        <v>20</v>
      </c>
      <c r="I1825">
        <v>0</v>
      </c>
      <c r="J1825">
        <v>196</v>
      </c>
      <c r="K1825" s="2">
        <v>45780</v>
      </c>
    </row>
    <row r="1826" spans="1:11" x14ac:dyDescent="0.25">
      <c r="A1826" s="1" t="s">
        <v>809</v>
      </c>
      <c r="B1826" s="1"/>
      <c r="C1826" s="1" t="s">
        <v>3099</v>
      </c>
      <c r="D1826" s="1" t="s">
        <v>3375</v>
      </c>
      <c r="E1826" s="1"/>
      <c r="F1826">
        <v>10.9</v>
      </c>
      <c r="G1826">
        <v>13.6</v>
      </c>
      <c r="H1826">
        <v>-140</v>
      </c>
      <c r="I1826">
        <v>6</v>
      </c>
      <c r="J1826">
        <v>193</v>
      </c>
      <c r="K1826" s="2">
        <v>45784</v>
      </c>
    </row>
    <row r="1827" spans="1:11" x14ac:dyDescent="0.25">
      <c r="A1827" s="1" t="s">
        <v>809</v>
      </c>
      <c r="B1827" s="1"/>
      <c r="C1827" s="1" t="s">
        <v>3097</v>
      </c>
      <c r="D1827" s="1" t="s">
        <v>3425</v>
      </c>
      <c r="E1827" s="1"/>
      <c r="F1827">
        <v>2</v>
      </c>
      <c r="G1827">
        <v>4.9000000000000004</v>
      </c>
      <c r="H1827">
        <v>-120</v>
      </c>
      <c r="I1827">
        <v>0</v>
      </c>
      <c r="J1827">
        <v>21</v>
      </c>
      <c r="K1827" s="2">
        <v>45784</v>
      </c>
    </row>
    <row r="1828" spans="1:11" x14ac:dyDescent="0.25">
      <c r="A1828" s="1" t="s">
        <v>809</v>
      </c>
      <c r="B1828" s="1"/>
      <c r="C1828" s="1" t="s">
        <v>2924</v>
      </c>
      <c r="D1828" s="1" t="s">
        <v>3372</v>
      </c>
      <c r="E1828" s="1"/>
      <c r="F1828">
        <v>1</v>
      </c>
      <c r="G1828">
        <v>0.4</v>
      </c>
      <c r="H1828">
        <v>30</v>
      </c>
      <c r="I1828">
        <v>0</v>
      </c>
      <c r="J1828">
        <v>190</v>
      </c>
      <c r="K1828" s="2">
        <v>45784</v>
      </c>
    </row>
    <row r="1829" spans="1:11" x14ac:dyDescent="0.25">
      <c r="A1829" s="1" t="s">
        <v>809</v>
      </c>
      <c r="B1829" s="1"/>
      <c r="C1829" s="1" t="s">
        <v>2817</v>
      </c>
      <c r="D1829" s="1" t="s">
        <v>3417</v>
      </c>
      <c r="E1829" s="1"/>
      <c r="F1829">
        <v>1.9</v>
      </c>
      <c r="G1829">
        <v>0.5</v>
      </c>
      <c r="H1829">
        <v>80</v>
      </c>
      <c r="I1829">
        <v>0</v>
      </c>
      <c r="J1829">
        <v>191</v>
      </c>
      <c r="K1829" s="2">
        <v>45784</v>
      </c>
    </row>
    <row r="1830" spans="1:11" x14ac:dyDescent="0.25">
      <c r="A1830" s="1" t="s">
        <v>439</v>
      </c>
      <c r="B1830" s="1"/>
      <c r="C1830" s="1" t="s">
        <v>2808</v>
      </c>
      <c r="D1830" s="1" t="s">
        <v>3370</v>
      </c>
      <c r="E1830" s="1"/>
      <c r="F1830">
        <v>0</v>
      </c>
      <c r="G1830">
        <v>0</v>
      </c>
      <c r="H1830">
        <v>0</v>
      </c>
      <c r="I1830">
        <v>0</v>
      </c>
      <c r="J1830">
        <v>58</v>
      </c>
      <c r="K1830" s="2">
        <v>45743</v>
      </c>
    </row>
    <row r="1831" spans="1:11" x14ac:dyDescent="0.25">
      <c r="A1831" s="1" t="s">
        <v>439</v>
      </c>
      <c r="B1831" s="1"/>
      <c r="C1831" s="1" t="s">
        <v>2903</v>
      </c>
      <c r="D1831" s="1" t="s">
        <v>3388</v>
      </c>
      <c r="E1831" s="1"/>
      <c r="F1831">
        <v>1.2</v>
      </c>
      <c r="G1831">
        <v>1.1000000000000001</v>
      </c>
      <c r="H1831">
        <v>15</v>
      </c>
      <c r="I1831">
        <v>0</v>
      </c>
      <c r="J1831">
        <v>58</v>
      </c>
      <c r="K1831" s="2">
        <v>45743</v>
      </c>
    </row>
    <row r="1832" spans="1:11" x14ac:dyDescent="0.25">
      <c r="A1832" s="1" t="s">
        <v>439</v>
      </c>
      <c r="B1832" s="1"/>
      <c r="C1832" s="1" t="s">
        <v>2997</v>
      </c>
      <c r="D1832" s="1" t="s">
        <v>3388</v>
      </c>
      <c r="E1832" s="1"/>
      <c r="F1832">
        <v>7.4</v>
      </c>
      <c r="G1832">
        <v>1.1000000000000001</v>
      </c>
      <c r="H1832">
        <v>395</v>
      </c>
      <c r="I1832">
        <v>0</v>
      </c>
      <c r="J1832">
        <v>58</v>
      </c>
      <c r="K1832" s="2">
        <v>45743</v>
      </c>
    </row>
    <row r="1833" spans="1:11" x14ac:dyDescent="0.25">
      <c r="A1833" s="1" t="s">
        <v>439</v>
      </c>
      <c r="B1833" s="1"/>
      <c r="C1833" s="1" t="s">
        <v>2903</v>
      </c>
      <c r="D1833" s="1" t="s">
        <v>3388</v>
      </c>
      <c r="E1833" s="1"/>
      <c r="F1833">
        <v>1.2</v>
      </c>
      <c r="G1833">
        <v>1.1000000000000001</v>
      </c>
      <c r="H1833">
        <v>15</v>
      </c>
      <c r="I1833">
        <v>0</v>
      </c>
      <c r="J1833">
        <v>58</v>
      </c>
      <c r="K1833" s="2">
        <v>45743</v>
      </c>
    </row>
    <row r="1834" spans="1:11" x14ac:dyDescent="0.25">
      <c r="A1834" s="1" t="s">
        <v>439</v>
      </c>
      <c r="B1834" s="1"/>
      <c r="C1834" s="1" t="s">
        <v>2868</v>
      </c>
      <c r="D1834" s="1" t="s">
        <v>3388</v>
      </c>
      <c r="E1834" s="1"/>
      <c r="F1834">
        <v>2</v>
      </c>
      <c r="G1834">
        <v>14.1</v>
      </c>
      <c r="H1834">
        <v>-750</v>
      </c>
      <c r="I1834">
        <v>0</v>
      </c>
      <c r="J1834">
        <v>58</v>
      </c>
      <c r="K1834" s="2">
        <v>45743</v>
      </c>
    </row>
    <row r="1835" spans="1:11" x14ac:dyDescent="0.25">
      <c r="A1835" s="1" t="s">
        <v>439</v>
      </c>
      <c r="B1835" s="1"/>
      <c r="C1835" s="1" t="s">
        <v>3030</v>
      </c>
      <c r="D1835" s="1" t="s">
        <v>3429</v>
      </c>
      <c r="E1835" s="1"/>
      <c r="F1835">
        <v>0</v>
      </c>
      <c r="G1835">
        <v>0</v>
      </c>
      <c r="H1835">
        <v>0</v>
      </c>
      <c r="I1835">
        <v>0</v>
      </c>
      <c r="J1835">
        <v>58</v>
      </c>
      <c r="K1835" s="2">
        <v>45744</v>
      </c>
    </row>
    <row r="1836" spans="1:11" x14ac:dyDescent="0.25">
      <c r="A1836" s="1" t="s">
        <v>439</v>
      </c>
      <c r="B1836" s="1"/>
      <c r="C1836" s="1" t="s">
        <v>3100</v>
      </c>
      <c r="D1836" s="1" t="s">
        <v>3448</v>
      </c>
      <c r="E1836" s="1"/>
      <c r="F1836">
        <v>26.6</v>
      </c>
      <c r="G1836">
        <v>16.7</v>
      </c>
      <c r="H1836">
        <v>660</v>
      </c>
      <c r="I1836">
        <v>2</v>
      </c>
      <c r="J1836">
        <v>56</v>
      </c>
      <c r="K1836" s="2">
        <v>45748</v>
      </c>
    </row>
    <row r="1837" spans="1:11" x14ac:dyDescent="0.25">
      <c r="A1837" s="1" t="s">
        <v>439</v>
      </c>
      <c r="B1837" s="1"/>
      <c r="C1837" s="1" t="s">
        <v>3101</v>
      </c>
      <c r="D1837" s="1" t="s">
        <v>3397</v>
      </c>
      <c r="E1837" s="1"/>
      <c r="F1837">
        <v>4.3</v>
      </c>
      <c r="G1837">
        <v>0</v>
      </c>
      <c r="H1837">
        <v>280</v>
      </c>
      <c r="I1837">
        <v>0</v>
      </c>
      <c r="J1837">
        <v>0</v>
      </c>
      <c r="K1837" s="2">
        <v>45754</v>
      </c>
    </row>
    <row r="1838" spans="1:11" x14ac:dyDescent="0.25">
      <c r="A1838" s="1" t="s">
        <v>767</v>
      </c>
      <c r="B1838" s="1"/>
      <c r="C1838" s="1" t="s">
        <v>2808</v>
      </c>
      <c r="D1838" s="1" t="s">
        <v>3370</v>
      </c>
      <c r="E1838" s="1"/>
      <c r="F1838">
        <v>0</v>
      </c>
      <c r="G1838">
        <v>0</v>
      </c>
      <c r="H1838">
        <v>0</v>
      </c>
      <c r="I1838">
        <v>0</v>
      </c>
      <c r="J1838">
        <v>60</v>
      </c>
      <c r="K1838" s="2">
        <v>45776</v>
      </c>
    </row>
    <row r="1839" spans="1:11" x14ac:dyDescent="0.25">
      <c r="A1839" s="1" t="s">
        <v>767</v>
      </c>
      <c r="B1839" s="1"/>
      <c r="C1839" s="1" t="s">
        <v>2903</v>
      </c>
      <c r="D1839" s="1" t="s">
        <v>3388</v>
      </c>
      <c r="E1839" s="1"/>
      <c r="F1839">
        <v>1.3</v>
      </c>
      <c r="G1839">
        <v>3.5</v>
      </c>
      <c r="H1839">
        <v>-135</v>
      </c>
      <c r="I1839">
        <v>0</v>
      </c>
      <c r="J1839">
        <v>60</v>
      </c>
      <c r="K1839" s="2">
        <v>45777</v>
      </c>
    </row>
    <row r="1840" spans="1:11" x14ac:dyDescent="0.25">
      <c r="A1840" s="1" t="s">
        <v>767</v>
      </c>
      <c r="B1840" s="1"/>
      <c r="C1840" s="1" t="s">
        <v>2997</v>
      </c>
      <c r="D1840" s="1" t="s">
        <v>3388</v>
      </c>
      <c r="E1840" s="1"/>
      <c r="F1840">
        <v>7.6</v>
      </c>
      <c r="G1840">
        <v>8.9</v>
      </c>
      <c r="H1840">
        <v>-80</v>
      </c>
      <c r="I1840">
        <v>0</v>
      </c>
      <c r="J1840">
        <v>118</v>
      </c>
      <c r="K1840" s="2">
        <v>45777</v>
      </c>
    </row>
    <row r="1841" spans="1:11" x14ac:dyDescent="0.25">
      <c r="A1841" s="1" t="s">
        <v>767</v>
      </c>
      <c r="B1841" s="1"/>
      <c r="C1841" s="1" t="s">
        <v>2903</v>
      </c>
      <c r="D1841" s="1" t="s">
        <v>3388</v>
      </c>
      <c r="E1841" s="1"/>
      <c r="F1841">
        <v>1.3</v>
      </c>
      <c r="G1841">
        <v>5.2</v>
      </c>
      <c r="H1841">
        <v>-240</v>
      </c>
      <c r="I1841">
        <v>0</v>
      </c>
      <c r="J1841">
        <v>60</v>
      </c>
      <c r="K1841" s="2">
        <v>45777</v>
      </c>
    </row>
    <row r="1842" spans="1:11" x14ac:dyDescent="0.25">
      <c r="A1842" s="1" t="s">
        <v>767</v>
      </c>
      <c r="B1842" s="1"/>
      <c r="C1842" s="1" t="s">
        <v>2868</v>
      </c>
      <c r="D1842" s="1" t="s">
        <v>3388</v>
      </c>
      <c r="E1842" s="1"/>
      <c r="F1842">
        <v>2.1</v>
      </c>
      <c r="G1842">
        <v>0</v>
      </c>
      <c r="H1842">
        <v>135</v>
      </c>
      <c r="I1842">
        <v>0</v>
      </c>
      <c r="J1842">
        <v>60</v>
      </c>
      <c r="K1842" s="2">
        <v>45777</v>
      </c>
    </row>
    <row r="1843" spans="1:11" x14ac:dyDescent="0.25">
      <c r="A1843" s="1" t="s">
        <v>767</v>
      </c>
      <c r="B1843" s="1"/>
      <c r="C1843" s="1" t="s">
        <v>3030</v>
      </c>
      <c r="D1843" s="1" t="s">
        <v>3429</v>
      </c>
      <c r="E1843" s="1"/>
      <c r="F1843">
        <v>0</v>
      </c>
      <c r="G1843">
        <v>0</v>
      </c>
      <c r="H1843">
        <v>0</v>
      </c>
      <c r="I1843">
        <v>0</v>
      </c>
      <c r="J1843">
        <v>60</v>
      </c>
      <c r="K1843" s="2">
        <v>45777</v>
      </c>
    </row>
    <row r="1844" spans="1:11" x14ac:dyDescent="0.25">
      <c r="A1844" s="1" t="s">
        <v>767</v>
      </c>
      <c r="B1844" s="1"/>
      <c r="C1844" s="1" t="s">
        <v>3100</v>
      </c>
      <c r="D1844" s="1" t="s">
        <v>3448</v>
      </c>
      <c r="E1844" s="1"/>
      <c r="F1844">
        <v>27.4</v>
      </c>
      <c r="G1844">
        <v>37.5</v>
      </c>
      <c r="H1844">
        <v>-635</v>
      </c>
      <c r="I1844">
        <v>1</v>
      </c>
      <c r="J1844">
        <v>59</v>
      </c>
      <c r="K1844" s="2">
        <v>45789</v>
      </c>
    </row>
    <row r="1845" spans="1:11" x14ac:dyDescent="0.25">
      <c r="A1845" s="1" t="s">
        <v>818</v>
      </c>
      <c r="B1845" s="1"/>
      <c r="C1845" s="1" t="s">
        <v>2808</v>
      </c>
      <c r="D1845" s="1" t="s">
        <v>3370</v>
      </c>
      <c r="E1845" s="1"/>
      <c r="F1845">
        <v>0</v>
      </c>
      <c r="G1845">
        <v>0</v>
      </c>
      <c r="H1845">
        <v>0</v>
      </c>
      <c r="I1845">
        <v>0</v>
      </c>
      <c r="J1845">
        <v>60</v>
      </c>
      <c r="K1845" s="2">
        <v>45779</v>
      </c>
    </row>
    <row r="1846" spans="1:11" x14ac:dyDescent="0.25">
      <c r="A1846" s="1" t="s">
        <v>818</v>
      </c>
      <c r="B1846" s="1"/>
      <c r="C1846" s="1" t="s">
        <v>2903</v>
      </c>
      <c r="D1846" s="1" t="s">
        <v>3388</v>
      </c>
      <c r="E1846" s="1"/>
      <c r="F1846">
        <v>1.3</v>
      </c>
      <c r="G1846">
        <v>4.5999999999999996</v>
      </c>
      <c r="H1846">
        <v>-205</v>
      </c>
      <c r="I1846">
        <v>0</v>
      </c>
      <c r="J1846">
        <v>60</v>
      </c>
      <c r="K1846" s="2">
        <v>45779</v>
      </c>
    </row>
    <row r="1847" spans="1:11" x14ac:dyDescent="0.25">
      <c r="A1847" s="1" t="s">
        <v>818</v>
      </c>
      <c r="B1847" s="1"/>
      <c r="C1847" s="1" t="s">
        <v>2997</v>
      </c>
      <c r="D1847" s="1" t="s">
        <v>3388</v>
      </c>
      <c r="E1847" s="1"/>
      <c r="F1847">
        <v>7.6</v>
      </c>
      <c r="G1847">
        <v>3.1</v>
      </c>
      <c r="H1847">
        <v>285</v>
      </c>
      <c r="I1847">
        <v>0</v>
      </c>
      <c r="J1847">
        <v>60</v>
      </c>
      <c r="K1847" s="2">
        <v>45779</v>
      </c>
    </row>
    <row r="1848" spans="1:11" x14ac:dyDescent="0.25">
      <c r="A1848" s="1" t="s">
        <v>818</v>
      </c>
      <c r="B1848" s="1"/>
      <c r="C1848" s="1" t="s">
        <v>2903</v>
      </c>
      <c r="D1848" s="1" t="s">
        <v>3388</v>
      </c>
      <c r="E1848" s="1"/>
      <c r="F1848">
        <v>1.3</v>
      </c>
      <c r="G1848">
        <v>4.5999999999999996</v>
      </c>
      <c r="H1848">
        <v>-205</v>
      </c>
      <c r="I1848">
        <v>0</v>
      </c>
      <c r="J1848">
        <v>60</v>
      </c>
      <c r="K1848" s="2">
        <v>45779</v>
      </c>
    </row>
    <row r="1849" spans="1:11" x14ac:dyDescent="0.25">
      <c r="A1849" s="1" t="s">
        <v>818</v>
      </c>
      <c r="B1849" s="1"/>
      <c r="C1849" s="1" t="s">
        <v>2868</v>
      </c>
      <c r="D1849" s="1" t="s">
        <v>3388</v>
      </c>
      <c r="E1849" s="1"/>
      <c r="F1849">
        <v>2.1</v>
      </c>
      <c r="G1849">
        <v>2.1</v>
      </c>
      <c r="H1849">
        <v>5</v>
      </c>
      <c r="I1849">
        <v>0</v>
      </c>
      <c r="J1849">
        <v>60</v>
      </c>
      <c r="K1849" s="2">
        <v>45779</v>
      </c>
    </row>
    <row r="1850" spans="1:11" x14ac:dyDescent="0.25">
      <c r="A1850" s="1" t="s">
        <v>818</v>
      </c>
      <c r="B1850" s="1"/>
      <c r="C1850" s="1" t="s">
        <v>3030</v>
      </c>
      <c r="D1850" s="1" t="s">
        <v>3429</v>
      </c>
      <c r="E1850" s="1"/>
      <c r="F1850">
        <v>0</v>
      </c>
      <c r="G1850">
        <v>0</v>
      </c>
      <c r="H1850">
        <v>0</v>
      </c>
      <c r="I1850">
        <v>0</v>
      </c>
      <c r="J1850">
        <v>60</v>
      </c>
      <c r="K1850" s="2">
        <v>45784</v>
      </c>
    </row>
    <row r="1851" spans="1:11" x14ac:dyDescent="0.25">
      <c r="A1851" s="1" t="s">
        <v>818</v>
      </c>
      <c r="B1851" s="1"/>
      <c r="C1851" s="1" t="s">
        <v>3100</v>
      </c>
      <c r="D1851" s="1" t="s">
        <v>3448</v>
      </c>
      <c r="E1851" s="1"/>
      <c r="F1851">
        <v>27.4</v>
      </c>
      <c r="G1851">
        <v>22.9</v>
      </c>
      <c r="H1851">
        <v>310</v>
      </c>
      <c r="I1851">
        <v>1</v>
      </c>
      <c r="J1851">
        <v>59</v>
      </c>
      <c r="K1851" s="2">
        <v>45786</v>
      </c>
    </row>
    <row r="1852" spans="1:11" x14ac:dyDescent="0.25">
      <c r="A1852" s="1" t="s">
        <v>189</v>
      </c>
      <c r="B1852" s="1"/>
      <c r="C1852" s="1" t="s">
        <v>2808</v>
      </c>
      <c r="D1852" s="1" t="s">
        <v>3370</v>
      </c>
      <c r="E1852" s="1"/>
      <c r="F1852">
        <v>0</v>
      </c>
      <c r="G1852">
        <v>0</v>
      </c>
      <c r="H1852">
        <v>0</v>
      </c>
      <c r="I1852">
        <v>0</v>
      </c>
      <c r="J1852">
        <v>543</v>
      </c>
      <c r="K1852" s="2">
        <v>45735</v>
      </c>
    </row>
    <row r="1853" spans="1:11" x14ac:dyDescent="0.25">
      <c r="A1853" s="1" t="s">
        <v>189</v>
      </c>
      <c r="B1853" s="1"/>
      <c r="C1853" s="1" t="s">
        <v>3102</v>
      </c>
      <c r="D1853" s="1" t="s">
        <v>3390</v>
      </c>
      <c r="E1853" s="1"/>
      <c r="F1853">
        <v>56.3</v>
      </c>
      <c r="G1853">
        <v>132.6</v>
      </c>
      <c r="H1853">
        <v>-4000</v>
      </c>
      <c r="I1853">
        <v>0</v>
      </c>
      <c r="J1853">
        <v>543</v>
      </c>
      <c r="K1853" s="2">
        <v>45735</v>
      </c>
    </row>
    <row r="1854" spans="1:11" x14ac:dyDescent="0.25">
      <c r="A1854" s="1" t="s">
        <v>189</v>
      </c>
      <c r="B1854" s="1"/>
      <c r="C1854" s="1" t="s">
        <v>2864</v>
      </c>
      <c r="D1854" s="1" t="s">
        <v>3462</v>
      </c>
      <c r="E1854" s="1"/>
      <c r="F1854">
        <v>1</v>
      </c>
      <c r="G1854">
        <v>20.100000000000001</v>
      </c>
      <c r="H1854">
        <v>-970</v>
      </c>
      <c r="I1854">
        <v>388</v>
      </c>
      <c r="J1854">
        <v>0</v>
      </c>
      <c r="K1854" s="2">
        <v>45755</v>
      </c>
    </row>
    <row r="1855" spans="1:11" x14ac:dyDescent="0.25">
      <c r="A1855" s="1" t="s">
        <v>189</v>
      </c>
      <c r="B1855" s="1"/>
      <c r="C1855" s="1" t="s">
        <v>2816</v>
      </c>
      <c r="D1855" s="1" t="s">
        <v>3372</v>
      </c>
      <c r="E1855" s="1"/>
      <c r="F1855">
        <v>1</v>
      </c>
      <c r="G1855">
        <v>0.3</v>
      </c>
      <c r="H1855">
        <v>40</v>
      </c>
      <c r="I1855">
        <v>0</v>
      </c>
      <c r="J1855">
        <v>155</v>
      </c>
      <c r="K1855" s="2">
        <v>45755</v>
      </c>
    </row>
    <row r="1856" spans="1:11" x14ac:dyDescent="0.25">
      <c r="A1856" s="1" t="s">
        <v>189</v>
      </c>
      <c r="B1856" s="1"/>
      <c r="C1856" s="1" t="s">
        <v>2923</v>
      </c>
      <c r="D1856" s="1" t="s">
        <v>3449</v>
      </c>
      <c r="E1856" s="1"/>
      <c r="F1856">
        <v>5.5</v>
      </c>
      <c r="G1856">
        <v>3.6</v>
      </c>
      <c r="H1856">
        <v>120</v>
      </c>
      <c r="I1856">
        <v>0</v>
      </c>
      <c r="J1856">
        <v>155</v>
      </c>
      <c r="K1856" s="2">
        <v>45755</v>
      </c>
    </row>
    <row r="1857" spans="1:11" x14ac:dyDescent="0.25">
      <c r="A1857" s="1" t="s">
        <v>577</v>
      </c>
      <c r="B1857" s="1"/>
      <c r="C1857" s="1" t="s">
        <v>2808</v>
      </c>
      <c r="D1857" s="1" t="s">
        <v>3370</v>
      </c>
      <c r="E1857" s="1"/>
      <c r="F1857">
        <v>0</v>
      </c>
      <c r="G1857">
        <v>0</v>
      </c>
      <c r="H1857">
        <v>0</v>
      </c>
      <c r="I1857">
        <v>0</v>
      </c>
      <c r="J1857">
        <v>40</v>
      </c>
      <c r="K1857" s="2">
        <v>45757</v>
      </c>
    </row>
    <row r="1858" spans="1:11" x14ac:dyDescent="0.25">
      <c r="A1858" s="1" t="s">
        <v>577</v>
      </c>
      <c r="B1858" s="1"/>
      <c r="C1858" s="1" t="s">
        <v>2903</v>
      </c>
      <c r="D1858" s="1" t="s">
        <v>3388</v>
      </c>
      <c r="E1858" s="1"/>
      <c r="F1858">
        <v>0.5</v>
      </c>
      <c r="G1858">
        <v>2.5</v>
      </c>
      <c r="H1858">
        <v>-125</v>
      </c>
      <c r="I1858">
        <v>0</v>
      </c>
      <c r="J1858">
        <v>40</v>
      </c>
      <c r="K1858" s="2">
        <v>45758</v>
      </c>
    </row>
    <row r="1859" spans="1:11" x14ac:dyDescent="0.25">
      <c r="A1859" s="1" t="s">
        <v>577</v>
      </c>
      <c r="B1859" s="1"/>
      <c r="C1859" s="1" t="s">
        <v>2997</v>
      </c>
      <c r="D1859" s="1" t="s">
        <v>3413</v>
      </c>
      <c r="E1859" s="1"/>
      <c r="F1859">
        <v>0.6</v>
      </c>
      <c r="G1859">
        <v>5.5</v>
      </c>
      <c r="H1859">
        <v>-305</v>
      </c>
      <c r="I1859">
        <v>0</v>
      </c>
      <c r="J1859">
        <v>40</v>
      </c>
      <c r="K1859" s="2">
        <v>45758</v>
      </c>
    </row>
    <row r="1860" spans="1:11" x14ac:dyDescent="0.25">
      <c r="A1860" s="1" t="s">
        <v>577</v>
      </c>
      <c r="B1860" s="1"/>
      <c r="C1860" s="1" t="s">
        <v>2903</v>
      </c>
      <c r="D1860" s="1" t="s">
        <v>3388</v>
      </c>
      <c r="E1860" s="1"/>
      <c r="F1860">
        <v>0.5</v>
      </c>
      <c r="G1860">
        <v>9.6</v>
      </c>
      <c r="H1860">
        <v>-570</v>
      </c>
      <c r="I1860">
        <v>0</v>
      </c>
      <c r="J1860">
        <v>40</v>
      </c>
      <c r="K1860" s="2">
        <v>45758</v>
      </c>
    </row>
    <row r="1861" spans="1:11" x14ac:dyDescent="0.25">
      <c r="A1861" s="1" t="s">
        <v>577</v>
      </c>
      <c r="B1861" s="1"/>
      <c r="C1861" s="1" t="s">
        <v>2868</v>
      </c>
      <c r="D1861" s="1" t="s">
        <v>3388</v>
      </c>
      <c r="E1861" s="1"/>
      <c r="F1861">
        <v>1.4</v>
      </c>
      <c r="G1861">
        <v>8.9</v>
      </c>
      <c r="H1861">
        <v>-460</v>
      </c>
      <c r="I1861">
        <v>0</v>
      </c>
      <c r="J1861">
        <v>40</v>
      </c>
      <c r="K1861" s="2">
        <v>45762</v>
      </c>
    </row>
    <row r="1862" spans="1:11" x14ac:dyDescent="0.25">
      <c r="A1862" s="1" t="s">
        <v>577</v>
      </c>
      <c r="B1862" s="1"/>
      <c r="C1862" s="1" t="s">
        <v>3103</v>
      </c>
      <c r="D1862" s="1" t="s">
        <v>3429</v>
      </c>
      <c r="E1862" s="1"/>
      <c r="F1862">
        <v>0</v>
      </c>
      <c r="G1862">
        <v>0.1</v>
      </c>
      <c r="H1862">
        <v>0</v>
      </c>
      <c r="I1862">
        <v>0</v>
      </c>
      <c r="J1862">
        <v>40</v>
      </c>
      <c r="K1862" s="2">
        <v>45763</v>
      </c>
    </row>
    <row r="1863" spans="1:11" x14ac:dyDescent="0.25">
      <c r="A1863" s="1" t="s">
        <v>577</v>
      </c>
      <c r="B1863" s="1"/>
      <c r="C1863" s="1" t="s">
        <v>3100</v>
      </c>
      <c r="D1863" s="1" t="s">
        <v>3448</v>
      </c>
      <c r="E1863" s="1"/>
      <c r="F1863">
        <v>10</v>
      </c>
      <c r="G1863">
        <v>42.3</v>
      </c>
      <c r="H1863">
        <v>-2060</v>
      </c>
      <c r="I1863">
        <v>6</v>
      </c>
      <c r="J1863">
        <v>34</v>
      </c>
      <c r="K1863" s="2">
        <v>45776</v>
      </c>
    </row>
    <row r="1864" spans="1:11" x14ac:dyDescent="0.25">
      <c r="A1864" s="1" t="s">
        <v>577</v>
      </c>
      <c r="B1864" s="1"/>
      <c r="C1864" s="1" t="s">
        <v>3101</v>
      </c>
      <c r="D1864" s="1" t="s">
        <v>3471</v>
      </c>
      <c r="E1864" s="1"/>
      <c r="F1864">
        <v>0.9</v>
      </c>
      <c r="G1864">
        <v>1.3</v>
      </c>
      <c r="H1864">
        <v>-20</v>
      </c>
      <c r="I1864">
        <v>0</v>
      </c>
      <c r="J1864">
        <v>34</v>
      </c>
      <c r="K1864" s="2">
        <v>45770</v>
      </c>
    </row>
    <row r="1865" spans="1:11" x14ac:dyDescent="0.25">
      <c r="A1865" s="1" t="s">
        <v>577</v>
      </c>
      <c r="B1865" s="1"/>
      <c r="C1865" s="1" t="s">
        <v>2864</v>
      </c>
      <c r="D1865" s="1" t="s">
        <v>3472</v>
      </c>
      <c r="E1865" s="1"/>
      <c r="F1865">
        <v>7</v>
      </c>
      <c r="G1865">
        <v>3.9</v>
      </c>
      <c r="H1865">
        <v>130</v>
      </c>
      <c r="I1865">
        <v>0</v>
      </c>
      <c r="J1865">
        <v>6</v>
      </c>
      <c r="K1865" s="2">
        <v>45770</v>
      </c>
    </row>
    <row r="1866" spans="1:11" x14ac:dyDescent="0.25">
      <c r="A1866" s="1" t="s">
        <v>577</v>
      </c>
      <c r="B1866" s="1"/>
      <c r="C1866" s="1" t="s">
        <v>3101</v>
      </c>
      <c r="D1866" s="1" t="s">
        <v>3471</v>
      </c>
      <c r="E1866" s="1"/>
      <c r="F1866">
        <v>0.9</v>
      </c>
      <c r="G1866">
        <v>2.9</v>
      </c>
      <c r="H1866">
        <v>-120</v>
      </c>
      <c r="I1866">
        <v>0</v>
      </c>
      <c r="J1866">
        <v>34</v>
      </c>
      <c r="K1866" s="2">
        <v>45772</v>
      </c>
    </row>
    <row r="1867" spans="1:11" x14ac:dyDescent="0.25">
      <c r="A1867" s="1" t="s">
        <v>577</v>
      </c>
      <c r="B1867" s="1"/>
      <c r="C1867" s="1" t="s">
        <v>2948</v>
      </c>
      <c r="D1867" s="1" t="s">
        <v>3388</v>
      </c>
      <c r="E1867" s="1"/>
      <c r="F1867">
        <v>3.2</v>
      </c>
      <c r="G1867">
        <v>1.9</v>
      </c>
      <c r="H1867">
        <v>80</v>
      </c>
      <c r="I1867">
        <v>0</v>
      </c>
      <c r="J1867">
        <v>34</v>
      </c>
      <c r="K1867" s="2">
        <v>45771</v>
      </c>
    </row>
    <row r="1868" spans="1:11" x14ac:dyDescent="0.25">
      <c r="A1868" s="1" t="s">
        <v>577</v>
      </c>
      <c r="B1868" s="1"/>
      <c r="C1868" s="1" t="s">
        <v>2924</v>
      </c>
      <c r="D1868" s="1" t="s">
        <v>3372</v>
      </c>
      <c r="E1868" s="1"/>
      <c r="F1868">
        <v>1</v>
      </c>
      <c r="G1868">
        <v>0</v>
      </c>
      <c r="H1868">
        <v>55</v>
      </c>
      <c r="I1868">
        <v>0</v>
      </c>
      <c r="J1868">
        <v>34</v>
      </c>
      <c r="K1868" s="2">
        <v>45775</v>
      </c>
    </row>
    <row r="1869" spans="1:11" x14ac:dyDescent="0.25">
      <c r="A1869" s="1" t="s">
        <v>577</v>
      </c>
      <c r="B1869" s="1"/>
      <c r="C1869" s="1" t="s">
        <v>2923</v>
      </c>
      <c r="D1869" s="1" t="s">
        <v>3449</v>
      </c>
      <c r="E1869" s="1"/>
      <c r="F1869">
        <v>0.9</v>
      </c>
      <c r="G1869">
        <v>2.8</v>
      </c>
      <c r="H1869">
        <v>-115</v>
      </c>
      <c r="I1869">
        <v>0</v>
      </c>
      <c r="J1869">
        <v>34</v>
      </c>
      <c r="K1869" s="2">
        <v>45776</v>
      </c>
    </row>
    <row r="1870" spans="1:11" x14ac:dyDescent="0.25">
      <c r="A1870" s="1" t="s">
        <v>455</v>
      </c>
      <c r="B1870" s="1"/>
      <c r="C1870" s="1" t="s">
        <v>2808</v>
      </c>
      <c r="D1870" s="1" t="s">
        <v>3370</v>
      </c>
      <c r="E1870" s="1"/>
      <c r="F1870">
        <v>0</v>
      </c>
      <c r="G1870">
        <v>0</v>
      </c>
      <c r="H1870">
        <v>0</v>
      </c>
      <c r="I1870">
        <v>0</v>
      </c>
      <c r="J1870">
        <v>40</v>
      </c>
      <c r="K1870" s="2">
        <v>45747</v>
      </c>
    </row>
    <row r="1871" spans="1:11" x14ac:dyDescent="0.25">
      <c r="A1871" s="1" t="s">
        <v>455</v>
      </c>
      <c r="B1871" s="1"/>
      <c r="C1871" s="1" t="s">
        <v>3104</v>
      </c>
      <c r="D1871" s="1" t="s">
        <v>3421</v>
      </c>
      <c r="E1871" s="1"/>
      <c r="F1871">
        <v>1.8</v>
      </c>
      <c r="G1871">
        <v>3.8</v>
      </c>
      <c r="H1871">
        <v>-125</v>
      </c>
      <c r="I1871">
        <v>0</v>
      </c>
      <c r="J1871">
        <v>40</v>
      </c>
      <c r="K1871" s="2">
        <v>45749</v>
      </c>
    </row>
    <row r="1872" spans="1:11" x14ac:dyDescent="0.25">
      <c r="A1872" s="1" t="s">
        <v>455</v>
      </c>
      <c r="B1872" s="1"/>
      <c r="C1872" s="1" t="s">
        <v>2918</v>
      </c>
      <c r="D1872" s="1" t="s">
        <v>3412</v>
      </c>
      <c r="E1872" s="1"/>
      <c r="F1872">
        <v>0.4</v>
      </c>
      <c r="G1872">
        <v>3.9</v>
      </c>
      <c r="H1872">
        <v>-215</v>
      </c>
      <c r="I1872">
        <v>0</v>
      </c>
      <c r="J1872">
        <v>40</v>
      </c>
      <c r="K1872" s="2">
        <v>45749</v>
      </c>
    </row>
    <row r="1873" spans="1:11" x14ac:dyDescent="0.25">
      <c r="A1873" s="1" t="s">
        <v>455</v>
      </c>
      <c r="B1873" s="1"/>
      <c r="C1873" s="1" t="s">
        <v>2868</v>
      </c>
      <c r="D1873" s="1" t="s">
        <v>3388</v>
      </c>
      <c r="E1873" s="1"/>
      <c r="F1873">
        <v>0.8</v>
      </c>
      <c r="G1873">
        <v>1.2</v>
      </c>
      <c r="H1873">
        <v>-20</v>
      </c>
      <c r="I1873">
        <v>0</v>
      </c>
      <c r="J1873">
        <v>40</v>
      </c>
      <c r="K1873" s="2">
        <v>45749</v>
      </c>
    </row>
    <row r="1874" spans="1:11" x14ac:dyDescent="0.25">
      <c r="A1874" s="1" t="s">
        <v>455</v>
      </c>
      <c r="B1874" s="1"/>
      <c r="C1874" s="1" t="s">
        <v>3105</v>
      </c>
      <c r="D1874" s="1" t="s">
        <v>3473</v>
      </c>
      <c r="E1874" s="1"/>
      <c r="F1874">
        <v>7.2</v>
      </c>
      <c r="G1874">
        <v>21.7</v>
      </c>
      <c r="H1874">
        <v>-935</v>
      </c>
      <c r="I1874">
        <v>0</v>
      </c>
      <c r="J1874">
        <v>40</v>
      </c>
      <c r="K1874" s="2">
        <v>45755</v>
      </c>
    </row>
    <row r="1875" spans="1:11" x14ac:dyDescent="0.25">
      <c r="A1875" s="1" t="s">
        <v>455</v>
      </c>
      <c r="B1875" s="1"/>
      <c r="C1875" s="1" t="s">
        <v>3106</v>
      </c>
      <c r="D1875" s="1" t="s">
        <v>3422</v>
      </c>
      <c r="E1875" s="1"/>
      <c r="F1875">
        <v>3.5</v>
      </c>
      <c r="G1875">
        <v>0.7</v>
      </c>
      <c r="H1875">
        <v>120</v>
      </c>
      <c r="I1875">
        <v>0</v>
      </c>
      <c r="J1875">
        <v>3</v>
      </c>
      <c r="K1875" s="2">
        <v>45756</v>
      </c>
    </row>
    <row r="1876" spans="1:11" x14ac:dyDescent="0.25">
      <c r="A1876" s="1" t="s">
        <v>455</v>
      </c>
      <c r="B1876" s="1"/>
      <c r="C1876" s="1" t="s">
        <v>2923</v>
      </c>
      <c r="D1876" s="1" t="s">
        <v>3449</v>
      </c>
      <c r="E1876" s="1"/>
      <c r="F1876">
        <v>0.9</v>
      </c>
      <c r="G1876">
        <v>0</v>
      </c>
      <c r="H1876">
        <v>65</v>
      </c>
      <c r="I1876">
        <v>0</v>
      </c>
      <c r="J1876">
        <v>40</v>
      </c>
      <c r="K1876" s="2">
        <v>45756</v>
      </c>
    </row>
    <row r="1877" spans="1:11" x14ac:dyDescent="0.25">
      <c r="A1877" s="1" t="s">
        <v>455</v>
      </c>
      <c r="B1877" s="1"/>
      <c r="C1877" s="1" t="s">
        <v>2816</v>
      </c>
      <c r="D1877" s="1" t="s">
        <v>3372</v>
      </c>
      <c r="E1877" s="1"/>
      <c r="F1877">
        <v>1</v>
      </c>
      <c r="G1877">
        <v>0.4</v>
      </c>
      <c r="H1877">
        <v>35</v>
      </c>
      <c r="I1877">
        <v>0</v>
      </c>
      <c r="J1877">
        <v>40</v>
      </c>
      <c r="K1877" s="2">
        <v>45758</v>
      </c>
    </row>
    <row r="1878" spans="1:11" x14ac:dyDescent="0.25">
      <c r="A1878" s="1" t="s">
        <v>872</v>
      </c>
      <c r="B1878" s="1"/>
      <c r="C1878" s="1" t="s">
        <v>2808</v>
      </c>
      <c r="D1878" s="1" t="s">
        <v>3370</v>
      </c>
      <c r="E1878" s="1"/>
      <c r="F1878">
        <v>0</v>
      </c>
      <c r="G1878">
        <v>0</v>
      </c>
      <c r="H1878">
        <v>0</v>
      </c>
      <c r="I1878">
        <v>0</v>
      </c>
      <c r="J1878">
        <v>90</v>
      </c>
      <c r="K1878" s="2">
        <v>45779</v>
      </c>
    </row>
    <row r="1879" spans="1:11" x14ac:dyDescent="0.25">
      <c r="A1879" s="1" t="s">
        <v>872</v>
      </c>
      <c r="B1879" s="1"/>
      <c r="C1879" s="1" t="s">
        <v>2871</v>
      </c>
      <c r="D1879" s="1" t="s">
        <v>3404</v>
      </c>
      <c r="E1879" s="1"/>
      <c r="F1879">
        <v>0.9</v>
      </c>
      <c r="G1879">
        <v>1.6</v>
      </c>
      <c r="H1879">
        <v>-30</v>
      </c>
      <c r="I1879">
        <v>0</v>
      </c>
      <c r="J1879">
        <v>90</v>
      </c>
      <c r="K1879" s="2">
        <v>45782</v>
      </c>
    </row>
    <row r="1880" spans="1:11" x14ac:dyDescent="0.25">
      <c r="A1880" s="1" t="s">
        <v>872</v>
      </c>
      <c r="B1880" s="1"/>
      <c r="C1880" s="1" t="s">
        <v>2872</v>
      </c>
      <c r="D1880" s="1" t="s">
        <v>3371</v>
      </c>
      <c r="E1880" s="1"/>
      <c r="F1880">
        <v>0.9</v>
      </c>
      <c r="G1880">
        <v>1.5</v>
      </c>
      <c r="H1880">
        <v>-25</v>
      </c>
      <c r="I1880">
        <v>0</v>
      </c>
      <c r="J1880">
        <v>90</v>
      </c>
      <c r="K1880" s="2">
        <v>45782</v>
      </c>
    </row>
    <row r="1881" spans="1:11" x14ac:dyDescent="0.25">
      <c r="A1881" s="1" t="s">
        <v>872</v>
      </c>
      <c r="B1881" s="1"/>
      <c r="C1881" s="1" t="s">
        <v>2869</v>
      </c>
      <c r="D1881" s="1" t="s">
        <v>3373</v>
      </c>
      <c r="E1881" s="1"/>
      <c r="F1881">
        <v>1.8</v>
      </c>
      <c r="G1881">
        <v>4.3</v>
      </c>
      <c r="H1881">
        <v>-120</v>
      </c>
      <c r="I1881">
        <v>0</v>
      </c>
      <c r="J1881">
        <v>90</v>
      </c>
      <c r="K1881" s="2">
        <v>45782</v>
      </c>
    </row>
    <row r="1882" spans="1:11" x14ac:dyDescent="0.25">
      <c r="A1882" s="1" t="s">
        <v>872</v>
      </c>
      <c r="B1882" s="1"/>
      <c r="C1882" s="1" t="s">
        <v>2812</v>
      </c>
      <c r="D1882" s="1" t="s">
        <v>3374</v>
      </c>
      <c r="E1882" s="1"/>
      <c r="F1882">
        <v>0.3</v>
      </c>
      <c r="G1882">
        <v>0</v>
      </c>
      <c r="H1882">
        <v>20</v>
      </c>
      <c r="I1882">
        <v>0</v>
      </c>
      <c r="J1882">
        <v>90</v>
      </c>
      <c r="K1882" s="2">
        <v>45783</v>
      </c>
    </row>
    <row r="1883" spans="1:11" x14ac:dyDescent="0.25">
      <c r="A1883" s="1" t="s">
        <v>245</v>
      </c>
      <c r="B1883" s="1"/>
      <c r="C1883" s="1" t="s">
        <v>3107</v>
      </c>
      <c r="D1883" s="1" t="s">
        <v>3389</v>
      </c>
      <c r="E1883" s="1"/>
      <c r="F1883">
        <v>0</v>
      </c>
      <c r="G1883">
        <v>0</v>
      </c>
      <c r="H1883">
        <v>-5435</v>
      </c>
      <c r="I1883">
        <v>0</v>
      </c>
      <c r="J1883">
        <v>318</v>
      </c>
      <c r="K1883" s="2">
        <v>45754</v>
      </c>
    </row>
    <row r="1884" spans="1:11" x14ac:dyDescent="0.25">
      <c r="A1884" s="1" t="s">
        <v>245</v>
      </c>
      <c r="B1884" s="1"/>
      <c r="C1884" s="1" t="s">
        <v>3093</v>
      </c>
      <c r="D1884" s="1" t="s">
        <v>3372</v>
      </c>
      <c r="E1884" s="1"/>
      <c r="F1884">
        <v>0.5</v>
      </c>
      <c r="G1884">
        <v>0</v>
      </c>
      <c r="H1884">
        <v>25</v>
      </c>
      <c r="I1884">
        <v>0</v>
      </c>
      <c r="J1884">
        <v>318</v>
      </c>
      <c r="K1884" s="2">
        <v>45755</v>
      </c>
    </row>
    <row r="1885" spans="1:11" x14ac:dyDescent="0.25">
      <c r="A1885" s="1" t="s">
        <v>245</v>
      </c>
      <c r="B1885" s="1"/>
      <c r="C1885" s="1" t="s">
        <v>3108</v>
      </c>
      <c r="D1885" s="1" t="s">
        <v>3427</v>
      </c>
      <c r="E1885" s="1"/>
      <c r="F1885">
        <v>80</v>
      </c>
      <c r="G1885">
        <v>64.5</v>
      </c>
      <c r="H1885">
        <v>655</v>
      </c>
      <c r="I1885">
        <v>0</v>
      </c>
      <c r="J1885">
        <v>316</v>
      </c>
      <c r="K1885" s="2">
        <v>45770</v>
      </c>
    </row>
    <row r="1886" spans="1:11" x14ac:dyDescent="0.25">
      <c r="A1886" s="1" t="s">
        <v>212</v>
      </c>
      <c r="B1886" s="1"/>
      <c r="C1886" s="1" t="s">
        <v>2873</v>
      </c>
      <c r="D1886" s="1" t="s">
        <v>3405</v>
      </c>
      <c r="E1886" s="1"/>
      <c r="F1886">
        <v>5.8</v>
      </c>
      <c r="G1886">
        <v>10</v>
      </c>
      <c r="H1886">
        <v>-190</v>
      </c>
      <c r="I1886">
        <v>9</v>
      </c>
      <c r="J1886">
        <v>194</v>
      </c>
      <c r="K1886" s="2">
        <v>45779</v>
      </c>
    </row>
    <row r="1887" spans="1:11" x14ac:dyDescent="0.25">
      <c r="A1887" s="1" t="s">
        <v>212</v>
      </c>
      <c r="B1887" s="1"/>
      <c r="C1887" s="1" t="s">
        <v>2812</v>
      </c>
      <c r="D1887" s="1" t="s">
        <v>3374</v>
      </c>
      <c r="E1887" s="1"/>
      <c r="F1887">
        <v>0.3</v>
      </c>
      <c r="G1887">
        <v>0</v>
      </c>
      <c r="H1887">
        <v>20</v>
      </c>
      <c r="I1887">
        <v>0</v>
      </c>
      <c r="J1887">
        <v>194</v>
      </c>
      <c r="K1887" s="2">
        <v>45779</v>
      </c>
    </row>
    <row r="1888" spans="1:11" x14ac:dyDescent="0.25">
      <c r="A1888" s="1" t="s">
        <v>212</v>
      </c>
      <c r="B1888" s="1"/>
      <c r="C1888" s="1" t="s">
        <v>2870</v>
      </c>
      <c r="D1888" s="1" t="s">
        <v>3375</v>
      </c>
      <c r="E1888" s="1"/>
      <c r="F1888">
        <v>13.8</v>
      </c>
      <c r="G1888">
        <v>5.3</v>
      </c>
      <c r="H1888">
        <v>450</v>
      </c>
      <c r="I1888">
        <v>102</v>
      </c>
      <c r="J1888">
        <v>92</v>
      </c>
      <c r="K1888" s="2">
        <v>45779</v>
      </c>
    </row>
    <row r="1889" spans="1:11" x14ac:dyDescent="0.25">
      <c r="A1889" s="1" t="s">
        <v>212</v>
      </c>
      <c r="B1889" s="1"/>
      <c r="C1889" s="1" t="s">
        <v>2864</v>
      </c>
      <c r="D1889" s="1" t="s">
        <v>3428</v>
      </c>
      <c r="E1889" s="1"/>
      <c r="F1889">
        <v>1</v>
      </c>
      <c r="G1889">
        <v>10.1</v>
      </c>
      <c r="H1889">
        <v>-380</v>
      </c>
      <c r="I1889">
        <v>0</v>
      </c>
      <c r="J1889">
        <v>7</v>
      </c>
      <c r="K1889" s="2">
        <v>45779</v>
      </c>
    </row>
    <row r="1890" spans="1:11" x14ac:dyDescent="0.25">
      <c r="A1890" s="1" t="s">
        <v>212</v>
      </c>
      <c r="B1890" s="1"/>
      <c r="C1890" s="1" t="s">
        <v>2816</v>
      </c>
      <c r="D1890" s="1" t="s">
        <v>3372</v>
      </c>
      <c r="E1890" s="1"/>
      <c r="F1890">
        <v>1</v>
      </c>
      <c r="G1890">
        <v>0</v>
      </c>
      <c r="H1890">
        <v>55</v>
      </c>
      <c r="I1890">
        <v>0</v>
      </c>
      <c r="J1890">
        <v>92</v>
      </c>
      <c r="K1890" s="2">
        <v>45775</v>
      </c>
    </row>
    <row r="1891" spans="1:11" x14ac:dyDescent="0.25">
      <c r="A1891" s="1" t="s">
        <v>522</v>
      </c>
      <c r="B1891" s="1"/>
      <c r="C1891" s="1" t="s">
        <v>2808</v>
      </c>
      <c r="D1891" s="1" t="s">
        <v>3370</v>
      </c>
      <c r="E1891" s="1"/>
      <c r="F1891">
        <v>0</v>
      </c>
      <c r="G1891">
        <v>0</v>
      </c>
      <c r="H1891">
        <v>0</v>
      </c>
      <c r="I1891">
        <v>0</v>
      </c>
      <c r="J1891">
        <v>133</v>
      </c>
      <c r="K1891" s="2">
        <v>45761</v>
      </c>
    </row>
    <row r="1892" spans="1:11" x14ac:dyDescent="0.25">
      <c r="A1892" s="1" t="s">
        <v>522</v>
      </c>
      <c r="B1892" s="1"/>
      <c r="C1892" s="1" t="s">
        <v>2926</v>
      </c>
      <c r="D1892" s="1" t="s">
        <v>3371</v>
      </c>
      <c r="E1892" s="1"/>
      <c r="F1892">
        <v>1.6</v>
      </c>
      <c r="G1892">
        <v>1.9</v>
      </c>
      <c r="H1892">
        <v>-10</v>
      </c>
      <c r="I1892">
        <v>0</v>
      </c>
      <c r="J1892">
        <v>133</v>
      </c>
      <c r="K1892" s="2">
        <v>45761</v>
      </c>
    </row>
    <row r="1893" spans="1:11" x14ac:dyDescent="0.25">
      <c r="A1893" s="1" t="s">
        <v>522</v>
      </c>
      <c r="B1893" s="1"/>
      <c r="C1893" s="1" t="s">
        <v>2873</v>
      </c>
      <c r="D1893" s="1" t="s">
        <v>3405</v>
      </c>
      <c r="E1893" s="1"/>
      <c r="F1893">
        <v>4.2</v>
      </c>
      <c r="G1893">
        <v>7.8</v>
      </c>
      <c r="H1893">
        <v>-200</v>
      </c>
      <c r="I1893">
        <v>0</v>
      </c>
      <c r="J1893">
        <v>133</v>
      </c>
      <c r="K1893" s="2">
        <v>45762</v>
      </c>
    </row>
    <row r="1894" spans="1:11" x14ac:dyDescent="0.25">
      <c r="A1894" s="1" t="s">
        <v>522</v>
      </c>
      <c r="B1894" s="1"/>
      <c r="C1894" s="1" t="s">
        <v>2812</v>
      </c>
      <c r="D1894" s="1" t="s">
        <v>3374</v>
      </c>
      <c r="E1894" s="1"/>
      <c r="F1894">
        <v>0.3</v>
      </c>
      <c r="G1894">
        <v>0</v>
      </c>
      <c r="H1894">
        <v>20</v>
      </c>
      <c r="I1894">
        <v>0</v>
      </c>
      <c r="J1894">
        <v>133</v>
      </c>
      <c r="K1894" s="2">
        <v>45769</v>
      </c>
    </row>
    <row r="1895" spans="1:11" x14ac:dyDescent="0.25">
      <c r="A1895" s="1" t="s">
        <v>522</v>
      </c>
      <c r="B1895" s="1"/>
      <c r="C1895" s="1" t="s">
        <v>2870</v>
      </c>
      <c r="D1895" s="1" t="s">
        <v>3375</v>
      </c>
      <c r="E1895" s="1"/>
      <c r="F1895">
        <v>9.1</v>
      </c>
      <c r="G1895">
        <v>7.5</v>
      </c>
      <c r="H1895">
        <v>90</v>
      </c>
      <c r="I1895">
        <v>1</v>
      </c>
      <c r="J1895">
        <v>132</v>
      </c>
      <c r="K1895" s="2">
        <v>45769</v>
      </c>
    </row>
    <row r="1896" spans="1:11" x14ac:dyDescent="0.25">
      <c r="A1896" s="1" t="s">
        <v>522</v>
      </c>
      <c r="B1896" s="1"/>
      <c r="C1896" s="1" t="s">
        <v>2864</v>
      </c>
      <c r="D1896" s="1" t="s">
        <v>3428</v>
      </c>
      <c r="E1896" s="1"/>
      <c r="F1896">
        <v>1</v>
      </c>
      <c r="G1896">
        <v>10.1</v>
      </c>
      <c r="H1896">
        <v>-380</v>
      </c>
      <c r="I1896">
        <v>0</v>
      </c>
      <c r="J1896">
        <v>42</v>
      </c>
      <c r="K1896" s="2">
        <v>45769</v>
      </c>
    </row>
    <row r="1897" spans="1:11" x14ac:dyDescent="0.25">
      <c r="A1897" s="1" t="s">
        <v>565</v>
      </c>
      <c r="B1897" s="1"/>
      <c r="C1897" s="1" t="s">
        <v>2808</v>
      </c>
      <c r="D1897" s="1" t="s">
        <v>3370</v>
      </c>
      <c r="E1897" s="1"/>
      <c r="F1897">
        <v>0</v>
      </c>
      <c r="G1897">
        <v>0</v>
      </c>
      <c r="H1897">
        <v>0</v>
      </c>
      <c r="I1897">
        <v>0</v>
      </c>
      <c r="J1897">
        <v>110</v>
      </c>
      <c r="K1897" s="2">
        <v>45764</v>
      </c>
    </row>
    <row r="1898" spans="1:11" x14ac:dyDescent="0.25">
      <c r="A1898" s="1" t="s">
        <v>565</v>
      </c>
      <c r="B1898" s="1"/>
      <c r="C1898" s="1" t="s">
        <v>2903</v>
      </c>
      <c r="D1898" s="1" t="s">
        <v>3412</v>
      </c>
      <c r="E1898" s="1"/>
      <c r="F1898">
        <v>1.1000000000000001</v>
      </c>
      <c r="G1898">
        <v>1</v>
      </c>
      <c r="H1898">
        <v>5</v>
      </c>
      <c r="I1898">
        <v>0</v>
      </c>
      <c r="J1898">
        <v>110</v>
      </c>
      <c r="K1898" s="2">
        <v>45764</v>
      </c>
    </row>
    <row r="1899" spans="1:11" x14ac:dyDescent="0.25">
      <c r="A1899" s="1" t="s">
        <v>565</v>
      </c>
      <c r="B1899" s="1"/>
      <c r="C1899" s="1" t="s">
        <v>2904</v>
      </c>
      <c r="D1899" s="1" t="s">
        <v>3413</v>
      </c>
      <c r="E1899" s="1"/>
      <c r="F1899">
        <v>0.6</v>
      </c>
      <c r="G1899">
        <v>1</v>
      </c>
      <c r="H1899">
        <v>-25</v>
      </c>
      <c r="I1899">
        <v>0</v>
      </c>
      <c r="J1899">
        <v>110</v>
      </c>
      <c r="K1899" s="2">
        <v>45764</v>
      </c>
    </row>
    <row r="1900" spans="1:11" x14ac:dyDescent="0.25">
      <c r="A1900" s="1" t="s">
        <v>565</v>
      </c>
      <c r="B1900" s="1"/>
      <c r="C1900" s="1" t="s">
        <v>2905</v>
      </c>
      <c r="D1900" s="1" t="s">
        <v>3414</v>
      </c>
      <c r="E1900" s="1"/>
      <c r="F1900">
        <v>0.6</v>
      </c>
      <c r="G1900">
        <v>1</v>
      </c>
      <c r="H1900">
        <v>-25</v>
      </c>
      <c r="I1900">
        <v>0</v>
      </c>
      <c r="J1900">
        <v>110</v>
      </c>
      <c r="K1900" s="2">
        <v>45764</v>
      </c>
    </row>
    <row r="1901" spans="1:11" x14ac:dyDescent="0.25">
      <c r="A1901" s="1" t="s">
        <v>565</v>
      </c>
      <c r="B1901" s="1"/>
      <c r="C1901" s="1" t="s">
        <v>2903</v>
      </c>
      <c r="D1901" s="1" t="s">
        <v>3412</v>
      </c>
      <c r="E1901" s="1"/>
      <c r="F1901">
        <v>1.1000000000000001</v>
      </c>
      <c r="G1901">
        <v>1.1000000000000001</v>
      </c>
      <c r="H1901">
        <v>5</v>
      </c>
      <c r="I1901">
        <v>0</v>
      </c>
      <c r="J1901">
        <v>110</v>
      </c>
      <c r="K1901" s="2">
        <v>45764</v>
      </c>
    </row>
    <row r="1902" spans="1:11" x14ac:dyDescent="0.25">
      <c r="A1902" s="1" t="s">
        <v>565</v>
      </c>
      <c r="B1902" s="1"/>
      <c r="C1902" s="1" t="s">
        <v>2906</v>
      </c>
      <c r="D1902" s="1" t="s">
        <v>3388</v>
      </c>
      <c r="E1902" s="1"/>
      <c r="F1902">
        <v>1</v>
      </c>
      <c r="G1902">
        <v>2.5</v>
      </c>
      <c r="H1902">
        <v>-90</v>
      </c>
      <c r="I1902">
        <v>0</v>
      </c>
      <c r="J1902">
        <v>110</v>
      </c>
      <c r="K1902" s="2">
        <v>45764</v>
      </c>
    </row>
    <row r="1903" spans="1:11" x14ac:dyDescent="0.25">
      <c r="A1903" s="1" t="s">
        <v>565</v>
      </c>
      <c r="B1903" s="1"/>
      <c r="C1903" s="1" t="s">
        <v>3072</v>
      </c>
      <c r="D1903" s="1" t="s">
        <v>3450</v>
      </c>
      <c r="E1903" s="1"/>
      <c r="F1903">
        <v>31.5</v>
      </c>
      <c r="G1903">
        <v>36.4</v>
      </c>
      <c r="H1903">
        <v>-230</v>
      </c>
      <c r="I1903">
        <v>0</v>
      </c>
      <c r="J1903">
        <v>110</v>
      </c>
      <c r="K1903" s="2">
        <v>45768</v>
      </c>
    </row>
    <row r="1904" spans="1:11" x14ac:dyDescent="0.25">
      <c r="A1904" s="1" t="s">
        <v>565</v>
      </c>
      <c r="B1904" s="1"/>
      <c r="C1904" s="1" t="s">
        <v>3109</v>
      </c>
      <c r="D1904" s="1" t="s">
        <v>3391</v>
      </c>
      <c r="E1904" s="1"/>
      <c r="F1904">
        <v>7.7</v>
      </c>
      <c r="G1904">
        <v>16.600000000000001</v>
      </c>
      <c r="H1904">
        <v>-485</v>
      </c>
      <c r="I1904">
        <v>0</v>
      </c>
      <c r="J1904">
        <v>110</v>
      </c>
      <c r="K1904" s="2">
        <v>45772</v>
      </c>
    </row>
    <row r="1905" spans="1:11" x14ac:dyDescent="0.25">
      <c r="A1905" s="1" t="s">
        <v>565</v>
      </c>
      <c r="B1905" s="1"/>
      <c r="C1905" s="1" t="s">
        <v>3110</v>
      </c>
      <c r="D1905" s="1" t="s">
        <v>3388</v>
      </c>
      <c r="E1905" s="1"/>
      <c r="F1905">
        <v>1</v>
      </c>
      <c r="G1905">
        <v>3.2</v>
      </c>
      <c r="H1905">
        <v>-130</v>
      </c>
      <c r="I1905">
        <v>0</v>
      </c>
      <c r="J1905">
        <v>110</v>
      </c>
      <c r="K1905" s="2">
        <v>45778</v>
      </c>
    </row>
    <row r="1906" spans="1:11" x14ac:dyDescent="0.25">
      <c r="A1906" s="1" t="s">
        <v>196</v>
      </c>
      <c r="B1906" s="1"/>
      <c r="C1906" s="1" t="s">
        <v>2873</v>
      </c>
      <c r="D1906" s="1" t="s">
        <v>3455</v>
      </c>
      <c r="E1906" s="1"/>
      <c r="F1906">
        <v>8.8000000000000007</v>
      </c>
      <c r="G1906">
        <v>17.100000000000001</v>
      </c>
      <c r="H1906">
        <v>-440</v>
      </c>
      <c r="I1906">
        <v>3</v>
      </c>
      <c r="J1906">
        <v>184</v>
      </c>
      <c r="K1906" s="2">
        <v>45740</v>
      </c>
    </row>
    <row r="1907" spans="1:11" x14ac:dyDescent="0.25">
      <c r="A1907" s="1" t="s">
        <v>224</v>
      </c>
      <c r="B1907" s="1"/>
      <c r="C1907" s="1" t="s">
        <v>2871</v>
      </c>
      <c r="D1907" s="1" t="s">
        <v>3404</v>
      </c>
      <c r="E1907" s="1"/>
      <c r="F1907">
        <v>1.5</v>
      </c>
      <c r="G1907">
        <v>0</v>
      </c>
      <c r="H1907">
        <v>85</v>
      </c>
      <c r="I1907">
        <v>0</v>
      </c>
      <c r="J1907">
        <v>112</v>
      </c>
      <c r="K1907" s="2">
        <v>45735</v>
      </c>
    </row>
    <row r="1908" spans="1:11" x14ac:dyDescent="0.25">
      <c r="A1908" s="1" t="s">
        <v>224</v>
      </c>
      <c r="B1908" s="1"/>
      <c r="C1908" s="1" t="s">
        <v>2872</v>
      </c>
      <c r="D1908" s="1" t="s">
        <v>3371</v>
      </c>
      <c r="E1908" s="1"/>
      <c r="F1908">
        <v>1.5</v>
      </c>
      <c r="G1908">
        <v>0</v>
      </c>
      <c r="H1908">
        <v>85</v>
      </c>
      <c r="I1908">
        <v>0</v>
      </c>
      <c r="J1908">
        <v>112</v>
      </c>
      <c r="K1908" s="2">
        <v>45735</v>
      </c>
    </row>
    <row r="1909" spans="1:11" x14ac:dyDescent="0.25">
      <c r="A1909" s="1" t="s">
        <v>224</v>
      </c>
      <c r="B1909" s="1"/>
      <c r="C1909" s="1" t="s">
        <v>2873</v>
      </c>
      <c r="D1909" s="1" t="s">
        <v>3455</v>
      </c>
      <c r="E1909" s="1"/>
      <c r="F1909">
        <v>5.7</v>
      </c>
      <c r="G1909">
        <v>20</v>
      </c>
      <c r="H1909">
        <v>-715</v>
      </c>
      <c r="I1909">
        <v>3</v>
      </c>
      <c r="J1909">
        <v>109</v>
      </c>
      <c r="K1909" s="2">
        <v>45735</v>
      </c>
    </row>
    <row r="1910" spans="1:11" x14ac:dyDescent="0.25">
      <c r="A1910" s="1" t="s">
        <v>224</v>
      </c>
      <c r="B1910" s="1"/>
      <c r="C1910" s="1" t="s">
        <v>2812</v>
      </c>
      <c r="D1910" s="1" t="s">
        <v>3374</v>
      </c>
      <c r="E1910" s="1"/>
      <c r="F1910">
        <v>0.3</v>
      </c>
      <c r="G1910">
        <v>0</v>
      </c>
      <c r="H1910">
        <v>20</v>
      </c>
      <c r="I1910">
        <v>0</v>
      </c>
      <c r="J1910">
        <v>109</v>
      </c>
      <c r="K1910" s="2">
        <v>45735</v>
      </c>
    </row>
    <row r="1911" spans="1:11" x14ac:dyDescent="0.25">
      <c r="A1911" s="1" t="s">
        <v>224</v>
      </c>
      <c r="B1911" s="1"/>
      <c r="C1911" s="1" t="s">
        <v>2870</v>
      </c>
      <c r="D1911" s="1" t="s">
        <v>3375</v>
      </c>
      <c r="E1911" s="1"/>
      <c r="F1911">
        <v>2.5</v>
      </c>
      <c r="G1911">
        <v>17</v>
      </c>
      <c r="H1911">
        <v>-740</v>
      </c>
      <c r="I1911">
        <v>0</v>
      </c>
      <c r="J1911">
        <v>109</v>
      </c>
      <c r="K1911" s="2">
        <v>45735</v>
      </c>
    </row>
    <row r="1912" spans="1:11" x14ac:dyDescent="0.25">
      <c r="A1912" s="1" t="s">
        <v>224</v>
      </c>
      <c r="B1912" s="1"/>
      <c r="C1912" s="1" t="s">
        <v>3111</v>
      </c>
      <c r="D1912" s="1" t="s">
        <v>3403</v>
      </c>
      <c r="E1912" s="1"/>
      <c r="F1912">
        <v>2.1</v>
      </c>
      <c r="G1912">
        <v>11</v>
      </c>
      <c r="H1912">
        <v>-450</v>
      </c>
      <c r="I1912">
        <v>0</v>
      </c>
      <c r="J1912">
        <v>109</v>
      </c>
      <c r="K1912" s="2">
        <v>45734</v>
      </c>
    </row>
    <row r="1913" spans="1:11" x14ac:dyDescent="0.25">
      <c r="A1913" s="1" t="s">
        <v>224</v>
      </c>
      <c r="B1913" s="1"/>
      <c r="C1913" s="1" t="s">
        <v>3112</v>
      </c>
      <c r="D1913" s="1" t="s">
        <v>3425</v>
      </c>
      <c r="E1913" s="1"/>
      <c r="F1913">
        <v>10</v>
      </c>
      <c r="G1913">
        <v>6.2</v>
      </c>
      <c r="H1913">
        <v>165</v>
      </c>
      <c r="I1913">
        <v>0</v>
      </c>
      <c r="J1913">
        <v>14</v>
      </c>
      <c r="K1913" s="2">
        <v>45735</v>
      </c>
    </row>
    <row r="1914" spans="1:11" x14ac:dyDescent="0.25">
      <c r="A1914" s="1" t="s">
        <v>224</v>
      </c>
      <c r="B1914" s="1"/>
      <c r="C1914" s="1" t="s">
        <v>3101</v>
      </c>
      <c r="D1914" s="1" t="s">
        <v>3417</v>
      </c>
      <c r="E1914" s="1"/>
      <c r="F1914">
        <v>0.3</v>
      </c>
      <c r="G1914">
        <v>1.1000000000000001</v>
      </c>
      <c r="H1914">
        <v>-35</v>
      </c>
      <c r="I1914">
        <v>0</v>
      </c>
      <c r="J1914">
        <v>109</v>
      </c>
      <c r="K1914" s="2">
        <v>45736</v>
      </c>
    </row>
    <row r="1915" spans="1:11" x14ac:dyDescent="0.25">
      <c r="A1915" s="1" t="s">
        <v>224</v>
      </c>
      <c r="B1915" s="1"/>
      <c r="C1915" s="1" t="s">
        <v>3093</v>
      </c>
      <c r="D1915" s="1" t="s">
        <v>3372</v>
      </c>
      <c r="E1915" s="1"/>
      <c r="F1915">
        <v>1</v>
      </c>
      <c r="G1915">
        <v>0.2</v>
      </c>
      <c r="H1915">
        <v>45</v>
      </c>
      <c r="I1915">
        <v>0</v>
      </c>
      <c r="J1915">
        <v>109</v>
      </c>
      <c r="K1915" s="2">
        <v>45736</v>
      </c>
    </row>
    <row r="1916" spans="1:11" x14ac:dyDescent="0.25">
      <c r="A1916" s="1" t="s">
        <v>731</v>
      </c>
      <c r="B1916" s="1"/>
      <c r="C1916" s="1" t="s">
        <v>2808</v>
      </c>
      <c r="D1916" s="1" t="s">
        <v>3370</v>
      </c>
      <c r="E1916" s="1"/>
      <c r="F1916">
        <v>0</v>
      </c>
      <c r="G1916">
        <v>0</v>
      </c>
      <c r="H1916">
        <v>0</v>
      </c>
      <c r="I1916">
        <v>0</v>
      </c>
      <c r="J1916">
        <v>10</v>
      </c>
      <c r="K1916" s="2">
        <v>45772</v>
      </c>
    </row>
    <row r="1917" spans="1:11" x14ac:dyDescent="0.25">
      <c r="A1917" s="1" t="s">
        <v>731</v>
      </c>
      <c r="B1917" s="1"/>
      <c r="C1917" s="1" t="s">
        <v>2918</v>
      </c>
      <c r="D1917" s="1" t="s">
        <v>3412</v>
      </c>
      <c r="E1917" s="1"/>
      <c r="F1917">
        <v>0</v>
      </c>
      <c r="G1917">
        <v>0.6</v>
      </c>
      <c r="H1917">
        <v>-30</v>
      </c>
      <c r="I1917">
        <v>0</v>
      </c>
      <c r="J1917">
        <v>10</v>
      </c>
      <c r="K1917" s="2">
        <v>45772</v>
      </c>
    </row>
    <row r="1918" spans="1:11" x14ac:dyDescent="0.25">
      <c r="A1918" s="1" t="s">
        <v>731</v>
      </c>
      <c r="B1918" s="1"/>
      <c r="C1918" s="1" t="s">
        <v>3019</v>
      </c>
      <c r="D1918" s="1" t="s">
        <v>3474</v>
      </c>
      <c r="E1918" s="1"/>
      <c r="F1918">
        <v>0.1</v>
      </c>
      <c r="G1918">
        <v>0.6</v>
      </c>
      <c r="H1918">
        <v>-30</v>
      </c>
      <c r="I1918">
        <v>0</v>
      </c>
      <c r="J1918">
        <v>10</v>
      </c>
      <c r="K1918" s="2">
        <v>45772</v>
      </c>
    </row>
    <row r="1919" spans="1:11" x14ac:dyDescent="0.25">
      <c r="A1919" s="1" t="s">
        <v>731</v>
      </c>
      <c r="B1919" s="1"/>
      <c r="C1919" s="1" t="s">
        <v>2918</v>
      </c>
      <c r="D1919" s="1" t="s">
        <v>3412</v>
      </c>
      <c r="E1919" s="1"/>
      <c r="F1919">
        <v>0</v>
      </c>
      <c r="G1919">
        <v>0.6</v>
      </c>
      <c r="H1919">
        <v>-30</v>
      </c>
      <c r="I1919">
        <v>0</v>
      </c>
      <c r="J1919">
        <v>10</v>
      </c>
      <c r="K1919" s="2">
        <v>45772</v>
      </c>
    </row>
    <row r="1920" spans="1:11" x14ac:dyDescent="0.25">
      <c r="A1920" s="1" t="s">
        <v>731</v>
      </c>
      <c r="B1920" s="1"/>
      <c r="C1920" s="1" t="s">
        <v>3113</v>
      </c>
      <c r="D1920" s="1" t="s">
        <v>3389</v>
      </c>
      <c r="E1920" s="1"/>
      <c r="F1920">
        <v>0</v>
      </c>
      <c r="G1920">
        <v>0</v>
      </c>
      <c r="H1920">
        <v>-75</v>
      </c>
      <c r="I1920">
        <v>0</v>
      </c>
      <c r="J1920">
        <v>10</v>
      </c>
      <c r="K1920" s="2">
        <v>45789</v>
      </c>
    </row>
    <row r="1921" spans="1:11" x14ac:dyDescent="0.25">
      <c r="A1921" s="1">
        <v>0</v>
      </c>
      <c r="B1921" s="1"/>
      <c r="C1921" s="1" t="s">
        <v>2808</v>
      </c>
      <c r="D1921" s="1" t="s">
        <v>3370</v>
      </c>
      <c r="E1921" s="1"/>
      <c r="F1921">
        <v>0</v>
      </c>
      <c r="G1921">
        <v>0</v>
      </c>
      <c r="H1921">
        <v>0</v>
      </c>
      <c r="I1921">
        <v>0</v>
      </c>
      <c r="J1921">
        <v>50</v>
      </c>
      <c r="K1921" s="2">
        <v>45786</v>
      </c>
    </row>
    <row r="1922" spans="1:11" x14ac:dyDescent="0.25">
      <c r="A1922" s="1" t="s">
        <v>202</v>
      </c>
      <c r="B1922" s="1"/>
      <c r="C1922" s="1" t="s">
        <v>3114</v>
      </c>
      <c r="D1922" s="1" t="s">
        <v>3375</v>
      </c>
      <c r="E1922" s="1"/>
      <c r="F1922">
        <v>10.8</v>
      </c>
      <c r="G1922">
        <v>23.3</v>
      </c>
      <c r="H1922">
        <v>-645</v>
      </c>
      <c r="I1922">
        <v>6</v>
      </c>
      <c r="J1922">
        <v>81</v>
      </c>
      <c r="K1922" s="2">
        <v>45740</v>
      </c>
    </row>
    <row r="1923" spans="1:11" x14ac:dyDescent="0.25">
      <c r="A1923" s="1" t="s">
        <v>146</v>
      </c>
      <c r="B1923" s="1"/>
      <c r="C1923" s="1" t="s">
        <v>3115</v>
      </c>
      <c r="D1923" s="1" t="s">
        <v>3375</v>
      </c>
      <c r="E1923" s="1"/>
      <c r="F1923">
        <v>0</v>
      </c>
      <c r="G1923">
        <v>0.6</v>
      </c>
      <c r="H1923">
        <v>-30</v>
      </c>
      <c r="I1923">
        <v>0</v>
      </c>
      <c r="J1923">
        <v>1</v>
      </c>
      <c r="K1923" s="2">
        <v>45735</v>
      </c>
    </row>
    <row r="1924" spans="1:11" x14ac:dyDescent="0.25">
      <c r="A1924" s="1" t="s">
        <v>146</v>
      </c>
      <c r="B1924" s="1"/>
      <c r="C1924" s="1" t="s">
        <v>2816</v>
      </c>
      <c r="D1924" s="1" t="s">
        <v>3372</v>
      </c>
      <c r="E1924" s="1"/>
      <c r="F1924">
        <v>0</v>
      </c>
      <c r="G1924">
        <v>0</v>
      </c>
      <c r="H1924">
        <v>0</v>
      </c>
      <c r="I1924">
        <v>0</v>
      </c>
      <c r="J1924">
        <v>1</v>
      </c>
      <c r="K1924" s="2">
        <v>45735</v>
      </c>
    </row>
    <row r="1925" spans="1:11" x14ac:dyDescent="0.25">
      <c r="A1925" s="1" t="s">
        <v>398</v>
      </c>
      <c r="B1925" s="1"/>
      <c r="C1925" s="1" t="s">
        <v>2808</v>
      </c>
      <c r="D1925" s="1" t="s">
        <v>3370</v>
      </c>
      <c r="E1925" s="1"/>
      <c r="F1925">
        <v>0</v>
      </c>
      <c r="G1925">
        <v>0</v>
      </c>
      <c r="H1925">
        <v>0</v>
      </c>
      <c r="I1925">
        <v>0</v>
      </c>
      <c r="J1925">
        <v>50</v>
      </c>
      <c r="K1925" s="2">
        <v>45736</v>
      </c>
    </row>
    <row r="1926" spans="1:11" x14ac:dyDescent="0.25">
      <c r="A1926" s="1" t="s">
        <v>398</v>
      </c>
      <c r="B1926" s="1"/>
      <c r="C1926" s="1" t="s">
        <v>3116</v>
      </c>
      <c r="D1926" s="1" t="s">
        <v>3371</v>
      </c>
      <c r="E1926" s="1"/>
      <c r="F1926">
        <v>6.6</v>
      </c>
      <c r="G1926">
        <v>3.5</v>
      </c>
      <c r="H1926">
        <v>160</v>
      </c>
      <c r="I1926">
        <v>0</v>
      </c>
      <c r="J1926">
        <v>50</v>
      </c>
      <c r="K1926" s="2">
        <v>45743</v>
      </c>
    </row>
    <row r="1927" spans="1:11" x14ac:dyDescent="0.25">
      <c r="A1927" s="1" t="s">
        <v>398</v>
      </c>
      <c r="B1927" s="1"/>
      <c r="C1927" s="1" t="s">
        <v>3117</v>
      </c>
      <c r="D1927" s="1" t="s">
        <v>3404</v>
      </c>
      <c r="E1927" s="1"/>
      <c r="F1927">
        <v>6.1</v>
      </c>
      <c r="G1927">
        <v>0.7</v>
      </c>
      <c r="H1927">
        <v>280</v>
      </c>
      <c r="I1927">
        <v>0</v>
      </c>
      <c r="J1927">
        <v>50</v>
      </c>
      <c r="K1927" s="2">
        <v>45743</v>
      </c>
    </row>
    <row r="1928" spans="1:11" x14ac:dyDescent="0.25">
      <c r="A1928" s="1" t="s">
        <v>398</v>
      </c>
      <c r="B1928" s="1"/>
      <c r="C1928" s="1" t="s">
        <v>3118</v>
      </c>
      <c r="D1928" s="1" t="s">
        <v>3403</v>
      </c>
      <c r="E1928" s="1"/>
      <c r="F1928">
        <v>14.3</v>
      </c>
      <c r="G1928">
        <v>0</v>
      </c>
      <c r="H1928">
        <v>750</v>
      </c>
      <c r="I1928">
        <v>0</v>
      </c>
      <c r="J1928">
        <v>1</v>
      </c>
      <c r="K1928" s="2">
        <v>45741</v>
      </c>
    </row>
    <row r="1929" spans="1:11" x14ac:dyDescent="0.25">
      <c r="A1929" s="1" t="s">
        <v>398</v>
      </c>
      <c r="B1929" s="1"/>
      <c r="C1929" s="1" t="s">
        <v>3119</v>
      </c>
      <c r="D1929" s="1" t="s">
        <v>3372</v>
      </c>
      <c r="E1929" s="1"/>
      <c r="F1929">
        <v>0.8</v>
      </c>
      <c r="G1929">
        <v>0</v>
      </c>
      <c r="H1929">
        <v>40</v>
      </c>
      <c r="I1929">
        <v>0</v>
      </c>
      <c r="J1929">
        <v>1</v>
      </c>
      <c r="K1929" s="2">
        <v>45741</v>
      </c>
    </row>
    <row r="1930" spans="1:11" x14ac:dyDescent="0.25">
      <c r="A1930" s="1" t="s">
        <v>398</v>
      </c>
      <c r="B1930" s="1"/>
      <c r="C1930" s="1" t="s">
        <v>3114</v>
      </c>
      <c r="D1930" s="1" t="s">
        <v>3375</v>
      </c>
      <c r="E1930" s="1"/>
      <c r="F1930">
        <v>6</v>
      </c>
      <c r="G1930">
        <v>13.2</v>
      </c>
      <c r="H1930">
        <v>-370</v>
      </c>
      <c r="I1930">
        <v>0</v>
      </c>
      <c r="J1930">
        <v>50</v>
      </c>
      <c r="K1930" s="2">
        <v>45744</v>
      </c>
    </row>
    <row r="1931" spans="1:11" x14ac:dyDescent="0.25">
      <c r="A1931" s="1" t="s">
        <v>398</v>
      </c>
      <c r="B1931" s="1"/>
      <c r="C1931" s="1" t="s">
        <v>2816</v>
      </c>
      <c r="D1931" s="1" t="s">
        <v>3372</v>
      </c>
      <c r="E1931" s="1"/>
      <c r="F1931">
        <v>1</v>
      </c>
      <c r="G1931">
        <v>0.3</v>
      </c>
      <c r="H1931">
        <v>35</v>
      </c>
      <c r="I1931">
        <v>0</v>
      </c>
      <c r="J1931">
        <v>50</v>
      </c>
      <c r="K1931" s="2">
        <v>45744</v>
      </c>
    </row>
    <row r="1932" spans="1:11" x14ac:dyDescent="0.25">
      <c r="A1932" s="1" t="s">
        <v>423</v>
      </c>
      <c r="B1932" s="1"/>
      <c r="C1932" s="1" t="s">
        <v>2808</v>
      </c>
      <c r="D1932" s="1" t="s">
        <v>3370</v>
      </c>
      <c r="E1932" s="1"/>
      <c r="F1932">
        <v>0</v>
      </c>
      <c r="G1932">
        <v>0</v>
      </c>
      <c r="H1932">
        <v>0</v>
      </c>
      <c r="I1932">
        <v>0</v>
      </c>
      <c r="J1932">
        <v>98</v>
      </c>
      <c r="K1932" s="2">
        <v>45740</v>
      </c>
    </row>
    <row r="1933" spans="1:11" x14ac:dyDescent="0.25">
      <c r="A1933" s="1" t="s">
        <v>423</v>
      </c>
      <c r="B1933" s="1"/>
      <c r="C1933" s="1" t="s">
        <v>3116</v>
      </c>
      <c r="D1933" s="1" t="s">
        <v>3371</v>
      </c>
      <c r="E1933" s="1"/>
      <c r="F1933">
        <v>12.8</v>
      </c>
      <c r="G1933">
        <v>1.2</v>
      </c>
      <c r="H1933">
        <v>605</v>
      </c>
      <c r="I1933">
        <v>0</v>
      </c>
      <c r="J1933">
        <v>98</v>
      </c>
      <c r="K1933" s="2">
        <v>45765</v>
      </c>
    </row>
    <row r="1934" spans="1:11" x14ac:dyDescent="0.25">
      <c r="A1934" s="1" t="s">
        <v>423</v>
      </c>
      <c r="B1934" s="1"/>
      <c r="C1934" s="1" t="s">
        <v>3117</v>
      </c>
      <c r="D1934" s="1" t="s">
        <v>3404</v>
      </c>
      <c r="E1934" s="1"/>
      <c r="F1934">
        <v>11.8</v>
      </c>
      <c r="G1934">
        <v>0.7</v>
      </c>
      <c r="H1934">
        <v>580</v>
      </c>
      <c r="I1934">
        <v>0</v>
      </c>
      <c r="J1934">
        <v>98</v>
      </c>
      <c r="K1934" s="2">
        <v>45765</v>
      </c>
    </row>
    <row r="1935" spans="1:11" x14ac:dyDescent="0.25">
      <c r="A1935" s="1" t="s">
        <v>423</v>
      </c>
      <c r="B1935" s="1"/>
      <c r="C1935" s="1" t="s">
        <v>3118</v>
      </c>
      <c r="D1935" s="1" t="s">
        <v>3403</v>
      </c>
      <c r="E1935" s="1"/>
      <c r="F1935">
        <v>27.9</v>
      </c>
      <c r="G1935">
        <v>48.4</v>
      </c>
      <c r="H1935">
        <v>-1055</v>
      </c>
      <c r="I1935">
        <v>0</v>
      </c>
      <c r="J1935">
        <v>98</v>
      </c>
      <c r="K1935" s="2">
        <v>45765</v>
      </c>
    </row>
    <row r="1936" spans="1:11" x14ac:dyDescent="0.25">
      <c r="A1936" s="1" t="s">
        <v>423</v>
      </c>
      <c r="B1936" s="1"/>
      <c r="C1936" s="1" t="s">
        <v>3119</v>
      </c>
      <c r="D1936" s="1" t="s">
        <v>3372</v>
      </c>
      <c r="E1936" s="1"/>
      <c r="F1936">
        <v>0.8</v>
      </c>
      <c r="G1936">
        <v>0</v>
      </c>
      <c r="H1936">
        <v>45</v>
      </c>
      <c r="I1936">
        <v>0</v>
      </c>
      <c r="J1936">
        <v>0</v>
      </c>
      <c r="K1936" s="2">
        <v>45765</v>
      </c>
    </row>
    <row r="1937" spans="1:11" x14ac:dyDescent="0.25">
      <c r="A1937" s="1" t="s">
        <v>423</v>
      </c>
      <c r="B1937" s="1"/>
      <c r="C1937" s="1" t="s">
        <v>3118</v>
      </c>
      <c r="D1937" s="1" t="s">
        <v>3403</v>
      </c>
      <c r="E1937" s="1"/>
      <c r="F1937">
        <v>27.6</v>
      </c>
      <c r="G1937">
        <v>0</v>
      </c>
      <c r="H1937">
        <v>1430</v>
      </c>
      <c r="I1937">
        <v>0</v>
      </c>
      <c r="J1937">
        <v>98</v>
      </c>
      <c r="K1937" s="2">
        <v>45765</v>
      </c>
    </row>
    <row r="1938" spans="1:11" x14ac:dyDescent="0.25">
      <c r="A1938" s="1" t="s">
        <v>423</v>
      </c>
      <c r="B1938" s="1"/>
      <c r="C1938" s="1" t="s">
        <v>3114</v>
      </c>
      <c r="D1938" s="1" t="s">
        <v>3375</v>
      </c>
      <c r="E1938" s="1"/>
      <c r="F1938">
        <v>11.8</v>
      </c>
      <c r="G1938">
        <v>24.4</v>
      </c>
      <c r="H1938">
        <v>-650</v>
      </c>
      <c r="I1938">
        <v>0</v>
      </c>
      <c r="J1938">
        <v>98</v>
      </c>
      <c r="K1938" s="2">
        <v>45765</v>
      </c>
    </row>
    <row r="1939" spans="1:11" x14ac:dyDescent="0.25">
      <c r="A1939" s="1" t="s">
        <v>423</v>
      </c>
      <c r="B1939" s="1"/>
      <c r="C1939" s="1" t="s">
        <v>2816</v>
      </c>
      <c r="D1939" s="1" t="s">
        <v>3372</v>
      </c>
      <c r="E1939" s="1"/>
      <c r="F1939">
        <v>1</v>
      </c>
      <c r="G1939">
        <v>1.2</v>
      </c>
      <c r="H1939">
        <v>-10</v>
      </c>
      <c r="I1939">
        <v>0</v>
      </c>
      <c r="J1939">
        <v>98</v>
      </c>
      <c r="K1939" s="2">
        <v>45765</v>
      </c>
    </row>
    <row r="1940" spans="1:11" x14ac:dyDescent="0.25">
      <c r="A1940" s="1" t="s">
        <v>544</v>
      </c>
      <c r="B1940" s="1"/>
      <c r="C1940" s="1" t="s">
        <v>2808</v>
      </c>
      <c r="D1940" s="1" t="s">
        <v>3370</v>
      </c>
      <c r="E1940" s="1"/>
      <c r="F1940">
        <v>0</v>
      </c>
      <c r="G1940">
        <v>0</v>
      </c>
      <c r="H1940">
        <v>0</v>
      </c>
      <c r="I1940">
        <v>0</v>
      </c>
      <c r="J1940">
        <v>27</v>
      </c>
      <c r="K1940" s="2">
        <v>45756</v>
      </c>
    </row>
    <row r="1941" spans="1:11" x14ac:dyDescent="0.25">
      <c r="A1941" s="1" t="s">
        <v>544</v>
      </c>
      <c r="B1941" s="1"/>
      <c r="C1941" s="1" t="s">
        <v>3116</v>
      </c>
      <c r="D1941" s="1" t="s">
        <v>3371</v>
      </c>
      <c r="E1941" s="1"/>
      <c r="F1941">
        <v>3.5</v>
      </c>
      <c r="G1941">
        <v>0.2</v>
      </c>
      <c r="H1941">
        <v>175</v>
      </c>
      <c r="I1941">
        <v>0</v>
      </c>
      <c r="J1941">
        <v>27</v>
      </c>
      <c r="K1941" s="2">
        <v>45775</v>
      </c>
    </row>
    <row r="1942" spans="1:11" x14ac:dyDescent="0.25">
      <c r="A1942" s="1" t="s">
        <v>544</v>
      </c>
      <c r="B1942" s="1"/>
      <c r="C1942" s="1" t="s">
        <v>3117</v>
      </c>
      <c r="D1942" s="1" t="s">
        <v>3404</v>
      </c>
      <c r="E1942" s="1"/>
      <c r="F1942">
        <v>3.3</v>
      </c>
      <c r="G1942">
        <v>0.2</v>
      </c>
      <c r="H1942">
        <v>165</v>
      </c>
      <c r="I1942">
        <v>0</v>
      </c>
      <c r="J1942">
        <v>27</v>
      </c>
      <c r="K1942" s="2">
        <v>45775</v>
      </c>
    </row>
    <row r="1943" spans="1:11" x14ac:dyDescent="0.25">
      <c r="A1943" s="1" t="s">
        <v>544</v>
      </c>
      <c r="B1943" s="1"/>
      <c r="C1943" s="1" t="s">
        <v>3118</v>
      </c>
      <c r="D1943" s="1" t="s">
        <v>3403</v>
      </c>
      <c r="E1943" s="1"/>
      <c r="F1943">
        <v>7.9</v>
      </c>
      <c r="G1943">
        <v>7.3</v>
      </c>
      <c r="H1943">
        <v>40</v>
      </c>
      <c r="I1943">
        <v>0</v>
      </c>
      <c r="J1943">
        <v>27</v>
      </c>
      <c r="K1943" s="2">
        <v>45775</v>
      </c>
    </row>
    <row r="1944" spans="1:11" x14ac:dyDescent="0.25">
      <c r="A1944" s="1" t="s">
        <v>544</v>
      </c>
      <c r="B1944" s="1"/>
      <c r="C1944" s="1" t="s">
        <v>3119</v>
      </c>
      <c r="D1944" s="1" t="s">
        <v>3372</v>
      </c>
      <c r="E1944" s="1"/>
      <c r="F1944">
        <v>0.8</v>
      </c>
      <c r="G1944">
        <v>0</v>
      </c>
      <c r="H1944">
        <v>45</v>
      </c>
      <c r="I1944">
        <v>0</v>
      </c>
      <c r="J1944">
        <v>1</v>
      </c>
      <c r="K1944" s="2">
        <v>45771</v>
      </c>
    </row>
    <row r="1945" spans="1:11" x14ac:dyDescent="0.25">
      <c r="A1945" s="1" t="s">
        <v>544</v>
      </c>
      <c r="B1945" s="1"/>
      <c r="C1945" s="1" t="s">
        <v>3118</v>
      </c>
      <c r="D1945" s="1" t="s">
        <v>3403</v>
      </c>
      <c r="E1945" s="1"/>
      <c r="F1945">
        <v>7.6</v>
      </c>
      <c r="G1945">
        <v>7.3</v>
      </c>
      <c r="H1945">
        <v>20</v>
      </c>
      <c r="I1945">
        <v>0</v>
      </c>
      <c r="J1945">
        <v>27</v>
      </c>
      <c r="K1945" s="2">
        <v>45775</v>
      </c>
    </row>
    <row r="1946" spans="1:11" x14ac:dyDescent="0.25">
      <c r="A1946" s="1" t="s">
        <v>544</v>
      </c>
      <c r="B1946" s="1"/>
      <c r="C1946" s="1" t="s">
        <v>3114</v>
      </c>
      <c r="D1946" s="1" t="s">
        <v>3375</v>
      </c>
      <c r="E1946" s="1"/>
      <c r="F1946">
        <v>3.2</v>
      </c>
      <c r="G1946">
        <v>10.9</v>
      </c>
      <c r="H1946">
        <v>-395</v>
      </c>
      <c r="I1946">
        <v>0</v>
      </c>
      <c r="J1946">
        <v>27</v>
      </c>
      <c r="K1946" s="2">
        <v>45775</v>
      </c>
    </row>
    <row r="1947" spans="1:11" x14ac:dyDescent="0.25">
      <c r="A1947" s="1" t="s">
        <v>544</v>
      </c>
      <c r="B1947" s="1"/>
      <c r="C1947" s="1" t="s">
        <v>2816</v>
      </c>
      <c r="D1947" s="1" t="s">
        <v>3372</v>
      </c>
      <c r="E1947" s="1"/>
      <c r="F1947">
        <v>1</v>
      </c>
      <c r="G1947">
        <v>0</v>
      </c>
      <c r="H1947">
        <v>50</v>
      </c>
      <c r="I1947">
        <v>0</v>
      </c>
      <c r="J1947">
        <v>27</v>
      </c>
      <c r="K1947" s="2">
        <v>45775</v>
      </c>
    </row>
    <row r="1948" spans="1:11" x14ac:dyDescent="0.25">
      <c r="A1948" s="1" t="s">
        <v>544</v>
      </c>
      <c r="B1948" s="1"/>
      <c r="C1948" s="1" t="s">
        <v>3120</v>
      </c>
      <c r="D1948" s="1" t="s">
        <v>3417</v>
      </c>
      <c r="E1948" s="1"/>
      <c r="F1948">
        <v>6.5</v>
      </c>
      <c r="G1948">
        <v>0</v>
      </c>
      <c r="H1948">
        <v>385</v>
      </c>
      <c r="I1948">
        <v>0</v>
      </c>
      <c r="J1948">
        <v>27</v>
      </c>
      <c r="K1948" s="2">
        <v>45775</v>
      </c>
    </row>
    <row r="1949" spans="1:11" x14ac:dyDescent="0.25">
      <c r="A1949" s="1" t="s">
        <v>816</v>
      </c>
      <c r="B1949" s="1"/>
      <c r="C1949" s="1" t="s">
        <v>2808</v>
      </c>
      <c r="D1949" s="1" t="s">
        <v>3370</v>
      </c>
      <c r="E1949" s="1"/>
      <c r="F1949">
        <v>0</v>
      </c>
      <c r="G1949">
        <v>0</v>
      </c>
      <c r="H1949">
        <v>0</v>
      </c>
      <c r="I1949">
        <v>0</v>
      </c>
      <c r="J1949">
        <v>150</v>
      </c>
      <c r="K1949" s="2">
        <v>45778</v>
      </c>
    </row>
    <row r="1950" spans="1:11" x14ac:dyDescent="0.25">
      <c r="A1950" s="1" t="s">
        <v>816</v>
      </c>
      <c r="B1950" s="1"/>
      <c r="C1950" s="1" t="s">
        <v>2918</v>
      </c>
      <c r="D1950" s="1" t="s">
        <v>3388</v>
      </c>
      <c r="E1950" s="1"/>
      <c r="F1950">
        <v>0.2</v>
      </c>
      <c r="G1950">
        <v>2.6</v>
      </c>
      <c r="H1950">
        <v>-145</v>
      </c>
      <c r="I1950">
        <v>0</v>
      </c>
      <c r="J1950">
        <v>150</v>
      </c>
      <c r="K1950" s="2">
        <v>45778</v>
      </c>
    </row>
    <row r="1951" spans="1:11" x14ac:dyDescent="0.25">
      <c r="A1951" s="1" t="s">
        <v>816</v>
      </c>
      <c r="B1951" s="1"/>
      <c r="C1951" s="1" t="s">
        <v>3019</v>
      </c>
      <c r="D1951" s="1" t="s">
        <v>3388</v>
      </c>
      <c r="E1951" s="1"/>
      <c r="F1951">
        <v>0.2</v>
      </c>
      <c r="G1951">
        <v>2.6</v>
      </c>
      <c r="H1951">
        <v>-150</v>
      </c>
      <c r="I1951">
        <v>0</v>
      </c>
      <c r="J1951">
        <v>150</v>
      </c>
      <c r="K1951" s="2">
        <v>45778</v>
      </c>
    </row>
    <row r="1952" spans="1:11" x14ac:dyDescent="0.25">
      <c r="A1952" s="1" t="s">
        <v>816</v>
      </c>
      <c r="B1952" s="1"/>
      <c r="C1952" s="1" t="s">
        <v>2946</v>
      </c>
      <c r="D1952" s="1" t="s">
        <v>3389</v>
      </c>
      <c r="E1952" s="1"/>
      <c r="F1952">
        <v>0</v>
      </c>
      <c r="G1952">
        <v>0</v>
      </c>
      <c r="H1952">
        <v>-2280</v>
      </c>
      <c r="I1952">
        <v>0</v>
      </c>
      <c r="J1952">
        <v>150</v>
      </c>
      <c r="K1952" s="2">
        <v>45789</v>
      </c>
    </row>
    <row r="1953" spans="1:11" x14ac:dyDescent="0.25">
      <c r="A1953" s="1" t="s">
        <v>399</v>
      </c>
      <c r="B1953" s="1"/>
      <c r="C1953" s="1" t="s">
        <v>2808</v>
      </c>
      <c r="D1953" s="1" t="s">
        <v>3370</v>
      </c>
      <c r="E1953" s="1"/>
      <c r="F1953">
        <v>0</v>
      </c>
      <c r="G1953">
        <v>0</v>
      </c>
      <c r="H1953">
        <v>0</v>
      </c>
      <c r="I1953">
        <v>0</v>
      </c>
      <c r="J1953">
        <v>280</v>
      </c>
      <c r="K1953" s="2">
        <v>45763</v>
      </c>
    </row>
    <row r="1954" spans="1:11" x14ac:dyDescent="0.25">
      <c r="A1954" s="1" t="s">
        <v>399</v>
      </c>
      <c r="B1954" s="1"/>
      <c r="C1954" s="1" t="s">
        <v>2918</v>
      </c>
      <c r="D1954" s="1" t="s">
        <v>3412</v>
      </c>
      <c r="E1954" s="1"/>
      <c r="F1954">
        <v>4.7</v>
      </c>
      <c r="G1954">
        <v>5.8</v>
      </c>
      <c r="H1954">
        <v>-70</v>
      </c>
      <c r="I1954">
        <v>0</v>
      </c>
      <c r="J1954">
        <v>280</v>
      </c>
      <c r="K1954" s="2">
        <v>45742</v>
      </c>
    </row>
    <row r="1955" spans="1:11" x14ac:dyDescent="0.25">
      <c r="A1955" s="1" t="s">
        <v>399</v>
      </c>
      <c r="B1955" s="1"/>
      <c r="C1955" s="1" t="s">
        <v>2997</v>
      </c>
      <c r="D1955" s="1" t="s">
        <v>3474</v>
      </c>
      <c r="E1955" s="1"/>
      <c r="F1955">
        <v>7</v>
      </c>
      <c r="G1955">
        <v>8</v>
      </c>
      <c r="H1955">
        <v>-60</v>
      </c>
      <c r="I1955">
        <v>0</v>
      </c>
      <c r="J1955">
        <v>280</v>
      </c>
      <c r="K1955" s="2">
        <v>45742</v>
      </c>
    </row>
    <row r="1956" spans="1:11" x14ac:dyDescent="0.25">
      <c r="A1956" s="1" t="s">
        <v>399</v>
      </c>
      <c r="B1956" s="1"/>
      <c r="C1956" s="1" t="s">
        <v>2918</v>
      </c>
      <c r="D1956" s="1" t="s">
        <v>3412</v>
      </c>
      <c r="E1956" s="1"/>
      <c r="F1956">
        <v>4.7</v>
      </c>
      <c r="G1956">
        <v>7.6</v>
      </c>
      <c r="H1956">
        <v>-180</v>
      </c>
      <c r="I1956">
        <v>0</v>
      </c>
      <c r="J1956">
        <v>280</v>
      </c>
      <c r="K1956" s="2">
        <v>45742</v>
      </c>
    </row>
    <row r="1957" spans="1:11" x14ac:dyDescent="0.25">
      <c r="A1957" s="1" t="s">
        <v>399</v>
      </c>
      <c r="B1957" s="1"/>
      <c r="C1957" s="1" t="s">
        <v>3121</v>
      </c>
      <c r="D1957" s="1" t="s">
        <v>3388</v>
      </c>
      <c r="E1957" s="1"/>
      <c r="F1957">
        <v>16</v>
      </c>
      <c r="G1957">
        <v>6.3</v>
      </c>
      <c r="H1957">
        <v>610</v>
      </c>
      <c r="I1957">
        <v>0</v>
      </c>
      <c r="J1957">
        <v>280</v>
      </c>
      <c r="K1957" s="2">
        <v>45742</v>
      </c>
    </row>
    <row r="1958" spans="1:11" x14ac:dyDescent="0.25">
      <c r="A1958" s="1" t="s">
        <v>399</v>
      </c>
      <c r="B1958" s="1"/>
      <c r="C1958" s="1" t="s">
        <v>3122</v>
      </c>
      <c r="D1958" s="1" t="s">
        <v>3415</v>
      </c>
      <c r="E1958" s="1"/>
      <c r="F1958">
        <v>23.7</v>
      </c>
      <c r="G1958">
        <v>54.8</v>
      </c>
      <c r="H1958">
        <v>-1765</v>
      </c>
      <c r="I1958">
        <v>17</v>
      </c>
      <c r="J1958">
        <v>263</v>
      </c>
      <c r="K1958" s="2">
        <v>45779</v>
      </c>
    </row>
    <row r="1959" spans="1:11" x14ac:dyDescent="0.25">
      <c r="A1959" s="1" t="s">
        <v>399</v>
      </c>
      <c r="B1959" s="1"/>
      <c r="C1959" s="1" t="s">
        <v>3123</v>
      </c>
      <c r="D1959" s="1" t="s">
        <v>3391</v>
      </c>
      <c r="E1959" s="1"/>
      <c r="F1959">
        <v>30</v>
      </c>
      <c r="G1959">
        <v>35.9</v>
      </c>
      <c r="H1959">
        <v>-280</v>
      </c>
      <c r="I1959">
        <v>0</v>
      </c>
      <c r="J1959">
        <v>263</v>
      </c>
      <c r="K1959" s="2">
        <v>45779</v>
      </c>
    </row>
    <row r="1960" spans="1:11" x14ac:dyDescent="0.25">
      <c r="A1960" s="1" t="s">
        <v>399</v>
      </c>
      <c r="B1960" s="1"/>
      <c r="C1960" s="1" t="s">
        <v>3124</v>
      </c>
      <c r="D1960" s="1" t="s">
        <v>3475</v>
      </c>
      <c r="E1960" s="1"/>
      <c r="F1960">
        <v>9.3000000000000007</v>
      </c>
      <c r="G1960">
        <v>35</v>
      </c>
      <c r="H1960">
        <v>-1605</v>
      </c>
      <c r="I1960">
        <v>0</v>
      </c>
      <c r="J1960">
        <v>263</v>
      </c>
      <c r="K1960" s="2">
        <v>45779</v>
      </c>
    </row>
    <row r="1961" spans="1:11" x14ac:dyDescent="0.25">
      <c r="A1961" s="1" t="s">
        <v>399</v>
      </c>
      <c r="B1961" s="1"/>
      <c r="C1961" s="1" t="s">
        <v>2821</v>
      </c>
      <c r="D1961" s="1" t="s">
        <v>3476</v>
      </c>
      <c r="E1961" s="1"/>
      <c r="F1961">
        <v>30</v>
      </c>
      <c r="G1961">
        <v>3</v>
      </c>
      <c r="H1961">
        <v>1750</v>
      </c>
      <c r="I1961">
        <v>5</v>
      </c>
      <c r="J1961">
        <v>258</v>
      </c>
      <c r="K1961" s="2">
        <v>45779</v>
      </c>
    </row>
    <row r="1962" spans="1:11" x14ac:dyDescent="0.25">
      <c r="A1962" s="1" t="s">
        <v>399</v>
      </c>
      <c r="B1962" s="1"/>
      <c r="C1962" s="1" t="s">
        <v>3125</v>
      </c>
      <c r="D1962" s="1" t="s">
        <v>3462</v>
      </c>
      <c r="E1962" s="1"/>
      <c r="F1962">
        <v>30</v>
      </c>
      <c r="G1962">
        <v>2.8</v>
      </c>
      <c r="H1962">
        <v>1140</v>
      </c>
      <c r="I1962">
        <v>0</v>
      </c>
      <c r="J1962">
        <v>6</v>
      </c>
      <c r="K1962" s="2">
        <v>45782</v>
      </c>
    </row>
    <row r="1963" spans="1:11" x14ac:dyDescent="0.25">
      <c r="A1963" s="1" t="s">
        <v>399</v>
      </c>
      <c r="B1963" s="1"/>
      <c r="C1963" s="1" t="s">
        <v>3126</v>
      </c>
      <c r="D1963" s="1" t="s">
        <v>3477</v>
      </c>
      <c r="E1963" s="1"/>
      <c r="F1963">
        <v>72</v>
      </c>
      <c r="G1963">
        <v>24.8</v>
      </c>
      <c r="H1963">
        <v>3040</v>
      </c>
      <c r="I1963">
        <v>0</v>
      </c>
      <c r="J1963">
        <v>258</v>
      </c>
      <c r="K1963" s="2">
        <v>45782</v>
      </c>
    </row>
    <row r="1964" spans="1:11" x14ac:dyDescent="0.25">
      <c r="A1964" s="1" t="s">
        <v>399</v>
      </c>
      <c r="B1964" s="1"/>
      <c r="C1964" s="1" t="s">
        <v>3127</v>
      </c>
      <c r="D1964" s="1" t="s">
        <v>3372</v>
      </c>
      <c r="E1964" s="1"/>
      <c r="F1964">
        <v>1</v>
      </c>
      <c r="G1964">
        <v>0</v>
      </c>
      <c r="H1964">
        <v>55</v>
      </c>
      <c r="I1964">
        <v>0</v>
      </c>
      <c r="J1964">
        <v>258</v>
      </c>
      <c r="K1964" s="2">
        <v>45782</v>
      </c>
    </row>
    <row r="1965" spans="1:11" x14ac:dyDescent="0.25">
      <c r="A1965" s="1" t="s">
        <v>399</v>
      </c>
      <c r="B1965" s="1"/>
      <c r="C1965" s="1" t="s">
        <v>3128</v>
      </c>
      <c r="D1965" s="1" t="s">
        <v>3462</v>
      </c>
      <c r="E1965" s="1"/>
      <c r="F1965">
        <v>1</v>
      </c>
      <c r="G1965">
        <v>5</v>
      </c>
      <c r="H1965">
        <v>-165</v>
      </c>
      <c r="I1965">
        <v>0</v>
      </c>
      <c r="J1965">
        <v>5</v>
      </c>
      <c r="K1965" s="2">
        <v>45782</v>
      </c>
    </row>
    <row r="1966" spans="1:11" x14ac:dyDescent="0.25">
      <c r="A1966" s="1" t="s">
        <v>399</v>
      </c>
      <c r="B1966" s="1"/>
      <c r="C1966" s="1" t="s">
        <v>2827</v>
      </c>
      <c r="D1966" s="1" t="s">
        <v>3416</v>
      </c>
      <c r="E1966" s="1"/>
      <c r="F1966">
        <v>4.9000000000000004</v>
      </c>
      <c r="G1966">
        <v>4.0999999999999996</v>
      </c>
      <c r="H1966">
        <v>50</v>
      </c>
      <c r="I1966">
        <v>0</v>
      </c>
      <c r="J1966">
        <v>258</v>
      </c>
      <c r="K1966" s="2">
        <v>45782</v>
      </c>
    </row>
    <row r="1967" spans="1:11" x14ac:dyDescent="0.25">
      <c r="A1967" s="1" t="s">
        <v>399</v>
      </c>
      <c r="B1967" s="1"/>
      <c r="C1967" s="1" t="s">
        <v>2923</v>
      </c>
      <c r="D1967" s="1" t="s">
        <v>3419</v>
      </c>
      <c r="E1967" s="1"/>
      <c r="F1967">
        <v>1</v>
      </c>
      <c r="G1967">
        <v>13.5</v>
      </c>
      <c r="H1967">
        <v>-680</v>
      </c>
      <c r="I1967">
        <v>0</v>
      </c>
      <c r="J1967">
        <v>258</v>
      </c>
      <c r="K1967" s="2">
        <v>45783</v>
      </c>
    </row>
    <row r="1968" spans="1:11" x14ac:dyDescent="0.25">
      <c r="A1968" s="1" t="s">
        <v>687</v>
      </c>
      <c r="B1968" s="1"/>
      <c r="C1968" s="1" t="s">
        <v>2808</v>
      </c>
      <c r="D1968" s="1" t="s">
        <v>3370</v>
      </c>
      <c r="E1968" s="1"/>
      <c r="F1968">
        <v>0</v>
      </c>
      <c r="G1968">
        <v>0</v>
      </c>
      <c r="H1968">
        <v>0</v>
      </c>
      <c r="I1968">
        <v>0</v>
      </c>
      <c r="J1968">
        <v>26</v>
      </c>
      <c r="K1968" s="2">
        <v>45765</v>
      </c>
    </row>
    <row r="1969" spans="1:11" x14ac:dyDescent="0.25">
      <c r="A1969" s="1" t="s">
        <v>687</v>
      </c>
      <c r="B1969" s="1"/>
      <c r="C1969" s="1" t="s">
        <v>3129</v>
      </c>
      <c r="D1969" s="1" t="s">
        <v>3471</v>
      </c>
      <c r="E1969" s="1"/>
      <c r="F1969">
        <v>1.4</v>
      </c>
      <c r="G1969">
        <v>3.3</v>
      </c>
      <c r="H1969">
        <v>-115</v>
      </c>
      <c r="I1969">
        <v>0</v>
      </c>
      <c r="J1969">
        <v>26</v>
      </c>
      <c r="K1969" s="2">
        <v>45783</v>
      </c>
    </row>
    <row r="1970" spans="1:11" x14ac:dyDescent="0.25">
      <c r="A1970" s="1" t="s">
        <v>687</v>
      </c>
      <c r="B1970" s="1"/>
      <c r="C1970" s="1" t="s">
        <v>3130</v>
      </c>
      <c r="D1970" s="1" t="s">
        <v>3431</v>
      </c>
      <c r="E1970" s="1"/>
      <c r="F1970">
        <v>3.6</v>
      </c>
      <c r="G1970">
        <v>3.8</v>
      </c>
      <c r="H1970">
        <v>0</v>
      </c>
      <c r="I1970">
        <v>0</v>
      </c>
      <c r="J1970">
        <v>26</v>
      </c>
      <c r="K1970" s="2">
        <v>45789</v>
      </c>
    </row>
    <row r="1971" spans="1:11" x14ac:dyDescent="0.25">
      <c r="A1971" s="1" t="s">
        <v>687</v>
      </c>
      <c r="B1971" s="1"/>
      <c r="C1971" s="1" t="s">
        <v>3131</v>
      </c>
      <c r="D1971" s="1" t="s">
        <v>3372</v>
      </c>
      <c r="E1971" s="1"/>
      <c r="F1971">
        <v>1</v>
      </c>
      <c r="G1971">
        <v>0.8</v>
      </c>
      <c r="H1971">
        <v>10</v>
      </c>
      <c r="I1971">
        <v>0</v>
      </c>
      <c r="J1971">
        <v>26</v>
      </c>
      <c r="K1971" s="2">
        <v>45789</v>
      </c>
    </row>
    <row r="1972" spans="1:11" x14ac:dyDescent="0.25">
      <c r="A1972" s="1" t="s">
        <v>456</v>
      </c>
      <c r="B1972" s="1"/>
      <c r="C1972" s="1" t="s">
        <v>2808</v>
      </c>
      <c r="D1972" s="1" t="s">
        <v>3370</v>
      </c>
      <c r="E1972" s="1"/>
      <c r="F1972">
        <v>0</v>
      </c>
      <c r="G1972">
        <v>0</v>
      </c>
      <c r="H1972">
        <v>0</v>
      </c>
      <c r="I1972">
        <v>0</v>
      </c>
      <c r="J1972">
        <v>64</v>
      </c>
      <c r="K1972" s="2">
        <v>45744</v>
      </c>
    </row>
    <row r="1973" spans="1:11" x14ac:dyDescent="0.25">
      <c r="A1973" s="1" t="s">
        <v>456</v>
      </c>
      <c r="B1973" s="1"/>
      <c r="C1973" s="1" t="s">
        <v>3132</v>
      </c>
      <c r="D1973" s="1" t="s">
        <v>3412</v>
      </c>
      <c r="E1973" s="1"/>
      <c r="F1973">
        <v>1.5</v>
      </c>
      <c r="G1973">
        <v>1.4</v>
      </c>
      <c r="H1973">
        <v>10</v>
      </c>
      <c r="I1973">
        <v>0</v>
      </c>
      <c r="J1973">
        <v>64</v>
      </c>
      <c r="K1973" s="2">
        <v>45747</v>
      </c>
    </row>
    <row r="1974" spans="1:11" x14ac:dyDescent="0.25">
      <c r="A1974" s="1" t="s">
        <v>456</v>
      </c>
      <c r="B1974" s="1"/>
      <c r="C1974" s="1" t="s">
        <v>3133</v>
      </c>
      <c r="D1974" s="1" t="s">
        <v>3413</v>
      </c>
      <c r="E1974" s="1"/>
      <c r="F1974">
        <v>1.2</v>
      </c>
      <c r="G1974">
        <v>1.4</v>
      </c>
      <c r="H1974">
        <v>-10</v>
      </c>
      <c r="I1974">
        <v>0</v>
      </c>
      <c r="J1974">
        <v>64</v>
      </c>
      <c r="K1974" s="2">
        <v>45747</v>
      </c>
    </row>
    <row r="1975" spans="1:11" x14ac:dyDescent="0.25">
      <c r="A1975" s="1" t="s">
        <v>456</v>
      </c>
      <c r="B1975" s="1"/>
      <c r="C1975" s="1" t="s">
        <v>2903</v>
      </c>
      <c r="D1975" s="1" t="s">
        <v>3412</v>
      </c>
      <c r="E1975" s="1"/>
      <c r="F1975">
        <v>1.5</v>
      </c>
      <c r="G1975">
        <v>1.4</v>
      </c>
      <c r="H1975">
        <v>10</v>
      </c>
      <c r="I1975">
        <v>0</v>
      </c>
      <c r="J1975">
        <v>64</v>
      </c>
      <c r="K1975" s="2">
        <v>45747</v>
      </c>
    </row>
    <row r="1976" spans="1:11" x14ac:dyDescent="0.25">
      <c r="A1976" s="1" t="s">
        <v>456</v>
      </c>
      <c r="B1976" s="1"/>
      <c r="C1976" s="1" t="s">
        <v>2948</v>
      </c>
      <c r="D1976" s="1" t="s">
        <v>3388</v>
      </c>
      <c r="E1976" s="1"/>
      <c r="F1976">
        <v>2.5</v>
      </c>
      <c r="G1976">
        <v>1.9</v>
      </c>
      <c r="H1976">
        <v>40</v>
      </c>
      <c r="I1976">
        <v>0</v>
      </c>
      <c r="J1976">
        <v>64</v>
      </c>
      <c r="K1976" s="2">
        <v>45777</v>
      </c>
    </row>
    <row r="1977" spans="1:11" x14ac:dyDescent="0.25">
      <c r="A1977" s="1" t="s">
        <v>721</v>
      </c>
      <c r="B1977" s="1"/>
      <c r="C1977" s="1" t="s">
        <v>2808</v>
      </c>
      <c r="D1977" s="1" t="s">
        <v>3370</v>
      </c>
      <c r="E1977" s="1"/>
      <c r="F1977">
        <v>0</v>
      </c>
      <c r="G1977">
        <v>3.4</v>
      </c>
      <c r="H1977">
        <v>0</v>
      </c>
      <c r="I1977">
        <v>0</v>
      </c>
      <c r="J1977">
        <v>1</v>
      </c>
      <c r="K1977" s="2">
        <v>45780</v>
      </c>
    </row>
    <row r="1978" spans="1:11" x14ac:dyDescent="0.25">
      <c r="A1978" s="1" t="s">
        <v>721</v>
      </c>
      <c r="B1978" s="1"/>
      <c r="C1978" s="1" t="s">
        <v>3134</v>
      </c>
      <c r="D1978" s="1" t="s">
        <v>3478</v>
      </c>
      <c r="E1978" s="1"/>
      <c r="F1978">
        <v>0</v>
      </c>
      <c r="G1978">
        <v>0</v>
      </c>
      <c r="H1978">
        <v>5</v>
      </c>
      <c r="I1978">
        <v>0</v>
      </c>
      <c r="J1978">
        <v>1</v>
      </c>
      <c r="K1978" s="2">
        <v>45771</v>
      </c>
    </row>
    <row r="1979" spans="1:11" x14ac:dyDescent="0.25">
      <c r="A1979" s="1" t="s">
        <v>721</v>
      </c>
      <c r="B1979" s="1"/>
      <c r="C1979" s="1" t="s">
        <v>3135</v>
      </c>
      <c r="D1979" s="1" t="s">
        <v>3479</v>
      </c>
      <c r="E1979" s="1"/>
      <c r="F1979">
        <v>0.8</v>
      </c>
      <c r="G1979">
        <v>3.2</v>
      </c>
      <c r="H1979">
        <v>-150</v>
      </c>
      <c r="I1979">
        <v>0</v>
      </c>
      <c r="J1979">
        <v>1</v>
      </c>
      <c r="K1979" s="2">
        <v>45771</v>
      </c>
    </row>
    <row r="1980" spans="1:11" x14ac:dyDescent="0.25">
      <c r="A1980" s="1" t="s">
        <v>721</v>
      </c>
      <c r="B1980" s="1"/>
      <c r="C1980" s="1" t="s">
        <v>3136</v>
      </c>
      <c r="D1980" s="1" t="s">
        <v>3479</v>
      </c>
      <c r="E1980" s="1"/>
      <c r="F1980">
        <v>0.5</v>
      </c>
      <c r="G1980">
        <v>3.8</v>
      </c>
      <c r="H1980">
        <v>-205</v>
      </c>
      <c r="I1980">
        <v>0</v>
      </c>
      <c r="J1980">
        <v>1</v>
      </c>
      <c r="K1980" s="2">
        <v>45771</v>
      </c>
    </row>
    <row r="1981" spans="1:11" x14ac:dyDescent="0.25">
      <c r="A1981" s="1" t="s">
        <v>721</v>
      </c>
      <c r="B1981" s="1"/>
      <c r="C1981" s="1" t="s">
        <v>3137</v>
      </c>
      <c r="D1981" s="1" t="s">
        <v>3480</v>
      </c>
      <c r="E1981" s="1"/>
      <c r="F1981">
        <v>1</v>
      </c>
      <c r="G1981">
        <v>0.4</v>
      </c>
      <c r="H1981">
        <v>40</v>
      </c>
      <c r="I1981">
        <v>0</v>
      </c>
      <c r="J1981">
        <v>1</v>
      </c>
      <c r="K1981" s="2">
        <v>45771</v>
      </c>
    </row>
    <row r="1982" spans="1:11" x14ac:dyDescent="0.25">
      <c r="A1982" s="1" t="s">
        <v>721</v>
      </c>
      <c r="B1982" s="1"/>
      <c r="C1982" s="1" t="s">
        <v>3138</v>
      </c>
      <c r="D1982" s="1" t="s">
        <v>3480</v>
      </c>
      <c r="E1982" s="1"/>
      <c r="F1982">
        <v>0.5</v>
      </c>
      <c r="G1982">
        <v>1.8</v>
      </c>
      <c r="H1982">
        <v>-80</v>
      </c>
      <c r="I1982">
        <v>0</v>
      </c>
      <c r="J1982">
        <v>1</v>
      </c>
      <c r="K1982" s="2">
        <v>45771</v>
      </c>
    </row>
    <row r="1983" spans="1:11" x14ac:dyDescent="0.25">
      <c r="A1983" s="1" t="s">
        <v>721</v>
      </c>
      <c r="B1983" s="1"/>
      <c r="C1983" s="1" t="s">
        <v>3139</v>
      </c>
      <c r="D1983" s="1" t="s">
        <v>3479</v>
      </c>
      <c r="E1983" s="1"/>
      <c r="F1983">
        <v>0.2</v>
      </c>
      <c r="G1983">
        <v>1</v>
      </c>
      <c r="H1983">
        <v>-45</v>
      </c>
      <c r="I1983">
        <v>0</v>
      </c>
      <c r="J1983">
        <v>1</v>
      </c>
      <c r="K1983" s="2">
        <v>45772</v>
      </c>
    </row>
    <row r="1984" spans="1:11" x14ac:dyDescent="0.25">
      <c r="A1984" s="1" t="s">
        <v>721</v>
      </c>
      <c r="B1984" s="1"/>
      <c r="C1984" s="1" t="s">
        <v>3140</v>
      </c>
      <c r="D1984" s="1" t="s">
        <v>3480</v>
      </c>
      <c r="E1984" s="1"/>
      <c r="F1984">
        <v>0.5</v>
      </c>
      <c r="G1984">
        <v>1.1000000000000001</v>
      </c>
      <c r="H1984">
        <v>-35</v>
      </c>
      <c r="I1984">
        <v>0</v>
      </c>
      <c r="J1984">
        <v>1</v>
      </c>
      <c r="K1984" s="2">
        <v>45772</v>
      </c>
    </row>
    <row r="1985" spans="1:11" x14ac:dyDescent="0.25">
      <c r="A1985" s="1" t="s">
        <v>721</v>
      </c>
      <c r="B1985" s="1"/>
      <c r="C1985" s="1" t="s">
        <v>3141</v>
      </c>
      <c r="D1985" s="1" t="s">
        <v>3444</v>
      </c>
      <c r="E1985" s="1"/>
      <c r="F1985">
        <v>2</v>
      </c>
      <c r="G1985">
        <v>0.6</v>
      </c>
      <c r="H1985">
        <v>90</v>
      </c>
      <c r="I1985">
        <v>0</v>
      </c>
      <c r="J1985">
        <v>1</v>
      </c>
      <c r="K1985" s="2">
        <v>45775</v>
      </c>
    </row>
    <row r="1986" spans="1:11" x14ac:dyDescent="0.25">
      <c r="A1986" s="1" t="s">
        <v>721</v>
      </c>
      <c r="B1986" s="1"/>
      <c r="C1986" s="1" t="s">
        <v>3142</v>
      </c>
      <c r="D1986" s="1" t="s">
        <v>3451</v>
      </c>
      <c r="E1986" s="1"/>
      <c r="F1986">
        <v>0.5</v>
      </c>
      <c r="G1986">
        <v>1.1000000000000001</v>
      </c>
      <c r="H1986">
        <v>-35</v>
      </c>
      <c r="I1986">
        <v>0</v>
      </c>
      <c r="J1986">
        <v>1</v>
      </c>
      <c r="K1986" s="2">
        <v>45776</v>
      </c>
    </row>
    <row r="1987" spans="1:11" x14ac:dyDescent="0.25">
      <c r="A1987" s="1" t="s">
        <v>717</v>
      </c>
      <c r="B1987" s="1"/>
      <c r="C1987" s="1" t="s">
        <v>2808</v>
      </c>
      <c r="D1987" s="1" t="s">
        <v>3370</v>
      </c>
      <c r="E1987" s="1"/>
      <c r="F1987">
        <v>0</v>
      </c>
      <c r="G1987">
        <v>2.2999999999999998</v>
      </c>
      <c r="H1987">
        <v>0</v>
      </c>
      <c r="I1987">
        <v>0</v>
      </c>
      <c r="J1987">
        <v>1</v>
      </c>
      <c r="K1987" s="2">
        <v>45780</v>
      </c>
    </row>
    <row r="1988" spans="1:11" x14ac:dyDescent="0.25">
      <c r="A1988" s="1" t="s">
        <v>717</v>
      </c>
      <c r="B1988" s="1"/>
      <c r="C1988" s="1" t="s">
        <v>3134</v>
      </c>
      <c r="D1988" s="1" t="s">
        <v>3478</v>
      </c>
      <c r="E1988" s="1"/>
      <c r="F1988">
        <v>0</v>
      </c>
      <c r="G1988">
        <v>0</v>
      </c>
      <c r="H1988">
        <v>5</v>
      </c>
      <c r="I1988">
        <v>0</v>
      </c>
      <c r="J1988">
        <v>1</v>
      </c>
      <c r="K1988" s="2">
        <v>45769</v>
      </c>
    </row>
    <row r="1989" spans="1:11" x14ac:dyDescent="0.25">
      <c r="A1989" s="1" t="s">
        <v>717</v>
      </c>
      <c r="B1989" s="1"/>
      <c r="C1989" s="1" t="s">
        <v>3135</v>
      </c>
      <c r="D1989" s="1" t="s">
        <v>3479</v>
      </c>
      <c r="E1989" s="1"/>
      <c r="F1989">
        <v>0.8</v>
      </c>
      <c r="G1989">
        <v>3.4</v>
      </c>
      <c r="H1989">
        <v>-160</v>
      </c>
      <c r="I1989">
        <v>0</v>
      </c>
      <c r="J1989">
        <v>1</v>
      </c>
      <c r="K1989" s="2">
        <v>45770</v>
      </c>
    </row>
    <row r="1990" spans="1:11" x14ac:dyDescent="0.25">
      <c r="A1990" s="1" t="s">
        <v>717</v>
      </c>
      <c r="B1990" s="1"/>
      <c r="C1990" s="1" t="s">
        <v>3136</v>
      </c>
      <c r="D1990" s="1" t="s">
        <v>3479</v>
      </c>
      <c r="E1990" s="1"/>
      <c r="F1990">
        <v>0.5</v>
      </c>
      <c r="G1990">
        <v>1.5</v>
      </c>
      <c r="H1990">
        <v>-60</v>
      </c>
      <c r="I1990">
        <v>0</v>
      </c>
      <c r="J1990">
        <v>1</v>
      </c>
      <c r="K1990" s="2">
        <v>45770</v>
      </c>
    </row>
    <row r="1991" spans="1:11" x14ac:dyDescent="0.25">
      <c r="A1991" s="1" t="s">
        <v>717</v>
      </c>
      <c r="B1991" s="1"/>
      <c r="C1991" s="1" t="s">
        <v>3137</v>
      </c>
      <c r="D1991" s="1" t="s">
        <v>3480</v>
      </c>
      <c r="E1991" s="1"/>
      <c r="F1991">
        <v>1</v>
      </c>
      <c r="G1991">
        <v>1</v>
      </c>
      <c r="H1991">
        <v>5</v>
      </c>
      <c r="I1991">
        <v>0</v>
      </c>
      <c r="J1991">
        <v>1</v>
      </c>
      <c r="K1991" s="2">
        <v>45770</v>
      </c>
    </row>
    <row r="1992" spans="1:11" x14ac:dyDescent="0.25">
      <c r="A1992" s="1" t="s">
        <v>717</v>
      </c>
      <c r="B1992" s="1"/>
      <c r="C1992" s="1" t="s">
        <v>3139</v>
      </c>
      <c r="D1992" s="1" t="s">
        <v>3479</v>
      </c>
      <c r="E1992" s="1"/>
      <c r="F1992">
        <v>0.2</v>
      </c>
      <c r="G1992">
        <v>0</v>
      </c>
      <c r="H1992">
        <v>15</v>
      </c>
      <c r="I1992">
        <v>0</v>
      </c>
      <c r="J1992">
        <v>1</v>
      </c>
      <c r="K1992" s="2">
        <v>45775</v>
      </c>
    </row>
    <row r="1993" spans="1:11" x14ac:dyDescent="0.25">
      <c r="A1993" s="1" t="s">
        <v>717</v>
      </c>
      <c r="B1993" s="1"/>
      <c r="C1993" s="1" t="s">
        <v>3138</v>
      </c>
      <c r="D1993" s="1" t="s">
        <v>3480</v>
      </c>
      <c r="E1993" s="1"/>
      <c r="F1993">
        <v>0.5</v>
      </c>
      <c r="G1993">
        <v>0.6</v>
      </c>
      <c r="H1993">
        <v>-5</v>
      </c>
      <c r="I1993">
        <v>0</v>
      </c>
      <c r="J1993">
        <v>1</v>
      </c>
      <c r="K1993" s="2">
        <v>45770</v>
      </c>
    </row>
    <row r="1994" spans="1:11" x14ac:dyDescent="0.25">
      <c r="A1994" s="1" t="s">
        <v>717</v>
      </c>
      <c r="B1994" s="1"/>
      <c r="C1994" s="1" t="s">
        <v>3143</v>
      </c>
      <c r="D1994" s="1" t="s">
        <v>3480</v>
      </c>
      <c r="E1994" s="1"/>
      <c r="F1994">
        <v>0.5</v>
      </c>
      <c r="G1994">
        <v>0.1</v>
      </c>
      <c r="H1994">
        <v>30</v>
      </c>
      <c r="I1994">
        <v>0</v>
      </c>
      <c r="J1994">
        <v>1</v>
      </c>
      <c r="K1994" s="2">
        <v>45775</v>
      </c>
    </row>
    <row r="1995" spans="1:11" x14ac:dyDescent="0.25">
      <c r="A1995" s="1" t="s">
        <v>717</v>
      </c>
      <c r="B1995" s="1"/>
      <c r="C1995" s="1" t="s">
        <v>3141</v>
      </c>
      <c r="D1995" s="1" t="s">
        <v>3444</v>
      </c>
      <c r="E1995" s="1"/>
      <c r="F1995">
        <v>2</v>
      </c>
      <c r="G1995">
        <v>0.4</v>
      </c>
      <c r="H1995">
        <v>105</v>
      </c>
      <c r="I1995">
        <v>0</v>
      </c>
      <c r="J1995">
        <v>1</v>
      </c>
      <c r="K1995" s="2">
        <v>45775</v>
      </c>
    </row>
    <row r="1996" spans="1:11" x14ac:dyDescent="0.25">
      <c r="A1996" s="1" t="s">
        <v>717</v>
      </c>
      <c r="B1996" s="1"/>
      <c r="C1996" s="1" t="s">
        <v>3142</v>
      </c>
      <c r="D1996" s="1" t="s">
        <v>3451</v>
      </c>
      <c r="E1996" s="1"/>
      <c r="F1996">
        <v>0.5</v>
      </c>
      <c r="G1996">
        <v>0.7</v>
      </c>
      <c r="H1996">
        <v>-5</v>
      </c>
      <c r="I1996">
        <v>0</v>
      </c>
      <c r="J1996">
        <v>1</v>
      </c>
      <c r="K1996" s="2">
        <v>45775</v>
      </c>
    </row>
    <row r="1997" spans="1:11" x14ac:dyDescent="0.25">
      <c r="A1997" s="1" t="s">
        <v>772</v>
      </c>
      <c r="B1997" s="1"/>
      <c r="C1997" s="1" t="s">
        <v>2808</v>
      </c>
      <c r="D1997" s="1" t="s">
        <v>3370</v>
      </c>
      <c r="E1997" s="1"/>
      <c r="F1997">
        <v>0</v>
      </c>
      <c r="G1997">
        <v>1.8</v>
      </c>
      <c r="H1997">
        <v>0</v>
      </c>
      <c r="I1997">
        <v>0</v>
      </c>
      <c r="J1997">
        <v>1</v>
      </c>
      <c r="K1997" s="2">
        <v>45779</v>
      </c>
    </row>
    <row r="1998" spans="1:11" x14ac:dyDescent="0.25">
      <c r="A1998" s="1" t="s">
        <v>772</v>
      </c>
      <c r="B1998" s="1"/>
      <c r="C1998" s="1" t="s">
        <v>3134</v>
      </c>
      <c r="D1998" s="1" t="s">
        <v>3478</v>
      </c>
      <c r="E1998" s="1"/>
      <c r="F1998">
        <v>0</v>
      </c>
      <c r="G1998">
        <v>0</v>
      </c>
      <c r="H1998">
        <v>5</v>
      </c>
      <c r="I1998">
        <v>0</v>
      </c>
      <c r="J1998">
        <v>1</v>
      </c>
      <c r="K1998" s="2">
        <v>45776</v>
      </c>
    </row>
    <row r="1999" spans="1:11" x14ac:dyDescent="0.25">
      <c r="A1999" s="1" t="s">
        <v>772</v>
      </c>
      <c r="B1999" s="1"/>
      <c r="C1999" s="1" t="s">
        <v>3135</v>
      </c>
      <c r="D1999" s="1" t="s">
        <v>3479</v>
      </c>
      <c r="E1999" s="1"/>
      <c r="F1999">
        <v>0.8</v>
      </c>
      <c r="G1999">
        <v>1</v>
      </c>
      <c r="H1999">
        <v>-10</v>
      </c>
      <c r="I1999">
        <v>0</v>
      </c>
      <c r="J1999">
        <v>1</v>
      </c>
      <c r="K1999" s="2">
        <v>45776</v>
      </c>
    </row>
    <row r="2000" spans="1:11" x14ac:dyDescent="0.25">
      <c r="A2000" s="1" t="s">
        <v>772</v>
      </c>
      <c r="B2000" s="1"/>
      <c r="C2000" s="1" t="s">
        <v>3136</v>
      </c>
      <c r="D2000" s="1" t="s">
        <v>3479</v>
      </c>
      <c r="E2000" s="1"/>
      <c r="F2000">
        <v>0.5</v>
      </c>
      <c r="G2000">
        <v>3.3</v>
      </c>
      <c r="H2000">
        <v>-175</v>
      </c>
      <c r="I2000">
        <v>0</v>
      </c>
      <c r="J2000">
        <v>1</v>
      </c>
      <c r="K2000" s="2">
        <v>45776</v>
      </c>
    </row>
    <row r="2001" spans="1:11" x14ac:dyDescent="0.25">
      <c r="A2001" s="1" t="s">
        <v>772</v>
      </c>
      <c r="B2001" s="1"/>
      <c r="C2001" s="1" t="s">
        <v>3137</v>
      </c>
      <c r="D2001" s="1" t="s">
        <v>3480</v>
      </c>
      <c r="E2001" s="1"/>
      <c r="F2001">
        <v>1</v>
      </c>
      <c r="G2001">
        <v>0.1</v>
      </c>
      <c r="H2001">
        <v>55</v>
      </c>
      <c r="I2001">
        <v>0</v>
      </c>
      <c r="J2001">
        <v>1</v>
      </c>
      <c r="K2001" s="2">
        <v>45776</v>
      </c>
    </row>
    <row r="2002" spans="1:11" x14ac:dyDescent="0.25">
      <c r="A2002" s="1" t="s">
        <v>772</v>
      </c>
      <c r="B2002" s="1"/>
      <c r="C2002" s="1" t="s">
        <v>3139</v>
      </c>
      <c r="D2002" s="1" t="s">
        <v>3479</v>
      </c>
      <c r="E2002" s="1"/>
      <c r="F2002">
        <v>0.2</v>
      </c>
      <c r="G2002">
        <v>0</v>
      </c>
      <c r="H2002">
        <v>15</v>
      </c>
      <c r="I2002">
        <v>0</v>
      </c>
      <c r="J2002">
        <v>1</v>
      </c>
      <c r="K2002" s="2">
        <v>45778</v>
      </c>
    </row>
    <row r="2003" spans="1:11" x14ac:dyDescent="0.25">
      <c r="A2003" s="1" t="s">
        <v>772</v>
      </c>
      <c r="B2003" s="1"/>
      <c r="C2003" s="1" t="s">
        <v>3138</v>
      </c>
      <c r="D2003" s="1" t="s">
        <v>3480</v>
      </c>
      <c r="E2003" s="1"/>
      <c r="F2003">
        <v>0.5</v>
      </c>
      <c r="G2003">
        <v>1.8</v>
      </c>
      <c r="H2003">
        <v>-75</v>
      </c>
      <c r="I2003">
        <v>0</v>
      </c>
      <c r="J2003">
        <v>1</v>
      </c>
      <c r="K2003" s="2">
        <v>45776</v>
      </c>
    </row>
    <row r="2004" spans="1:11" x14ac:dyDescent="0.25">
      <c r="A2004" s="1" t="s">
        <v>772</v>
      </c>
      <c r="B2004" s="1"/>
      <c r="C2004" s="1" t="s">
        <v>3143</v>
      </c>
      <c r="D2004" s="1" t="s">
        <v>3480</v>
      </c>
      <c r="E2004" s="1"/>
      <c r="F2004">
        <v>0.5</v>
      </c>
      <c r="G2004">
        <v>1</v>
      </c>
      <c r="H2004">
        <v>-30</v>
      </c>
      <c r="I2004">
        <v>0</v>
      </c>
      <c r="J2004">
        <v>1</v>
      </c>
      <c r="K2004" s="2">
        <v>45777</v>
      </c>
    </row>
    <row r="2005" spans="1:11" x14ac:dyDescent="0.25">
      <c r="A2005" s="1" t="s">
        <v>772</v>
      </c>
      <c r="B2005" s="1"/>
      <c r="C2005" s="1" t="s">
        <v>3141</v>
      </c>
      <c r="D2005" s="1" t="s">
        <v>3444</v>
      </c>
      <c r="E2005" s="1"/>
      <c r="F2005">
        <v>2</v>
      </c>
      <c r="G2005">
        <v>0.5</v>
      </c>
      <c r="H2005">
        <v>95</v>
      </c>
      <c r="I2005">
        <v>0</v>
      </c>
      <c r="J2005">
        <v>1</v>
      </c>
      <c r="K2005" s="2">
        <v>45778</v>
      </c>
    </row>
    <row r="2006" spans="1:11" x14ac:dyDescent="0.25">
      <c r="A2006" s="1" t="s">
        <v>772</v>
      </c>
      <c r="B2006" s="1"/>
      <c r="C2006" s="1" t="s">
        <v>3142</v>
      </c>
      <c r="D2006" s="1" t="s">
        <v>3451</v>
      </c>
      <c r="E2006" s="1"/>
      <c r="F2006">
        <v>0.5</v>
      </c>
      <c r="G2006">
        <v>2.6</v>
      </c>
      <c r="H2006">
        <v>-130</v>
      </c>
      <c r="I2006">
        <v>0</v>
      </c>
      <c r="J2006">
        <v>1</v>
      </c>
      <c r="K2006" s="2">
        <v>45779</v>
      </c>
    </row>
    <row r="2007" spans="1:11" x14ac:dyDescent="0.25">
      <c r="A2007" s="1" t="s">
        <v>786</v>
      </c>
      <c r="B2007" s="1"/>
      <c r="C2007" s="1" t="s">
        <v>2808</v>
      </c>
      <c r="D2007" s="1" t="s">
        <v>3370</v>
      </c>
      <c r="E2007" s="1"/>
      <c r="F2007">
        <v>0</v>
      </c>
      <c r="G2007">
        <v>0.7</v>
      </c>
      <c r="H2007">
        <v>0</v>
      </c>
      <c r="I2007">
        <v>0</v>
      </c>
      <c r="J2007">
        <v>1</v>
      </c>
      <c r="K2007" s="2">
        <v>45779</v>
      </c>
    </row>
    <row r="2008" spans="1:11" x14ac:dyDescent="0.25">
      <c r="A2008" s="1" t="s">
        <v>786</v>
      </c>
      <c r="B2008" s="1"/>
      <c r="C2008" s="1" t="s">
        <v>3134</v>
      </c>
      <c r="D2008" s="1" t="s">
        <v>3478</v>
      </c>
      <c r="E2008" s="1"/>
      <c r="F2008">
        <v>0</v>
      </c>
      <c r="G2008">
        <v>0</v>
      </c>
      <c r="H2008">
        <v>5</v>
      </c>
      <c r="I2008">
        <v>0</v>
      </c>
      <c r="J2008">
        <v>1</v>
      </c>
      <c r="K2008" s="2">
        <v>45776</v>
      </c>
    </row>
    <row r="2009" spans="1:11" x14ac:dyDescent="0.25">
      <c r="A2009" s="1" t="s">
        <v>786</v>
      </c>
      <c r="B2009" s="1"/>
      <c r="C2009" s="1" t="s">
        <v>3135</v>
      </c>
      <c r="D2009" s="1" t="s">
        <v>3479</v>
      </c>
      <c r="E2009" s="1"/>
      <c r="F2009">
        <v>0.8</v>
      </c>
      <c r="G2009">
        <v>3.6</v>
      </c>
      <c r="H2009">
        <v>-175</v>
      </c>
      <c r="I2009">
        <v>0</v>
      </c>
      <c r="J2009">
        <v>1</v>
      </c>
      <c r="K2009" s="2">
        <v>45776</v>
      </c>
    </row>
    <row r="2010" spans="1:11" x14ac:dyDescent="0.25">
      <c r="A2010" s="1" t="s">
        <v>786</v>
      </c>
      <c r="B2010" s="1"/>
      <c r="C2010" s="1" t="s">
        <v>3136</v>
      </c>
      <c r="D2010" s="1" t="s">
        <v>3479</v>
      </c>
      <c r="E2010" s="1"/>
      <c r="F2010">
        <v>0.5</v>
      </c>
      <c r="G2010">
        <v>2.5</v>
      </c>
      <c r="H2010">
        <v>-120</v>
      </c>
      <c r="I2010">
        <v>0</v>
      </c>
      <c r="J2010">
        <v>1</v>
      </c>
      <c r="K2010" s="2">
        <v>45776</v>
      </c>
    </row>
    <row r="2011" spans="1:11" x14ac:dyDescent="0.25">
      <c r="A2011" s="1" t="s">
        <v>786</v>
      </c>
      <c r="B2011" s="1"/>
      <c r="C2011" s="1" t="s">
        <v>3137</v>
      </c>
      <c r="D2011" s="1" t="s">
        <v>3480</v>
      </c>
      <c r="E2011" s="1"/>
      <c r="F2011">
        <v>1</v>
      </c>
      <c r="G2011">
        <v>0.4</v>
      </c>
      <c r="H2011">
        <v>45</v>
      </c>
      <c r="I2011">
        <v>0</v>
      </c>
      <c r="J2011">
        <v>1</v>
      </c>
      <c r="K2011" s="2">
        <v>45776</v>
      </c>
    </row>
    <row r="2012" spans="1:11" x14ac:dyDescent="0.25">
      <c r="A2012" s="1" t="s">
        <v>786</v>
      </c>
      <c r="B2012" s="1"/>
      <c r="C2012" s="1" t="s">
        <v>3139</v>
      </c>
      <c r="D2012" s="1" t="s">
        <v>3479</v>
      </c>
      <c r="E2012" s="1"/>
      <c r="F2012">
        <v>0.2</v>
      </c>
      <c r="G2012">
        <v>0</v>
      </c>
      <c r="H2012">
        <v>15</v>
      </c>
      <c r="I2012">
        <v>0</v>
      </c>
      <c r="J2012">
        <v>1</v>
      </c>
      <c r="K2012" s="2">
        <v>45777</v>
      </c>
    </row>
    <row r="2013" spans="1:11" x14ac:dyDescent="0.25">
      <c r="A2013" s="1" t="s">
        <v>786</v>
      </c>
      <c r="B2013" s="1"/>
      <c r="C2013" s="1" t="s">
        <v>3138</v>
      </c>
      <c r="D2013" s="1" t="s">
        <v>3480</v>
      </c>
      <c r="E2013" s="1"/>
      <c r="F2013">
        <v>0.5</v>
      </c>
      <c r="G2013">
        <v>0.3</v>
      </c>
      <c r="H2013">
        <v>10</v>
      </c>
      <c r="I2013">
        <v>0</v>
      </c>
      <c r="J2013">
        <v>1</v>
      </c>
      <c r="K2013" s="2">
        <v>45776</v>
      </c>
    </row>
    <row r="2014" spans="1:11" x14ac:dyDescent="0.25">
      <c r="A2014" s="1" t="s">
        <v>786</v>
      </c>
      <c r="B2014" s="1"/>
      <c r="C2014" s="1" t="s">
        <v>3143</v>
      </c>
      <c r="D2014" s="1" t="s">
        <v>3480</v>
      </c>
      <c r="E2014" s="1"/>
      <c r="F2014">
        <v>0.5</v>
      </c>
      <c r="G2014">
        <v>3.7</v>
      </c>
      <c r="H2014">
        <v>-195</v>
      </c>
      <c r="I2014">
        <v>0</v>
      </c>
      <c r="J2014">
        <v>1</v>
      </c>
      <c r="K2014" s="2">
        <v>45777</v>
      </c>
    </row>
    <row r="2015" spans="1:11" x14ac:dyDescent="0.25">
      <c r="A2015" s="1" t="s">
        <v>786</v>
      </c>
      <c r="B2015" s="1"/>
      <c r="C2015" s="1" t="s">
        <v>3141</v>
      </c>
      <c r="D2015" s="1" t="s">
        <v>3444</v>
      </c>
      <c r="E2015" s="1"/>
      <c r="F2015">
        <v>2</v>
      </c>
      <c r="G2015">
        <v>0.9</v>
      </c>
      <c r="H2015">
        <v>75</v>
      </c>
      <c r="I2015">
        <v>0</v>
      </c>
      <c r="J2015">
        <v>1</v>
      </c>
      <c r="K2015" s="2">
        <v>45777</v>
      </c>
    </row>
    <row r="2016" spans="1:11" x14ac:dyDescent="0.25">
      <c r="A2016" s="1" t="s">
        <v>786</v>
      </c>
      <c r="B2016" s="1"/>
      <c r="C2016" s="1" t="s">
        <v>3142</v>
      </c>
      <c r="D2016" s="1" t="s">
        <v>3451</v>
      </c>
      <c r="E2016" s="1"/>
      <c r="F2016">
        <v>0.5</v>
      </c>
      <c r="G2016">
        <v>1.3</v>
      </c>
      <c r="H2016">
        <v>-45</v>
      </c>
      <c r="I2016">
        <v>0</v>
      </c>
      <c r="J2016">
        <v>1</v>
      </c>
      <c r="K2016" s="2">
        <v>45778</v>
      </c>
    </row>
    <row r="2017" spans="1:11" x14ac:dyDescent="0.25">
      <c r="A2017" s="1" t="s">
        <v>909</v>
      </c>
      <c r="B2017" s="1"/>
      <c r="C2017" s="1" t="s">
        <v>2808</v>
      </c>
      <c r="D2017" s="1" t="s">
        <v>3370</v>
      </c>
      <c r="E2017" s="1"/>
      <c r="F2017">
        <v>0</v>
      </c>
      <c r="G2017">
        <v>0.7</v>
      </c>
      <c r="H2017">
        <v>0</v>
      </c>
      <c r="I2017">
        <v>0</v>
      </c>
      <c r="J2017">
        <v>1</v>
      </c>
      <c r="K2017" s="2">
        <v>45786</v>
      </c>
    </row>
    <row r="2018" spans="1:11" x14ac:dyDescent="0.25">
      <c r="A2018" s="1" t="s">
        <v>909</v>
      </c>
      <c r="B2018" s="1"/>
      <c r="C2018" s="1" t="s">
        <v>3134</v>
      </c>
      <c r="D2018" s="1" t="s">
        <v>3478</v>
      </c>
      <c r="E2018" s="1"/>
      <c r="F2018">
        <v>0</v>
      </c>
      <c r="G2018">
        <v>0</v>
      </c>
      <c r="H2018">
        <v>5</v>
      </c>
      <c r="I2018">
        <v>0</v>
      </c>
      <c r="J2018">
        <v>1</v>
      </c>
      <c r="K2018" s="2">
        <v>45783</v>
      </c>
    </row>
    <row r="2019" spans="1:11" x14ac:dyDescent="0.25">
      <c r="A2019" s="1" t="s">
        <v>909</v>
      </c>
      <c r="B2019" s="1"/>
      <c r="C2019" s="1" t="s">
        <v>3135</v>
      </c>
      <c r="D2019" s="1" t="s">
        <v>3479</v>
      </c>
      <c r="E2019" s="1"/>
      <c r="F2019">
        <v>0.8</v>
      </c>
      <c r="G2019">
        <v>2.2000000000000002</v>
      </c>
      <c r="H2019">
        <v>-90</v>
      </c>
      <c r="I2019">
        <v>0</v>
      </c>
      <c r="J2019">
        <v>1</v>
      </c>
      <c r="K2019" s="2">
        <v>45783</v>
      </c>
    </row>
    <row r="2020" spans="1:11" x14ac:dyDescent="0.25">
      <c r="A2020" s="1" t="s">
        <v>909</v>
      </c>
      <c r="B2020" s="1"/>
      <c r="C2020" s="1" t="s">
        <v>3136</v>
      </c>
      <c r="D2020" s="1" t="s">
        <v>3479</v>
      </c>
      <c r="E2020" s="1"/>
      <c r="F2020">
        <v>0.5</v>
      </c>
      <c r="G2020">
        <v>1.6</v>
      </c>
      <c r="H2020">
        <v>-65</v>
      </c>
      <c r="I2020">
        <v>0</v>
      </c>
      <c r="J2020">
        <v>1</v>
      </c>
      <c r="K2020" s="2">
        <v>45784</v>
      </c>
    </row>
    <row r="2021" spans="1:11" x14ac:dyDescent="0.25">
      <c r="A2021" s="1" t="s">
        <v>909</v>
      </c>
      <c r="B2021" s="1"/>
      <c r="C2021" s="1" t="s">
        <v>3137</v>
      </c>
      <c r="D2021" s="1" t="s">
        <v>3480</v>
      </c>
      <c r="E2021" s="1"/>
      <c r="F2021">
        <v>1</v>
      </c>
      <c r="G2021">
        <v>0</v>
      </c>
      <c r="H2021">
        <v>65</v>
      </c>
      <c r="I2021">
        <v>0</v>
      </c>
      <c r="J2021">
        <v>1</v>
      </c>
      <c r="K2021" s="2">
        <v>45784</v>
      </c>
    </row>
    <row r="2022" spans="1:11" x14ac:dyDescent="0.25">
      <c r="A2022" s="1" t="s">
        <v>909</v>
      </c>
      <c r="B2022" s="1"/>
      <c r="C2022" s="1" t="s">
        <v>3139</v>
      </c>
      <c r="D2022" s="1" t="s">
        <v>3479</v>
      </c>
      <c r="E2022" s="1"/>
      <c r="F2022">
        <v>0.2</v>
      </c>
      <c r="G2022">
        <v>0</v>
      </c>
      <c r="H2022">
        <v>15</v>
      </c>
      <c r="I2022">
        <v>0</v>
      </c>
      <c r="J2022">
        <v>1</v>
      </c>
      <c r="K2022" s="2">
        <v>45784</v>
      </c>
    </row>
    <row r="2023" spans="1:11" x14ac:dyDescent="0.25">
      <c r="A2023" s="1" t="s">
        <v>909</v>
      </c>
      <c r="B2023" s="1"/>
      <c r="C2023" s="1" t="s">
        <v>3138</v>
      </c>
      <c r="D2023" s="1" t="s">
        <v>3480</v>
      </c>
      <c r="E2023" s="1"/>
      <c r="F2023">
        <v>0.5</v>
      </c>
      <c r="G2023">
        <v>0</v>
      </c>
      <c r="H2023">
        <v>35</v>
      </c>
      <c r="I2023">
        <v>0</v>
      </c>
      <c r="J2023">
        <v>1</v>
      </c>
      <c r="K2023" s="2">
        <v>45784</v>
      </c>
    </row>
    <row r="2024" spans="1:11" x14ac:dyDescent="0.25">
      <c r="A2024" s="1" t="s">
        <v>909</v>
      </c>
      <c r="B2024" s="1"/>
      <c r="C2024" s="1" t="s">
        <v>3143</v>
      </c>
      <c r="D2024" s="1" t="s">
        <v>3480</v>
      </c>
      <c r="E2024" s="1"/>
      <c r="F2024">
        <v>0.5</v>
      </c>
      <c r="G2024">
        <v>0</v>
      </c>
      <c r="H2024">
        <v>30</v>
      </c>
      <c r="I2024">
        <v>0</v>
      </c>
      <c r="J2024">
        <v>1</v>
      </c>
      <c r="K2024" s="2">
        <v>45784</v>
      </c>
    </row>
    <row r="2025" spans="1:11" x14ac:dyDescent="0.25">
      <c r="A2025" s="1" t="s">
        <v>909</v>
      </c>
      <c r="B2025" s="1"/>
      <c r="C2025" s="1" t="s">
        <v>3141</v>
      </c>
      <c r="D2025" s="1" t="s">
        <v>3444</v>
      </c>
      <c r="E2025" s="1"/>
      <c r="F2025">
        <v>2</v>
      </c>
      <c r="G2025">
        <v>0.5</v>
      </c>
      <c r="H2025">
        <v>95</v>
      </c>
      <c r="I2025">
        <v>0</v>
      </c>
      <c r="J2025">
        <v>1</v>
      </c>
      <c r="K2025" s="2">
        <v>45785</v>
      </c>
    </row>
    <row r="2026" spans="1:11" x14ac:dyDescent="0.25">
      <c r="A2026" s="1" t="s">
        <v>909</v>
      </c>
      <c r="B2026" s="1"/>
      <c r="C2026" s="1" t="s">
        <v>3142</v>
      </c>
      <c r="D2026" s="1" t="s">
        <v>3451</v>
      </c>
      <c r="E2026" s="1"/>
      <c r="F2026">
        <v>0.5</v>
      </c>
      <c r="G2026">
        <v>1.7</v>
      </c>
      <c r="H2026">
        <v>-75</v>
      </c>
      <c r="I2026">
        <v>0</v>
      </c>
      <c r="J2026">
        <v>1</v>
      </c>
      <c r="K2026" s="2">
        <v>45785</v>
      </c>
    </row>
    <row r="2027" spans="1:11" x14ac:dyDescent="0.25">
      <c r="A2027" s="1" t="s">
        <v>914</v>
      </c>
      <c r="B2027" s="1"/>
      <c r="C2027" s="1" t="s">
        <v>2808</v>
      </c>
      <c r="D2027" s="1" t="s">
        <v>3370</v>
      </c>
      <c r="E2027" s="1"/>
      <c r="F2027">
        <v>0</v>
      </c>
      <c r="G2027">
        <v>0.6</v>
      </c>
      <c r="H2027">
        <v>0</v>
      </c>
      <c r="I2027">
        <v>0</v>
      </c>
      <c r="J2027">
        <v>1</v>
      </c>
      <c r="K2027" s="2">
        <v>45786</v>
      </c>
    </row>
    <row r="2028" spans="1:11" x14ac:dyDescent="0.25">
      <c r="A2028" s="1" t="s">
        <v>914</v>
      </c>
      <c r="B2028" s="1"/>
      <c r="C2028" s="1" t="s">
        <v>3134</v>
      </c>
      <c r="D2028" s="1" t="s">
        <v>3478</v>
      </c>
      <c r="E2028" s="1"/>
      <c r="F2028">
        <v>0</v>
      </c>
      <c r="G2028">
        <v>0</v>
      </c>
      <c r="H2028">
        <v>5</v>
      </c>
      <c r="I2028">
        <v>0</v>
      </c>
      <c r="J2028">
        <v>1</v>
      </c>
      <c r="K2028" s="2">
        <v>45783</v>
      </c>
    </row>
    <row r="2029" spans="1:11" x14ac:dyDescent="0.25">
      <c r="A2029" s="1" t="s">
        <v>914</v>
      </c>
      <c r="B2029" s="1"/>
      <c r="C2029" s="1" t="s">
        <v>3135</v>
      </c>
      <c r="D2029" s="1" t="s">
        <v>3479</v>
      </c>
      <c r="E2029" s="1"/>
      <c r="F2029">
        <v>0.8</v>
      </c>
      <c r="G2029">
        <v>2.9</v>
      </c>
      <c r="H2029">
        <v>-130</v>
      </c>
      <c r="I2029">
        <v>0</v>
      </c>
      <c r="J2029">
        <v>1</v>
      </c>
      <c r="K2029" s="2">
        <v>45783</v>
      </c>
    </row>
    <row r="2030" spans="1:11" x14ac:dyDescent="0.25">
      <c r="A2030" s="1" t="s">
        <v>914</v>
      </c>
      <c r="B2030" s="1"/>
      <c r="C2030" s="1" t="s">
        <v>3136</v>
      </c>
      <c r="D2030" s="1" t="s">
        <v>3479</v>
      </c>
      <c r="E2030" s="1"/>
      <c r="F2030">
        <v>0.5</v>
      </c>
      <c r="G2030">
        <v>0.6</v>
      </c>
      <c r="H2030">
        <v>-5</v>
      </c>
      <c r="I2030">
        <v>0</v>
      </c>
      <c r="J2030">
        <v>1</v>
      </c>
      <c r="K2030" s="2">
        <v>45783</v>
      </c>
    </row>
    <row r="2031" spans="1:11" x14ac:dyDescent="0.25">
      <c r="A2031" s="1" t="s">
        <v>914</v>
      </c>
      <c r="B2031" s="1"/>
      <c r="C2031" s="1" t="s">
        <v>3137</v>
      </c>
      <c r="D2031" s="1" t="s">
        <v>3480</v>
      </c>
      <c r="E2031" s="1"/>
      <c r="F2031">
        <v>1</v>
      </c>
      <c r="G2031">
        <v>1</v>
      </c>
      <c r="H2031">
        <v>5</v>
      </c>
      <c r="I2031">
        <v>0</v>
      </c>
      <c r="J2031">
        <v>1</v>
      </c>
      <c r="K2031" s="2">
        <v>45783</v>
      </c>
    </row>
    <row r="2032" spans="1:11" x14ac:dyDescent="0.25">
      <c r="A2032" s="1" t="s">
        <v>914</v>
      </c>
      <c r="B2032" s="1"/>
      <c r="C2032" s="1" t="s">
        <v>3139</v>
      </c>
      <c r="D2032" s="1" t="s">
        <v>3479</v>
      </c>
      <c r="E2032" s="1"/>
      <c r="F2032">
        <v>0.2</v>
      </c>
      <c r="G2032">
        <v>0</v>
      </c>
      <c r="H2032">
        <v>15</v>
      </c>
      <c r="I2032">
        <v>0</v>
      </c>
      <c r="J2032">
        <v>1</v>
      </c>
      <c r="K2032" s="2">
        <v>45784</v>
      </c>
    </row>
    <row r="2033" spans="1:11" x14ac:dyDescent="0.25">
      <c r="A2033" s="1" t="s">
        <v>914</v>
      </c>
      <c r="B2033" s="1"/>
      <c r="C2033" s="1" t="s">
        <v>3138</v>
      </c>
      <c r="D2033" s="1" t="s">
        <v>3480</v>
      </c>
      <c r="E2033" s="1"/>
      <c r="F2033">
        <v>0.5</v>
      </c>
      <c r="G2033">
        <v>2.9</v>
      </c>
      <c r="H2033">
        <v>-145</v>
      </c>
      <c r="I2033">
        <v>0</v>
      </c>
      <c r="J2033">
        <v>1</v>
      </c>
      <c r="K2033" s="2">
        <v>45784</v>
      </c>
    </row>
    <row r="2034" spans="1:11" x14ac:dyDescent="0.25">
      <c r="A2034" s="1" t="s">
        <v>914</v>
      </c>
      <c r="B2034" s="1"/>
      <c r="C2034" s="1" t="s">
        <v>3143</v>
      </c>
      <c r="D2034" s="1" t="s">
        <v>3480</v>
      </c>
      <c r="E2034" s="1"/>
      <c r="F2034">
        <v>0.5</v>
      </c>
      <c r="G2034">
        <v>0</v>
      </c>
      <c r="H2034">
        <v>35</v>
      </c>
      <c r="I2034">
        <v>0</v>
      </c>
      <c r="J2034">
        <v>1</v>
      </c>
      <c r="K2034" s="2">
        <v>45784</v>
      </c>
    </row>
    <row r="2035" spans="1:11" x14ac:dyDescent="0.25">
      <c r="A2035" s="1" t="s">
        <v>914</v>
      </c>
      <c r="B2035" s="1"/>
      <c r="C2035" s="1" t="s">
        <v>3141</v>
      </c>
      <c r="D2035" s="1" t="s">
        <v>3444</v>
      </c>
      <c r="E2035" s="1"/>
      <c r="F2035">
        <v>2</v>
      </c>
      <c r="G2035">
        <v>0.4</v>
      </c>
      <c r="H2035">
        <v>105</v>
      </c>
      <c r="I2035">
        <v>0</v>
      </c>
      <c r="J2035">
        <v>1</v>
      </c>
      <c r="K2035" s="2">
        <v>45785</v>
      </c>
    </row>
    <row r="2036" spans="1:11" x14ac:dyDescent="0.25">
      <c r="A2036" s="1" t="s">
        <v>914</v>
      </c>
      <c r="B2036" s="1"/>
      <c r="C2036" s="1" t="s">
        <v>3142</v>
      </c>
      <c r="D2036" s="1" t="s">
        <v>3451</v>
      </c>
      <c r="E2036" s="1"/>
      <c r="F2036">
        <v>0.5</v>
      </c>
      <c r="G2036">
        <v>1.8</v>
      </c>
      <c r="H2036">
        <v>-75</v>
      </c>
      <c r="I2036">
        <v>0</v>
      </c>
      <c r="J2036">
        <v>1</v>
      </c>
      <c r="K2036" s="2">
        <v>45785</v>
      </c>
    </row>
    <row r="2037" spans="1:11" x14ac:dyDescent="0.25">
      <c r="A2037" s="1" t="s">
        <v>927</v>
      </c>
      <c r="B2037" s="1"/>
      <c r="C2037" s="1" t="s">
        <v>2808</v>
      </c>
      <c r="D2037" s="1" t="s">
        <v>3370</v>
      </c>
      <c r="E2037" s="1"/>
      <c r="F2037">
        <v>0</v>
      </c>
      <c r="G2037">
        <v>0.3</v>
      </c>
      <c r="H2037">
        <v>0</v>
      </c>
      <c r="I2037">
        <v>0</v>
      </c>
      <c r="J2037">
        <v>1</v>
      </c>
      <c r="K2037" s="2">
        <v>45786</v>
      </c>
    </row>
    <row r="2038" spans="1:11" x14ac:dyDescent="0.25">
      <c r="A2038" s="1" t="s">
        <v>927</v>
      </c>
      <c r="B2038" s="1"/>
      <c r="C2038" s="1" t="s">
        <v>3134</v>
      </c>
      <c r="D2038" s="1" t="s">
        <v>3478</v>
      </c>
      <c r="E2038" s="1"/>
      <c r="F2038">
        <v>0</v>
      </c>
      <c r="G2038">
        <v>0.1</v>
      </c>
      <c r="H2038">
        <v>0</v>
      </c>
      <c r="I2038">
        <v>0</v>
      </c>
      <c r="J2038">
        <v>1</v>
      </c>
      <c r="K2038" s="2">
        <v>45784</v>
      </c>
    </row>
    <row r="2039" spans="1:11" x14ac:dyDescent="0.25">
      <c r="A2039" s="1" t="s">
        <v>927</v>
      </c>
      <c r="B2039" s="1"/>
      <c r="C2039" s="1" t="s">
        <v>3135</v>
      </c>
      <c r="D2039" s="1" t="s">
        <v>3479</v>
      </c>
      <c r="E2039" s="1"/>
      <c r="F2039">
        <v>0.8</v>
      </c>
      <c r="G2039">
        <v>2.7</v>
      </c>
      <c r="H2039">
        <v>-120</v>
      </c>
      <c r="I2039">
        <v>0</v>
      </c>
      <c r="J2039">
        <v>1</v>
      </c>
      <c r="K2039" s="2">
        <v>45784</v>
      </c>
    </row>
    <row r="2040" spans="1:11" x14ac:dyDescent="0.25">
      <c r="A2040" s="1" t="s">
        <v>927</v>
      </c>
      <c r="B2040" s="1"/>
      <c r="C2040" s="1" t="s">
        <v>3136</v>
      </c>
      <c r="D2040" s="1" t="s">
        <v>3479</v>
      </c>
      <c r="E2040" s="1"/>
      <c r="F2040">
        <v>0.5</v>
      </c>
      <c r="G2040">
        <v>4.5999999999999996</v>
      </c>
      <c r="H2040">
        <v>-255</v>
      </c>
      <c r="I2040">
        <v>0</v>
      </c>
      <c r="J2040">
        <v>1</v>
      </c>
      <c r="K2040" s="2">
        <v>45784</v>
      </c>
    </row>
    <row r="2041" spans="1:11" x14ac:dyDescent="0.25">
      <c r="A2041" s="1" t="s">
        <v>927</v>
      </c>
      <c r="B2041" s="1"/>
      <c r="C2041" s="1" t="s">
        <v>3137</v>
      </c>
      <c r="D2041" s="1" t="s">
        <v>3480</v>
      </c>
      <c r="E2041" s="1"/>
      <c r="F2041">
        <v>1</v>
      </c>
      <c r="G2041">
        <v>0.8</v>
      </c>
      <c r="H2041">
        <v>15</v>
      </c>
      <c r="I2041">
        <v>0</v>
      </c>
      <c r="J2041">
        <v>1</v>
      </c>
      <c r="K2041" s="2">
        <v>45784</v>
      </c>
    </row>
    <row r="2042" spans="1:11" x14ac:dyDescent="0.25">
      <c r="A2042" s="1" t="s">
        <v>927</v>
      </c>
      <c r="B2042" s="1"/>
      <c r="C2042" s="1" t="s">
        <v>3139</v>
      </c>
      <c r="D2042" s="1" t="s">
        <v>3479</v>
      </c>
      <c r="E2042" s="1"/>
      <c r="F2042">
        <v>0.2</v>
      </c>
      <c r="G2042">
        <v>0</v>
      </c>
      <c r="H2042">
        <v>15</v>
      </c>
      <c r="I2042">
        <v>0</v>
      </c>
      <c r="J2042">
        <v>1</v>
      </c>
      <c r="K2042" s="2">
        <v>45785</v>
      </c>
    </row>
    <row r="2043" spans="1:11" x14ac:dyDescent="0.25">
      <c r="A2043" s="1" t="s">
        <v>927</v>
      </c>
      <c r="B2043" s="1"/>
      <c r="C2043" s="1" t="s">
        <v>3138</v>
      </c>
      <c r="D2043" s="1" t="s">
        <v>3480</v>
      </c>
      <c r="E2043" s="1"/>
      <c r="F2043">
        <v>0.5</v>
      </c>
      <c r="G2043">
        <v>0.3</v>
      </c>
      <c r="H2043">
        <v>15</v>
      </c>
      <c r="I2043">
        <v>0</v>
      </c>
      <c r="J2043">
        <v>1</v>
      </c>
      <c r="K2043" s="2">
        <v>45784</v>
      </c>
    </row>
    <row r="2044" spans="1:11" x14ac:dyDescent="0.25">
      <c r="A2044" s="1" t="s">
        <v>927</v>
      </c>
      <c r="B2044" s="1"/>
      <c r="C2044" s="1" t="s">
        <v>3143</v>
      </c>
      <c r="D2044" s="1" t="s">
        <v>3480</v>
      </c>
      <c r="E2044" s="1"/>
      <c r="F2044">
        <v>0.5</v>
      </c>
      <c r="G2044">
        <v>2.9</v>
      </c>
      <c r="H2044">
        <v>-145</v>
      </c>
      <c r="I2044">
        <v>0</v>
      </c>
      <c r="J2044">
        <v>1</v>
      </c>
      <c r="K2044" s="2">
        <v>45785</v>
      </c>
    </row>
    <row r="2045" spans="1:11" x14ac:dyDescent="0.25">
      <c r="A2045" s="1" t="s">
        <v>927</v>
      </c>
      <c r="B2045" s="1"/>
      <c r="C2045" s="1" t="s">
        <v>3141</v>
      </c>
      <c r="D2045" s="1" t="s">
        <v>3444</v>
      </c>
      <c r="E2045" s="1"/>
      <c r="F2045">
        <v>2</v>
      </c>
      <c r="G2045">
        <v>0.3</v>
      </c>
      <c r="H2045">
        <v>105</v>
      </c>
      <c r="I2045">
        <v>0</v>
      </c>
      <c r="J2045">
        <v>1</v>
      </c>
      <c r="K2045" s="2">
        <v>45785</v>
      </c>
    </row>
    <row r="2046" spans="1:11" x14ac:dyDescent="0.25">
      <c r="A2046" s="1" t="s">
        <v>927</v>
      </c>
      <c r="B2046" s="1"/>
      <c r="C2046" s="1" t="s">
        <v>3142</v>
      </c>
      <c r="D2046" s="1" t="s">
        <v>3451</v>
      </c>
      <c r="E2046" s="1"/>
      <c r="F2046">
        <v>0.5</v>
      </c>
      <c r="G2046">
        <v>0.6</v>
      </c>
      <c r="H2046">
        <v>-5</v>
      </c>
      <c r="I2046">
        <v>0</v>
      </c>
      <c r="J2046">
        <v>1</v>
      </c>
      <c r="K2046" s="2">
        <v>45785</v>
      </c>
    </row>
    <row r="2047" spans="1:11" x14ac:dyDescent="0.25">
      <c r="A2047" s="1" t="s">
        <v>953</v>
      </c>
      <c r="B2047" s="1"/>
      <c r="C2047" s="1" t="s">
        <v>3134</v>
      </c>
      <c r="D2047" s="1" t="s">
        <v>3478</v>
      </c>
      <c r="E2047" s="1"/>
      <c r="F2047">
        <v>0</v>
      </c>
      <c r="G2047">
        <v>0</v>
      </c>
      <c r="H2047">
        <v>5</v>
      </c>
      <c r="I2047">
        <v>0</v>
      </c>
      <c r="J2047">
        <v>1</v>
      </c>
      <c r="K2047" s="2">
        <v>45786</v>
      </c>
    </row>
    <row r="2048" spans="1:11" x14ac:dyDescent="0.25">
      <c r="A2048" s="1" t="s">
        <v>953</v>
      </c>
      <c r="B2048" s="1"/>
      <c r="C2048" s="1" t="s">
        <v>3135</v>
      </c>
      <c r="D2048" s="1" t="s">
        <v>3479</v>
      </c>
      <c r="E2048" s="1"/>
      <c r="F2048">
        <v>0.8</v>
      </c>
      <c r="G2048">
        <v>1.3</v>
      </c>
      <c r="H2048">
        <v>-30</v>
      </c>
      <c r="I2048">
        <v>0</v>
      </c>
      <c r="J2048">
        <v>1</v>
      </c>
      <c r="K2048" s="2">
        <v>45786</v>
      </c>
    </row>
    <row r="2049" spans="1:11" x14ac:dyDescent="0.25">
      <c r="A2049" s="1" t="s">
        <v>953</v>
      </c>
      <c r="B2049" s="1"/>
      <c r="C2049" s="1" t="s">
        <v>3136</v>
      </c>
      <c r="D2049" s="1" t="s">
        <v>3479</v>
      </c>
      <c r="E2049" s="1"/>
      <c r="F2049">
        <v>0.5</v>
      </c>
      <c r="G2049">
        <v>0</v>
      </c>
      <c r="H2049">
        <v>35</v>
      </c>
      <c r="I2049">
        <v>0</v>
      </c>
      <c r="J2049">
        <v>1</v>
      </c>
      <c r="K2049" s="2">
        <v>45786</v>
      </c>
    </row>
    <row r="2050" spans="1:11" x14ac:dyDescent="0.25">
      <c r="A2050" s="1" t="s">
        <v>953</v>
      </c>
      <c r="B2050" s="1"/>
      <c r="C2050" s="1" t="s">
        <v>3137</v>
      </c>
      <c r="D2050" s="1" t="s">
        <v>3480</v>
      </c>
      <c r="E2050" s="1"/>
      <c r="F2050">
        <v>1</v>
      </c>
      <c r="G2050">
        <v>0</v>
      </c>
      <c r="H2050">
        <v>65</v>
      </c>
      <c r="I2050">
        <v>0</v>
      </c>
      <c r="J2050">
        <v>1</v>
      </c>
      <c r="K2050" s="2">
        <v>45786</v>
      </c>
    </row>
    <row r="2051" spans="1:11" x14ac:dyDescent="0.25">
      <c r="A2051" s="1" t="s">
        <v>953</v>
      </c>
      <c r="B2051" s="1"/>
      <c r="C2051" s="1" t="s">
        <v>3139</v>
      </c>
      <c r="D2051" s="1" t="s">
        <v>3479</v>
      </c>
      <c r="E2051" s="1"/>
      <c r="F2051">
        <v>0.2</v>
      </c>
      <c r="G2051">
        <v>0</v>
      </c>
      <c r="H2051">
        <v>15</v>
      </c>
      <c r="I2051">
        <v>0</v>
      </c>
      <c r="J2051">
        <v>1</v>
      </c>
      <c r="K2051" s="2">
        <v>45789</v>
      </c>
    </row>
    <row r="2052" spans="1:11" x14ac:dyDescent="0.25">
      <c r="A2052" s="1" t="s">
        <v>953</v>
      </c>
      <c r="B2052" s="1"/>
      <c r="C2052" s="1" t="s">
        <v>3138</v>
      </c>
      <c r="D2052" s="1" t="s">
        <v>3480</v>
      </c>
      <c r="E2052" s="1"/>
      <c r="F2052">
        <v>0.5</v>
      </c>
      <c r="G2052">
        <v>0</v>
      </c>
      <c r="H2052">
        <v>35</v>
      </c>
      <c r="I2052">
        <v>0</v>
      </c>
      <c r="J2052">
        <v>1</v>
      </c>
      <c r="K2052" s="2">
        <v>45786</v>
      </c>
    </row>
    <row r="2053" spans="1:11" x14ac:dyDescent="0.25">
      <c r="A2053" s="1" t="s">
        <v>953</v>
      </c>
      <c r="B2053" s="1"/>
      <c r="C2053" s="1" t="s">
        <v>3143</v>
      </c>
      <c r="D2053" s="1" t="s">
        <v>3480</v>
      </c>
      <c r="E2053" s="1"/>
      <c r="F2053">
        <v>0.5</v>
      </c>
      <c r="G2053">
        <v>0</v>
      </c>
      <c r="H2053">
        <v>35</v>
      </c>
      <c r="I2053">
        <v>0</v>
      </c>
      <c r="J2053">
        <v>1</v>
      </c>
      <c r="K2053" s="2">
        <v>45789</v>
      </c>
    </row>
    <row r="2054" spans="1:11" x14ac:dyDescent="0.25">
      <c r="A2054" s="1" t="s">
        <v>476</v>
      </c>
      <c r="B2054" s="1"/>
      <c r="C2054" s="1" t="s">
        <v>2808</v>
      </c>
      <c r="D2054" s="1" t="s">
        <v>3370</v>
      </c>
      <c r="E2054" s="1"/>
      <c r="F2054">
        <v>0</v>
      </c>
      <c r="G2054">
        <v>0</v>
      </c>
      <c r="H2054">
        <v>0</v>
      </c>
      <c r="I2054">
        <v>0</v>
      </c>
      <c r="J2054">
        <v>108</v>
      </c>
      <c r="K2054" s="2">
        <v>45777</v>
      </c>
    </row>
    <row r="2055" spans="1:11" x14ac:dyDescent="0.25">
      <c r="A2055" s="1" t="s">
        <v>268</v>
      </c>
      <c r="B2055" s="1"/>
      <c r="C2055" s="1" t="s">
        <v>2989</v>
      </c>
      <c r="D2055" s="1" t="s">
        <v>3481</v>
      </c>
      <c r="E2055" s="1"/>
      <c r="F2055">
        <v>2.5</v>
      </c>
      <c r="G2055">
        <v>8</v>
      </c>
      <c r="H2055">
        <v>-295</v>
      </c>
      <c r="I2055">
        <v>0</v>
      </c>
      <c r="J2055">
        <v>2</v>
      </c>
      <c r="K2055" s="2">
        <v>45742</v>
      </c>
    </row>
    <row r="2056" spans="1:11" x14ac:dyDescent="0.25">
      <c r="A2056" s="1" t="s">
        <v>268</v>
      </c>
      <c r="B2056" s="1"/>
      <c r="C2056" s="1" t="s">
        <v>2828</v>
      </c>
      <c r="D2056" s="1" t="s">
        <v>3434</v>
      </c>
      <c r="E2056" s="1"/>
      <c r="F2056">
        <v>9</v>
      </c>
      <c r="G2056">
        <v>16.5</v>
      </c>
      <c r="H2056">
        <v>-410</v>
      </c>
      <c r="I2056">
        <v>0</v>
      </c>
      <c r="J2056">
        <v>2</v>
      </c>
      <c r="K2056" s="2">
        <v>45744</v>
      </c>
    </row>
    <row r="2057" spans="1:11" x14ac:dyDescent="0.25">
      <c r="A2057" s="1" t="s">
        <v>268</v>
      </c>
      <c r="B2057" s="1"/>
      <c r="C2057" s="1" t="s">
        <v>2990</v>
      </c>
      <c r="D2057" s="1" t="s">
        <v>3372</v>
      </c>
      <c r="E2057" s="1"/>
      <c r="F2057">
        <v>1</v>
      </c>
      <c r="G2057">
        <v>0</v>
      </c>
      <c r="H2057">
        <v>55</v>
      </c>
      <c r="I2057">
        <v>0</v>
      </c>
      <c r="J2057">
        <v>2</v>
      </c>
      <c r="K2057" s="2">
        <v>45744</v>
      </c>
    </row>
    <row r="2058" spans="1:11" x14ac:dyDescent="0.25">
      <c r="A2058" s="1" t="s">
        <v>268</v>
      </c>
      <c r="B2058" s="1"/>
      <c r="C2058" s="1" t="s">
        <v>2991</v>
      </c>
      <c r="D2058" s="1" t="s">
        <v>3435</v>
      </c>
      <c r="E2058" s="1"/>
      <c r="F2058">
        <v>2.2999999999999998</v>
      </c>
      <c r="G2058">
        <v>0</v>
      </c>
      <c r="H2058">
        <v>125</v>
      </c>
      <c r="I2058">
        <v>0</v>
      </c>
      <c r="J2058">
        <v>2</v>
      </c>
      <c r="K2058" s="2">
        <v>45744</v>
      </c>
    </row>
    <row r="2059" spans="1:11" x14ac:dyDescent="0.25">
      <c r="A2059" s="1" t="s">
        <v>268</v>
      </c>
      <c r="B2059" s="1"/>
      <c r="C2059" s="1" t="s">
        <v>2992</v>
      </c>
      <c r="D2059" s="1" t="s">
        <v>3435</v>
      </c>
      <c r="E2059" s="1"/>
      <c r="F2059">
        <v>1.5</v>
      </c>
      <c r="G2059">
        <v>0</v>
      </c>
      <c r="H2059">
        <v>85</v>
      </c>
      <c r="I2059">
        <v>0</v>
      </c>
      <c r="J2059">
        <v>2</v>
      </c>
      <c r="K2059" s="2">
        <v>45744</v>
      </c>
    </row>
    <row r="2060" spans="1:11" x14ac:dyDescent="0.25">
      <c r="A2060" s="1" t="s">
        <v>268</v>
      </c>
      <c r="B2060" s="1"/>
      <c r="C2060" s="1" t="s">
        <v>2993</v>
      </c>
      <c r="D2060" s="1" t="s">
        <v>3388</v>
      </c>
      <c r="E2060" s="1"/>
      <c r="F2060">
        <v>1</v>
      </c>
      <c r="G2060">
        <v>0.3</v>
      </c>
      <c r="H2060">
        <v>45</v>
      </c>
      <c r="I2060">
        <v>0</v>
      </c>
      <c r="J2060">
        <v>2</v>
      </c>
      <c r="K2060" s="2">
        <v>45754</v>
      </c>
    </row>
    <row r="2061" spans="1:11" x14ac:dyDescent="0.25">
      <c r="A2061" s="1" t="s">
        <v>268</v>
      </c>
      <c r="B2061" s="1"/>
      <c r="C2061" s="1" t="s">
        <v>2994</v>
      </c>
      <c r="D2061" s="1" t="s">
        <v>3436</v>
      </c>
      <c r="E2061" s="1"/>
      <c r="F2061">
        <v>1.2</v>
      </c>
      <c r="G2061">
        <v>2.4</v>
      </c>
      <c r="H2061">
        <v>-65</v>
      </c>
      <c r="I2061">
        <v>0</v>
      </c>
      <c r="J2061">
        <v>2</v>
      </c>
      <c r="K2061" s="2">
        <v>45751</v>
      </c>
    </row>
    <row r="2062" spans="1:11" x14ac:dyDescent="0.25">
      <c r="A2062" s="1" t="s">
        <v>268</v>
      </c>
      <c r="B2062" s="1"/>
      <c r="C2062" s="1" t="s">
        <v>2995</v>
      </c>
      <c r="D2062" s="1" t="s">
        <v>3372</v>
      </c>
      <c r="E2062" s="1"/>
      <c r="F2062">
        <v>1</v>
      </c>
      <c r="G2062">
        <v>0</v>
      </c>
      <c r="H2062">
        <v>55</v>
      </c>
      <c r="I2062">
        <v>0</v>
      </c>
      <c r="J2062">
        <v>2</v>
      </c>
      <c r="K2062" s="2">
        <v>45783</v>
      </c>
    </row>
    <row r="2063" spans="1:11" x14ac:dyDescent="0.25">
      <c r="A2063" s="1" t="s">
        <v>290</v>
      </c>
      <c r="B2063" s="1"/>
      <c r="C2063" s="1" t="s">
        <v>2989</v>
      </c>
      <c r="D2063" s="1" t="s">
        <v>3481</v>
      </c>
      <c r="E2063" s="1"/>
      <c r="F2063">
        <v>2.5</v>
      </c>
      <c r="G2063">
        <v>0</v>
      </c>
      <c r="H2063">
        <v>140</v>
      </c>
      <c r="I2063">
        <v>0</v>
      </c>
      <c r="J2063">
        <v>2</v>
      </c>
      <c r="K2063" s="2">
        <v>45748</v>
      </c>
    </row>
    <row r="2064" spans="1:11" x14ac:dyDescent="0.25">
      <c r="A2064" s="1" t="s">
        <v>290</v>
      </c>
      <c r="B2064" s="1"/>
      <c r="C2064" s="1" t="s">
        <v>2828</v>
      </c>
      <c r="D2064" s="1" t="s">
        <v>3434</v>
      </c>
      <c r="E2064" s="1"/>
      <c r="F2064">
        <v>9</v>
      </c>
      <c r="G2064">
        <v>24.8</v>
      </c>
      <c r="H2064">
        <v>-860</v>
      </c>
      <c r="I2064">
        <v>0</v>
      </c>
      <c r="J2064">
        <v>2</v>
      </c>
      <c r="K2064" s="2">
        <v>45754</v>
      </c>
    </row>
    <row r="2065" spans="1:11" x14ac:dyDescent="0.25">
      <c r="A2065" s="1" t="s">
        <v>290</v>
      </c>
      <c r="B2065" s="1"/>
      <c r="C2065" s="1" t="s">
        <v>2990</v>
      </c>
      <c r="D2065" s="1" t="s">
        <v>3372</v>
      </c>
      <c r="E2065" s="1"/>
      <c r="F2065">
        <v>1</v>
      </c>
      <c r="G2065">
        <v>0</v>
      </c>
      <c r="H2065">
        <v>55</v>
      </c>
      <c r="I2065">
        <v>0</v>
      </c>
      <c r="J2065">
        <v>2</v>
      </c>
      <c r="K2065" s="2">
        <v>45754</v>
      </c>
    </row>
    <row r="2066" spans="1:11" x14ac:dyDescent="0.25">
      <c r="A2066" s="1" t="s">
        <v>290</v>
      </c>
      <c r="B2066" s="1"/>
      <c r="C2066" s="1" t="s">
        <v>2991</v>
      </c>
      <c r="D2066" s="1" t="s">
        <v>3435</v>
      </c>
      <c r="E2066" s="1"/>
      <c r="F2066">
        <v>2.2999999999999998</v>
      </c>
      <c r="G2066">
        <v>0</v>
      </c>
      <c r="H2066">
        <v>125</v>
      </c>
      <c r="I2066">
        <v>0</v>
      </c>
      <c r="J2066">
        <v>2</v>
      </c>
      <c r="K2066" s="2">
        <v>45754</v>
      </c>
    </row>
    <row r="2067" spans="1:11" x14ac:dyDescent="0.25">
      <c r="A2067" s="1" t="s">
        <v>290</v>
      </c>
      <c r="B2067" s="1"/>
      <c r="C2067" s="1" t="s">
        <v>2992</v>
      </c>
      <c r="D2067" s="1" t="s">
        <v>3435</v>
      </c>
      <c r="E2067" s="1"/>
      <c r="F2067">
        <v>1.5</v>
      </c>
      <c r="G2067">
        <v>0</v>
      </c>
      <c r="H2067">
        <v>85</v>
      </c>
      <c r="I2067">
        <v>0</v>
      </c>
      <c r="J2067">
        <v>2</v>
      </c>
      <c r="K2067" s="2">
        <v>45754</v>
      </c>
    </row>
    <row r="2068" spans="1:11" x14ac:dyDescent="0.25">
      <c r="A2068" s="1" t="s">
        <v>290</v>
      </c>
      <c r="B2068" s="1"/>
      <c r="C2068" s="1" t="s">
        <v>2993</v>
      </c>
      <c r="D2068" s="1" t="s">
        <v>3388</v>
      </c>
      <c r="E2068" s="1"/>
      <c r="F2068">
        <v>1</v>
      </c>
      <c r="G2068">
        <v>0.8</v>
      </c>
      <c r="H2068">
        <v>15</v>
      </c>
      <c r="I2068">
        <v>0</v>
      </c>
      <c r="J2068">
        <v>2</v>
      </c>
      <c r="K2068" s="2">
        <v>45762</v>
      </c>
    </row>
    <row r="2069" spans="1:11" x14ac:dyDescent="0.25">
      <c r="A2069" s="1" t="s">
        <v>290</v>
      </c>
      <c r="B2069" s="1"/>
      <c r="C2069" s="1" t="s">
        <v>2994</v>
      </c>
      <c r="D2069" s="1" t="s">
        <v>3436</v>
      </c>
      <c r="E2069" s="1"/>
      <c r="F2069">
        <v>1.2</v>
      </c>
      <c r="G2069">
        <v>4.3</v>
      </c>
      <c r="H2069">
        <v>-170</v>
      </c>
      <c r="I2069">
        <v>0</v>
      </c>
      <c r="J2069">
        <v>2</v>
      </c>
      <c r="K2069" s="2">
        <v>45779</v>
      </c>
    </row>
    <row r="2070" spans="1:11" x14ac:dyDescent="0.25">
      <c r="A2070" s="1" t="s">
        <v>290</v>
      </c>
      <c r="B2070" s="1"/>
      <c r="C2070" s="1" t="s">
        <v>2995</v>
      </c>
      <c r="D2070" s="1" t="s">
        <v>3372</v>
      </c>
      <c r="E2070" s="1"/>
      <c r="F2070">
        <v>1</v>
      </c>
      <c r="G2070">
        <v>0</v>
      </c>
      <c r="H2070">
        <v>55</v>
      </c>
      <c r="I2070">
        <v>0</v>
      </c>
      <c r="J2070">
        <v>2</v>
      </c>
      <c r="K2070" s="2">
        <v>45783</v>
      </c>
    </row>
    <row r="2071" spans="1:11" x14ac:dyDescent="0.25">
      <c r="A2071" s="1" t="s">
        <v>364</v>
      </c>
      <c r="B2071" s="1"/>
      <c r="C2071" s="1" t="s">
        <v>2808</v>
      </c>
      <c r="D2071" s="1" t="s">
        <v>3370</v>
      </c>
      <c r="E2071" s="1"/>
      <c r="F2071">
        <v>0</v>
      </c>
      <c r="G2071">
        <v>0</v>
      </c>
      <c r="H2071">
        <v>0</v>
      </c>
      <c r="I2071">
        <v>0</v>
      </c>
      <c r="J2071">
        <v>2</v>
      </c>
      <c r="K2071" s="2">
        <v>45735</v>
      </c>
    </row>
    <row r="2072" spans="1:11" x14ac:dyDescent="0.25">
      <c r="A2072" s="1" t="s">
        <v>364</v>
      </c>
      <c r="B2072" s="1"/>
      <c r="C2072" s="1" t="s">
        <v>2989</v>
      </c>
      <c r="D2072" s="1" t="s">
        <v>3481</v>
      </c>
      <c r="E2072" s="1"/>
      <c r="F2072">
        <v>2.5</v>
      </c>
      <c r="G2072">
        <v>3.2</v>
      </c>
      <c r="H2072">
        <v>-35</v>
      </c>
      <c r="I2072">
        <v>0</v>
      </c>
      <c r="J2072">
        <v>2</v>
      </c>
      <c r="K2072" s="2">
        <v>45757</v>
      </c>
    </row>
    <row r="2073" spans="1:11" x14ac:dyDescent="0.25">
      <c r="A2073" s="1" t="s">
        <v>364</v>
      </c>
      <c r="B2073" s="1"/>
      <c r="C2073" s="1" t="s">
        <v>2828</v>
      </c>
      <c r="D2073" s="1" t="s">
        <v>3434</v>
      </c>
      <c r="E2073" s="1"/>
      <c r="F2073">
        <v>9</v>
      </c>
      <c r="G2073">
        <v>22.7</v>
      </c>
      <c r="H2073">
        <v>-745</v>
      </c>
      <c r="I2073">
        <v>0</v>
      </c>
      <c r="J2073">
        <v>2</v>
      </c>
      <c r="K2073" s="2">
        <v>45762</v>
      </c>
    </row>
    <row r="2074" spans="1:11" x14ac:dyDescent="0.25">
      <c r="A2074" s="1" t="s">
        <v>364</v>
      </c>
      <c r="B2074" s="1"/>
      <c r="C2074" s="1" t="s">
        <v>2990</v>
      </c>
      <c r="D2074" s="1" t="s">
        <v>3372</v>
      </c>
      <c r="E2074" s="1"/>
      <c r="F2074">
        <v>1</v>
      </c>
      <c r="G2074">
        <v>0</v>
      </c>
      <c r="H2074">
        <v>55</v>
      </c>
      <c r="I2074">
        <v>0</v>
      </c>
      <c r="J2074">
        <v>2</v>
      </c>
      <c r="K2074" s="2">
        <v>45762</v>
      </c>
    </row>
    <row r="2075" spans="1:11" x14ac:dyDescent="0.25">
      <c r="A2075" s="1" t="s">
        <v>364</v>
      </c>
      <c r="B2075" s="1"/>
      <c r="C2075" s="1" t="s">
        <v>2991</v>
      </c>
      <c r="D2075" s="1" t="s">
        <v>3435</v>
      </c>
      <c r="E2075" s="1"/>
      <c r="F2075">
        <v>2.2999999999999998</v>
      </c>
      <c r="G2075">
        <v>0</v>
      </c>
      <c r="H2075">
        <v>125</v>
      </c>
      <c r="I2075">
        <v>0</v>
      </c>
      <c r="J2075">
        <v>2</v>
      </c>
      <c r="K2075" s="2">
        <v>45762</v>
      </c>
    </row>
    <row r="2076" spans="1:11" x14ac:dyDescent="0.25">
      <c r="A2076" s="1" t="s">
        <v>364</v>
      </c>
      <c r="B2076" s="1"/>
      <c r="C2076" s="1" t="s">
        <v>2992</v>
      </c>
      <c r="D2076" s="1" t="s">
        <v>3435</v>
      </c>
      <c r="E2076" s="1"/>
      <c r="F2076">
        <v>1.5</v>
      </c>
      <c r="G2076">
        <v>0</v>
      </c>
      <c r="H2076">
        <v>85</v>
      </c>
      <c r="I2076">
        <v>0</v>
      </c>
      <c r="J2076">
        <v>2</v>
      </c>
      <c r="K2076" s="2">
        <v>45762</v>
      </c>
    </row>
    <row r="2077" spans="1:11" x14ac:dyDescent="0.25">
      <c r="A2077" s="1" t="s">
        <v>364</v>
      </c>
      <c r="B2077" s="1"/>
      <c r="C2077" s="1" t="s">
        <v>2993</v>
      </c>
      <c r="D2077" s="1" t="s">
        <v>3388</v>
      </c>
      <c r="E2077" s="1"/>
      <c r="F2077">
        <v>1</v>
      </c>
      <c r="G2077">
        <v>0.2</v>
      </c>
      <c r="H2077">
        <v>55</v>
      </c>
      <c r="I2077">
        <v>0</v>
      </c>
      <c r="J2077">
        <v>2</v>
      </c>
      <c r="K2077" s="2">
        <v>45762</v>
      </c>
    </row>
    <row r="2078" spans="1:11" x14ac:dyDescent="0.25">
      <c r="A2078" s="1" t="s">
        <v>364</v>
      </c>
      <c r="B2078" s="1"/>
      <c r="C2078" s="1" t="s">
        <v>2994</v>
      </c>
      <c r="D2078" s="1" t="s">
        <v>3436</v>
      </c>
      <c r="E2078" s="1"/>
      <c r="F2078">
        <v>1.2</v>
      </c>
      <c r="G2078">
        <v>0</v>
      </c>
      <c r="H2078">
        <v>70</v>
      </c>
      <c r="I2078">
        <v>0</v>
      </c>
      <c r="J2078">
        <v>2</v>
      </c>
      <c r="K2078" s="2">
        <v>45779</v>
      </c>
    </row>
    <row r="2079" spans="1:11" x14ac:dyDescent="0.25">
      <c r="A2079" s="1" t="s">
        <v>364</v>
      </c>
      <c r="B2079" s="1"/>
      <c r="C2079" s="1" t="s">
        <v>2995</v>
      </c>
      <c r="D2079" s="1" t="s">
        <v>3372</v>
      </c>
      <c r="E2079" s="1"/>
      <c r="F2079">
        <v>1</v>
      </c>
      <c r="G2079">
        <v>0</v>
      </c>
      <c r="H2079">
        <v>55</v>
      </c>
      <c r="I2079">
        <v>0</v>
      </c>
      <c r="J2079">
        <v>2</v>
      </c>
      <c r="K2079" s="2">
        <v>45783</v>
      </c>
    </row>
    <row r="2080" spans="1:11" x14ac:dyDescent="0.25">
      <c r="A2080" s="1" t="s">
        <v>444</v>
      </c>
      <c r="B2080" s="1"/>
      <c r="C2080" s="1" t="s">
        <v>2808</v>
      </c>
      <c r="D2080" s="1" t="s">
        <v>3370</v>
      </c>
      <c r="E2080" s="1"/>
      <c r="F2080">
        <v>0</v>
      </c>
      <c r="G2080">
        <v>0</v>
      </c>
      <c r="H2080">
        <v>0</v>
      </c>
      <c r="I2080">
        <v>0</v>
      </c>
      <c r="J2080">
        <v>2</v>
      </c>
      <c r="K2080" s="2">
        <v>45744</v>
      </c>
    </row>
    <row r="2081" spans="1:11" x14ac:dyDescent="0.25">
      <c r="A2081" s="1" t="s">
        <v>444</v>
      </c>
      <c r="B2081" s="1"/>
      <c r="C2081" s="1" t="s">
        <v>2989</v>
      </c>
      <c r="D2081" s="1" t="s">
        <v>3481</v>
      </c>
      <c r="E2081" s="1"/>
      <c r="F2081">
        <v>2.5</v>
      </c>
      <c r="G2081">
        <v>1.5</v>
      </c>
      <c r="H2081">
        <v>60</v>
      </c>
      <c r="I2081">
        <v>0</v>
      </c>
      <c r="J2081">
        <v>2</v>
      </c>
      <c r="K2081" s="2">
        <v>45771</v>
      </c>
    </row>
    <row r="2082" spans="1:11" x14ac:dyDescent="0.25">
      <c r="A2082" s="1" t="s">
        <v>444</v>
      </c>
      <c r="B2082" s="1"/>
      <c r="C2082" s="1" t="s">
        <v>2828</v>
      </c>
      <c r="D2082" s="1" t="s">
        <v>3434</v>
      </c>
      <c r="E2082" s="1"/>
      <c r="F2082">
        <v>9</v>
      </c>
      <c r="G2082">
        <v>16.399999999999999</v>
      </c>
      <c r="H2082">
        <v>-400</v>
      </c>
      <c r="I2082">
        <v>0</v>
      </c>
      <c r="J2082">
        <v>2</v>
      </c>
      <c r="K2082" s="2">
        <v>45777</v>
      </c>
    </row>
    <row r="2083" spans="1:11" x14ac:dyDescent="0.25">
      <c r="A2083" s="1" t="s">
        <v>444</v>
      </c>
      <c r="B2083" s="1"/>
      <c r="C2083" s="1" t="s">
        <v>2990</v>
      </c>
      <c r="D2083" s="1" t="s">
        <v>3372</v>
      </c>
      <c r="E2083" s="1"/>
      <c r="F2083">
        <v>1</v>
      </c>
      <c r="G2083">
        <v>0</v>
      </c>
      <c r="H2083">
        <v>55</v>
      </c>
      <c r="I2083">
        <v>0</v>
      </c>
      <c r="J2083">
        <v>2</v>
      </c>
      <c r="K2083" s="2">
        <v>45777</v>
      </c>
    </row>
    <row r="2084" spans="1:11" x14ac:dyDescent="0.25">
      <c r="A2084" s="1" t="s">
        <v>444</v>
      </c>
      <c r="B2084" s="1"/>
      <c r="C2084" s="1" t="s">
        <v>2991</v>
      </c>
      <c r="D2084" s="1" t="s">
        <v>3435</v>
      </c>
      <c r="E2084" s="1"/>
      <c r="F2084">
        <v>2.2999999999999998</v>
      </c>
      <c r="G2084">
        <v>0</v>
      </c>
      <c r="H2084">
        <v>125</v>
      </c>
      <c r="I2084">
        <v>0</v>
      </c>
      <c r="J2084">
        <v>2</v>
      </c>
      <c r="K2084" s="2">
        <v>45777</v>
      </c>
    </row>
    <row r="2085" spans="1:11" x14ac:dyDescent="0.25">
      <c r="A2085" s="1" t="s">
        <v>444</v>
      </c>
      <c r="B2085" s="1"/>
      <c r="C2085" s="1" t="s">
        <v>2992</v>
      </c>
      <c r="D2085" s="1" t="s">
        <v>3435</v>
      </c>
      <c r="E2085" s="1"/>
      <c r="F2085">
        <v>1.5</v>
      </c>
      <c r="G2085">
        <v>0</v>
      </c>
      <c r="H2085">
        <v>85</v>
      </c>
      <c r="I2085">
        <v>0</v>
      </c>
      <c r="J2085">
        <v>2</v>
      </c>
      <c r="K2085" s="2">
        <v>45777</v>
      </c>
    </row>
    <row r="2086" spans="1:11" x14ac:dyDescent="0.25">
      <c r="A2086" s="1" t="s">
        <v>602</v>
      </c>
      <c r="B2086" s="1"/>
      <c r="C2086" s="1" t="s">
        <v>2808</v>
      </c>
      <c r="D2086" s="1" t="s">
        <v>3370</v>
      </c>
      <c r="E2086" s="1"/>
      <c r="F2086">
        <v>0</v>
      </c>
      <c r="G2086">
        <v>0</v>
      </c>
      <c r="H2086">
        <v>0</v>
      </c>
      <c r="I2086">
        <v>0</v>
      </c>
      <c r="J2086">
        <v>2</v>
      </c>
      <c r="K2086" s="2">
        <v>45765</v>
      </c>
    </row>
    <row r="2087" spans="1:11" x14ac:dyDescent="0.25">
      <c r="A2087" s="1" t="s">
        <v>796</v>
      </c>
      <c r="B2087" s="1"/>
      <c r="C2087" s="1" t="s">
        <v>2808</v>
      </c>
      <c r="D2087" s="1" t="s">
        <v>3370</v>
      </c>
      <c r="E2087" s="1"/>
      <c r="F2087">
        <v>0</v>
      </c>
      <c r="G2087">
        <v>0</v>
      </c>
      <c r="H2087">
        <v>0</v>
      </c>
      <c r="I2087">
        <v>0</v>
      </c>
      <c r="J2087">
        <v>67</v>
      </c>
      <c r="K2087" s="2">
        <v>45777</v>
      </c>
    </row>
    <row r="2088" spans="1:11" x14ac:dyDescent="0.25">
      <c r="A2088" s="1" t="s">
        <v>796</v>
      </c>
      <c r="B2088" s="1"/>
      <c r="C2088" s="1" t="s">
        <v>2903</v>
      </c>
      <c r="D2088" s="1" t="s">
        <v>3388</v>
      </c>
      <c r="E2088" s="1"/>
      <c r="F2088">
        <v>1.5</v>
      </c>
      <c r="G2088">
        <v>8.6</v>
      </c>
      <c r="H2088">
        <v>-440</v>
      </c>
      <c r="I2088">
        <v>0</v>
      </c>
      <c r="J2088">
        <v>67</v>
      </c>
      <c r="K2088" s="2">
        <v>45779</v>
      </c>
    </row>
    <row r="2089" spans="1:11" x14ac:dyDescent="0.25">
      <c r="A2089" s="1" t="s">
        <v>796</v>
      </c>
      <c r="B2089" s="1"/>
      <c r="C2089" s="1" t="s">
        <v>2973</v>
      </c>
      <c r="D2089" s="1" t="s">
        <v>3413</v>
      </c>
      <c r="E2089" s="1"/>
      <c r="F2089">
        <v>2.7</v>
      </c>
      <c r="G2089">
        <v>10</v>
      </c>
      <c r="H2089">
        <v>-455</v>
      </c>
      <c r="I2089">
        <v>0</v>
      </c>
      <c r="J2089">
        <v>67</v>
      </c>
      <c r="K2089" s="2">
        <v>45779</v>
      </c>
    </row>
    <row r="2090" spans="1:11" x14ac:dyDescent="0.25">
      <c r="A2090" s="1" t="s">
        <v>796</v>
      </c>
      <c r="B2090" s="1"/>
      <c r="C2090" s="1" t="s">
        <v>2903</v>
      </c>
      <c r="D2090" s="1" t="s">
        <v>3388</v>
      </c>
      <c r="E2090" s="1"/>
      <c r="F2090">
        <v>0.6</v>
      </c>
      <c r="G2090">
        <v>5.3</v>
      </c>
      <c r="H2090">
        <v>-295</v>
      </c>
      <c r="I2090">
        <v>0</v>
      </c>
      <c r="J2090">
        <v>67</v>
      </c>
      <c r="K2090" s="2">
        <v>45779</v>
      </c>
    </row>
    <row r="2091" spans="1:11" x14ac:dyDescent="0.25">
      <c r="A2091" s="1" t="s">
        <v>796</v>
      </c>
      <c r="B2091" s="1"/>
      <c r="C2091" s="1" t="s">
        <v>3144</v>
      </c>
      <c r="D2091" s="1" t="s">
        <v>3388</v>
      </c>
      <c r="E2091" s="1"/>
      <c r="F2091">
        <v>4.5</v>
      </c>
      <c r="G2091">
        <v>12.4</v>
      </c>
      <c r="H2091">
        <v>-495</v>
      </c>
      <c r="I2091">
        <v>0</v>
      </c>
      <c r="J2091">
        <v>67</v>
      </c>
      <c r="K2091" s="2">
        <v>45779</v>
      </c>
    </row>
    <row r="2092" spans="1:11" x14ac:dyDescent="0.25">
      <c r="A2092" s="1" t="s">
        <v>796</v>
      </c>
      <c r="B2092" s="1"/>
      <c r="C2092" s="1" t="s">
        <v>3030</v>
      </c>
      <c r="D2092" s="1" t="s">
        <v>3429</v>
      </c>
      <c r="E2092" s="1"/>
      <c r="F2092">
        <v>0</v>
      </c>
      <c r="G2092">
        <v>0</v>
      </c>
      <c r="H2092">
        <v>0</v>
      </c>
      <c r="I2092">
        <v>0</v>
      </c>
      <c r="J2092">
        <v>67</v>
      </c>
      <c r="K2092" s="2">
        <v>45779</v>
      </c>
    </row>
    <row r="2093" spans="1:11" x14ac:dyDescent="0.25">
      <c r="A2093" s="1" t="s">
        <v>796</v>
      </c>
      <c r="B2093" s="1"/>
      <c r="C2093" s="1" t="s">
        <v>3145</v>
      </c>
      <c r="D2093" s="1" t="s">
        <v>3432</v>
      </c>
      <c r="E2093" s="1"/>
      <c r="F2093">
        <v>8.8000000000000007</v>
      </c>
      <c r="G2093">
        <v>31.8</v>
      </c>
      <c r="H2093">
        <v>-1290</v>
      </c>
      <c r="I2093">
        <v>1</v>
      </c>
      <c r="J2093">
        <v>66</v>
      </c>
      <c r="K2093" s="2">
        <v>45784</v>
      </c>
    </row>
    <row r="2094" spans="1:11" x14ac:dyDescent="0.25">
      <c r="A2094" s="1" t="s">
        <v>796</v>
      </c>
      <c r="B2094" s="1"/>
      <c r="C2094" s="1" t="s">
        <v>3146</v>
      </c>
      <c r="D2094" s="1" t="s">
        <v>3476</v>
      </c>
      <c r="E2094" s="1"/>
      <c r="F2094">
        <v>2</v>
      </c>
      <c r="G2094">
        <v>0</v>
      </c>
      <c r="H2094">
        <v>140</v>
      </c>
      <c r="I2094">
        <v>0</v>
      </c>
      <c r="J2094">
        <v>6</v>
      </c>
      <c r="K2094" s="2">
        <v>45784</v>
      </c>
    </row>
    <row r="2095" spans="1:11" x14ac:dyDescent="0.25">
      <c r="A2095" s="1" t="s">
        <v>796</v>
      </c>
      <c r="B2095" s="1"/>
      <c r="C2095" s="1" t="s">
        <v>3147</v>
      </c>
      <c r="D2095" s="1" t="s">
        <v>3471</v>
      </c>
      <c r="E2095" s="1"/>
      <c r="F2095">
        <v>0.8</v>
      </c>
      <c r="G2095">
        <v>0.2</v>
      </c>
      <c r="H2095">
        <v>40</v>
      </c>
      <c r="I2095">
        <v>0</v>
      </c>
      <c r="J2095">
        <v>6</v>
      </c>
      <c r="K2095" s="2">
        <v>45784</v>
      </c>
    </row>
    <row r="2096" spans="1:11" x14ac:dyDescent="0.25">
      <c r="A2096" s="1" t="s">
        <v>796</v>
      </c>
      <c r="B2096" s="1"/>
      <c r="C2096" s="1" t="s">
        <v>3148</v>
      </c>
      <c r="D2096" s="1" t="s">
        <v>3476</v>
      </c>
      <c r="E2096" s="1"/>
      <c r="F2096">
        <v>7.7</v>
      </c>
      <c r="G2096">
        <v>0</v>
      </c>
      <c r="H2096">
        <v>505</v>
      </c>
      <c r="I2096">
        <v>0</v>
      </c>
      <c r="J2096">
        <v>66</v>
      </c>
      <c r="K2096" s="2">
        <v>45784</v>
      </c>
    </row>
    <row r="2097" spans="1:11" x14ac:dyDescent="0.25">
      <c r="A2097" s="1" t="s">
        <v>796</v>
      </c>
      <c r="B2097" s="1"/>
      <c r="C2097" s="1" t="s">
        <v>3149</v>
      </c>
      <c r="D2097" s="1" t="s">
        <v>3471</v>
      </c>
      <c r="E2097" s="1"/>
      <c r="F2097">
        <v>3.6</v>
      </c>
      <c r="G2097">
        <v>4.5</v>
      </c>
      <c r="H2097">
        <v>-55</v>
      </c>
      <c r="I2097">
        <v>0</v>
      </c>
      <c r="J2097">
        <v>66</v>
      </c>
      <c r="K2097" s="2">
        <v>45784</v>
      </c>
    </row>
    <row r="2098" spans="1:11" x14ac:dyDescent="0.25">
      <c r="A2098" s="1" t="s">
        <v>796</v>
      </c>
      <c r="B2098" s="1"/>
      <c r="C2098" s="1" t="s">
        <v>3150</v>
      </c>
      <c r="D2098" s="1" t="s">
        <v>3462</v>
      </c>
      <c r="E2098" s="1"/>
      <c r="F2098">
        <v>11.7</v>
      </c>
      <c r="G2098">
        <v>9.5</v>
      </c>
      <c r="H2098">
        <v>95</v>
      </c>
      <c r="I2098">
        <v>0</v>
      </c>
      <c r="J2098">
        <v>66</v>
      </c>
      <c r="K2098" s="2">
        <v>45786</v>
      </c>
    </row>
    <row r="2099" spans="1:11" x14ac:dyDescent="0.25">
      <c r="A2099" s="1" t="s">
        <v>198</v>
      </c>
      <c r="B2099" s="1"/>
      <c r="C2099" s="1" t="s">
        <v>3151</v>
      </c>
      <c r="D2099" s="1" t="s">
        <v>3431</v>
      </c>
      <c r="E2099" s="1"/>
      <c r="F2099">
        <v>0.4</v>
      </c>
      <c r="G2099">
        <v>0</v>
      </c>
      <c r="H2099">
        <v>25</v>
      </c>
      <c r="I2099">
        <v>0</v>
      </c>
      <c r="J2099">
        <v>18</v>
      </c>
      <c r="K2099" s="2">
        <v>45757</v>
      </c>
    </row>
    <row r="2100" spans="1:11" x14ac:dyDescent="0.25">
      <c r="A2100" s="1" t="s">
        <v>407</v>
      </c>
      <c r="B2100" s="1"/>
      <c r="C2100" s="1" t="s">
        <v>2808</v>
      </c>
      <c r="D2100" s="1" t="s">
        <v>3370</v>
      </c>
      <c r="E2100" s="1"/>
      <c r="F2100">
        <v>0</v>
      </c>
      <c r="G2100">
        <v>0</v>
      </c>
      <c r="H2100">
        <v>0</v>
      </c>
      <c r="I2100">
        <v>0</v>
      </c>
      <c r="J2100">
        <v>120</v>
      </c>
      <c r="K2100" s="2">
        <v>45740</v>
      </c>
    </row>
    <row r="2101" spans="1:11" x14ac:dyDescent="0.25">
      <c r="A2101" s="1" t="s">
        <v>407</v>
      </c>
      <c r="B2101" s="1"/>
      <c r="C2101" s="1" t="s">
        <v>2903</v>
      </c>
      <c r="D2101" s="1" t="s">
        <v>3388</v>
      </c>
      <c r="E2101" s="1"/>
      <c r="F2101">
        <v>8.3000000000000007</v>
      </c>
      <c r="G2101">
        <v>0</v>
      </c>
      <c r="H2101">
        <v>520</v>
      </c>
      <c r="I2101">
        <v>0</v>
      </c>
      <c r="J2101">
        <v>120</v>
      </c>
      <c r="K2101" s="2">
        <v>45741</v>
      </c>
    </row>
    <row r="2102" spans="1:11" x14ac:dyDescent="0.25">
      <c r="A2102" s="1" t="s">
        <v>407</v>
      </c>
      <c r="B2102" s="1"/>
      <c r="C2102" s="1" t="s">
        <v>3152</v>
      </c>
      <c r="D2102" s="1" t="s">
        <v>3388</v>
      </c>
      <c r="E2102" s="1"/>
      <c r="F2102">
        <v>12.3</v>
      </c>
      <c r="G2102">
        <v>2.8</v>
      </c>
      <c r="H2102">
        <v>590</v>
      </c>
      <c r="I2102">
        <v>0</v>
      </c>
      <c r="J2102">
        <v>120</v>
      </c>
      <c r="K2102" s="2">
        <v>45742</v>
      </c>
    </row>
    <row r="2103" spans="1:11" x14ac:dyDescent="0.25">
      <c r="A2103" s="1" t="s">
        <v>407</v>
      </c>
      <c r="B2103" s="1"/>
      <c r="C2103" s="1" t="s">
        <v>2974</v>
      </c>
      <c r="D2103" s="1" t="s">
        <v>3388</v>
      </c>
      <c r="E2103" s="1"/>
      <c r="F2103">
        <v>4</v>
      </c>
      <c r="G2103">
        <v>2.8</v>
      </c>
      <c r="H2103">
        <v>75</v>
      </c>
      <c r="I2103">
        <v>0</v>
      </c>
      <c r="J2103">
        <v>120</v>
      </c>
      <c r="K2103" s="2">
        <v>45742</v>
      </c>
    </row>
    <row r="2104" spans="1:11" x14ac:dyDescent="0.25">
      <c r="A2104" s="1" t="s">
        <v>407</v>
      </c>
      <c r="B2104" s="1"/>
      <c r="C2104" s="1" t="s">
        <v>2868</v>
      </c>
      <c r="D2104" s="1" t="s">
        <v>3388</v>
      </c>
      <c r="E2104" s="1"/>
      <c r="F2104">
        <v>2.7</v>
      </c>
      <c r="G2104">
        <v>1.9</v>
      </c>
      <c r="H2104">
        <v>50</v>
      </c>
      <c r="I2104">
        <v>0</v>
      </c>
      <c r="J2104">
        <v>120</v>
      </c>
      <c r="K2104" s="2">
        <v>45742</v>
      </c>
    </row>
    <row r="2105" spans="1:11" x14ac:dyDescent="0.25">
      <c r="A2105" s="1" t="s">
        <v>407</v>
      </c>
      <c r="B2105" s="1"/>
      <c r="C2105" s="1" t="s">
        <v>3153</v>
      </c>
      <c r="D2105" s="1" t="s">
        <v>3429</v>
      </c>
      <c r="E2105" s="1"/>
      <c r="F2105">
        <v>0</v>
      </c>
      <c r="G2105">
        <v>0.1</v>
      </c>
      <c r="H2105">
        <v>0</v>
      </c>
      <c r="I2105">
        <v>0</v>
      </c>
      <c r="J2105">
        <v>120</v>
      </c>
      <c r="K2105" s="2">
        <v>45763</v>
      </c>
    </row>
    <row r="2106" spans="1:11" x14ac:dyDescent="0.25">
      <c r="A2106" s="1" t="s">
        <v>407</v>
      </c>
      <c r="B2106" s="1"/>
      <c r="C2106" s="1" t="s">
        <v>2915</v>
      </c>
      <c r="D2106" s="1" t="s">
        <v>3473</v>
      </c>
      <c r="E2106" s="1"/>
      <c r="F2106">
        <v>6</v>
      </c>
      <c r="G2106">
        <v>16.100000000000001</v>
      </c>
      <c r="H2106">
        <v>-640</v>
      </c>
      <c r="I2106">
        <v>1</v>
      </c>
      <c r="J2106">
        <v>119</v>
      </c>
      <c r="K2106" s="2">
        <v>45749</v>
      </c>
    </row>
    <row r="2107" spans="1:11" x14ac:dyDescent="0.25">
      <c r="A2107" s="1" t="s">
        <v>407</v>
      </c>
      <c r="B2107" s="1"/>
      <c r="C2107" s="1" t="s">
        <v>3154</v>
      </c>
      <c r="D2107" s="1" t="s">
        <v>3482</v>
      </c>
      <c r="E2107" s="1"/>
      <c r="F2107">
        <v>2</v>
      </c>
      <c r="G2107">
        <v>0</v>
      </c>
      <c r="H2107">
        <v>140</v>
      </c>
      <c r="I2107">
        <v>0</v>
      </c>
      <c r="J2107">
        <v>6</v>
      </c>
      <c r="K2107" s="2">
        <v>45754</v>
      </c>
    </row>
    <row r="2108" spans="1:11" x14ac:dyDescent="0.25">
      <c r="A2108" s="1" t="s">
        <v>407</v>
      </c>
      <c r="B2108" s="1"/>
      <c r="C2108" s="1" t="s">
        <v>3155</v>
      </c>
      <c r="D2108" s="1" t="s">
        <v>3482</v>
      </c>
      <c r="E2108" s="1"/>
      <c r="F2108">
        <v>2</v>
      </c>
      <c r="G2108">
        <v>2.2999999999999998</v>
      </c>
      <c r="H2108">
        <v>-5</v>
      </c>
      <c r="I2108">
        <v>0</v>
      </c>
      <c r="J2108">
        <v>6</v>
      </c>
      <c r="K2108" s="2">
        <v>45754</v>
      </c>
    </row>
    <row r="2109" spans="1:11" x14ac:dyDescent="0.25">
      <c r="A2109" s="1" t="s">
        <v>407</v>
      </c>
      <c r="B2109" s="1"/>
      <c r="C2109" s="1" t="s">
        <v>3156</v>
      </c>
      <c r="D2109" s="1" t="s">
        <v>3482</v>
      </c>
      <c r="E2109" s="1"/>
      <c r="F2109">
        <v>0</v>
      </c>
      <c r="G2109">
        <v>1.5</v>
      </c>
      <c r="H2109">
        <v>-90</v>
      </c>
      <c r="I2109">
        <v>0</v>
      </c>
      <c r="J2109">
        <v>6</v>
      </c>
      <c r="K2109" s="2">
        <v>45754</v>
      </c>
    </row>
    <row r="2110" spans="1:11" x14ac:dyDescent="0.25">
      <c r="A2110" s="1" t="s">
        <v>407</v>
      </c>
      <c r="B2110" s="1"/>
      <c r="C2110" s="1" t="s">
        <v>3157</v>
      </c>
      <c r="D2110" s="1" t="s">
        <v>3471</v>
      </c>
      <c r="E2110" s="1"/>
      <c r="F2110">
        <v>0</v>
      </c>
      <c r="G2110">
        <v>0</v>
      </c>
      <c r="H2110">
        <v>0</v>
      </c>
      <c r="I2110">
        <v>0</v>
      </c>
      <c r="J2110">
        <v>6</v>
      </c>
      <c r="K2110" s="2">
        <v>45754</v>
      </c>
    </row>
    <row r="2111" spans="1:11" x14ac:dyDescent="0.25">
      <c r="A2111" s="1" t="s">
        <v>407</v>
      </c>
      <c r="B2111" s="1"/>
      <c r="C2111" s="1" t="s">
        <v>2961</v>
      </c>
      <c r="D2111" s="1" t="s">
        <v>3462</v>
      </c>
      <c r="E2111" s="1"/>
      <c r="F2111">
        <v>2</v>
      </c>
      <c r="G2111">
        <v>6.6</v>
      </c>
      <c r="H2111">
        <v>-190</v>
      </c>
      <c r="I2111">
        <v>0</v>
      </c>
      <c r="J2111">
        <v>6</v>
      </c>
      <c r="K2111" s="2">
        <v>45754</v>
      </c>
    </row>
    <row r="2112" spans="1:11" x14ac:dyDescent="0.25">
      <c r="A2112" s="1" t="s">
        <v>407</v>
      </c>
      <c r="B2112" s="1"/>
      <c r="C2112" s="1" t="s">
        <v>3158</v>
      </c>
      <c r="D2112" s="1" t="s">
        <v>3476</v>
      </c>
      <c r="E2112" s="1"/>
      <c r="F2112">
        <v>3.4</v>
      </c>
      <c r="G2112">
        <v>0</v>
      </c>
      <c r="H2112">
        <v>230</v>
      </c>
      <c r="I2112">
        <v>0</v>
      </c>
      <c r="J2112">
        <v>119</v>
      </c>
      <c r="K2112" s="2">
        <v>45754</v>
      </c>
    </row>
    <row r="2113" spans="1:11" x14ac:dyDescent="0.25">
      <c r="A2113" s="1" t="s">
        <v>407</v>
      </c>
      <c r="B2113" s="1"/>
      <c r="C2113" s="1" t="s">
        <v>3159</v>
      </c>
      <c r="D2113" s="1" t="s">
        <v>3477</v>
      </c>
      <c r="E2113" s="1"/>
      <c r="F2113">
        <v>23.6</v>
      </c>
      <c r="G2113">
        <v>11.4</v>
      </c>
      <c r="H2113">
        <v>790</v>
      </c>
      <c r="I2113">
        <v>0</v>
      </c>
      <c r="J2113">
        <v>119</v>
      </c>
      <c r="K2113" s="2">
        <v>45757</v>
      </c>
    </row>
    <row r="2114" spans="1:11" x14ac:dyDescent="0.25">
      <c r="A2114" s="1" t="s">
        <v>407</v>
      </c>
      <c r="B2114" s="1"/>
      <c r="C2114" s="1" t="s">
        <v>3160</v>
      </c>
      <c r="D2114" s="1" t="s">
        <v>3477</v>
      </c>
      <c r="E2114" s="1"/>
      <c r="F2114">
        <v>27.2</v>
      </c>
      <c r="G2114">
        <v>12.7</v>
      </c>
      <c r="H2114">
        <v>930</v>
      </c>
      <c r="I2114">
        <v>0</v>
      </c>
      <c r="J2114">
        <v>119</v>
      </c>
      <c r="K2114" s="2">
        <v>45761</v>
      </c>
    </row>
    <row r="2115" spans="1:11" x14ac:dyDescent="0.25">
      <c r="A2115" s="1" t="s">
        <v>407</v>
      </c>
      <c r="B2115" s="1"/>
      <c r="C2115" s="1" t="s">
        <v>3161</v>
      </c>
      <c r="D2115" s="1" t="s">
        <v>3471</v>
      </c>
      <c r="E2115" s="1"/>
      <c r="F2115">
        <v>2.5</v>
      </c>
      <c r="G2115">
        <v>5</v>
      </c>
      <c r="H2115">
        <v>-150</v>
      </c>
      <c r="I2115">
        <v>0</v>
      </c>
      <c r="J2115">
        <v>119</v>
      </c>
      <c r="K2115" s="2">
        <v>45762</v>
      </c>
    </row>
    <row r="2116" spans="1:11" x14ac:dyDescent="0.25">
      <c r="A2116" s="1" t="s">
        <v>407</v>
      </c>
      <c r="B2116" s="1"/>
      <c r="C2116" s="1" t="s">
        <v>3162</v>
      </c>
      <c r="D2116" s="1" t="s">
        <v>3462</v>
      </c>
      <c r="E2116" s="1"/>
      <c r="F2116">
        <v>1</v>
      </c>
      <c r="G2116">
        <v>2.8</v>
      </c>
      <c r="H2116">
        <v>-70</v>
      </c>
      <c r="I2116">
        <v>0</v>
      </c>
      <c r="J2116">
        <v>2</v>
      </c>
      <c r="K2116" s="2">
        <v>45762</v>
      </c>
    </row>
    <row r="2117" spans="1:11" x14ac:dyDescent="0.25">
      <c r="A2117" s="1" t="s">
        <v>407</v>
      </c>
      <c r="B2117" s="1"/>
      <c r="C2117" s="1" t="s">
        <v>3163</v>
      </c>
      <c r="D2117" s="1" t="s">
        <v>3372</v>
      </c>
      <c r="E2117" s="1"/>
      <c r="F2117">
        <v>1</v>
      </c>
      <c r="G2117">
        <v>0</v>
      </c>
      <c r="H2117">
        <v>50</v>
      </c>
      <c r="I2117">
        <v>0</v>
      </c>
      <c r="J2117">
        <v>119</v>
      </c>
      <c r="K2117" s="2">
        <v>45763</v>
      </c>
    </row>
    <row r="2118" spans="1:11" x14ac:dyDescent="0.25">
      <c r="A2118" s="1" t="s">
        <v>407</v>
      </c>
      <c r="B2118" s="1"/>
      <c r="C2118" s="1" t="s">
        <v>3164</v>
      </c>
      <c r="D2118" s="1" t="s">
        <v>3449</v>
      </c>
      <c r="E2118" s="1"/>
      <c r="F2118">
        <v>1.2</v>
      </c>
      <c r="G2118">
        <v>6.4</v>
      </c>
      <c r="H2118">
        <v>-330</v>
      </c>
      <c r="I2118">
        <v>0</v>
      </c>
      <c r="J2118">
        <v>119</v>
      </c>
      <c r="K2118" s="2">
        <v>45763</v>
      </c>
    </row>
    <row r="2119" spans="1:11" x14ac:dyDescent="0.25">
      <c r="A2119" s="1" t="s">
        <v>747</v>
      </c>
      <c r="B2119" s="1"/>
      <c r="C2119" s="1" t="s">
        <v>2808</v>
      </c>
      <c r="D2119" s="1" t="s">
        <v>3370</v>
      </c>
      <c r="E2119" s="1"/>
      <c r="F2119">
        <v>0</v>
      </c>
      <c r="G2119">
        <v>0</v>
      </c>
      <c r="H2119">
        <v>0</v>
      </c>
      <c r="I2119">
        <v>0</v>
      </c>
      <c r="J2119">
        <v>120</v>
      </c>
      <c r="K2119" s="2">
        <v>45772</v>
      </c>
    </row>
    <row r="2120" spans="1:11" x14ac:dyDescent="0.25">
      <c r="A2120" s="1" t="s">
        <v>747</v>
      </c>
      <c r="B2120" s="1"/>
      <c r="C2120" s="1" t="s">
        <v>2903</v>
      </c>
      <c r="D2120" s="1" t="s">
        <v>3388</v>
      </c>
      <c r="E2120" s="1"/>
      <c r="F2120">
        <v>8.3000000000000007</v>
      </c>
      <c r="G2120">
        <v>12.4</v>
      </c>
      <c r="H2120">
        <v>-255</v>
      </c>
      <c r="I2120">
        <v>0</v>
      </c>
      <c r="J2120">
        <v>120</v>
      </c>
      <c r="K2120" s="2">
        <v>45776</v>
      </c>
    </row>
    <row r="2121" spans="1:11" x14ac:dyDescent="0.25">
      <c r="A2121" s="1" t="s">
        <v>747</v>
      </c>
      <c r="B2121" s="1"/>
      <c r="C2121" s="1" t="s">
        <v>3152</v>
      </c>
      <c r="D2121" s="1" t="s">
        <v>3388</v>
      </c>
      <c r="E2121" s="1"/>
      <c r="F2121">
        <v>12.3</v>
      </c>
      <c r="G2121">
        <v>8.1999999999999993</v>
      </c>
      <c r="H2121">
        <v>255</v>
      </c>
      <c r="I2121">
        <v>0</v>
      </c>
      <c r="J2121">
        <v>120</v>
      </c>
      <c r="K2121" s="2">
        <v>45779</v>
      </c>
    </row>
    <row r="2122" spans="1:11" x14ac:dyDescent="0.25">
      <c r="A2122" s="1" t="s">
        <v>747</v>
      </c>
      <c r="B2122" s="1"/>
      <c r="C2122" s="1" t="s">
        <v>2974</v>
      </c>
      <c r="D2122" s="1" t="s">
        <v>3388</v>
      </c>
      <c r="E2122" s="1"/>
      <c r="F2122">
        <v>4</v>
      </c>
      <c r="G2122">
        <v>8.1999999999999993</v>
      </c>
      <c r="H2122">
        <v>-260</v>
      </c>
      <c r="I2122">
        <v>0</v>
      </c>
      <c r="J2122">
        <v>120</v>
      </c>
      <c r="K2122" s="2">
        <v>45779</v>
      </c>
    </row>
    <row r="2123" spans="1:11" x14ac:dyDescent="0.25">
      <c r="A2123" s="1" t="s">
        <v>747</v>
      </c>
      <c r="B2123" s="1"/>
      <c r="C2123" s="1" t="s">
        <v>2868</v>
      </c>
      <c r="D2123" s="1" t="s">
        <v>3388</v>
      </c>
      <c r="E2123" s="1"/>
      <c r="F2123">
        <v>2.7</v>
      </c>
      <c r="G2123">
        <v>4.4000000000000004</v>
      </c>
      <c r="H2123">
        <v>-105</v>
      </c>
      <c r="I2123">
        <v>0</v>
      </c>
      <c r="J2123">
        <v>120</v>
      </c>
      <c r="K2123" s="2">
        <v>45776</v>
      </c>
    </row>
    <row r="2124" spans="1:11" x14ac:dyDescent="0.25">
      <c r="A2124" s="1" t="s">
        <v>747</v>
      </c>
      <c r="B2124" s="1"/>
      <c r="C2124" s="1" t="s">
        <v>3153</v>
      </c>
      <c r="D2124" s="1" t="s">
        <v>3429</v>
      </c>
      <c r="E2124" s="1"/>
      <c r="F2124">
        <v>0</v>
      </c>
      <c r="G2124">
        <v>0.1</v>
      </c>
      <c r="H2124">
        <v>-5</v>
      </c>
      <c r="I2124">
        <v>0</v>
      </c>
      <c r="J2124">
        <v>120</v>
      </c>
      <c r="K2124" s="2">
        <v>45779</v>
      </c>
    </row>
    <row r="2125" spans="1:11" x14ac:dyDescent="0.25">
      <c r="A2125" s="1" t="s">
        <v>747</v>
      </c>
      <c r="B2125" s="1"/>
      <c r="C2125" s="1" t="s">
        <v>2915</v>
      </c>
      <c r="D2125" s="1" t="s">
        <v>3473</v>
      </c>
      <c r="E2125" s="1"/>
      <c r="F2125">
        <v>6</v>
      </c>
      <c r="G2125">
        <v>24.2</v>
      </c>
      <c r="H2125">
        <v>-1165</v>
      </c>
      <c r="I2125">
        <v>3</v>
      </c>
      <c r="J2125">
        <v>117</v>
      </c>
      <c r="K2125" s="2">
        <v>45784</v>
      </c>
    </row>
    <row r="2126" spans="1:11" x14ac:dyDescent="0.25">
      <c r="A2126" s="1" t="s">
        <v>747</v>
      </c>
      <c r="B2126" s="1"/>
      <c r="C2126" s="1" t="s">
        <v>3154</v>
      </c>
      <c r="D2126" s="1" t="s">
        <v>3482</v>
      </c>
      <c r="E2126" s="1"/>
      <c r="F2126">
        <v>2</v>
      </c>
      <c r="G2126">
        <v>0.4</v>
      </c>
      <c r="H2126">
        <v>115</v>
      </c>
      <c r="I2126">
        <v>0</v>
      </c>
      <c r="J2126">
        <v>6</v>
      </c>
      <c r="K2126" s="2">
        <v>45789</v>
      </c>
    </row>
    <row r="2127" spans="1:11" x14ac:dyDescent="0.25">
      <c r="A2127" s="1" t="s">
        <v>747</v>
      </c>
      <c r="B2127" s="1"/>
      <c r="C2127" s="1" t="s">
        <v>3155</v>
      </c>
      <c r="D2127" s="1" t="s">
        <v>3482</v>
      </c>
      <c r="E2127" s="1"/>
      <c r="F2127">
        <v>2</v>
      </c>
      <c r="G2127">
        <v>1.6</v>
      </c>
      <c r="H2127">
        <v>40</v>
      </c>
      <c r="I2127">
        <v>0</v>
      </c>
      <c r="J2127">
        <v>6</v>
      </c>
      <c r="K2127" s="2">
        <v>45789</v>
      </c>
    </row>
    <row r="2128" spans="1:11" x14ac:dyDescent="0.25">
      <c r="A2128" s="1" t="s">
        <v>747</v>
      </c>
      <c r="B2128" s="1"/>
      <c r="C2128" s="1" t="s">
        <v>3156</v>
      </c>
      <c r="D2128" s="1" t="s">
        <v>3482</v>
      </c>
      <c r="E2128" s="1"/>
      <c r="F2128">
        <v>0</v>
      </c>
      <c r="G2128">
        <v>1.9</v>
      </c>
      <c r="H2128">
        <v>-120</v>
      </c>
      <c r="I2128">
        <v>0</v>
      </c>
      <c r="J2128">
        <v>6</v>
      </c>
      <c r="K2128" s="2">
        <v>45789</v>
      </c>
    </row>
    <row r="2129" spans="1:11" x14ac:dyDescent="0.25">
      <c r="A2129" s="1" t="s">
        <v>747</v>
      </c>
      <c r="B2129" s="1"/>
      <c r="C2129" s="1" t="s">
        <v>3157</v>
      </c>
      <c r="D2129" s="1" t="s">
        <v>3471</v>
      </c>
      <c r="E2129" s="1"/>
      <c r="F2129">
        <v>0</v>
      </c>
      <c r="G2129">
        <v>0</v>
      </c>
      <c r="H2129">
        <v>0</v>
      </c>
      <c r="I2129">
        <v>0</v>
      </c>
      <c r="J2129">
        <v>6</v>
      </c>
      <c r="K2129" s="2">
        <v>45789</v>
      </c>
    </row>
    <row r="2130" spans="1:11" x14ac:dyDescent="0.25">
      <c r="A2130" s="1" t="s">
        <v>747</v>
      </c>
      <c r="B2130" s="1"/>
      <c r="C2130" s="1" t="s">
        <v>2961</v>
      </c>
      <c r="D2130" s="1" t="s">
        <v>3462</v>
      </c>
      <c r="E2130" s="1"/>
      <c r="F2130">
        <v>2</v>
      </c>
      <c r="G2130">
        <v>4.7</v>
      </c>
      <c r="H2130">
        <v>-110</v>
      </c>
      <c r="I2130">
        <v>0</v>
      </c>
      <c r="J2130">
        <v>6</v>
      </c>
      <c r="K2130" s="2">
        <v>45789</v>
      </c>
    </row>
    <row r="2131" spans="1:11" x14ac:dyDescent="0.25">
      <c r="A2131" s="1" t="s">
        <v>747</v>
      </c>
      <c r="B2131" s="1"/>
      <c r="C2131" s="1" t="s">
        <v>3158</v>
      </c>
      <c r="D2131" s="1" t="s">
        <v>3476</v>
      </c>
      <c r="E2131" s="1"/>
      <c r="F2131">
        <v>3.4</v>
      </c>
      <c r="G2131">
        <v>0</v>
      </c>
      <c r="H2131">
        <v>230</v>
      </c>
      <c r="I2131">
        <v>0</v>
      </c>
      <c r="J2131">
        <v>117</v>
      </c>
      <c r="K2131" s="2">
        <v>45789</v>
      </c>
    </row>
    <row r="2132" spans="1:11" x14ac:dyDescent="0.25">
      <c r="A2132" s="1" t="s">
        <v>917</v>
      </c>
      <c r="B2132" s="1"/>
      <c r="C2132" s="1" t="s">
        <v>2808</v>
      </c>
      <c r="D2132" s="1" t="s">
        <v>3370</v>
      </c>
      <c r="E2132" s="1"/>
      <c r="F2132">
        <v>0</v>
      </c>
      <c r="G2132">
        <v>0</v>
      </c>
      <c r="H2132">
        <v>0</v>
      </c>
      <c r="I2132">
        <v>0</v>
      </c>
      <c r="J2132">
        <v>60</v>
      </c>
      <c r="K2132" s="2">
        <v>45784</v>
      </c>
    </row>
    <row r="2133" spans="1:11" x14ac:dyDescent="0.25">
      <c r="A2133" s="1" t="s">
        <v>917</v>
      </c>
      <c r="B2133" s="1"/>
      <c r="C2133" s="1" t="s">
        <v>3165</v>
      </c>
      <c r="D2133" s="1" t="s">
        <v>3388</v>
      </c>
      <c r="E2133" s="1"/>
      <c r="F2133">
        <v>1.4</v>
      </c>
      <c r="G2133">
        <v>4.2</v>
      </c>
      <c r="H2133">
        <v>-175</v>
      </c>
      <c r="I2133">
        <v>0</v>
      </c>
      <c r="J2133">
        <v>60</v>
      </c>
      <c r="K2133" s="2">
        <v>45787</v>
      </c>
    </row>
    <row r="2134" spans="1:11" x14ac:dyDescent="0.25">
      <c r="A2134" s="1" t="s">
        <v>917</v>
      </c>
      <c r="B2134" s="1"/>
      <c r="C2134" s="1" t="s">
        <v>3020</v>
      </c>
      <c r="D2134" s="1" t="s">
        <v>3388</v>
      </c>
      <c r="E2134" s="1"/>
      <c r="F2134">
        <v>2.4</v>
      </c>
      <c r="G2134">
        <v>0.6</v>
      </c>
      <c r="H2134">
        <v>115</v>
      </c>
      <c r="I2134">
        <v>0</v>
      </c>
      <c r="J2134">
        <v>60</v>
      </c>
      <c r="K2134" s="2">
        <v>45787</v>
      </c>
    </row>
    <row r="2135" spans="1:11" x14ac:dyDescent="0.25">
      <c r="A2135" s="1" t="s">
        <v>430</v>
      </c>
      <c r="B2135" s="1"/>
      <c r="C2135" s="1" t="s">
        <v>2808</v>
      </c>
      <c r="D2135" s="1" t="s">
        <v>3370</v>
      </c>
      <c r="E2135" s="1"/>
      <c r="F2135">
        <v>0</v>
      </c>
      <c r="G2135">
        <v>0</v>
      </c>
      <c r="H2135">
        <v>0</v>
      </c>
      <c r="I2135">
        <v>0</v>
      </c>
      <c r="J2135">
        <v>10</v>
      </c>
      <c r="K2135" s="2">
        <v>45740</v>
      </c>
    </row>
    <row r="2136" spans="1:11" x14ac:dyDescent="0.25">
      <c r="A2136" s="1" t="s">
        <v>430</v>
      </c>
      <c r="B2136" s="1"/>
      <c r="C2136" s="1" t="s">
        <v>2948</v>
      </c>
      <c r="D2136" s="1" t="s">
        <v>3388</v>
      </c>
      <c r="E2136" s="1"/>
      <c r="F2136">
        <v>5.3</v>
      </c>
      <c r="G2136">
        <v>16.600000000000001</v>
      </c>
      <c r="H2136">
        <v>-705</v>
      </c>
      <c r="I2136">
        <v>0</v>
      </c>
      <c r="J2136">
        <v>10</v>
      </c>
      <c r="K2136" s="2">
        <v>45749</v>
      </c>
    </row>
    <row r="2137" spans="1:11" x14ac:dyDescent="0.25">
      <c r="A2137" s="1" t="s">
        <v>430</v>
      </c>
      <c r="B2137" s="1"/>
      <c r="C2137" s="1" t="s">
        <v>3166</v>
      </c>
      <c r="D2137" s="1" t="s">
        <v>3407</v>
      </c>
      <c r="E2137" s="1"/>
      <c r="F2137">
        <v>3.8</v>
      </c>
      <c r="G2137">
        <v>0</v>
      </c>
      <c r="H2137">
        <v>350</v>
      </c>
      <c r="I2137">
        <v>0</v>
      </c>
      <c r="J2137">
        <v>10</v>
      </c>
      <c r="K2137" s="2">
        <v>45749</v>
      </c>
    </row>
    <row r="2138" spans="1:11" x14ac:dyDescent="0.25">
      <c r="A2138" s="1" t="s">
        <v>430</v>
      </c>
      <c r="B2138" s="1"/>
      <c r="C2138" s="1" t="s">
        <v>2828</v>
      </c>
      <c r="D2138" s="1" t="s">
        <v>3431</v>
      </c>
      <c r="E2138" s="1"/>
      <c r="F2138">
        <v>20.5</v>
      </c>
      <c r="G2138">
        <v>3.9</v>
      </c>
      <c r="H2138">
        <v>1065</v>
      </c>
      <c r="I2138">
        <v>0</v>
      </c>
      <c r="J2138">
        <v>10</v>
      </c>
      <c r="K2138" s="2">
        <v>45749</v>
      </c>
    </row>
    <row r="2139" spans="1:11" x14ac:dyDescent="0.25">
      <c r="A2139" s="1" t="s">
        <v>430</v>
      </c>
      <c r="B2139" s="1"/>
      <c r="C2139" s="1" t="s">
        <v>3112</v>
      </c>
      <c r="D2139" s="1" t="s">
        <v>3427</v>
      </c>
      <c r="E2139" s="1"/>
      <c r="F2139">
        <v>1</v>
      </c>
      <c r="G2139">
        <v>0.7</v>
      </c>
      <c r="H2139">
        <v>15</v>
      </c>
      <c r="I2139">
        <v>0</v>
      </c>
      <c r="J2139">
        <v>5</v>
      </c>
      <c r="K2139" s="2">
        <v>45749</v>
      </c>
    </row>
    <row r="2140" spans="1:11" x14ac:dyDescent="0.25">
      <c r="A2140" s="1" t="s">
        <v>430</v>
      </c>
      <c r="B2140" s="1"/>
      <c r="C2140" s="1" t="s">
        <v>2924</v>
      </c>
      <c r="D2140" s="1" t="s">
        <v>3372</v>
      </c>
      <c r="E2140" s="1"/>
      <c r="F2140">
        <v>1</v>
      </c>
      <c r="G2140">
        <v>0</v>
      </c>
      <c r="H2140">
        <v>50</v>
      </c>
      <c r="I2140">
        <v>0</v>
      </c>
      <c r="J2140">
        <v>10</v>
      </c>
      <c r="K2140" s="2">
        <v>45779</v>
      </c>
    </row>
    <row r="2141" spans="1:11" x14ac:dyDescent="0.25">
      <c r="A2141" s="1" t="s">
        <v>430</v>
      </c>
      <c r="B2141" s="1"/>
      <c r="C2141" s="1" t="s">
        <v>3167</v>
      </c>
      <c r="D2141" s="1" t="s">
        <v>3449</v>
      </c>
      <c r="E2141" s="1"/>
      <c r="F2141">
        <v>0.7</v>
      </c>
      <c r="G2141">
        <v>1.7</v>
      </c>
      <c r="H2141">
        <v>-60</v>
      </c>
      <c r="I2141">
        <v>0</v>
      </c>
      <c r="J2141">
        <v>10</v>
      </c>
      <c r="K2141" s="2">
        <v>45779</v>
      </c>
    </row>
    <row r="2142" spans="1:11" x14ac:dyDescent="0.25">
      <c r="A2142" s="1" t="s">
        <v>734</v>
      </c>
      <c r="B2142" s="1"/>
      <c r="C2142" s="1" t="s">
        <v>2808</v>
      </c>
      <c r="D2142" s="1" t="s">
        <v>3370</v>
      </c>
      <c r="E2142" s="1"/>
      <c r="F2142">
        <v>0</v>
      </c>
      <c r="G2142">
        <v>0</v>
      </c>
      <c r="H2142">
        <v>0</v>
      </c>
      <c r="I2142">
        <v>0</v>
      </c>
      <c r="J2142">
        <v>6</v>
      </c>
      <c r="K2142" s="2">
        <v>45771</v>
      </c>
    </row>
    <row r="2143" spans="1:11" x14ac:dyDescent="0.25">
      <c r="A2143" s="1" t="s">
        <v>734</v>
      </c>
      <c r="B2143" s="1"/>
      <c r="C2143" s="1" t="s">
        <v>2948</v>
      </c>
      <c r="D2143" s="1" t="s">
        <v>3388</v>
      </c>
      <c r="E2143" s="1"/>
      <c r="F2143">
        <v>3.3</v>
      </c>
      <c r="G2143">
        <v>17.2</v>
      </c>
      <c r="H2143">
        <v>-870</v>
      </c>
      <c r="I2143">
        <v>0</v>
      </c>
      <c r="J2143">
        <v>6</v>
      </c>
      <c r="K2143" s="2">
        <v>45785</v>
      </c>
    </row>
    <row r="2144" spans="1:11" x14ac:dyDescent="0.25">
      <c r="A2144" s="1" t="s">
        <v>144</v>
      </c>
      <c r="B2144" s="1"/>
      <c r="C2144" s="1" t="s">
        <v>2808</v>
      </c>
      <c r="D2144" s="1" t="s">
        <v>3370</v>
      </c>
      <c r="E2144" s="1"/>
      <c r="F2144">
        <v>0</v>
      </c>
      <c r="G2144">
        <v>0</v>
      </c>
      <c r="H2144">
        <v>0</v>
      </c>
      <c r="I2144">
        <v>0</v>
      </c>
      <c r="J2144">
        <v>4</v>
      </c>
      <c r="K2144" s="2">
        <v>45765</v>
      </c>
    </row>
    <row r="2145" spans="1:11" x14ac:dyDescent="0.25">
      <c r="A2145" s="1" t="s">
        <v>144</v>
      </c>
      <c r="B2145" s="1"/>
      <c r="C2145" s="1" t="s">
        <v>3168</v>
      </c>
      <c r="D2145" s="1" t="s">
        <v>3483</v>
      </c>
      <c r="E2145" s="1"/>
      <c r="F2145">
        <v>0</v>
      </c>
      <c r="G2145">
        <v>4.2</v>
      </c>
      <c r="H2145">
        <v>-265</v>
      </c>
      <c r="I2145">
        <v>0</v>
      </c>
      <c r="J2145">
        <v>4</v>
      </c>
      <c r="K2145" s="2">
        <v>45757</v>
      </c>
    </row>
    <row r="2146" spans="1:11" x14ac:dyDescent="0.25">
      <c r="A2146" s="1" t="s">
        <v>144</v>
      </c>
      <c r="B2146" s="1"/>
      <c r="C2146" s="1" t="s">
        <v>3169</v>
      </c>
      <c r="D2146" s="1" t="s">
        <v>3431</v>
      </c>
      <c r="E2146" s="1"/>
      <c r="F2146">
        <v>0</v>
      </c>
      <c r="G2146">
        <v>0</v>
      </c>
      <c r="H2146">
        <v>0</v>
      </c>
      <c r="I2146">
        <v>0</v>
      </c>
      <c r="J2146">
        <v>4</v>
      </c>
      <c r="K2146" s="2">
        <v>45769</v>
      </c>
    </row>
    <row r="2147" spans="1:11" x14ac:dyDescent="0.25">
      <c r="A2147" s="1" t="s">
        <v>691</v>
      </c>
      <c r="B2147" s="1"/>
      <c r="C2147" s="1" t="s">
        <v>2808</v>
      </c>
      <c r="D2147" s="1" t="s">
        <v>3370</v>
      </c>
      <c r="E2147" s="1"/>
      <c r="F2147">
        <v>0</v>
      </c>
      <c r="G2147">
        <v>0</v>
      </c>
      <c r="H2147">
        <v>0</v>
      </c>
      <c r="I2147">
        <v>0</v>
      </c>
      <c r="J2147">
        <v>40</v>
      </c>
      <c r="K2147" s="2">
        <v>45765</v>
      </c>
    </row>
    <row r="2148" spans="1:11" x14ac:dyDescent="0.25">
      <c r="A2148" s="1" t="s">
        <v>691</v>
      </c>
      <c r="B2148" s="1"/>
      <c r="C2148" s="1" t="s">
        <v>2828</v>
      </c>
      <c r="D2148" s="1" t="s">
        <v>3473</v>
      </c>
      <c r="E2148" s="1"/>
      <c r="F2148">
        <v>2</v>
      </c>
      <c r="G2148">
        <v>14.5</v>
      </c>
      <c r="H2148">
        <v>-785</v>
      </c>
      <c r="I2148">
        <v>0</v>
      </c>
      <c r="J2148">
        <v>44</v>
      </c>
      <c r="K2148" s="2">
        <v>45777</v>
      </c>
    </row>
    <row r="2149" spans="1:11" x14ac:dyDescent="0.25">
      <c r="A2149" s="1" t="s">
        <v>691</v>
      </c>
      <c r="B2149" s="1"/>
      <c r="C2149" s="1" t="s">
        <v>3170</v>
      </c>
      <c r="D2149" s="1" t="s">
        <v>3388</v>
      </c>
      <c r="E2149" s="1"/>
      <c r="F2149">
        <v>0.3</v>
      </c>
      <c r="G2149">
        <v>0</v>
      </c>
      <c r="H2149">
        <v>20</v>
      </c>
      <c r="I2149">
        <v>0</v>
      </c>
      <c r="J2149">
        <v>44</v>
      </c>
      <c r="K2149" s="2">
        <v>45777</v>
      </c>
    </row>
    <row r="2150" spans="1:11" x14ac:dyDescent="0.25">
      <c r="A2150" s="1" t="s">
        <v>691</v>
      </c>
      <c r="B2150" s="1"/>
      <c r="C2150" s="1" t="s">
        <v>2816</v>
      </c>
      <c r="D2150" s="1" t="s">
        <v>3372</v>
      </c>
      <c r="E2150" s="1"/>
      <c r="F2150">
        <v>1</v>
      </c>
      <c r="G2150">
        <v>0</v>
      </c>
      <c r="H2150">
        <v>55</v>
      </c>
      <c r="I2150">
        <v>0</v>
      </c>
      <c r="J2150">
        <v>44</v>
      </c>
      <c r="K2150" s="2">
        <v>45777</v>
      </c>
    </row>
    <row r="2151" spans="1:11" x14ac:dyDescent="0.25">
      <c r="A2151" s="1" t="s">
        <v>691</v>
      </c>
      <c r="B2151" s="1"/>
      <c r="C2151" s="1" t="s">
        <v>3171</v>
      </c>
      <c r="D2151" s="1" t="s">
        <v>3449</v>
      </c>
      <c r="E2151" s="1"/>
      <c r="F2151">
        <v>2</v>
      </c>
      <c r="G2151">
        <v>6.2</v>
      </c>
      <c r="H2151">
        <v>-265</v>
      </c>
      <c r="I2151">
        <v>0</v>
      </c>
      <c r="J2151">
        <v>44</v>
      </c>
      <c r="K2151" s="2">
        <v>45779</v>
      </c>
    </row>
    <row r="2152" spans="1:11" x14ac:dyDescent="0.25">
      <c r="A2152" s="1" t="s">
        <v>150</v>
      </c>
      <c r="B2152" s="1"/>
      <c r="C2152" s="1" t="s">
        <v>2808</v>
      </c>
      <c r="D2152" s="1" t="s">
        <v>3370</v>
      </c>
      <c r="E2152" s="1"/>
      <c r="F2152">
        <v>0</v>
      </c>
      <c r="G2152">
        <v>0</v>
      </c>
      <c r="H2152">
        <v>0</v>
      </c>
      <c r="I2152">
        <v>0</v>
      </c>
      <c r="J2152">
        <v>2</v>
      </c>
      <c r="K2152" s="2">
        <v>45771</v>
      </c>
    </row>
    <row r="2153" spans="1:11" x14ac:dyDescent="0.25">
      <c r="A2153" s="1" t="s">
        <v>150</v>
      </c>
      <c r="B2153" s="1"/>
      <c r="C2153" s="1" t="s">
        <v>3172</v>
      </c>
      <c r="D2153" s="1" t="s">
        <v>3382</v>
      </c>
      <c r="E2153" s="1"/>
      <c r="F2153">
        <v>0</v>
      </c>
      <c r="G2153">
        <v>0.1</v>
      </c>
      <c r="H2153">
        <v>0</v>
      </c>
      <c r="I2153">
        <v>0</v>
      </c>
      <c r="J2153">
        <v>2</v>
      </c>
      <c r="K2153" s="2">
        <v>45772</v>
      </c>
    </row>
    <row r="2154" spans="1:11" x14ac:dyDescent="0.25">
      <c r="A2154" s="1" t="s">
        <v>150</v>
      </c>
      <c r="B2154" s="1"/>
      <c r="C2154" s="1" t="s">
        <v>3120</v>
      </c>
      <c r="D2154" s="1" t="s">
        <v>3452</v>
      </c>
      <c r="E2154" s="1"/>
      <c r="F2154">
        <v>0</v>
      </c>
      <c r="G2154">
        <v>0</v>
      </c>
      <c r="H2154">
        <v>0</v>
      </c>
      <c r="I2154">
        <v>0</v>
      </c>
      <c r="J2154">
        <v>2</v>
      </c>
      <c r="K2154" s="2">
        <v>45772</v>
      </c>
    </row>
    <row r="2155" spans="1:11" x14ac:dyDescent="0.25">
      <c r="A2155" s="1" t="s">
        <v>150</v>
      </c>
      <c r="B2155" s="1"/>
      <c r="C2155" s="1" t="s">
        <v>2848</v>
      </c>
      <c r="D2155" s="1" t="s">
        <v>3372</v>
      </c>
      <c r="E2155" s="1"/>
      <c r="F2155">
        <v>0</v>
      </c>
      <c r="G2155">
        <v>0</v>
      </c>
      <c r="H2155">
        <v>0</v>
      </c>
      <c r="I2155">
        <v>0</v>
      </c>
      <c r="J2155">
        <v>2</v>
      </c>
      <c r="K2155" s="2">
        <v>45784</v>
      </c>
    </row>
    <row r="2156" spans="1:11" x14ac:dyDescent="0.25">
      <c r="A2156" s="1" t="s">
        <v>742</v>
      </c>
      <c r="B2156" s="1"/>
      <c r="C2156" s="1" t="s">
        <v>2808</v>
      </c>
      <c r="D2156" s="1" t="s">
        <v>3370</v>
      </c>
      <c r="E2156" s="1"/>
      <c r="F2156">
        <v>0</v>
      </c>
      <c r="G2156">
        <v>0</v>
      </c>
      <c r="H2156">
        <v>0</v>
      </c>
      <c r="I2156">
        <v>0</v>
      </c>
      <c r="J2156">
        <v>42</v>
      </c>
      <c r="K2156" s="2">
        <v>45772</v>
      </c>
    </row>
    <row r="2157" spans="1:11" x14ac:dyDescent="0.25">
      <c r="A2157" s="1" t="s">
        <v>742</v>
      </c>
      <c r="B2157" s="1"/>
      <c r="C2157" s="1" t="s">
        <v>3075</v>
      </c>
      <c r="D2157" s="1" t="s">
        <v>3382</v>
      </c>
      <c r="E2157" s="1"/>
      <c r="F2157">
        <v>2.2999999999999998</v>
      </c>
      <c r="G2157">
        <v>1.5</v>
      </c>
      <c r="H2157">
        <v>40</v>
      </c>
      <c r="I2157">
        <v>0</v>
      </c>
      <c r="J2157">
        <v>42</v>
      </c>
      <c r="K2157" s="2">
        <v>45778</v>
      </c>
    </row>
    <row r="2158" spans="1:11" x14ac:dyDescent="0.25">
      <c r="A2158" s="1" t="s">
        <v>742</v>
      </c>
      <c r="B2158" s="1"/>
      <c r="C2158" s="1" t="s">
        <v>3173</v>
      </c>
      <c r="D2158" s="1" t="s">
        <v>3428</v>
      </c>
      <c r="E2158" s="1"/>
      <c r="F2158">
        <v>5</v>
      </c>
      <c r="G2158">
        <v>0.6</v>
      </c>
      <c r="H2158">
        <v>190</v>
      </c>
      <c r="I2158">
        <v>0</v>
      </c>
      <c r="J2158">
        <v>2</v>
      </c>
      <c r="K2158" s="2">
        <v>45779</v>
      </c>
    </row>
    <row r="2159" spans="1:11" x14ac:dyDescent="0.25">
      <c r="A2159" s="1" t="s">
        <v>742</v>
      </c>
      <c r="B2159" s="1"/>
      <c r="C2159" s="1" t="s">
        <v>3076</v>
      </c>
      <c r="D2159" s="1" t="s">
        <v>3372</v>
      </c>
      <c r="E2159" s="1"/>
      <c r="F2159">
        <v>1</v>
      </c>
      <c r="G2159">
        <v>0.2</v>
      </c>
      <c r="H2159">
        <v>45</v>
      </c>
      <c r="I2159">
        <v>0</v>
      </c>
      <c r="J2159">
        <v>42</v>
      </c>
      <c r="K2159" s="2">
        <v>45778</v>
      </c>
    </row>
    <row r="2160" spans="1:11" x14ac:dyDescent="0.25">
      <c r="A2160" s="1" t="s">
        <v>742</v>
      </c>
      <c r="B2160" s="1"/>
      <c r="C2160" s="1" t="s">
        <v>2847</v>
      </c>
      <c r="D2160" s="1" t="s">
        <v>3417</v>
      </c>
      <c r="E2160" s="1"/>
      <c r="F2160">
        <v>0.5</v>
      </c>
      <c r="G2160">
        <v>0.2</v>
      </c>
      <c r="H2160">
        <v>20</v>
      </c>
      <c r="I2160">
        <v>0</v>
      </c>
      <c r="J2160">
        <v>42</v>
      </c>
      <c r="K2160" s="2">
        <v>45785</v>
      </c>
    </row>
    <row r="2161" spans="1:11" x14ac:dyDescent="0.25">
      <c r="A2161" s="1">
        <v>0</v>
      </c>
      <c r="B2161" s="1"/>
      <c r="C2161" s="1" t="s">
        <v>3174</v>
      </c>
      <c r="D2161" s="1" t="s">
        <v>3389</v>
      </c>
      <c r="E2161" s="1"/>
      <c r="F2161">
        <v>0</v>
      </c>
      <c r="G2161">
        <v>0</v>
      </c>
      <c r="H2161">
        <v>-345</v>
      </c>
      <c r="I2161">
        <v>0</v>
      </c>
      <c r="J2161">
        <v>1</v>
      </c>
      <c r="K2161" s="2">
        <v>45748</v>
      </c>
    </row>
    <row r="2162" spans="1:11" x14ac:dyDescent="0.25">
      <c r="A2162" s="1">
        <v>0</v>
      </c>
      <c r="B2162" s="1"/>
      <c r="C2162" s="1" t="s">
        <v>3174</v>
      </c>
      <c r="D2162" s="1" t="s">
        <v>3389</v>
      </c>
      <c r="E2162" s="1"/>
      <c r="F2162">
        <v>0</v>
      </c>
      <c r="G2162">
        <v>0</v>
      </c>
      <c r="H2162">
        <v>-345</v>
      </c>
      <c r="I2162">
        <v>0</v>
      </c>
      <c r="J2162">
        <v>1</v>
      </c>
      <c r="K2162" s="2">
        <v>45748</v>
      </c>
    </row>
    <row r="2163" spans="1:11" x14ac:dyDescent="0.25">
      <c r="A2163" s="1">
        <v>0</v>
      </c>
      <c r="B2163" s="1"/>
      <c r="C2163" s="1" t="s">
        <v>3175</v>
      </c>
      <c r="D2163" s="1" t="s">
        <v>3372</v>
      </c>
      <c r="E2163" s="1"/>
      <c r="F2163">
        <v>2</v>
      </c>
      <c r="G2163">
        <v>0.2</v>
      </c>
      <c r="H2163">
        <v>95</v>
      </c>
      <c r="I2163">
        <v>0</v>
      </c>
      <c r="J2163">
        <v>1</v>
      </c>
      <c r="K2163" s="2">
        <v>45741</v>
      </c>
    </row>
    <row r="2164" spans="1:11" x14ac:dyDescent="0.25">
      <c r="A2164" s="1">
        <v>0</v>
      </c>
      <c r="B2164" s="1"/>
      <c r="C2164" s="1" t="s">
        <v>3176</v>
      </c>
      <c r="D2164" s="1" t="s">
        <v>3370</v>
      </c>
      <c r="E2164" s="1"/>
      <c r="F2164">
        <v>0</v>
      </c>
      <c r="G2164">
        <v>0</v>
      </c>
      <c r="H2164">
        <v>0</v>
      </c>
      <c r="I2164">
        <v>0</v>
      </c>
      <c r="J2164">
        <v>1</v>
      </c>
      <c r="K2164" s="2">
        <v>45729</v>
      </c>
    </row>
    <row r="2165" spans="1:11" x14ac:dyDescent="0.25">
      <c r="A2165" s="1">
        <v>0</v>
      </c>
      <c r="B2165" s="1"/>
      <c r="C2165" s="1" t="s">
        <v>2808</v>
      </c>
      <c r="D2165" s="1" t="s">
        <v>3370</v>
      </c>
      <c r="E2165" s="1"/>
      <c r="F2165">
        <v>0</v>
      </c>
      <c r="G2165">
        <v>0</v>
      </c>
      <c r="H2165">
        <v>0</v>
      </c>
      <c r="I2165">
        <v>0</v>
      </c>
      <c r="J2165">
        <v>1</v>
      </c>
      <c r="K2165" s="2">
        <v>45729</v>
      </c>
    </row>
    <row r="2166" spans="1:11" x14ac:dyDescent="0.25">
      <c r="A2166" s="1">
        <v>0</v>
      </c>
      <c r="B2166" s="1"/>
      <c r="C2166" s="1" t="s">
        <v>3177</v>
      </c>
      <c r="D2166" s="1" t="s">
        <v>3425</v>
      </c>
      <c r="E2166" s="1"/>
      <c r="F2166">
        <v>11.3</v>
      </c>
      <c r="G2166">
        <v>0</v>
      </c>
      <c r="H2166">
        <v>475</v>
      </c>
      <c r="I2166">
        <v>0</v>
      </c>
      <c r="J2166">
        <v>1</v>
      </c>
      <c r="K2166" s="2">
        <v>45735</v>
      </c>
    </row>
    <row r="2167" spans="1:11" x14ac:dyDescent="0.25">
      <c r="A2167" s="1">
        <v>0</v>
      </c>
      <c r="B2167" s="1"/>
      <c r="C2167" s="1" t="s">
        <v>3178</v>
      </c>
      <c r="D2167" s="1" t="s">
        <v>3403</v>
      </c>
      <c r="E2167" s="1"/>
      <c r="F2167">
        <v>1.3</v>
      </c>
      <c r="G2167">
        <v>1.2</v>
      </c>
      <c r="H2167">
        <v>15</v>
      </c>
      <c r="I2167">
        <v>0</v>
      </c>
      <c r="J2167">
        <v>1</v>
      </c>
      <c r="K2167" s="2">
        <v>45730</v>
      </c>
    </row>
    <row r="2168" spans="1:11" x14ac:dyDescent="0.25">
      <c r="A2168" s="1">
        <v>0</v>
      </c>
      <c r="B2168" s="1"/>
      <c r="C2168" s="1" t="s">
        <v>3062</v>
      </c>
      <c r="D2168" s="1" t="s">
        <v>3372</v>
      </c>
      <c r="E2168" s="1"/>
      <c r="F2168">
        <v>1</v>
      </c>
      <c r="G2168">
        <v>0</v>
      </c>
      <c r="H2168">
        <v>55</v>
      </c>
      <c r="I2168">
        <v>0</v>
      </c>
      <c r="J2168">
        <v>1</v>
      </c>
      <c r="K2168" s="2">
        <v>45730</v>
      </c>
    </row>
    <row r="2169" spans="1:11" x14ac:dyDescent="0.25">
      <c r="A2169" s="1">
        <v>0</v>
      </c>
      <c r="B2169" s="1"/>
      <c r="C2169" s="1" t="s">
        <v>3179</v>
      </c>
      <c r="D2169" s="1" t="s">
        <v>3372</v>
      </c>
      <c r="E2169" s="1"/>
      <c r="F2169">
        <v>2</v>
      </c>
      <c r="G2169">
        <v>0</v>
      </c>
      <c r="H2169">
        <v>105</v>
      </c>
      <c r="I2169">
        <v>0</v>
      </c>
      <c r="J2169">
        <v>1</v>
      </c>
      <c r="K2169" s="2">
        <v>45747</v>
      </c>
    </row>
    <row r="2170" spans="1:11" x14ac:dyDescent="0.25">
      <c r="A2170" s="1">
        <v>0</v>
      </c>
      <c r="B2170" s="1"/>
      <c r="C2170" s="1" t="s">
        <v>3180</v>
      </c>
      <c r="D2170" s="1" t="s">
        <v>3375</v>
      </c>
      <c r="E2170" s="1"/>
      <c r="F2170">
        <v>0</v>
      </c>
      <c r="G2170">
        <v>0</v>
      </c>
      <c r="H2170">
        <v>5</v>
      </c>
      <c r="I2170">
        <v>0</v>
      </c>
      <c r="J2170">
        <v>1</v>
      </c>
      <c r="K2170" s="2">
        <v>45735</v>
      </c>
    </row>
    <row r="2171" spans="1:11" x14ac:dyDescent="0.25">
      <c r="A2171" s="1">
        <v>0</v>
      </c>
      <c r="B2171" s="1"/>
      <c r="C2171" s="1" t="s">
        <v>3174</v>
      </c>
      <c r="D2171" s="1" t="s">
        <v>3389</v>
      </c>
      <c r="E2171" s="1"/>
      <c r="F2171">
        <v>0</v>
      </c>
      <c r="G2171">
        <v>0</v>
      </c>
      <c r="H2171">
        <v>-685</v>
      </c>
      <c r="I2171">
        <v>0</v>
      </c>
      <c r="J2171">
        <v>1</v>
      </c>
      <c r="K2171" s="2">
        <v>45748</v>
      </c>
    </row>
    <row r="2172" spans="1:11" x14ac:dyDescent="0.25">
      <c r="A2172" s="1">
        <v>0</v>
      </c>
      <c r="B2172" s="1"/>
      <c r="C2172" s="1" t="s">
        <v>3175</v>
      </c>
      <c r="D2172" s="1" t="s">
        <v>3372</v>
      </c>
      <c r="E2172" s="1"/>
      <c r="F2172">
        <v>2</v>
      </c>
      <c r="G2172">
        <v>0.2</v>
      </c>
      <c r="H2172">
        <v>95</v>
      </c>
      <c r="I2172">
        <v>0</v>
      </c>
      <c r="J2172">
        <v>1</v>
      </c>
      <c r="K2172" s="2">
        <v>45747</v>
      </c>
    </row>
    <row r="2173" spans="1:11" x14ac:dyDescent="0.25">
      <c r="A2173" s="1" t="s">
        <v>311</v>
      </c>
      <c r="B2173" s="1"/>
      <c r="C2173" s="1" t="s">
        <v>3176</v>
      </c>
      <c r="D2173" s="1" t="s">
        <v>3370</v>
      </c>
      <c r="E2173" s="1"/>
      <c r="F2173">
        <v>0</v>
      </c>
      <c r="G2173">
        <v>0</v>
      </c>
      <c r="H2173">
        <v>0</v>
      </c>
      <c r="I2173">
        <v>0</v>
      </c>
      <c r="J2173">
        <v>1</v>
      </c>
      <c r="K2173" s="2">
        <v>45733</v>
      </c>
    </row>
    <row r="2174" spans="1:11" x14ac:dyDescent="0.25">
      <c r="A2174" s="1" t="s">
        <v>311</v>
      </c>
      <c r="B2174" s="1"/>
      <c r="C2174" s="1" t="s">
        <v>2808</v>
      </c>
      <c r="D2174" s="1" t="s">
        <v>3370</v>
      </c>
      <c r="E2174" s="1"/>
      <c r="F2174">
        <v>0</v>
      </c>
      <c r="G2174">
        <v>0</v>
      </c>
      <c r="H2174">
        <v>0</v>
      </c>
      <c r="I2174">
        <v>0</v>
      </c>
      <c r="J2174">
        <v>1</v>
      </c>
      <c r="K2174" s="2">
        <v>45733</v>
      </c>
    </row>
    <row r="2175" spans="1:11" x14ac:dyDescent="0.25">
      <c r="A2175" s="1" t="s">
        <v>312</v>
      </c>
      <c r="B2175" s="1"/>
      <c r="C2175" s="1" t="s">
        <v>3176</v>
      </c>
      <c r="D2175" s="1" t="s">
        <v>3370</v>
      </c>
      <c r="E2175" s="1"/>
      <c r="F2175">
        <v>0</v>
      </c>
      <c r="G2175">
        <v>0</v>
      </c>
      <c r="H2175">
        <v>0</v>
      </c>
      <c r="I2175">
        <v>0</v>
      </c>
      <c r="J2175">
        <v>1</v>
      </c>
      <c r="K2175" s="2">
        <v>45733</v>
      </c>
    </row>
    <row r="2176" spans="1:11" x14ac:dyDescent="0.25">
      <c r="A2176" s="1" t="s">
        <v>312</v>
      </c>
      <c r="B2176" s="1"/>
      <c r="C2176" s="1" t="s">
        <v>2808</v>
      </c>
      <c r="D2176" s="1" t="s">
        <v>3370</v>
      </c>
      <c r="E2176" s="1"/>
      <c r="F2176">
        <v>0</v>
      </c>
      <c r="G2176">
        <v>0</v>
      </c>
      <c r="H2176">
        <v>0</v>
      </c>
      <c r="I2176">
        <v>0</v>
      </c>
      <c r="J2176">
        <v>1</v>
      </c>
      <c r="K2176" s="2">
        <v>45733</v>
      </c>
    </row>
    <row r="2177" spans="1:11" x14ac:dyDescent="0.25">
      <c r="A2177" s="1" t="s">
        <v>312</v>
      </c>
      <c r="B2177" s="1"/>
      <c r="C2177" s="1" t="s">
        <v>3177</v>
      </c>
      <c r="D2177" s="1" t="s">
        <v>3425</v>
      </c>
      <c r="E2177" s="1"/>
      <c r="F2177">
        <v>11.3</v>
      </c>
      <c r="G2177">
        <v>3.6</v>
      </c>
      <c r="H2177">
        <v>330</v>
      </c>
      <c r="I2177">
        <v>0</v>
      </c>
      <c r="J2177">
        <v>1</v>
      </c>
      <c r="K2177" s="2">
        <v>45735</v>
      </c>
    </row>
    <row r="2178" spans="1:11" x14ac:dyDescent="0.25">
      <c r="A2178" s="1" t="s">
        <v>312</v>
      </c>
      <c r="B2178" s="1"/>
      <c r="C2178" s="1" t="s">
        <v>3178</v>
      </c>
      <c r="D2178" s="1" t="s">
        <v>3403</v>
      </c>
      <c r="E2178" s="1"/>
      <c r="F2178">
        <v>1.3</v>
      </c>
      <c r="G2178">
        <v>0.5</v>
      </c>
      <c r="H2178">
        <v>50</v>
      </c>
      <c r="I2178">
        <v>0</v>
      </c>
      <c r="J2178">
        <v>1</v>
      </c>
      <c r="K2178" s="2">
        <v>45735</v>
      </c>
    </row>
    <row r="2179" spans="1:11" x14ac:dyDescent="0.25">
      <c r="A2179" s="1" t="s">
        <v>312</v>
      </c>
      <c r="B2179" s="1"/>
      <c r="C2179" s="1" t="s">
        <v>3062</v>
      </c>
      <c r="D2179" s="1" t="s">
        <v>3372</v>
      </c>
      <c r="E2179" s="1"/>
      <c r="F2179">
        <v>1</v>
      </c>
      <c r="G2179">
        <v>0</v>
      </c>
      <c r="H2179">
        <v>55</v>
      </c>
      <c r="I2179">
        <v>0</v>
      </c>
      <c r="J2179">
        <v>2</v>
      </c>
      <c r="K2179" s="2">
        <v>45754</v>
      </c>
    </row>
    <row r="2180" spans="1:11" x14ac:dyDescent="0.25">
      <c r="A2180" s="1" t="s">
        <v>312</v>
      </c>
      <c r="B2180" s="1"/>
      <c r="C2180" s="1" t="s">
        <v>3179</v>
      </c>
      <c r="D2180" s="1" t="s">
        <v>3372</v>
      </c>
      <c r="E2180" s="1"/>
      <c r="F2180">
        <v>2</v>
      </c>
      <c r="G2180">
        <v>0</v>
      </c>
      <c r="H2180">
        <v>105</v>
      </c>
      <c r="I2180">
        <v>0</v>
      </c>
      <c r="J2180">
        <v>2</v>
      </c>
      <c r="K2180" s="2">
        <v>45754</v>
      </c>
    </row>
    <row r="2181" spans="1:11" x14ac:dyDescent="0.25">
      <c r="A2181" s="1" t="s">
        <v>312</v>
      </c>
      <c r="B2181" s="1"/>
      <c r="C2181" s="1" t="s">
        <v>3180</v>
      </c>
      <c r="D2181" s="1" t="s">
        <v>3375</v>
      </c>
      <c r="E2181" s="1"/>
      <c r="F2181">
        <v>0</v>
      </c>
      <c r="G2181">
        <v>0</v>
      </c>
      <c r="H2181">
        <v>5</v>
      </c>
      <c r="I2181">
        <v>0</v>
      </c>
      <c r="J2181">
        <v>1</v>
      </c>
      <c r="K2181" s="2">
        <v>45735</v>
      </c>
    </row>
    <row r="2182" spans="1:11" x14ac:dyDescent="0.25">
      <c r="A2182" s="1" t="s">
        <v>312</v>
      </c>
      <c r="B2182" s="1"/>
      <c r="C2182" s="1" t="s">
        <v>3174</v>
      </c>
      <c r="D2182" s="1" t="s">
        <v>3389</v>
      </c>
      <c r="E2182" s="1"/>
      <c r="F2182">
        <v>0</v>
      </c>
      <c r="G2182">
        <v>0</v>
      </c>
      <c r="H2182">
        <v>-685</v>
      </c>
      <c r="I2182">
        <v>0</v>
      </c>
      <c r="J2182">
        <v>1</v>
      </c>
      <c r="K2182" s="2">
        <v>45754</v>
      </c>
    </row>
    <row r="2183" spans="1:11" x14ac:dyDescent="0.25">
      <c r="A2183" s="1" t="s">
        <v>312</v>
      </c>
      <c r="B2183" s="1"/>
      <c r="C2183" s="1" t="s">
        <v>3175</v>
      </c>
      <c r="D2183" s="1" t="s">
        <v>3372</v>
      </c>
      <c r="E2183" s="1"/>
      <c r="F2183">
        <v>2</v>
      </c>
      <c r="G2183">
        <v>0.9</v>
      </c>
      <c r="H2183">
        <v>60</v>
      </c>
      <c r="I2183">
        <v>0</v>
      </c>
      <c r="J2183">
        <v>2</v>
      </c>
      <c r="K2183" s="2">
        <v>45754</v>
      </c>
    </row>
    <row r="2184" spans="1:11" x14ac:dyDescent="0.25">
      <c r="A2184" s="1" t="s">
        <v>312</v>
      </c>
      <c r="B2184" s="1"/>
      <c r="C2184" s="1" t="s">
        <v>3181</v>
      </c>
      <c r="D2184" s="1" t="s">
        <v>3417</v>
      </c>
      <c r="E2184" s="1"/>
      <c r="F2184">
        <v>0.2</v>
      </c>
      <c r="G2184">
        <v>0</v>
      </c>
      <c r="H2184">
        <v>10</v>
      </c>
      <c r="I2184">
        <v>0</v>
      </c>
      <c r="J2184">
        <v>1</v>
      </c>
      <c r="K2184" s="2">
        <v>45754</v>
      </c>
    </row>
    <row r="2185" spans="1:11" x14ac:dyDescent="0.25">
      <c r="A2185" s="1" t="s">
        <v>313</v>
      </c>
      <c r="B2185" s="1"/>
      <c r="C2185" s="1" t="s">
        <v>3177</v>
      </c>
      <c r="D2185" s="1" t="s">
        <v>3425</v>
      </c>
      <c r="E2185" s="1"/>
      <c r="F2185">
        <v>11.3</v>
      </c>
      <c r="G2185">
        <v>8.5</v>
      </c>
      <c r="H2185">
        <v>125</v>
      </c>
      <c r="I2185">
        <v>0</v>
      </c>
      <c r="J2185">
        <v>1</v>
      </c>
      <c r="K2185" s="2">
        <v>45735</v>
      </c>
    </row>
    <row r="2186" spans="1:11" x14ac:dyDescent="0.25">
      <c r="A2186" s="1" t="s">
        <v>313</v>
      </c>
      <c r="B2186" s="1"/>
      <c r="C2186" s="1" t="s">
        <v>3178</v>
      </c>
      <c r="D2186" s="1" t="s">
        <v>3403</v>
      </c>
      <c r="E2186" s="1"/>
      <c r="F2186">
        <v>1.3</v>
      </c>
      <c r="G2186">
        <v>0.9</v>
      </c>
      <c r="H2186">
        <v>30</v>
      </c>
      <c r="I2186">
        <v>0</v>
      </c>
      <c r="J2186">
        <v>1</v>
      </c>
      <c r="K2186" s="2">
        <v>45735</v>
      </c>
    </row>
    <row r="2187" spans="1:11" x14ac:dyDescent="0.25">
      <c r="A2187" s="1" t="s">
        <v>313</v>
      </c>
      <c r="B2187" s="1"/>
      <c r="C2187" s="1" t="s">
        <v>3062</v>
      </c>
      <c r="D2187" s="1" t="s">
        <v>3372</v>
      </c>
      <c r="E2187" s="1"/>
      <c r="F2187">
        <v>1</v>
      </c>
      <c r="G2187">
        <v>0</v>
      </c>
      <c r="H2187">
        <v>55</v>
      </c>
      <c r="I2187">
        <v>0</v>
      </c>
      <c r="J2187">
        <v>1</v>
      </c>
      <c r="K2187" s="2">
        <v>45730</v>
      </c>
    </row>
    <row r="2188" spans="1:11" x14ac:dyDescent="0.25">
      <c r="A2188" s="1" t="s">
        <v>313</v>
      </c>
      <c r="B2188" s="1"/>
      <c r="C2188" s="1" t="s">
        <v>3179</v>
      </c>
      <c r="D2188" s="1" t="s">
        <v>3372</v>
      </c>
      <c r="E2188" s="1"/>
      <c r="F2188">
        <v>2</v>
      </c>
      <c r="G2188">
        <v>0</v>
      </c>
      <c r="H2188">
        <v>105</v>
      </c>
      <c r="I2188">
        <v>0</v>
      </c>
      <c r="J2188">
        <v>1</v>
      </c>
      <c r="K2188" s="2">
        <v>45747</v>
      </c>
    </row>
    <row r="2189" spans="1:11" x14ac:dyDescent="0.25">
      <c r="A2189" s="1" t="s">
        <v>313</v>
      </c>
      <c r="B2189" s="1"/>
      <c r="C2189" s="1" t="s">
        <v>3180</v>
      </c>
      <c r="D2189" s="1" t="s">
        <v>3375</v>
      </c>
      <c r="E2189" s="1"/>
      <c r="F2189">
        <v>0</v>
      </c>
      <c r="G2189">
        <v>0</v>
      </c>
      <c r="H2189">
        <v>5</v>
      </c>
      <c r="I2189">
        <v>0</v>
      </c>
      <c r="J2189">
        <v>1</v>
      </c>
      <c r="K2189" s="2">
        <v>45735</v>
      </c>
    </row>
    <row r="2190" spans="1:11" x14ac:dyDescent="0.25">
      <c r="A2190" s="1" t="s">
        <v>313</v>
      </c>
      <c r="B2190" s="1"/>
      <c r="C2190" s="1" t="s">
        <v>3174</v>
      </c>
      <c r="D2190" s="1" t="s">
        <v>3389</v>
      </c>
      <c r="E2190" s="1"/>
      <c r="F2190">
        <v>0</v>
      </c>
      <c r="G2190">
        <v>0</v>
      </c>
      <c r="H2190">
        <v>-685</v>
      </c>
      <c r="I2190">
        <v>0</v>
      </c>
      <c r="J2190">
        <v>1</v>
      </c>
      <c r="K2190" s="2">
        <v>45744</v>
      </c>
    </row>
    <row r="2191" spans="1:11" x14ac:dyDescent="0.25">
      <c r="A2191" s="1" t="s">
        <v>313</v>
      </c>
      <c r="B2191" s="1"/>
      <c r="C2191" s="1" t="s">
        <v>3175</v>
      </c>
      <c r="D2191" s="1" t="s">
        <v>3372</v>
      </c>
      <c r="E2191" s="1"/>
      <c r="F2191">
        <v>2</v>
      </c>
      <c r="G2191">
        <v>0.3</v>
      </c>
      <c r="H2191">
        <v>90</v>
      </c>
      <c r="I2191">
        <v>0</v>
      </c>
      <c r="J2191">
        <v>1</v>
      </c>
      <c r="K2191" s="2">
        <v>45747</v>
      </c>
    </row>
    <row r="2192" spans="1:11" x14ac:dyDescent="0.25">
      <c r="A2192" s="1" t="s">
        <v>313</v>
      </c>
      <c r="B2192" s="1"/>
      <c r="C2192" s="1" t="s">
        <v>3181</v>
      </c>
      <c r="D2192" s="1" t="s">
        <v>3417</v>
      </c>
      <c r="E2192" s="1"/>
      <c r="F2192">
        <v>0.2</v>
      </c>
      <c r="G2192">
        <v>0</v>
      </c>
      <c r="H2192">
        <v>10</v>
      </c>
      <c r="I2192">
        <v>0</v>
      </c>
      <c r="J2192">
        <v>1</v>
      </c>
      <c r="K2192" s="2">
        <v>45747</v>
      </c>
    </row>
    <row r="2193" spans="1:11" x14ac:dyDescent="0.25">
      <c r="A2193" s="1" t="s">
        <v>341</v>
      </c>
      <c r="B2193" s="1"/>
      <c r="C2193" s="1" t="s">
        <v>3176</v>
      </c>
      <c r="D2193" s="1" t="s">
        <v>3370</v>
      </c>
      <c r="E2193" s="1"/>
      <c r="F2193">
        <v>0</v>
      </c>
      <c r="G2193">
        <v>0</v>
      </c>
      <c r="H2193">
        <v>0</v>
      </c>
      <c r="I2193">
        <v>0</v>
      </c>
      <c r="J2193">
        <v>1</v>
      </c>
      <c r="K2193" s="2">
        <v>45729</v>
      </c>
    </row>
    <row r="2194" spans="1:11" x14ac:dyDescent="0.25">
      <c r="A2194" s="1" t="s">
        <v>341</v>
      </c>
      <c r="B2194" s="1"/>
      <c r="C2194" s="1" t="s">
        <v>2808</v>
      </c>
      <c r="D2194" s="1" t="s">
        <v>3370</v>
      </c>
      <c r="E2194" s="1"/>
      <c r="F2194">
        <v>0</v>
      </c>
      <c r="G2194">
        <v>0</v>
      </c>
      <c r="H2194">
        <v>0</v>
      </c>
      <c r="I2194">
        <v>0</v>
      </c>
      <c r="J2194">
        <v>1</v>
      </c>
      <c r="K2194" s="2">
        <v>45729</v>
      </c>
    </row>
    <row r="2195" spans="1:11" x14ac:dyDescent="0.25">
      <c r="A2195" s="1" t="s">
        <v>341</v>
      </c>
      <c r="B2195" s="1"/>
      <c r="C2195" s="1" t="s">
        <v>3177</v>
      </c>
      <c r="D2195" s="1" t="s">
        <v>3425</v>
      </c>
      <c r="E2195" s="1"/>
      <c r="F2195">
        <v>11.3</v>
      </c>
      <c r="G2195">
        <v>5</v>
      </c>
      <c r="H2195">
        <v>270</v>
      </c>
      <c r="I2195">
        <v>0</v>
      </c>
      <c r="J2195">
        <v>1</v>
      </c>
      <c r="K2195" s="2">
        <v>45735</v>
      </c>
    </row>
    <row r="2196" spans="1:11" x14ac:dyDescent="0.25">
      <c r="A2196" s="1" t="s">
        <v>341</v>
      </c>
      <c r="B2196" s="1"/>
      <c r="C2196" s="1" t="s">
        <v>3178</v>
      </c>
      <c r="D2196" s="1" t="s">
        <v>3403</v>
      </c>
      <c r="E2196" s="1"/>
      <c r="F2196">
        <v>1.3</v>
      </c>
      <c r="G2196">
        <v>0.7</v>
      </c>
      <c r="H2196">
        <v>35</v>
      </c>
      <c r="I2196">
        <v>0</v>
      </c>
      <c r="J2196">
        <v>1</v>
      </c>
      <c r="K2196" s="2">
        <v>45735</v>
      </c>
    </row>
    <row r="2197" spans="1:11" x14ac:dyDescent="0.25">
      <c r="A2197" s="1" t="s">
        <v>341</v>
      </c>
      <c r="B2197" s="1"/>
      <c r="C2197" s="1" t="s">
        <v>3062</v>
      </c>
      <c r="D2197" s="1" t="s">
        <v>3372</v>
      </c>
      <c r="E2197" s="1"/>
      <c r="F2197">
        <v>1</v>
      </c>
      <c r="G2197">
        <v>0</v>
      </c>
      <c r="H2197">
        <v>55</v>
      </c>
      <c r="I2197">
        <v>0</v>
      </c>
      <c r="J2197">
        <v>1</v>
      </c>
      <c r="K2197" s="2">
        <v>45733</v>
      </c>
    </row>
    <row r="2198" spans="1:11" x14ac:dyDescent="0.25">
      <c r="A2198" s="1" t="s">
        <v>341</v>
      </c>
      <c r="B2198" s="1"/>
      <c r="C2198" s="1" t="s">
        <v>3179</v>
      </c>
      <c r="D2198" s="1" t="s">
        <v>3372</v>
      </c>
      <c r="E2198" s="1"/>
      <c r="F2198">
        <v>2</v>
      </c>
      <c r="G2198">
        <v>0</v>
      </c>
      <c r="H2198">
        <v>105</v>
      </c>
      <c r="I2198">
        <v>0</v>
      </c>
      <c r="J2198">
        <v>2</v>
      </c>
      <c r="K2198" s="2">
        <v>45754</v>
      </c>
    </row>
    <row r="2199" spans="1:11" x14ac:dyDescent="0.25">
      <c r="A2199" s="1" t="s">
        <v>341</v>
      </c>
      <c r="B2199" s="1"/>
      <c r="C2199" s="1" t="s">
        <v>3180</v>
      </c>
      <c r="D2199" s="1" t="s">
        <v>3375</v>
      </c>
      <c r="E2199" s="1"/>
      <c r="F2199">
        <v>0</v>
      </c>
      <c r="G2199">
        <v>0</v>
      </c>
      <c r="H2199">
        <v>5</v>
      </c>
      <c r="I2199">
        <v>0</v>
      </c>
      <c r="J2199">
        <v>1</v>
      </c>
      <c r="K2199" s="2">
        <v>45735</v>
      </c>
    </row>
    <row r="2200" spans="1:11" x14ac:dyDescent="0.25">
      <c r="A2200" s="1" t="s">
        <v>341</v>
      </c>
      <c r="B2200" s="1"/>
      <c r="C2200" s="1" t="s">
        <v>3174</v>
      </c>
      <c r="D2200" s="1" t="s">
        <v>3389</v>
      </c>
      <c r="E2200" s="1"/>
      <c r="F2200">
        <v>0</v>
      </c>
      <c r="G2200">
        <v>0</v>
      </c>
      <c r="H2200">
        <v>-685</v>
      </c>
      <c r="I2200">
        <v>0</v>
      </c>
      <c r="J2200">
        <v>1</v>
      </c>
      <c r="K2200" s="2">
        <v>45754</v>
      </c>
    </row>
    <row r="2201" spans="1:11" x14ac:dyDescent="0.25">
      <c r="A2201" s="1" t="s">
        <v>341</v>
      </c>
      <c r="B2201" s="1"/>
      <c r="C2201" s="1" t="s">
        <v>3175</v>
      </c>
      <c r="D2201" s="1" t="s">
        <v>3372</v>
      </c>
      <c r="E2201" s="1"/>
      <c r="F2201">
        <v>2</v>
      </c>
      <c r="G2201">
        <v>0.2</v>
      </c>
      <c r="H2201">
        <v>90</v>
      </c>
      <c r="I2201">
        <v>0</v>
      </c>
      <c r="J2201">
        <v>2</v>
      </c>
      <c r="K2201" s="2">
        <v>45754</v>
      </c>
    </row>
    <row r="2202" spans="1:11" x14ac:dyDescent="0.25">
      <c r="A2202" s="1" t="s">
        <v>341</v>
      </c>
      <c r="B2202" s="1"/>
      <c r="C2202" s="1" t="s">
        <v>3181</v>
      </c>
      <c r="D2202" s="1" t="s">
        <v>3417</v>
      </c>
      <c r="E2202" s="1"/>
      <c r="F2202">
        <v>0.2</v>
      </c>
      <c r="G2202">
        <v>0</v>
      </c>
      <c r="H2202">
        <v>10</v>
      </c>
      <c r="I2202">
        <v>0</v>
      </c>
      <c r="J2202">
        <v>1</v>
      </c>
      <c r="K2202" s="2">
        <v>45754</v>
      </c>
    </row>
    <row r="2203" spans="1:11" x14ac:dyDescent="0.25">
      <c r="A2203" s="1" t="s">
        <v>342</v>
      </c>
      <c r="B2203" s="1"/>
      <c r="C2203" s="1" t="s">
        <v>3176</v>
      </c>
      <c r="D2203" s="1" t="s">
        <v>3370</v>
      </c>
      <c r="E2203" s="1"/>
      <c r="F2203">
        <v>0</v>
      </c>
      <c r="G2203">
        <v>0</v>
      </c>
      <c r="H2203">
        <v>0</v>
      </c>
      <c r="I2203">
        <v>0</v>
      </c>
      <c r="J2203">
        <v>1</v>
      </c>
      <c r="K2203" s="2">
        <v>45729</v>
      </c>
    </row>
    <row r="2204" spans="1:11" x14ac:dyDescent="0.25">
      <c r="A2204" s="1" t="s">
        <v>342</v>
      </c>
      <c r="B2204" s="1"/>
      <c r="C2204" s="1" t="s">
        <v>2808</v>
      </c>
      <c r="D2204" s="1" t="s">
        <v>3370</v>
      </c>
      <c r="E2204" s="1"/>
      <c r="F2204">
        <v>0</v>
      </c>
      <c r="G2204">
        <v>0</v>
      </c>
      <c r="H2204">
        <v>0</v>
      </c>
      <c r="I2204">
        <v>0</v>
      </c>
      <c r="J2204">
        <v>1</v>
      </c>
      <c r="K2204" s="2">
        <v>45729</v>
      </c>
    </row>
    <row r="2205" spans="1:11" x14ac:dyDescent="0.25">
      <c r="A2205" s="1" t="s">
        <v>342</v>
      </c>
      <c r="B2205" s="1"/>
      <c r="C2205" s="1" t="s">
        <v>3177</v>
      </c>
      <c r="D2205" s="1" t="s">
        <v>3425</v>
      </c>
      <c r="E2205" s="1"/>
      <c r="F2205">
        <v>11.3</v>
      </c>
      <c r="G2205">
        <v>5.5</v>
      </c>
      <c r="H2205">
        <v>245</v>
      </c>
      <c r="I2205">
        <v>0</v>
      </c>
      <c r="J2205">
        <v>1</v>
      </c>
      <c r="K2205" s="2">
        <v>45735</v>
      </c>
    </row>
    <row r="2206" spans="1:11" x14ac:dyDescent="0.25">
      <c r="A2206" s="1" t="s">
        <v>342</v>
      </c>
      <c r="B2206" s="1"/>
      <c r="C2206" s="1" t="s">
        <v>3178</v>
      </c>
      <c r="D2206" s="1" t="s">
        <v>3403</v>
      </c>
      <c r="E2206" s="1"/>
      <c r="F2206">
        <v>1.3</v>
      </c>
      <c r="G2206">
        <v>0.5</v>
      </c>
      <c r="H2206">
        <v>50</v>
      </c>
      <c r="I2206">
        <v>0</v>
      </c>
      <c r="J2206">
        <v>1</v>
      </c>
      <c r="K2206" s="2">
        <v>45735</v>
      </c>
    </row>
    <row r="2207" spans="1:11" x14ac:dyDescent="0.25">
      <c r="A2207" s="1" t="s">
        <v>342</v>
      </c>
      <c r="B2207" s="1"/>
      <c r="C2207" s="1" t="s">
        <v>3062</v>
      </c>
      <c r="D2207" s="1" t="s">
        <v>3372</v>
      </c>
      <c r="E2207" s="1"/>
      <c r="F2207">
        <v>1</v>
      </c>
      <c r="G2207">
        <v>0</v>
      </c>
      <c r="H2207">
        <v>55</v>
      </c>
      <c r="I2207">
        <v>0</v>
      </c>
      <c r="J2207">
        <v>2</v>
      </c>
      <c r="K2207" s="2">
        <v>45754</v>
      </c>
    </row>
    <row r="2208" spans="1:11" x14ac:dyDescent="0.25">
      <c r="A2208" s="1" t="s">
        <v>342</v>
      </c>
      <c r="B2208" s="1"/>
      <c r="C2208" s="1" t="s">
        <v>3179</v>
      </c>
      <c r="D2208" s="1" t="s">
        <v>3372</v>
      </c>
      <c r="E2208" s="1"/>
      <c r="F2208">
        <v>2</v>
      </c>
      <c r="G2208">
        <v>0</v>
      </c>
      <c r="H2208">
        <v>105</v>
      </c>
      <c r="I2208">
        <v>0</v>
      </c>
      <c r="J2208">
        <v>2</v>
      </c>
      <c r="K2208" s="2">
        <v>45754</v>
      </c>
    </row>
    <row r="2209" spans="1:11" x14ac:dyDescent="0.25">
      <c r="A2209" s="1" t="s">
        <v>342</v>
      </c>
      <c r="B2209" s="1"/>
      <c r="C2209" s="1" t="s">
        <v>3180</v>
      </c>
      <c r="D2209" s="1" t="s">
        <v>3375</v>
      </c>
      <c r="E2209" s="1"/>
      <c r="F2209">
        <v>0</v>
      </c>
      <c r="G2209">
        <v>0</v>
      </c>
      <c r="H2209">
        <v>5</v>
      </c>
      <c r="I2209">
        <v>0</v>
      </c>
      <c r="J2209">
        <v>1</v>
      </c>
      <c r="K2209" s="2">
        <v>45735</v>
      </c>
    </row>
    <row r="2210" spans="1:11" x14ac:dyDescent="0.25">
      <c r="A2210" s="1" t="s">
        <v>342</v>
      </c>
      <c r="B2210" s="1"/>
      <c r="C2210" s="1" t="s">
        <v>3174</v>
      </c>
      <c r="D2210" s="1" t="s">
        <v>3389</v>
      </c>
      <c r="E2210" s="1"/>
      <c r="F2210">
        <v>0</v>
      </c>
      <c r="G2210">
        <v>0</v>
      </c>
      <c r="H2210">
        <v>-685</v>
      </c>
      <c r="I2210">
        <v>0</v>
      </c>
      <c r="J2210">
        <v>1</v>
      </c>
      <c r="K2210" s="2">
        <v>45754</v>
      </c>
    </row>
    <row r="2211" spans="1:11" x14ac:dyDescent="0.25">
      <c r="A2211" s="1" t="s">
        <v>342</v>
      </c>
      <c r="B2211" s="1"/>
      <c r="C2211" s="1" t="s">
        <v>3175</v>
      </c>
      <c r="D2211" s="1" t="s">
        <v>3372</v>
      </c>
      <c r="E2211" s="1"/>
      <c r="F2211">
        <v>2</v>
      </c>
      <c r="G2211">
        <v>0.5</v>
      </c>
      <c r="H2211">
        <v>75</v>
      </c>
      <c r="I2211">
        <v>0</v>
      </c>
      <c r="J2211">
        <v>2</v>
      </c>
      <c r="K2211" s="2">
        <v>45754</v>
      </c>
    </row>
    <row r="2212" spans="1:11" x14ac:dyDescent="0.25">
      <c r="A2212" s="1" t="s">
        <v>342</v>
      </c>
      <c r="B2212" s="1"/>
      <c r="C2212" s="1" t="s">
        <v>3181</v>
      </c>
      <c r="D2212" s="1" t="s">
        <v>3417</v>
      </c>
      <c r="E2212" s="1"/>
      <c r="F2212">
        <v>0.2</v>
      </c>
      <c r="G2212">
        <v>0</v>
      </c>
      <c r="H2212">
        <v>10</v>
      </c>
      <c r="I2212">
        <v>0</v>
      </c>
      <c r="J2212">
        <v>2</v>
      </c>
      <c r="K2212" s="2">
        <v>45754</v>
      </c>
    </row>
    <row r="2213" spans="1:11" x14ac:dyDescent="0.25">
      <c r="A2213" s="1" t="s">
        <v>343</v>
      </c>
      <c r="B2213" s="1"/>
      <c r="C2213" s="1" t="s">
        <v>3176</v>
      </c>
      <c r="D2213" s="1" t="s">
        <v>3370</v>
      </c>
      <c r="E2213" s="1"/>
      <c r="F2213">
        <v>0</v>
      </c>
      <c r="G2213">
        <v>0</v>
      </c>
      <c r="H2213">
        <v>0</v>
      </c>
      <c r="I2213">
        <v>0</v>
      </c>
      <c r="J2213">
        <v>1</v>
      </c>
      <c r="K2213" s="2">
        <v>45733</v>
      </c>
    </row>
    <row r="2214" spans="1:11" x14ac:dyDescent="0.25">
      <c r="A2214" s="1" t="s">
        <v>343</v>
      </c>
      <c r="B2214" s="1"/>
      <c r="C2214" s="1" t="s">
        <v>2808</v>
      </c>
      <c r="D2214" s="1" t="s">
        <v>3370</v>
      </c>
      <c r="E2214" s="1"/>
      <c r="F2214">
        <v>0</v>
      </c>
      <c r="G2214">
        <v>0</v>
      </c>
      <c r="H2214">
        <v>0</v>
      </c>
      <c r="I2214">
        <v>0</v>
      </c>
      <c r="J2214">
        <v>1</v>
      </c>
      <c r="K2214" s="2">
        <v>45733</v>
      </c>
    </row>
    <row r="2215" spans="1:11" x14ac:dyDescent="0.25">
      <c r="A2215" s="1" t="s">
        <v>343</v>
      </c>
      <c r="B2215" s="1"/>
      <c r="C2215" s="1" t="s">
        <v>3177</v>
      </c>
      <c r="D2215" s="1" t="s">
        <v>3425</v>
      </c>
      <c r="E2215" s="1"/>
      <c r="F2215">
        <v>11.3</v>
      </c>
      <c r="G2215">
        <v>11.2</v>
      </c>
      <c r="H2215">
        <v>5</v>
      </c>
      <c r="I2215">
        <v>0</v>
      </c>
      <c r="J2215">
        <v>1</v>
      </c>
      <c r="K2215" s="2">
        <v>45779</v>
      </c>
    </row>
    <row r="2216" spans="1:11" x14ac:dyDescent="0.25">
      <c r="A2216" s="1" t="s">
        <v>343</v>
      </c>
      <c r="B2216" s="1"/>
      <c r="C2216" s="1" t="s">
        <v>3178</v>
      </c>
      <c r="D2216" s="1" t="s">
        <v>3403</v>
      </c>
      <c r="E2216" s="1"/>
      <c r="F2216">
        <v>1.3</v>
      </c>
      <c r="G2216">
        <v>0.3</v>
      </c>
      <c r="H2216">
        <v>55</v>
      </c>
      <c r="I2216">
        <v>0</v>
      </c>
      <c r="J2216">
        <v>1</v>
      </c>
      <c r="K2216" s="2">
        <v>45779</v>
      </c>
    </row>
    <row r="2217" spans="1:11" x14ac:dyDescent="0.25">
      <c r="A2217" s="1" t="s">
        <v>343</v>
      </c>
      <c r="B2217" s="1"/>
      <c r="C2217" s="1" t="s">
        <v>3062</v>
      </c>
      <c r="D2217" s="1" t="s">
        <v>3372</v>
      </c>
      <c r="E2217" s="1"/>
      <c r="F2217">
        <v>1</v>
      </c>
      <c r="G2217">
        <v>0</v>
      </c>
      <c r="H2217">
        <v>55</v>
      </c>
      <c r="I2217">
        <v>0</v>
      </c>
      <c r="J2217">
        <v>1</v>
      </c>
      <c r="K2217" s="2">
        <v>45779</v>
      </c>
    </row>
    <row r="2218" spans="1:11" x14ac:dyDescent="0.25">
      <c r="A2218" s="1" t="s">
        <v>343</v>
      </c>
      <c r="B2218" s="1"/>
      <c r="C2218" s="1" t="s">
        <v>3179</v>
      </c>
      <c r="D2218" s="1" t="s">
        <v>3372</v>
      </c>
      <c r="E2218" s="1"/>
      <c r="F2218">
        <v>2</v>
      </c>
      <c r="G2218">
        <v>0</v>
      </c>
      <c r="H2218">
        <v>105</v>
      </c>
      <c r="I2218">
        <v>0</v>
      </c>
      <c r="J2218">
        <v>1</v>
      </c>
      <c r="K2218" s="2">
        <v>45779</v>
      </c>
    </row>
    <row r="2219" spans="1:11" x14ac:dyDescent="0.25">
      <c r="A2219" s="1" t="s">
        <v>343</v>
      </c>
      <c r="B2219" s="1"/>
      <c r="C2219" s="1" t="s">
        <v>3180</v>
      </c>
      <c r="D2219" s="1" t="s">
        <v>3375</v>
      </c>
      <c r="E2219" s="1"/>
      <c r="F2219">
        <v>0</v>
      </c>
      <c r="G2219">
        <v>0</v>
      </c>
      <c r="H2219">
        <v>5</v>
      </c>
      <c r="I2219">
        <v>0</v>
      </c>
      <c r="J2219">
        <v>1</v>
      </c>
      <c r="K2219" s="2">
        <v>45779</v>
      </c>
    </row>
    <row r="2220" spans="1:11" x14ac:dyDescent="0.25">
      <c r="A2220" s="1">
        <v>0</v>
      </c>
      <c r="B2220" s="1"/>
      <c r="C2220" s="1" t="s">
        <v>3062</v>
      </c>
      <c r="D2220" s="1" t="s">
        <v>3372</v>
      </c>
      <c r="E2220" s="1"/>
      <c r="F2220">
        <v>1</v>
      </c>
      <c r="G2220">
        <v>0</v>
      </c>
      <c r="H2220">
        <v>55</v>
      </c>
      <c r="I2220">
        <v>0</v>
      </c>
      <c r="J2220">
        <v>1</v>
      </c>
      <c r="K2220" s="2">
        <v>45747</v>
      </c>
    </row>
    <row r="2221" spans="1:11" x14ac:dyDescent="0.25">
      <c r="A2221" s="1">
        <v>0</v>
      </c>
      <c r="B2221" s="1"/>
      <c r="C2221" s="1" t="s">
        <v>3179</v>
      </c>
      <c r="D2221" s="1" t="s">
        <v>3372</v>
      </c>
      <c r="E2221" s="1"/>
      <c r="F2221">
        <v>2</v>
      </c>
      <c r="G2221">
        <v>0</v>
      </c>
      <c r="H2221">
        <v>105</v>
      </c>
      <c r="I2221">
        <v>0</v>
      </c>
      <c r="J2221">
        <v>1</v>
      </c>
      <c r="K2221" s="2">
        <v>45747</v>
      </c>
    </row>
    <row r="2222" spans="1:11" x14ac:dyDescent="0.25">
      <c r="A2222" s="1">
        <v>0</v>
      </c>
      <c r="B2222" s="1"/>
      <c r="C2222" s="1" t="s">
        <v>3180</v>
      </c>
      <c r="D2222" s="1" t="s">
        <v>3375</v>
      </c>
      <c r="E2222" s="1"/>
      <c r="F2222">
        <v>0</v>
      </c>
      <c r="G2222">
        <v>0</v>
      </c>
      <c r="H2222">
        <v>5</v>
      </c>
      <c r="I2222">
        <v>0</v>
      </c>
      <c r="J2222">
        <v>1</v>
      </c>
      <c r="K2222" s="2">
        <v>45735</v>
      </c>
    </row>
    <row r="2223" spans="1:11" x14ac:dyDescent="0.25">
      <c r="A2223" s="1">
        <v>0</v>
      </c>
      <c r="B2223" s="1"/>
      <c r="C2223" s="1" t="s">
        <v>3174</v>
      </c>
      <c r="D2223" s="1" t="s">
        <v>3389</v>
      </c>
      <c r="E2223" s="1"/>
      <c r="F2223">
        <v>0</v>
      </c>
      <c r="G2223">
        <v>0</v>
      </c>
      <c r="H2223">
        <v>-685</v>
      </c>
      <c r="I2223">
        <v>0</v>
      </c>
      <c r="J2223">
        <v>1</v>
      </c>
      <c r="K2223" s="2">
        <v>45748</v>
      </c>
    </row>
    <row r="2224" spans="1:11" x14ac:dyDescent="0.25">
      <c r="A2224" s="1">
        <v>0</v>
      </c>
      <c r="B2224" s="1"/>
      <c r="C2224" s="1" t="s">
        <v>3175</v>
      </c>
      <c r="D2224" s="1" t="s">
        <v>3372</v>
      </c>
      <c r="E2224" s="1"/>
      <c r="F2224">
        <v>2</v>
      </c>
      <c r="G2224">
        <v>0.8</v>
      </c>
      <c r="H2224">
        <v>60</v>
      </c>
      <c r="I2224">
        <v>0</v>
      </c>
      <c r="J2224">
        <v>1</v>
      </c>
      <c r="K2224" s="2">
        <v>45747</v>
      </c>
    </row>
    <row r="2225" spans="1:11" x14ac:dyDescent="0.25">
      <c r="A2225" s="1" t="s">
        <v>472</v>
      </c>
      <c r="B2225" s="1"/>
      <c r="C2225" s="1" t="s">
        <v>3176</v>
      </c>
      <c r="D2225" s="1" t="s">
        <v>3370</v>
      </c>
      <c r="E2225" s="1"/>
      <c r="F2225">
        <v>0</v>
      </c>
      <c r="G2225">
        <v>0</v>
      </c>
      <c r="H2225">
        <v>0</v>
      </c>
      <c r="I2225">
        <v>0</v>
      </c>
      <c r="J2225">
        <v>1</v>
      </c>
      <c r="K2225" s="2">
        <v>45748</v>
      </c>
    </row>
    <row r="2226" spans="1:11" x14ac:dyDescent="0.25">
      <c r="A2226" s="1" t="s">
        <v>472</v>
      </c>
      <c r="B2226" s="1"/>
      <c r="C2226" s="1" t="s">
        <v>2808</v>
      </c>
      <c r="D2226" s="1" t="s">
        <v>3370</v>
      </c>
      <c r="E2226" s="1"/>
      <c r="F2226">
        <v>0</v>
      </c>
      <c r="G2226">
        <v>0</v>
      </c>
      <c r="H2226">
        <v>0</v>
      </c>
      <c r="I2226">
        <v>0</v>
      </c>
      <c r="J2226">
        <v>1</v>
      </c>
      <c r="K2226" s="2">
        <v>45748</v>
      </c>
    </row>
    <row r="2227" spans="1:11" x14ac:dyDescent="0.25">
      <c r="A2227" s="1" t="s">
        <v>472</v>
      </c>
      <c r="B2227" s="1"/>
      <c r="C2227" s="1" t="s">
        <v>3177</v>
      </c>
      <c r="D2227" s="1" t="s">
        <v>3425</v>
      </c>
      <c r="E2227" s="1"/>
      <c r="F2227">
        <v>11.3</v>
      </c>
      <c r="G2227">
        <v>6.9</v>
      </c>
      <c r="H2227">
        <v>190</v>
      </c>
      <c r="I2227">
        <v>0</v>
      </c>
      <c r="J2227">
        <v>1</v>
      </c>
      <c r="K2227" s="2">
        <v>45771</v>
      </c>
    </row>
    <row r="2228" spans="1:11" x14ac:dyDescent="0.25">
      <c r="A2228" s="1" t="s">
        <v>472</v>
      </c>
      <c r="B2228" s="1"/>
      <c r="C2228" s="1" t="s">
        <v>3178</v>
      </c>
      <c r="D2228" s="1" t="s">
        <v>3403</v>
      </c>
      <c r="E2228" s="1"/>
      <c r="F2228">
        <v>1.3</v>
      </c>
      <c r="G2228">
        <v>0.6</v>
      </c>
      <c r="H2228">
        <v>45</v>
      </c>
      <c r="I2228">
        <v>0</v>
      </c>
      <c r="J2228">
        <v>1</v>
      </c>
      <c r="K2228" s="2">
        <v>45771</v>
      </c>
    </row>
    <row r="2229" spans="1:11" x14ac:dyDescent="0.25">
      <c r="A2229" s="1" t="s">
        <v>472</v>
      </c>
      <c r="B2229" s="1"/>
      <c r="C2229" s="1" t="s">
        <v>3062</v>
      </c>
      <c r="D2229" s="1" t="s">
        <v>3372</v>
      </c>
      <c r="E2229" s="1"/>
      <c r="F2229">
        <v>1</v>
      </c>
      <c r="G2229">
        <v>3.5</v>
      </c>
      <c r="H2229">
        <v>-125</v>
      </c>
      <c r="I2229">
        <v>0</v>
      </c>
      <c r="J2229">
        <v>1</v>
      </c>
      <c r="K2229" s="2">
        <v>45758</v>
      </c>
    </row>
    <row r="2230" spans="1:11" x14ac:dyDescent="0.25">
      <c r="A2230" s="1" t="s">
        <v>472</v>
      </c>
      <c r="B2230" s="1"/>
      <c r="C2230" s="1" t="s">
        <v>3180</v>
      </c>
      <c r="D2230" s="1" t="s">
        <v>3375</v>
      </c>
      <c r="E2230" s="1"/>
      <c r="F2230">
        <v>0</v>
      </c>
      <c r="G2230">
        <v>0</v>
      </c>
      <c r="H2230">
        <v>5</v>
      </c>
      <c r="I2230">
        <v>0</v>
      </c>
      <c r="J2230">
        <v>1</v>
      </c>
      <c r="K2230" s="2">
        <v>45761</v>
      </c>
    </row>
    <row r="2231" spans="1:11" x14ac:dyDescent="0.25">
      <c r="A2231" s="1" t="s">
        <v>472</v>
      </c>
      <c r="B2231" s="1"/>
      <c r="C2231" s="1" t="s">
        <v>3174</v>
      </c>
      <c r="D2231" s="1" t="s">
        <v>3389</v>
      </c>
      <c r="E2231" s="1"/>
      <c r="F2231">
        <v>0</v>
      </c>
      <c r="G2231">
        <v>0</v>
      </c>
      <c r="H2231">
        <v>-685</v>
      </c>
      <c r="I2231">
        <v>0</v>
      </c>
      <c r="J2231">
        <v>1</v>
      </c>
      <c r="K2231" s="2">
        <v>45770</v>
      </c>
    </row>
    <row r="2232" spans="1:11" x14ac:dyDescent="0.25">
      <c r="A2232" s="1" t="s">
        <v>472</v>
      </c>
      <c r="B2232" s="1"/>
      <c r="C2232" s="1" t="s">
        <v>3175</v>
      </c>
      <c r="D2232" s="1" t="s">
        <v>3372</v>
      </c>
      <c r="E2232" s="1"/>
      <c r="F2232">
        <v>2</v>
      </c>
      <c r="G2232">
        <v>0.6</v>
      </c>
      <c r="H2232">
        <v>75</v>
      </c>
      <c r="I2232">
        <v>0</v>
      </c>
      <c r="J2232">
        <v>1</v>
      </c>
      <c r="K2232" s="2">
        <v>45771</v>
      </c>
    </row>
    <row r="2233" spans="1:11" x14ac:dyDescent="0.25">
      <c r="A2233" s="1" t="s">
        <v>473</v>
      </c>
      <c r="B2233" s="1"/>
      <c r="C2233" s="1" t="s">
        <v>3176</v>
      </c>
      <c r="D2233" s="1" t="s">
        <v>3370</v>
      </c>
      <c r="E2233" s="1"/>
      <c r="F2233">
        <v>0</v>
      </c>
      <c r="G2233">
        <v>0</v>
      </c>
      <c r="H2233">
        <v>0</v>
      </c>
      <c r="I2233">
        <v>0</v>
      </c>
      <c r="J2233">
        <v>1</v>
      </c>
      <c r="K2233" s="2">
        <v>45748</v>
      </c>
    </row>
    <row r="2234" spans="1:11" x14ac:dyDescent="0.25">
      <c r="A2234" s="1" t="s">
        <v>473</v>
      </c>
      <c r="B2234" s="1"/>
      <c r="C2234" s="1" t="s">
        <v>2808</v>
      </c>
      <c r="D2234" s="1" t="s">
        <v>3370</v>
      </c>
      <c r="E2234" s="1"/>
      <c r="F2234">
        <v>0</v>
      </c>
      <c r="G2234">
        <v>0</v>
      </c>
      <c r="H2234">
        <v>0</v>
      </c>
      <c r="I2234">
        <v>0</v>
      </c>
      <c r="J2234">
        <v>1</v>
      </c>
      <c r="K2234" s="2">
        <v>45748</v>
      </c>
    </row>
    <row r="2235" spans="1:11" x14ac:dyDescent="0.25">
      <c r="A2235" s="1" t="s">
        <v>473</v>
      </c>
      <c r="B2235" s="1"/>
      <c r="C2235" s="1" t="s">
        <v>3177</v>
      </c>
      <c r="D2235" s="1" t="s">
        <v>3425</v>
      </c>
      <c r="E2235" s="1"/>
      <c r="F2235">
        <v>11.3</v>
      </c>
      <c r="G2235">
        <v>2.8</v>
      </c>
      <c r="H2235">
        <v>360</v>
      </c>
      <c r="I2235">
        <v>0</v>
      </c>
      <c r="J2235">
        <v>1</v>
      </c>
      <c r="K2235" s="2">
        <v>45771</v>
      </c>
    </row>
    <row r="2236" spans="1:11" x14ac:dyDescent="0.25">
      <c r="A2236" s="1" t="s">
        <v>473</v>
      </c>
      <c r="B2236" s="1"/>
      <c r="C2236" s="1" t="s">
        <v>3178</v>
      </c>
      <c r="D2236" s="1" t="s">
        <v>3403</v>
      </c>
      <c r="E2236" s="1"/>
      <c r="F2236">
        <v>1.3</v>
      </c>
      <c r="G2236">
        <v>0.8</v>
      </c>
      <c r="H2236">
        <v>35</v>
      </c>
      <c r="I2236">
        <v>0</v>
      </c>
      <c r="J2236">
        <v>1</v>
      </c>
      <c r="K2236" s="2">
        <v>45771</v>
      </c>
    </row>
    <row r="2237" spans="1:11" x14ac:dyDescent="0.25">
      <c r="A2237" s="1" t="s">
        <v>473</v>
      </c>
      <c r="B2237" s="1"/>
      <c r="C2237" s="1" t="s">
        <v>3062</v>
      </c>
      <c r="D2237" s="1" t="s">
        <v>3372</v>
      </c>
      <c r="E2237" s="1"/>
      <c r="F2237">
        <v>1</v>
      </c>
      <c r="G2237">
        <v>2.2999999999999998</v>
      </c>
      <c r="H2237">
        <v>-60</v>
      </c>
      <c r="I2237">
        <v>0</v>
      </c>
      <c r="J2237">
        <v>1</v>
      </c>
      <c r="K2237" s="2">
        <v>45758</v>
      </c>
    </row>
    <row r="2238" spans="1:11" x14ac:dyDescent="0.25">
      <c r="A2238" s="1" t="s">
        <v>473</v>
      </c>
      <c r="B2238" s="1"/>
      <c r="C2238" s="1" t="s">
        <v>3180</v>
      </c>
      <c r="D2238" s="1" t="s">
        <v>3375</v>
      </c>
      <c r="E2238" s="1"/>
      <c r="F2238">
        <v>0</v>
      </c>
      <c r="G2238">
        <v>0</v>
      </c>
      <c r="H2238">
        <v>5</v>
      </c>
      <c r="I2238">
        <v>0</v>
      </c>
      <c r="J2238">
        <v>1</v>
      </c>
      <c r="K2238" s="2">
        <v>45761</v>
      </c>
    </row>
    <row r="2239" spans="1:11" x14ac:dyDescent="0.25">
      <c r="A2239" s="1" t="s">
        <v>473</v>
      </c>
      <c r="B2239" s="1"/>
      <c r="C2239" s="1" t="s">
        <v>3174</v>
      </c>
      <c r="D2239" s="1" t="s">
        <v>3389</v>
      </c>
      <c r="E2239" s="1"/>
      <c r="F2239">
        <v>0</v>
      </c>
      <c r="G2239">
        <v>0</v>
      </c>
      <c r="H2239">
        <v>-685</v>
      </c>
      <c r="I2239">
        <v>0</v>
      </c>
      <c r="J2239">
        <v>1</v>
      </c>
      <c r="K2239" s="2">
        <v>45770</v>
      </c>
    </row>
    <row r="2240" spans="1:11" x14ac:dyDescent="0.25">
      <c r="A2240" s="1" t="s">
        <v>473</v>
      </c>
      <c r="B2240" s="1"/>
      <c r="C2240" s="1" t="s">
        <v>3175</v>
      </c>
      <c r="D2240" s="1" t="s">
        <v>3372</v>
      </c>
      <c r="E2240" s="1"/>
      <c r="F2240">
        <v>2</v>
      </c>
      <c r="G2240">
        <v>0.5</v>
      </c>
      <c r="H2240">
        <v>75</v>
      </c>
      <c r="I2240">
        <v>0</v>
      </c>
      <c r="J2240">
        <v>1</v>
      </c>
      <c r="K2240" s="2">
        <v>45771</v>
      </c>
    </row>
    <row r="2241" spans="1:11" x14ac:dyDescent="0.25">
      <c r="A2241" s="1" t="s">
        <v>474</v>
      </c>
      <c r="B2241" s="1"/>
      <c r="C2241" s="1" t="s">
        <v>3176</v>
      </c>
      <c r="D2241" s="1" t="s">
        <v>3370</v>
      </c>
      <c r="E2241" s="1"/>
      <c r="F2241">
        <v>0</v>
      </c>
      <c r="G2241">
        <v>0</v>
      </c>
      <c r="H2241">
        <v>0</v>
      </c>
      <c r="I2241">
        <v>0</v>
      </c>
      <c r="J2241">
        <v>1</v>
      </c>
      <c r="K2241" s="2">
        <v>45768</v>
      </c>
    </row>
    <row r="2242" spans="1:11" x14ac:dyDescent="0.25">
      <c r="A2242" s="1" t="s">
        <v>474</v>
      </c>
      <c r="B2242" s="1"/>
      <c r="C2242" s="1" t="s">
        <v>2808</v>
      </c>
      <c r="D2242" s="1" t="s">
        <v>3370</v>
      </c>
      <c r="E2242" s="1"/>
      <c r="F2242">
        <v>0</v>
      </c>
      <c r="G2242">
        <v>0</v>
      </c>
      <c r="H2242">
        <v>0</v>
      </c>
      <c r="I2242">
        <v>0</v>
      </c>
      <c r="J2242">
        <v>1</v>
      </c>
      <c r="K2242" s="2">
        <v>45768</v>
      </c>
    </row>
    <row r="2243" spans="1:11" x14ac:dyDescent="0.25">
      <c r="A2243" s="1" t="s">
        <v>474</v>
      </c>
      <c r="B2243" s="1"/>
      <c r="C2243" s="1" t="s">
        <v>3177</v>
      </c>
      <c r="D2243" s="1" t="s">
        <v>3425</v>
      </c>
      <c r="E2243" s="1"/>
      <c r="F2243">
        <v>11.3</v>
      </c>
      <c r="G2243">
        <v>4.9000000000000004</v>
      </c>
      <c r="H2243">
        <v>275</v>
      </c>
      <c r="I2243">
        <v>0</v>
      </c>
      <c r="J2243">
        <v>1</v>
      </c>
      <c r="K2243" s="2">
        <v>45779</v>
      </c>
    </row>
    <row r="2244" spans="1:11" x14ac:dyDescent="0.25">
      <c r="A2244" s="1" t="s">
        <v>474</v>
      </c>
      <c r="B2244" s="1"/>
      <c r="C2244" s="1" t="s">
        <v>3178</v>
      </c>
      <c r="D2244" s="1" t="s">
        <v>3403</v>
      </c>
      <c r="E2244" s="1"/>
      <c r="F2244">
        <v>1.3</v>
      </c>
      <c r="G2244">
        <v>0.5</v>
      </c>
      <c r="H2244">
        <v>50</v>
      </c>
      <c r="I2244">
        <v>0</v>
      </c>
      <c r="J2244">
        <v>1</v>
      </c>
      <c r="K2244" s="2">
        <v>45779</v>
      </c>
    </row>
    <row r="2245" spans="1:11" x14ac:dyDescent="0.25">
      <c r="A2245" s="1" t="s">
        <v>474</v>
      </c>
      <c r="B2245" s="1"/>
      <c r="C2245" s="1" t="s">
        <v>3062</v>
      </c>
      <c r="D2245" s="1" t="s">
        <v>3372</v>
      </c>
      <c r="E2245" s="1"/>
      <c r="F2245">
        <v>1</v>
      </c>
      <c r="G2245">
        <v>0</v>
      </c>
      <c r="H2245">
        <v>50</v>
      </c>
      <c r="I2245">
        <v>0</v>
      </c>
      <c r="J2245">
        <v>1</v>
      </c>
      <c r="K2245" s="2">
        <v>45779</v>
      </c>
    </row>
    <row r="2246" spans="1:11" x14ac:dyDescent="0.25">
      <c r="A2246" s="1" t="s">
        <v>474</v>
      </c>
      <c r="B2246" s="1"/>
      <c r="C2246" s="1" t="s">
        <v>3179</v>
      </c>
      <c r="D2246" s="1" t="s">
        <v>3372</v>
      </c>
      <c r="E2246" s="1"/>
      <c r="F2246">
        <v>2</v>
      </c>
      <c r="G2246">
        <v>0</v>
      </c>
      <c r="H2246">
        <v>105</v>
      </c>
      <c r="I2246">
        <v>0</v>
      </c>
      <c r="J2246">
        <v>1</v>
      </c>
      <c r="K2246" s="2">
        <v>45779</v>
      </c>
    </row>
    <row r="2247" spans="1:11" x14ac:dyDescent="0.25">
      <c r="A2247" s="1" t="s">
        <v>474</v>
      </c>
      <c r="B2247" s="1"/>
      <c r="C2247" s="1" t="s">
        <v>3180</v>
      </c>
      <c r="D2247" s="1" t="s">
        <v>3375</v>
      </c>
      <c r="E2247" s="1"/>
      <c r="F2247">
        <v>0</v>
      </c>
      <c r="G2247">
        <v>0</v>
      </c>
      <c r="H2247">
        <v>5</v>
      </c>
      <c r="I2247">
        <v>0</v>
      </c>
      <c r="J2247">
        <v>1</v>
      </c>
      <c r="K2247" s="2">
        <v>45779</v>
      </c>
    </row>
    <row r="2248" spans="1:11" x14ac:dyDescent="0.25">
      <c r="A2248" s="1" t="s">
        <v>475</v>
      </c>
      <c r="B2248" s="1"/>
      <c r="C2248" s="1" t="s">
        <v>3176</v>
      </c>
      <c r="D2248" s="1" t="s">
        <v>3370</v>
      </c>
      <c r="E2248" s="1"/>
      <c r="F2248">
        <v>0</v>
      </c>
      <c r="G2248">
        <v>0</v>
      </c>
      <c r="H2248">
        <v>0</v>
      </c>
      <c r="I2248">
        <v>0</v>
      </c>
      <c r="J2248">
        <v>1</v>
      </c>
      <c r="K2248" s="2">
        <v>45768</v>
      </c>
    </row>
    <row r="2249" spans="1:11" x14ac:dyDescent="0.25">
      <c r="A2249" s="1" t="s">
        <v>475</v>
      </c>
      <c r="B2249" s="1"/>
      <c r="C2249" s="1" t="s">
        <v>2808</v>
      </c>
      <c r="D2249" s="1" t="s">
        <v>3370</v>
      </c>
      <c r="E2249" s="1"/>
      <c r="F2249">
        <v>0</v>
      </c>
      <c r="G2249">
        <v>0</v>
      </c>
      <c r="H2249">
        <v>0</v>
      </c>
      <c r="I2249">
        <v>0</v>
      </c>
      <c r="J2249">
        <v>1</v>
      </c>
      <c r="K2249" s="2">
        <v>45768</v>
      </c>
    </row>
    <row r="2250" spans="1:11" x14ac:dyDescent="0.25">
      <c r="A2250" s="1" t="s">
        <v>475</v>
      </c>
      <c r="B2250" s="1"/>
      <c r="C2250" s="1" t="s">
        <v>3177</v>
      </c>
      <c r="D2250" s="1" t="s">
        <v>3425</v>
      </c>
      <c r="E2250" s="1"/>
      <c r="F2250">
        <v>11.3</v>
      </c>
      <c r="G2250">
        <v>3.1</v>
      </c>
      <c r="H2250">
        <v>350</v>
      </c>
      <c r="I2250">
        <v>0</v>
      </c>
      <c r="J2250">
        <v>1</v>
      </c>
      <c r="K2250" s="2">
        <v>45779</v>
      </c>
    </row>
    <row r="2251" spans="1:11" x14ac:dyDescent="0.25">
      <c r="A2251" s="1" t="s">
        <v>475</v>
      </c>
      <c r="B2251" s="1"/>
      <c r="C2251" s="1" t="s">
        <v>3178</v>
      </c>
      <c r="D2251" s="1" t="s">
        <v>3403</v>
      </c>
      <c r="E2251" s="1"/>
      <c r="F2251">
        <v>1.3</v>
      </c>
      <c r="G2251">
        <v>0.6</v>
      </c>
      <c r="H2251">
        <v>40</v>
      </c>
      <c r="I2251">
        <v>0</v>
      </c>
      <c r="J2251">
        <v>1</v>
      </c>
      <c r="K2251" s="2">
        <v>45779</v>
      </c>
    </row>
    <row r="2252" spans="1:11" x14ac:dyDescent="0.25">
      <c r="A2252" s="1" t="s">
        <v>475</v>
      </c>
      <c r="B2252" s="1"/>
      <c r="C2252" s="1" t="s">
        <v>3062</v>
      </c>
      <c r="D2252" s="1" t="s">
        <v>3372</v>
      </c>
      <c r="E2252" s="1"/>
      <c r="F2252">
        <v>1</v>
      </c>
      <c r="G2252">
        <v>0</v>
      </c>
      <c r="H2252">
        <v>55</v>
      </c>
      <c r="I2252">
        <v>0</v>
      </c>
      <c r="J2252">
        <v>1</v>
      </c>
      <c r="K2252" s="2">
        <v>45779</v>
      </c>
    </row>
    <row r="2253" spans="1:11" x14ac:dyDescent="0.25">
      <c r="A2253" s="1" t="s">
        <v>475</v>
      </c>
      <c r="B2253" s="1"/>
      <c r="C2253" s="1" t="s">
        <v>3179</v>
      </c>
      <c r="D2253" s="1" t="s">
        <v>3372</v>
      </c>
      <c r="E2253" s="1"/>
      <c r="F2253">
        <v>2</v>
      </c>
      <c r="G2253">
        <v>0</v>
      </c>
      <c r="H2253">
        <v>105</v>
      </c>
      <c r="I2253">
        <v>0</v>
      </c>
      <c r="J2253">
        <v>1</v>
      </c>
      <c r="K2253" s="2">
        <v>45779</v>
      </c>
    </row>
    <row r="2254" spans="1:11" x14ac:dyDescent="0.25">
      <c r="A2254" s="1" t="s">
        <v>475</v>
      </c>
      <c r="B2254" s="1"/>
      <c r="C2254" s="1" t="s">
        <v>3180</v>
      </c>
      <c r="D2254" s="1" t="s">
        <v>3375</v>
      </c>
      <c r="E2254" s="1"/>
      <c r="F2254">
        <v>0</v>
      </c>
      <c r="G2254">
        <v>0</v>
      </c>
      <c r="H2254">
        <v>5</v>
      </c>
      <c r="I2254">
        <v>0</v>
      </c>
      <c r="J2254">
        <v>1</v>
      </c>
      <c r="K2254" s="2">
        <v>45779</v>
      </c>
    </row>
    <row r="2255" spans="1:11" x14ac:dyDescent="0.25">
      <c r="A2255" s="1" t="s">
        <v>672</v>
      </c>
      <c r="B2255" s="1"/>
      <c r="C2255" s="1" t="s">
        <v>3176</v>
      </c>
      <c r="D2255" s="1" t="s">
        <v>3370</v>
      </c>
      <c r="E2255" s="1"/>
      <c r="F2255">
        <v>0</v>
      </c>
      <c r="G2255">
        <v>0</v>
      </c>
      <c r="H2255">
        <v>0</v>
      </c>
      <c r="I2255">
        <v>0</v>
      </c>
      <c r="J2255">
        <v>1</v>
      </c>
      <c r="K2255" s="2">
        <v>45769</v>
      </c>
    </row>
    <row r="2256" spans="1:11" x14ac:dyDescent="0.25">
      <c r="A2256" s="1" t="s">
        <v>672</v>
      </c>
      <c r="B2256" s="1"/>
      <c r="C2256" s="1" t="s">
        <v>2808</v>
      </c>
      <c r="D2256" s="1" t="s">
        <v>3370</v>
      </c>
      <c r="E2256" s="1"/>
      <c r="F2256">
        <v>0</v>
      </c>
      <c r="G2256">
        <v>0</v>
      </c>
      <c r="H2256">
        <v>0</v>
      </c>
      <c r="I2256">
        <v>0</v>
      </c>
      <c r="J2256">
        <v>1</v>
      </c>
      <c r="K2256" s="2">
        <v>45769</v>
      </c>
    </row>
    <row r="2257" spans="1:11" x14ac:dyDescent="0.25">
      <c r="A2257" s="1" t="s">
        <v>672</v>
      </c>
      <c r="B2257" s="1"/>
      <c r="C2257" s="1" t="s">
        <v>3177</v>
      </c>
      <c r="D2257" s="1" t="s">
        <v>3425</v>
      </c>
      <c r="E2257" s="1"/>
      <c r="F2257">
        <v>11.3</v>
      </c>
      <c r="G2257">
        <v>4.8</v>
      </c>
      <c r="H2257">
        <v>275</v>
      </c>
      <c r="I2257">
        <v>0</v>
      </c>
      <c r="J2257">
        <v>1</v>
      </c>
      <c r="K2257" s="2">
        <v>45779</v>
      </c>
    </row>
    <row r="2258" spans="1:11" x14ac:dyDescent="0.25">
      <c r="A2258" s="1" t="s">
        <v>672</v>
      </c>
      <c r="B2258" s="1"/>
      <c r="C2258" s="1" t="s">
        <v>3178</v>
      </c>
      <c r="D2258" s="1" t="s">
        <v>3403</v>
      </c>
      <c r="E2258" s="1"/>
      <c r="F2258">
        <v>1.3</v>
      </c>
      <c r="G2258">
        <v>0.4</v>
      </c>
      <c r="H2258">
        <v>55</v>
      </c>
      <c r="I2258">
        <v>0</v>
      </c>
      <c r="J2258">
        <v>1</v>
      </c>
      <c r="K2258" s="2">
        <v>45779</v>
      </c>
    </row>
    <row r="2259" spans="1:11" x14ac:dyDescent="0.25">
      <c r="A2259" s="1" t="s">
        <v>672</v>
      </c>
      <c r="B2259" s="1"/>
      <c r="C2259" s="1" t="s">
        <v>3062</v>
      </c>
      <c r="D2259" s="1" t="s">
        <v>3372</v>
      </c>
      <c r="E2259" s="1"/>
      <c r="F2259">
        <v>1</v>
      </c>
      <c r="G2259">
        <v>0</v>
      </c>
      <c r="H2259">
        <v>55</v>
      </c>
      <c r="I2259">
        <v>0</v>
      </c>
      <c r="J2259">
        <v>1</v>
      </c>
      <c r="K2259" s="2">
        <v>45779</v>
      </c>
    </row>
    <row r="2260" spans="1:11" x14ac:dyDescent="0.25">
      <c r="A2260" s="1" t="s">
        <v>672</v>
      </c>
      <c r="B2260" s="1"/>
      <c r="C2260" s="1" t="s">
        <v>3179</v>
      </c>
      <c r="D2260" s="1" t="s">
        <v>3372</v>
      </c>
      <c r="E2260" s="1"/>
      <c r="F2260">
        <v>2</v>
      </c>
      <c r="G2260">
        <v>0</v>
      </c>
      <c r="H2260">
        <v>105</v>
      </c>
      <c r="I2260">
        <v>0</v>
      </c>
      <c r="J2260">
        <v>1</v>
      </c>
      <c r="K2260" s="2">
        <v>45779</v>
      </c>
    </row>
    <row r="2261" spans="1:11" x14ac:dyDescent="0.25">
      <c r="A2261" s="1" t="s">
        <v>672</v>
      </c>
      <c r="B2261" s="1"/>
      <c r="C2261" s="1" t="s">
        <v>3180</v>
      </c>
      <c r="D2261" s="1" t="s">
        <v>3375</v>
      </c>
      <c r="E2261" s="1"/>
      <c r="F2261">
        <v>0</v>
      </c>
      <c r="G2261">
        <v>0</v>
      </c>
      <c r="H2261">
        <v>5</v>
      </c>
      <c r="I2261">
        <v>0</v>
      </c>
      <c r="J2261">
        <v>1</v>
      </c>
      <c r="K2261" s="2">
        <v>45779</v>
      </c>
    </row>
    <row r="2262" spans="1:11" x14ac:dyDescent="0.25">
      <c r="A2262" s="1" t="s">
        <v>674</v>
      </c>
      <c r="B2262" s="1"/>
      <c r="C2262" s="1" t="s">
        <v>3176</v>
      </c>
      <c r="D2262" s="1" t="s">
        <v>3370</v>
      </c>
      <c r="E2262" s="1"/>
      <c r="F2262">
        <v>0</v>
      </c>
      <c r="G2262">
        <v>0</v>
      </c>
      <c r="H2262">
        <v>0</v>
      </c>
      <c r="I2262">
        <v>0</v>
      </c>
      <c r="J2262">
        <v>1</v>
      </c>
      <c r="K2262" s="2">
        <v>45769</v>
      </c>
    </row>
    <row r="2263" spans="1:11" x14ac:dyDescent="0.25">
      <c r="A2263" s="1" t="s">
        <v>674</v>
      </c>
      <c r="B2263" s="1"/>
      <c r="C2263" s="1" t="s">
        <v>2808</v>
      </c>
      <c r="D2263" s="1" t="s">
        <v>3370</v>
      </c>
      <c r="E2263" s="1"/>
      <c r="F2263">
        <v>0</v>
      </c>
      <c r="G2263">
        <v>0</v>
      </c>
      <c r="H2263">
        <v>0</v>
      </c>
      <c r="I2263">
        <v>0</v>
      </c>
      <c r="J2263">
        <v>1</v>
      </c>
      <c r="K2263" s="2">
        <v>45769</v>
      </c>
    </row>
    <row r="2264" spans="1:11" x14ac:dyDescent="0.25">
      <c r="A2264" s="1" t="s">
        <v>674</v>
      </c>
      <c r="B2264" s="1"/>
      <c r="C2264" s="1" t="s">
        <v>3177</v>
      </c>
      <c r="D2264" s="1" t="s">
        <v>3425</v>
      </c>
      <c r="E2264" s="1"/>
      <c r="F2264">
        <v>11.3</v>
      </c>
      <c r="G2264">
        <v>6.1</v>
      </c>
      <c r="H2264">
        <v>220</v>
      </c>
      <c r="I2264">
        <v>0</v>
      </c>
      <c r="J2264">
        <v>1</v>
      </c>
      <c r="K2264" s="2">
        <v>45779</v>
      </c>
    </row>
    <row r="2265" spans="1:11" x14ac:dyDescent="0.25">
      <c r="A2265" s="1" t="s">
        <v>674</v>
      </c>
      <c r="B2265" s="1"/>
      <c r="C2265" s="1" t="s">
        <v>3178</v>
      </c>
      <c r="D2265" s="1" t="s">
        <v>3403</v>
      </c>
      <c r="E2265" s="1"/>
      <c r="F2265">
        <v>1.3</v>
      </c>
      <c r="G2265">
        <v>0.5</v>
      </c>
      <c r="H2265">
        <v>45</v>
      </c>
      <c r="I2265">
        <v>0</v>
      </c>
      <c r="J2265">
        <v>1</v>
      </c>
      <c r="K2265" s="2">
        <v>45779</v>
      </c>
    </row>
    <row r="2266" spans="1:11" x14ac:dyDescent="0.25">
      <c r="A2266" s="1" t="s">
        <v>674</v>
      </c>
      <c r="B2266" s="1"/>
      <c r="C2266" s="1" t="s">
        <v>3062</v>
      </c>
      <c r="D2266" s="1" t="s">
        <v>3372</v>
      </c>
      <c r="E2266" s="1"/>
      <c r="F2266">
        <v>1</v>
      </c>
      <c r="G2266">
        <v>0</v>
      </c>
      <c r="H2266">
        <v>55</v>
      </c>
      <c r="I2266">
        <v>0</v>
      </c>
      <c r="J2266">
        <v>1</v>
      </c>
      <c r="K2266" s="2">
        <v>45779</v>
      </c>
    </row>
    <row r="2267" spans="1:11" x14ac:dyDescent="0.25">
      <c r="A2267" s="1" t="s">
        <v>674</v>
      </c>
      <c r="B2267" s="1"/>
      <c r="C2267" s="1" t="s">
        <v>3179</v>
      </c>
      <c r="D2267" s="1" t="s">
        <v>3372</v>
      </c>
      <c r="E2267" s="1"/>
      <c r="F2267">
        <v>2</v>
      </c>
      <c r="G2267">
        <v>0</v>
      </c>
      <c r="H2267">
        <v>105</v>
      </c>
      <c r="I2267">
        <v>0</v>
      </c>
      <c r="J2267">
        <v>1</v>
      </c>
      <c r="K2267" s="2">
        <v>45779</v>
      </c>
    </row>
    <row r="2268" spans="1:11" x14ac:dyDescent="0.25">
      <c r="A2268" s="1" t="s">
        <v>674</v>
      </c>
      <c r="B2268" s="1"/>
      <c r="C2268" s="1" t="s">
        <v>3180</v>
      </c>
      <c r="D2268" s="1" t="s">
        <v>3375</v>
      </c>
      <c r="E2268" s="1"/>
      <c r="F2268">
        <v>0</v>
      </c>
      <c r="G2268">
        <v>0</v>
      </c>
      <c r="H2268">
        <v>5</v>
      </c>
      <c r="I2268">
        <v>0</v>
      </c>
      <c r="J2268">
        <v>1</v>
      </c>
      <c r="K2268" s="2">
        <v>45779</v>
      </c>
    </row>
    <row r="2269" spans="1:11" x14ac:dyDescent="0.25">
      <c r="A2269" s="1" t="s">
        <v>673</v>
      </c>
      <c r="B2269" s="1"/>
      <c r="C2269" s="1" t="s">
        <v>3176</v>
      </c>
      <c r="D2269" s="1" t="s">
        <v>3370</v>
      </c>
      <c r="E2269" s="1"/>
      <c r="F2269">
        <v>0</v>
      </c>
      <c r="G2269">
        <v>0</v>
      </c>
      <c r="H2269">
        <v>0</v>
      </c>
      <c r="I2269">
        <v>0</v>
      </c>
      <c r="J2269">
        <v>1</v>
      </c>
      <c r="K2269" s="2">
        <v>45769</v>
      </c>
    </row>
    <row r="2270" spans="1:11" x14ac:dyDescent="0.25">
      <c r="A2270" s="1" t="s">
        <v>673</v>
      </c>
      <c r="B2270" s="1"/>
      <c r="C2270" s="1" t="s">
        <v>2808</v>
      </c>
      <c r="D2270" s="1" t="s">
        <v>3370</v>
      </c>
      <c r="E2270" s="1"/>
      <c r="F2270">
        <v>0</v>
      </c>
      <c r="G2270">
        <v>0</v>
      </c>
      <c r="H2270">
        <v>0</v>
      </c>
      <c r="I2270">
        <v>0</v>
      </c>
      <c r="J2270">
        <v>1</v>
      </c>
      <c r="K2270" s="2">
        <v>45769</v>
      </c>
    </row>
    <row r="2271" spans="1:11" x14ac:dyDescent="0.25">
      <c r="A2271" s="1" t="s">
        <v>673</v>
      </c>
      <c r="B2271" s="1"/>
      <c r="C2271" s="1" t="s">
        <v>3177</v>
      </c>
      <c r="D2271" s="1" t="s">
        <v>3425</v>
      </c>
      <c r="E2271" s="1"/>
      <c r="F2271">
        <v>11.3</v>
      </c>
      <c r="G2271">
        <v>6.5</v>
      </c>
      <c r="H2271">
        <v>205</v>
      </c>
      <c r="I2271">
        <v>0</v>
      </c>
      <c r="J2271">
        <v>1</v>
      </c>
      <c r="K2271" s="2">
        <v>45779</v>
      </c>
    </row>
    <row r="2272" spans="1:11" x14ac:dyDescent="0.25">
      <c r="A2272" s="1" t="s">
        <v>673</v>
      </c>
      <c r="B2272" s="1"/>
      <c r="C2272" s="1" t="s">
        <v>3178</v>
      </c>
      <c r="D2272" s="1" t="s">
        <v>3403</v>
      </c>
      <c r="E2272" s="1"/>
      <c r="F2272">
        <v>1.3</v>
      </c>
      <c r="G2272">
        <v>0</v>
      </c>
      <c r="H2272">
        <v>70</v>
      </c>
      <c r="I2272">
        <v>0</v>
      </c>
      <c r="J2272">
        <v>1</v>
      </c>
      <c r="K2272" s="2">
        <v>45779</v>
      </c>
    </row>
    <row r="2273" spans="1:11" x14ac:dyDescent="0.25">
      <c r="A2273" s="1" t="s">
        <v>673</v>
      </c>
      <c r="B2273" s="1"/>
      <c r="C2273" s="1" t="s">
        <v>3062</v>
      </c>
      <c r="D2273" s="1" t="s">
        <v>3372</v>
      </c>
      <c r="E2273" s="1"/>
      <c r="F2273">
        <v>1</v>
      </c>
      <c r="G2273">
        <v>0.6</v>
      </c>
      <c r="H2273">
        <v>20</v>
      </c>
      <c r="I2273">
        <v>0</v>
      </c>
      <c r="J2273">
        <v>1</v>
      </c>
      <c r="K2273" s="2">
        <v>45779</v>
      </c>
    </row>
    <row r="2274" spans="1:11" x14ac:dyDescent="0.25">
      <c r="A2274" s="1" t="s">
        <v>673</v>
      </c>
      <c r="B2274" s="1"/>
      <c r="C2274" s="1" t="s">
        <v>3179</v>
      </c>
      <c r="D2274" s="1" t="s">
        <v>3372</v>
      </c>
      <c r="E2274" s="1"/>
      <c r="F2274">
        <v>2</v>
      </c>
      <c r="G2274">
        <v>0</v>
      </c>
      <c r="H2274">
        <v>105</v>
      </c>
      <c r="I2274">
        <v>0</v>
      </c>
      <c r="J2274">
        <v>1</v>
      </c>
      <c r="K2274" s="2">
        <v>45779</v>
      </c>
    </row>
    <row r="2275" spans="1:11" x14ac:dyDescent="0.25">
      <c r="A2275" s="1" t="s">
        <v>673</v>
      </c>
      <c r="B2275" s="1"/>
      <c r="C2275" s="1" t="s">
        <v>3180</v>
      </c>
      <c r="D2275" s="1" t="s">
        <v>3375</v>
      </c>
      <c r="E2275" s="1"/>
      <c r="F2275">
        <v>0</v>
      </c>
      <c r="G2275">
        <v>0</v>
      </c>
      <c r="H2275">
        <v>5</v>
      </c>
      <c r="I2275">
        <v>0</v>
      </c>
      <c r="J2275">
        <v>1</v>
      </c>
      <c r="K2275" s="2">
        <v>45779</v>
      </c>
    </row>
    <row r="2276" spans="1:11" x14ac:dyDescent="0.25">
      <c r="A2276" s="1" t="s">
        <v>675</v>
      </c>
      <c r="B2276" s="1"/>
      <c r="C2276" s="1" t="s">
        <v>3176</v>
      </c>
      <c r="D2276" s="1" t="s">
        <v>3370</v>
      </c>
      <c r="E2276" s="1"/>
      <c r="F2276">
        <v>0</v>
      </c>
      <c r="G2276">
        <v>0</v>
      </c>
      <c r="H2276">
        <v>0</v>
      </c>
      <c r="I2276">
        <v>0</v>
      </c>
      <c r="J2276">
        <v>1</v>
      </c>
      <c r="K2276" s="2">
        <v>45769</v>
      </c>
    </row>
    <row r="2277" spans="1:11" x14ac:dyDescent="0.25">
      <c r="A2277" s="1" t="s">
        <v>675</v>
      </c>
      <c r="B2277" s="1"/>
      <c r="C2277" s="1" t="s">
        <v>2808</v>
      </c>
      <c r="D2277" s="1" t="s">
        <v>3370</v>
      </c>
      <c r="E2277" s="1"/>
      <c r="F2277">
        <v>0</v>
      </c>
      <c r="G2277">
        <v>0</v>
      </c>
      <c r="H2277">
        <v>0</v>
      </c>
      <c r="I2277">
        <v>0</v>
      </c>
      <c r="J2277">
        <v>1</v>
      </c>
      <c r="K2277" s="2">
        <v>45769</v>
      </c>
    </row>
    <row r="2278" spans="1:11" x14ac:dyDescent="0.25">
      <c r="A2278" s="1" t="s">
        <v>675</v>
      </c>
      <c r="B2278" s="1"/>
      <c r="C2278" s="1" t="s">
        <v>3177</v>
      </c>
      <c r="D2278" s="1" t="s">
        <v>3425</v>
      </c>
      <c r="E2278" s="1"/>
      <c r="F2278">
        <v>11.3</v>
      </c>
      <c r="G2278">
        <v>5.5</v>
      </c>
      <c r="H2278">
        <v>250</v>
      </c>
      <c r="I2278">
        <v>0</v>
      </c>
      <c r="J2278">
        <v>1</v>
      </c>
      <c r="K2278" s="2">
        <v>45772</v>
      </c>
    </row>
    <row r="2279" spans="1:11" x14ac:dyDescent="0.25">
      <c r="A2279" s="1" t="s">
        <v>675</v>
      </c>
      <c r="B2279" s="1"/>
      <c r="C2279" s="1" t="s">
        <v>3178</v>
      </c>
      <c r="D2279" s="1" t="s">
        <v>3403</v>
      </c>
      <c r="E2279" s="1"/>
      <c r="F2279">
        <v>1.3</v>
      </c>
      <c r="G2279">
        <v>0.6</v>
      </c>
      <c r="H2279">
        <v>40</v>
      </c>
      <c r="I2279">
        <v>0</v>
      </c>
      <c r="J2279">
        <v>1</v>
      </c>
      <c r="K2279" s="2">
        <v>45772</v>
      </c>
    </row>
    <row r="2280" spans="1:11" x14ac:dyDescent="0.25">
      <c r="A2280" s="1" t="s">
        <v>675</v>
      </c>
      <c r="B2280" s="1"/>
      <c r="C2280" s="1" t="s">
        <v>3062</v>
      </c>
      <c r="D2280" s="1" t="s">
        <v>3372</v>
      </c>
      <c r="E2280" s="1"/>
      <c r="F2280">
        <v>1</v>
      </c>
      <c r="G2280">
        <v>0</v>
      </c>
      <c r="H2280">
        <v>55</v>
      </c>
      <c r="I2280">
        <v>0</v>
      </c>
      <c r="J2280">
        <v>1</v>
      </c>
      <c r="K2280" s="2">
        <v>45779</v>
      </c>
    </row>
    <row r="2281" spans="1:11" x14ac:dyDescent="0.25">
      <c r="A2281" s="1" t="s">
        <v>675</v>
      </c>
      <c r="B2281" s="1"/>
      <c r="C2281" s="1" t="s">
        <v>3179</v>
      </c>
      <c r="D2281" s="1" t="s">
        <v>3372</v>
      </c>
      <c r="E2281" s="1"/>
      <c r="F2281">
        <v>2</v>
      </c>
      <c r="G2281">
        <v>0</v>
      </c>
      <c r="H2281">
        <v>100</v>
      </c>
      <c r="I2281">
        <v>0</v>
      </c>
      <c r="J2281">
        <v>1</v>
      </c>
      <c r="K2281" s="2">
        <v>45779</v>
      </c>
    </row>
    <row r="2282" spans="1:11" x14ac:dyDescent="0.25">
      <c r="A2282" s="1" t="s">
        <v>675</v>
      </c>
      <c r="B2282" s="1"/>
      <c r="C2282" s="1" t="s">
        <v>3180</v>
      </c>
      <c r="D2282" s="1" t="s">
        <v>3375</v>
      </c>
      <c r="E2282" s="1"/>
      <c r="F2282">
        <v>0</v>
      </c>
      <c r="G2282">
        <v>0</v>
      </c>
      <c r="H2282">
        <v>5</v>
      </c>
      <c r="I2282">
        <v>0</v>
      </c>
      <c r="J2282">
        <v>1</v>
      </c>
      <c r="K2282" s="2">
        <v>45779</v>
      </c>
    </row>
    <row r="2283" spans="1:11" x14ac:dyDescent="0.25">
      <c r="A2283" s="1" t="s">
        <v>887</v>
      </c>
      <c r="B2283" s="1"/>
      <c r="C2283" s="1" t="s">
        <v>3176</v>
      </c>
      <c r="D2283" s="1" t="s">
        <v>3370</v>
      </c>
      <c r="E2283" s="1"/>
      <c r="F2283">
        <v>0</v>
      </c>
      <c r="G2283">
        <v>0</v>
      </c>
      <c r="H2283">
        <v>0</v>
      </c>
      <c r="I2283">
        <v>0</v>
      </c>
      <c r="J2283">
        <v>1</v>
      </c>
      <c r="K2283" s="2">
        <v>45782</v>
      </c>
    </row>
    <row r="2284" spans="1:11" x14ac:dyDescent="0.25">
      <c r="A2284" s="1" t="s">
        <v>887</v>
      </c>
      <c r="B2284" s="1"/>
      <c r="C2284" s="1" t="s">
        <v>2808</v>
      </c>
      <c r="D2284" s="1" t="s">
        <v>3370</v>
      </c>
      <c r="E2284" s="1"/>
      <c r="F2284">
        <v>0</v>
      </c>
      <c r="G2284">
        <v>0</v>
      </c>
      <c r="H2284">
        <v>0</v>
      </c>
      <c r="I2284">
        <v>0</v>
      </c>
      <c r="J2284">
        <v>1</v>
      </c>
      <c r="K2284" s="2">
        <v>45782</v>
      </c>
    </row>
    <row r="2285" spans="1:11" x14ac:dyDescent="0.25">
      <c r="A2285" s="1" t="s">
        <v>887</v>
      </c>
      <c r="B2285" s="1"/>
      <c r="C2285" s="1" t="s">
        <v>3177</v>
      </c>
      <c r="D2285" s="1" t="s">
        <v>3425</v>
      </c>
      <c r="E2285" s="1"/>
      <c r="F2285">
        <v>11.3</v>
      </c>
      <c r="G2285">
        <v>8.8000000000000007</v>
      </c>
      <c r="H2285">
        <v>110</v>
      </c>
      <c r="I2285">
        <v>0</v>
      </c>
      <c r="J2285">
        <v>1</v>
      </c>
      <c r="K2285" s="2">
        <v>45785</v>
      </c>
    </row>
    <row r="2286" spans="1:11" x14ac:dyDescent="0.25">
      <c r="A2286" s="1" t="s">
        <v>887</v>
      </c>
      <c r="B2286" s="1"/>
      <c r="C2286" s="1" t="s">
        <v>3178</v>
      </c>
      <c r="D2286" s="1" t="s">
        <v>3403</v>
      </c>
      <c r="E2286" s="1"/>
      <c r="F2286">
        <v>1.3</v>
      </c>
      <c r="G2286">
        <v>0.5</v>
      </c>
      <c r="H2286">
        <v>45</v>
      </c>
      <c r="I2286">
        <v>0</v>
      </c>
      <c r="J2286">
        <v>1</v>
      </c>
      <c r="K2286" s="2">
        <v>45785</v>
      </c>
    </row>
    <row r="2287" spans="1:11" x14ac:dyDescent="0.25">
      <c r="A2287" s="1" t="s">
        <v>887</v>
      </c>
      <c r="B2287" s="1"/>
      <c r="C2287" s="1" t="s">
        <v>3062</v>
      </c>
      <c r="D2287" s="1" t="s">
        <v>3372</v>
      </c>
      <c r="E2287" s="1"/>
      <c r="F2287">
        <v>1</v>
      </c>
      <c r="G2287">
        <v>0.1</v>
      </c>
      <c r="H2287">
        <v>50</v>
      </c>
      <c r="I2287">
        <v>0</v>
      </c>
      <c r="J2287">
        <v>1</v>
      </c>
      <c r="K2287" s="2">
        <v>45789</v>
      </c>
    </row>
    <row r="2288" spans="1:11" x14ac:dyDescent="0.25">
      <c r="A2288" s="1" t="s">
        <v>888</v>
      </c>
      <c r="B2288" s="1"/>
      <c r="C2288" s="1" t="s">
        <v>3176</v>
      </c>
      <c r="D2288" s="1" t="s">
        <v>3370</v>
      </c>
      <c r="E2288" s="1"/>
      <c r="F2288">
        <v>0</v>
      </c>
      <c r="G2288">
        <v>0</v>
      </c>
      <c r="H2288">
        <v>0</v>
      </c>
      <c r="I2288">
        <v>0</v>
      </c>
      <c r="J2288">
        <v>1</v>
      </c>
      <c r="K2288" s="2">
        <v>45786</v>
      </c>
    </row>
    <row r="2289" spans="1:11" x14ac:dyDescent="0.25">
      <c r="A2289" s="1" t="s">
        <v>888</v>
      </c>
      <c r="B2289" s="1"/>
      <c r="C2289" s="1" t="s">
        <v>2808</v>
      </c>
      <c r="D2289" s="1" t="s">
        <v>3370</v>
      </c>
      <c r="E2289" s="1"/>
      <c r="F2289">
        <v>0</v>
      </c>
      <c r="G2289">
        <v>0</v>
      </c>
      <c r="H2289">
        <v>0</v>
      </c>
      <c r="I2289">
        <v>0</v>
      </c>
      <c r="J2289">
        <v>1</v>
      </c>
      <c r="K2289" s="2">
        <v>45786</v>
      </c>
    </row>
    <row r="2290" spans="1:11" x14ac:dyDescent="0.25">
      <c r="A2290" s="1" t="s">
        <v>888</v>
      </c>
      <c r="B2290" s="1"/>
      <c r="C2290" s="1" t="s">
        <v>3178</v>
      </c>
      <c r="D2290" s="1" t="s">
        <v>3403</v>
      </c>
      <c r="E2290" s="1"/>
      <c r="F2290">
        <v>1.3</v>
      </c>
      <c r="G2290">
        <v>0</v>
      </c>
      <c r="H2290">
        <v>75</v>
      </c>
      <c r="I2290">
        <v>0</v>
      </c>
      <c r="J2290">
        <v>1</v>
      </c>
      <c r="K2290" s="2">
        <v>45789</v>
      </c>
    </row>
    <row r="2291" spans="1:11" x14ac:dyDescent="0.25">
      <c r="A2291" s="1" t="s">
        <v>946</v>
      </c>
      <c r="B2291" s="1"/>
      <c r="C2291" s="1" t="s">
        <v>3176</v>
      </c>
      <c r="D2291" s="1" t="s">
        <v>3370</v>
      </c>
      <c r="E2291" s="1"/>
      <c r="F2291">
        <v>0</v>
      </c>
      <c r="G2291">
        <v>0</v>
      </c>
      <c r="H2291">
        <v>0</v>
      </c>
      <c r="I2291">
        <v>0</v>
      </c>
      <c r="J2291">
        <v>1</v>
      </c>
      <c r="K2291" s="2">
        <v>45786</v>
      </c>
    </row>
    <row r="2292" spans="1:11" x14ac:dyDescent="0.25">
      <c r="A2292" s="1" t="s">
        <v>946</v>
      </c>
      <c r="B2292" s="1"/>
      <c r="C2292" s="1" t="s">
        <v>2808</v>
      </c>
      <c r="D2292" s="1" t="s">
        <v>3370</v>
      </c>
      <c r="E2292" s="1"/>
      <c r="F2292">
        <v>0</v>
      </c>
      <c r="G2292">
        <v>0</v>
      </c>
      <c r="H2292">
        <v>0</v>
      </c>
      <c r="I2292">
        <v>0</v>
      </c>
      <c r="J2292">
        <v>1</v>
      </c>
      <c r="K2292" s="2">
        <v>45786</v>
      </c>
    </row>
    <row r="2293" spans="1:11" x14ac:dyDescent="0.25">
      <c r="A2293" s="1" t="s">
        <v>699</v>
      </c>
      <c r="B2293" s="1"/>
      <c r="C2293" s="1" t="s">
        <v>2808</v>
      </c>
      <c r="D2293" s="1" t="s">
        <v>3370</v>
      </c>
      <c r="E2293" s="1"/>
      <c r="F2293">
        <v>0</v>
      </c>
      <c r="G2293">
        <v>0</v>
      </c>
      <c r="H2293">
        <v>0</v>
      </c>
      <c r="I2293">
        <v>0</v>
      </c>
      <c r="J2293">
        <v>99</v>
      </c>
      <c r="K2293" s="2">
        <v>45769</v>
      </c>
    </row>
    <row r="2294" spans="1:11" x14ac:dyDescent="0.25">
      <c r="A2294" s="1" t="s">
        <v>699</v>
      </c>
      <c r="B2294" s="1"/>
      <c r="C2294" s="1" t="s">
        <v>3075</v>
      </c>
      <c r="D2294" s="1" t="s">
        <v>3382</v>
      </c>
      <c r="E2294" s="1"/>
      <c r="F2294">
        <v>5</v>
      </c>
      <c r="G2294">
        <v>2.2999999999999998</v>
      </c>
      <c r="H2294">
        <v>135</v>
      </c>
      <c r="I2294">
        <v>0</v>
      </c>
      <c r="J2294">
        <v>99</v>
      </c>
      <c r="K2294" s="2">
        <v>45769</v>
      </c>
    </row>
    <row r="2295" spans="1:11" x14ac:dyDescent="0.25">
      <c r="A2295" s="1" t="s">
        <v>699</v>
      </c>
      <c r="B2295" s="1"/>
      <c r="C2295" s="1" t="s">
        <v>2816</v>
      </c>
      <c r="D2295" s="1" t="s">
        <v>3372</v>
      </c>
      <c r="E2295" s="1"/>
      <c r="F2295">
        <v>1</v>
      </c>
      <c r="G2295">
        <v>0.6</v>
      </c>
      <c r="H2295">
        <v>20</v>
      </c>
      <c r="I2295">
        <v>0</v>
      </c>
      <c r="J2295">
        <v>99</v>
      </c>
      <c r="K2295" s="2">
        <v>45770</v>
      </c>
    </row>
    <row r="2296" spans="1:11" x14ac:dyDescent="0.25">
      <c r="A2296" s="1" t="s">
        <v>699</v>
      </c>
      <c r="B2296" s="1"/>
      <c r="C2296" s="1" t="s">
        <v>2847</v>
      </c>
      <c r="D2296" s="1" t="s">
        <v>3377</v>
      </c>
      <c r="E2296" s="1"/>
      <c r="F2296">
        <v>0.7</v>
      </c>
      <c r="G2296">
        <v>0.4</v>
      </c>
      <c r="H2296">
        <v>20</v>
      </c>
      <c r="I2296">
        <v>0</v>
      </c>
      <c r="J2296">
        <v>99</v>
      </c>
      <c r="K2296" s="2">
        <v>45784</v>
      </c>
    </row>
    <row r="2297" spans="1:11" x14ac:dyDescent="0.25">
      <c r="A2297" s="1" t="s">
        <v>775</v>
      </c>
      <c r="B2297" s="1"/>
      <c r="C2297" s="1" t="s">
        <v>2808</v>
      </c>
      <c r="D2297" s="1" t="s">
        <v>3370</v>
      </c>
      <c r="E2297" s="1"/>
      <c r="F2297">
        <v>0</v>
      </c>
      <c r="G2297">
        <v>0</v>
      </c>
      <c r="H2297">
        <v>0</v>
      </c>
      <c r="I2297">
        <v>0</v>
      </c>
      <c r="J2297">
        <v>198</v>
      </c>
      <c r="K2297" s="2">
        <v>45776</v>
      </c>
    </row>
    <row r="2298" spans="1:11" x14ac:dyDescent="0.25">
      <c r="A2298" s="1" t="s">
        <v>775</v>
      </c>
      <c r="B2298" s="1"/>
      <c r="C2298" s="1" t="s">
        <v>3075</v>
      </c>
      <c r="D2298" s="1" t="s">
        <v>3382</v>
      </c>
      <c r="E2298" s="1"/>
      <c r="F2298">
        <v>9.6999999999999993</v>
      </c>
      <c r="G2298">
        <v>7.3</v>
      </c>
      <c r="H2298">
        <v>120</v>
      </c>
      <c r="I2298">
        <v>0</v>
      </c>
      <c r="J2298">
        <v>198</v>
      </c>
      <c r="K2298" s="2">
        <v>45778</v>
      </c>
    </row>
    <row r="2299" spans="1:11" x14ac:dyDescent="0.25">
      <c r="A2299" s="1" t="s">
        <v>775</v>
      </c>
      <c r="B2299" s="1"/>
      <c r="C2299" s="1" t="s">
        <v>2816</v>
      </c>
      <c r="D2299" s="1" t="s">
        <v>3372</v>
      </c>
      <c r="E2299" s="1"/>
      <c r="F2299">
        <v>1</v>
      </c>
      <c r="G2299">
        <v>0.3</v>
      </c>
      <c r="H2299">
        <v>40</v>
      </c>
      <c r="I2299">
        <v>0</v>
      </c>
      <c r="J2299">
        <v>198</v>
      </c>
      <c r="K2299" s="2">
        <v>45785</v>
      </c>
    </row>
    <row r="2300" spans="1:11" x14ac:dyDescent="0.25">
      <c r="A2300" s="1" t="s">
        <v>775</v>
      </c>
      <c r="B2300" s="1"/>
      <c r="C2300" s="1" t="s">
        <v>2847</v>
      </c>
      <c r="D2300" s="1" t="s">
        <v>3377</v>
      </c>
      <c r="E2300" s="1"/>
      <c r="F2300">
        <v>1.2</v>
      </c>
      <c r="G2300">
        <v>3.2</v>
      </c>
      <c r="H2300">
        <v>-95</v>
      </c>
      <c r="I2300">
        <v>0</v>
      </c>
      <c r="J2300">
        <v>198</v>
      </c>
      <c r="K2300" s="2">
        <v>45785</v>
      </c>
    </row>
    <row r="2301" spans="1:11" x14ac:dyDescent="0.25">
      <c r="A2301" s="1" t="s">
        <v>450</v>
      </c>
      <c r="B2301" s="1"/>
      <c r="C2301" s="1" t="s">
        <v>2808</v>
      </c>
      <c r="D2301" s="1" t="s">
        <v>3370</v>
      </c>
      <c r="E2301" s="1"/>
      <c r="F2301">
        <v>0</v>
      </c>
      <c r="G2301">
        <v>0</v>
      </c>
      <c r="H2301">
        <v>0</v>
      </c>
      <c r="I2301">
        <v>0</v>
      </c>
      <c r="J2301">
        <v>60</v>
      </c>
      <c r="K2301" s="2">
        <v>45747</v>
      </c>
    </row>
    <row r="2302" spans="1:11" x14ac:dyDescent="0.25">
      <c r="A2302" s="1" t="s">
        <v>450</v>
      </c>
      <c r="B2302" s="1"/>
      <c r="C2302" s="1" t="s">
        <v>3182</v>
      </c>
      <c r="D2302" s="1" t="s">
        <v>3412</v>
      </c>
      <c r="E2302" s="1"/>
      <c r="F2302">
        <v>3.5</v>
      </c>
      <c r="G2302">
        <v>14.8</v>
      </c>
      <c r="H2302">
        <v>-705</v>
      </c>
      <c r="I2302">
        <v>0</v>
      </c>
      <c r="J2302">
        <v>60</v>
      </c>
      <c r="K2302" s="2">
        <v>45748</v>
      </c>
    </row>
    <row r="2303" spans="1:11" x14ac:dyDescent="0.25">
      <c r="A2303" s="1" t="s">
        <v>450</v>
      </c>
      <c r="B2303" s="1"/>
      <c r="C2303" s="1" t="s">
        <v>3183</v>
      </c>
      <c r="D2303" s="1" t="s">
        <v>3413</v>
      </c>
      <c r="E2303" s="1"/>
      <c r="F2303">
        <v>1.2</v>
      </c>
      <c r="G2303">
        <v>14.8</v>
      </c>
      <c r="H2303">
        <v>-850</v>
      </c>
      <c r="I2303">
        <v>0</v>
      </c>
      <c r="J2303">
        <v>60</v>
      </c>
      <c r="K2303" s="2">
        <v>45748</v>
      </c>
    </row>
    <row r="2304" spans="1:11" x14ac:dyDescent="0.25">
      <c r="A2304" s="1" t="s">
        <v>450</v>
      </c>
      <c r="B2304" s="1"/>
      <c r="C2304" s="1" t="s">
        <v>3182</v>
      </c>
      <c r="D2304" s="1" t="s">
        <v>3412</v>
      </c>
      <c r="E2304" s="1"/>
      <c r="F2304">
        <v>3</v>
      </c>
      <c r="G2304">
        <v>11.2</v>
      </c>
      <c r="H2304">
        <v>-510</v>
      </c>
      <c r="I2304">
        <v>0</v>
      </c>
      <c r="J2304">
        <v>60</v>
      </c>
      <c r="K2304" s="2">
        <v>45748</v>
      </c>
    </row>
    <row r="2305" spans="1:11" x14ac:dyDescent="0.25">
      <c r="A2305" s="1" t="s">
        <v>450</v>
      </c>
      <c r="B2305" s="1"/>
      <c r="C2305" s="1" t="s">
        <v>2872</v>
      </c>
      <c r="D2305" s="1" t="s">
        <v>3388</v>
      </c>
      <c r="E2305" s="1"/>
      <c r="F2305">
        <v>6.3</v>
      </c>
      <c r="G2305">
        <v>7.5</v>
      </c>
      <c r="H2305">
        <v>-80</v>
      </c>
      <c r="I2305">
        <v>0</v>
      </c>
      <c r="J2305">
        <v>60</v>
      </c>
      <c r="K2305" s="2">
        <v>45756</v>
      </c>
    </row>
    <row r="2306" spans="1:11" x14ac:dyDescent="0.25">
      <c r="A2306" s="1" t="s">
        <v>450</v>
      </c>
      <c r="B2306" s="1"/>
      <c r="C2306" s="1" t="s">
        <v>3030</v>
      </c>
      <c r="D2306" s="1" t="s">
        <v>3429</v>
      </c>
      <c r="E2306" s="1"/>
      <c r="F2306">
        <v>0</v>
      </c>
      <c r="G2306">
        <v>0</v>
      </c>
      <c r="H2306">
        <v>0</v>
      </c>
      <c r="I2306">
        <v>0</v>
      </c>
      <c r="J2306">
        <v>60</v>
      </c>
      <c r="K2306" s="2">
        <v>45748</v>
      </c>
    </row>
    <row r="2307" spans="1:11" x14ac:dyDescent="0.25">
      <c r="A2307" s="1" t="s">
        <v>450</v>
      </c>
      <c r="B2307" s="1"/>
      <c r="C2307" s="1" t="s">
        <v>2873</v>
      </c>
      <c r="D2307" s="1" t="s">
        <v>3448</v>
      </c>
      <c r="E2307" s="1"/>
      <c r="F2307">
        <v>6</v>
      </c>
      <c r="G2307">
        <v>56.7</v>
      </c>
      <c r="H2307">
        <v>-3245</v>
      </c>
      <c r="I2307">
        <v>0</v>
      </c>
      <c r="J2307">
        <v>60</v>
      </c>
      <c r="K2307" s="2">
        <v>45751</v>
      </c>
    </row>
    <row r="2308" spans="1:11" x14ac:dyDescent="0.25">
      <c r="A2308" s="1" t="s">
        <v>450</v>
      </c>
      <c r="B2308" s="1"/>
      <c r="C2308" s="1" t="s">
        <v>2864</v>
      </c>
      <c r="D2308" s="1" t="s">
        <v>3422</v>
      </c>
      <c r="E2308" s="1"/>
      <c r="F2308">
        <v>13</v>
      </c>
      <c r="G2308">
        <v>19.2</v>
      </c>
      <c r="H2308">
        <v>-255</v>
      </c>
      <c r="I2308">
        <v>0</v>
      </c>
      <c r="J2308">
        <v>60</v>
      </c>
      <c r="K2308" s="2">
        <v>45754</v>
      </c>
    </row>
    <row r="2309" spans="1:11" x14ac:dyDescent="0.25">
      <c r="A2309" s="1" t="s">
        <v>450</v>
      </c>
      <c r="B2309" s="1"/>
      <c r="C2309" s="1" t="s">
        <v>3184</v>
      </c>
      <c r="D2309" s="1" t="s">
        <v>3471</v>
      </c>
      <c r="E2309" s="1"/>
      <c r="F2309">
        <v>3.3</v>
      </c>
      <c r="G2309">
        <v>6</v>
      </c>
      <c r="H2309">
        <v>-175</v>
      </c>
      <c r="I2309">
        <v>0</v>
      </c>
      <c r="J2309">
        <v>60</v>
      </c>
      <c r="K2309" s="2">
        <v>45755</v>
      </c>
    </row>
    <row r="2310" spans="1:11" x14ac:dyDescent="0.25">
      <c r="A2310" s="1" t="s">
        <v>450</v>
      </c>
      <c r="B2310" s="1"/>
      <c r="C2310" s="1" t="s">
        <v>2816</v>
      </c>
      <c r="D2310" s="1" t="s">
        <v>3372</v>
      </c>
      <c r="E2310" s="1"/>
      <c r="F2310">
        <v>1</v>
      </c>
      <c r="G2310">
        <v>0</v>
      </c>
      <c r="H2310">
        <v>55</v>
      </c>
      <c r="I2310">
        <v>0</v>
      </c>
      <c r="J2310">
        <v>60</v>
      </c>
      <c r="K2310" s="2">
        <v>45755</v>
      </c>
    </row>
    <row r="2311" spans="1:11" x14ac:dyDescent="0.25">
      <c r="A2311" s="1" t="s">
        <v>450</v>
      </c>
      <c r="B2311" s="1"/>
      <c r="C2311" s="1" t="s">
        <v>3185</v>
      </c>
      <c r="D2311" s="1" t="s">
        <v>3388</v>
      </c>
      <c r="E2311" s="1"/>
      <c r="F2311">
        <v>6.5</v>
      </c>
      <c r="G2311">
        <v>3.1</v>
      </c>
      <c r="H2311">
        <v>220</v>
      </c>
      <c r="I2311">
        <v>0</v>
      </c>
      <c r="J2311">
        <v>60</v>
      </c>
      <c r="K2311" s="2">
        <v>45761</v>
      </c>
    </row>
    <row r="2312" spans="1:11" x14ac:dyDescent="0.25">
      <c r="A2312" s="1" t="s">
        <v>450</v>
      </c>
      <c r="B2312" s="1"/>
      <c r="C2312" s="1" t="s">
        <v>3186</v>
      </c>
      <c r="D2312" s="1" t="s">
        <v>3388</v>
      </c>
      <c r="E2312" s="1"/>
      <c r="F2312">
        <v>6.5</v>
      </c>
      <c r="G2312">
        <v>17</v>
      </c>
      <c r="H2312">
        <v>-655</v>
      </c>
      <c r="I2312">
        <v>0</v>
      </c>
      <c r="J2312">
        <v>60</v>
      </c>
      <c r="K2312" s="2">
        <v>45761</v>
      </c>
    </row>
    <row r="2313" spans="1:11" x14ac:dyDescent="0.25">
      <c r="A2313" s="1" t="s">
        <v>450</v>
      </c>
      <c r="B2313" s="1"/>
      <c r="C2313" s="1" t="s">
        <v>3187</v>
      </c>
      <c r="D2313" s="1" t="s">
        <v>3388</v>
      </c>
      <c r="E2313" s="1"/>
      <c r="F2313">
        <v>7.8</v>
      </c>
      <c r="G2313">
        <v>13.8</v>
      </c>
      <c r="H2313">
        <v>-375</v>
      </c>
      <c r="I2313">
        <v>0</v>
      </c>
      <c r="J2313">
        <v>60</v>
      </c>
      <c r="K2313" s="2">
        <v>45761</v>
      </c>
    </row>
    <row r="2314" spans="1:11" x14ac:dyDescent="0.25">
      <c r="A2314" s="1" t="s">
        <v>450</v>
      </c>
      <c r="B2314" s="1"/>
      <c r="C2314" s="1" t="s">
        <v>3188</v>
      </c>
      <c r="D2314" s="1" t="s">
        <v>3372</v>
      </c>
      <c r="E2314" s="1"/>
      <c r="F2314">
        <v>1</v>
      </c>
      <c r="G2314">
        <v>0</v>
      </c>
      <c r="H2314">
        <v>55</v>
      </c>
      <c r="I2314">
        <v>0</v>
      </c>
      <c r="J2314">
        <v>60</v>
      </c>
      <c r="K2314" s="2">
        <v>45761</v>
      </c>
    </row>
    <row r="2315" spans="1:11" x14ac:dyDescent="0.25">
      <c r="A2315" s="1" t="s">
        <v>450</v>
      </c>
      <c r="B2315" s="1"/>
      <c r="C2315" s="1" t="s">
        <v>3189</v>
      </c>
      <c r="D2315" s="1" t="s">
        <v>3449</v>
      </c>
      <c r="E2315" s="1"/>
      <c r="F2315">
        <v>3.3</v>
      </c>
      <c r="G2315">
        <v>7.6</v>
      </c>
      <c r="H2315">
        <v>-270</v>
      </c>
      <c r="I2315">
        <v>0</v>
      </c>
      <c r="J2315">
        <v>60</v>
      </c>
      <c r="K2315" s="2">
        <v>45762</v>
      </c>
    </row>
    <row r="2316" spans="1:11" x14ac:dyDescent="0.25">
      <c r="A2316" s="1" t="s">
        <v>692</v>
      </c>
      <c r="B2316" s="1"/>
      <c r="C2316" s="1" t="s">
        <v>2808</v>
      </c>
      <c r="D2316" s="1" t="s">
        <v>3370</v>
      </c>
      <c r="E2316" s="1"/>
      <c r="F2316">
        <v>0</v>
      </c>
      <c r="G2316">
        <v>0</v>
      </c>
      <c r="H2316">
        <v>0</v>
      </c>
      <c r="I2316">
        <v>0</v>
      </c>
      <c r="J2316">
        <v>40</v>
      </c>
      <c r="K2316" s="2">
        <v>45768</v>
      </c>
    </row>
    <row r="2317" spans="1:11" x14ac:dyDescent="0.25">
      <c r="A2317" s="1" t="s">
        <v>692</v>
      </c>
      <c r="B2317" s="1"/>
      <c r="C2317" s="1" t="s">
        <v>3182</v>
      </c>
      <c r="D2317" s="1" t="s">
        <v>3412</v>
      </c>
      <c r="E2317" s="1"/>
      <c r="F2317">
        <v>2.5</v>
      </c>
      <c r="G2317">
        <v>1.7</v>
      </c>
      <c r="H2317">
        <v>55</v>
      </c>
      <c r="I2317">
        <v>0</v>
      </c>
      <c r="J2317">
        <v>40</v>
      </c>
      <c r="K2317" s="2">
        <v>45769</v>
      </c>
    </row>
    <row r="2318" spans="1:11" x14ac:dyDescent="0.25">
      <c r="A2318" s="1" t="s">
        <v>692</v>
      </c>
      <c r="B2318" s="1"/>
      <c r="C2318" s="1" t="s">
        <v>3183</v>
      </c>
      <c r="D2318" s="1" t="s">
        <v>3413</v>
      </c>
      <c r="E2318" s="1"/>
      <c r="F2318">
        <v>0.8</v>
      </c>
      <c r="G2318">
        <v>2.9</v>
      </c>
      <c r="H2318">
        <v>-125</v>
      </c>
      <c r="I2318">
        <v>0</v>
      </c>
      <c r="J2318">
        <v>40</v>
      </c>
      <c r="K2318" s="2">
        <v>45769</v>
      </c>
    </row>
    <row r="2319" spans="1:11" x14ac:dyDescent="0.25">
      <c r="A2319" s="1" t="s">
        <v>692</v>
      </c>
      <c r="B2319" s="1"/>
      <c r="C2319" s="1" t="s">
        <v>3182</v>
      </c>
      <c r="D2319" s="1" t="s">
        <v>3412</v>
      </c>
      <c r="E2319" s="1"/>
      <c r="F2319">
        <v>2</v>
      </c>
      <c r="G2319">
        <v>9.1999999999999993</v>
      </c>
      <c r="H2319">
        <v>-450</v>
      </c>
      <c r="I2319">
        <v>0</v>
      </c>
      <c r="J2319">
        <v>40</v>
      </c>
      <c r="K2319" s="2">
        <v>45770</v>
      </c>
    </row>
    <row r="2320" spans="1:11" x14ac:dyDescent="0.25">
      <c r="A2320" s="1" t="s">
        <v>692</v>
      </c>
      <c r="B2320" s="1"/>
      <c r="C2320" s="1" t="s">
        <v>2872</v>
      </c>
      <c r="D2320" s="1" t="s">
        <v>3388</v>
      </c>
      <c r="E2320" s="1"/>
      <c r="F2320">
        <v>4.3</v>
      </c>
      <c r="G2320">
        <v>2.7</v>
      </c>
      <c r="H2320">
        <v>100</v>
      </c>
      <c r="I2320">
        <v>0</v>
      </c>
      <c r="J2320">
        <v>40</v>
      </c>
      <c r="K2320" s="2">
        <v>45770</v>
      </c>
    </row>
    <row r="2321" spans="1:11" x14ac:dyDescent="0.25">
      <c r="A2321" s="1" t="s">
        <v>692</v>
      </c>
      <c r="B2321" s="1"/>
      <c r="C2321" s="1" t="s">
        <v>3030</v>
      </c>
      <c r="D2321" s="1" t="s">
        <v>3429</v>
      </c>
      <c r="E2321" s="1"/>
      <c r="F2321">
        <v>0</v>
      </c>
      <c r="G2321">
        <v>0</v>
      </c>
      <c r="H2321">
        <v>0</v>
      </c>
      <c r="I2321">
        <v>0</v>
      </c>
      <c r="J2321">
        <v>40</v>
      </c>
      <c r="K2321" s="2">
        <v>45779</v>
      </c>
    </row>
    <row r="2322" spans="1:11" x14ac:dyDescent="0.25">
      <c r="A2322" s="1" t="s">
        <v>692</v>
      </c>
      <c r="B2322" s="1"/>
      <c r="C2322" s="1" t="s">
        <v>2873</v>
      </c>
      <c r="D2322" s="1" t="s">
        <v>3426</v>
      </c>
      <c r="E2322" s="1"/>
      <c r="F2322">
        <v>4.3</v>
      </c>
      <c r="G2322">
        <v>18.2</v>
      </c>
      <c r="H2322">
        <v>-895</v>
      </c>
      <c r="I2322">
        <v>2</v>
      </c>
      <c r="J2322">
        <v>38</v>
      </c>
      <c r="K2322" s="2">
        <v>45785</v>
      </c>
    </row>
    <row r="2323" spans="1:11" x14ac:dyDescent="0.25">
      <c r="A2323" s="1" t="s">
        <v>692</v>
      </c>
      <c r="B2323" s="1"/>
      <c r="C2323" s="1" t="s">
        <v>2864</v>
      </c>
      <c r="D2323" s="1" t="s">
        <v>3422</v>
      </c>
      <c r="E2323" s="1"/>
      <c r="F2323">
        <v>9</v>
      </c>
      <c r="G2323">
        <v>1.4</v>
      </c>
      <c r="H2323">
        <v>320</v>
      </c>
      <c r="I2323">
        <v>0</v>
      </c>
      <c r="J2323">
        <v>38</v>
      </c>
      <c r="K2323" s="2">
        <v>45789</v>
      </c>
    </row>
    <row r="2324" spans="1:11" x14ac:dyDescent="0.25">
      <c r="A2324" s="1" t="s">
        <v>641</v>
      </c>
      <c r="B2324" s="1"/>
      <c r="C2324" s="1" t="s">
        <v>2808</v>
      </c>
      <c r="D2324" s="1" t="s">
        <v>3370</v>
      </c>
      <c r="E2324" s="1"/>
      <c r="F2324">
        <v>0</v>
      </c>
      <c r="G2324">
        <v>0</v>
      </c>
      <c r="H2324">
        <v>0</v>
      </c>
      <c r="I2324">
        <v>0</v>
      </c>
      <c r="J2324">
        <v>16</v>
      </c>
      <c r="K2324" s="2">
        <v>45764</v>
      </c>
    </row>
    <row r="2325" spans="1:11" x14ac:dyDescent="0.25">
      <c r="A2325" s="1" t="s">
        <v>641</v>
      </c>
      <c r="B2325" s="1"/>
      <c r="C2325" s="1" t="s">
        <v>3190</v>
      </c>
      <c r="D2325" s="1" t="s">
        <v>3387</v>
      </c>
      <c r="E2325" s="1"/>
      <c r="F2325">
        <v>0</v>
      </c>
      <c r="G2325">
        <v>0</v>
      </c>
      <c r="H2325">
        <v>0</v>
      </c>
      <c r="I2325">
        <v>0</v>
      </c>
      <c r="J2325">
        <v>16</v>
      </c>
      <c r="K2325" s="2">
        <v>45768</v>
      </c>
    </row>
    <row r="2326" spans="1:11" x14ac:dyDescent="0.25">
      <c r="A2326" s="1" t="s">
        <v>641</v>
      </c>
      <c r="B2326" s="1"/>
      <c r="C2326" s="1" t="s">
        <v>2828</v>
      </c>
      <c r="D2326" s="1" t="s">
        <v>3411</v>
      </c>
      <c r="E2326" s="1"/>
      <c r="F2326">
        <v>3.2</v>
      </c>
      <c r="G2326">
        <v>3.9</v>
      </c>
      <c r="H2326">
        <v>-35</v>
      </c>
      <c r="I2326">
        <v>0</v>
      </c>
      <c r="J2326">
        <v>16</v>
      </c>
      <c r="K2326" s="2">
        <v>45770</v>
      </c>
    </row>
    <row r="2327" spans="1:11" x14ac:dyDescent="0.25">
      <c r="A2327" s="1" t="s">
        <v>641</v>
      </c>
      <c r="B2327" s="1"/>
      <c r="C2327" s="1" t="s">
        <v>3191</v>
      </c>
      <c r="D2327" s="1" t="s">
        <v>3463</v>
      </c>
      <c r="E2327" s="1"/>
      <c r="F2327">
        <v>8.5</v>
      </c>
      <c r="G2327">
        <v>3.2</v>
      </c>
      <c r="H2327">
        <v>260</v>
      </c>
      <c r="I2327">
        <v>0</v>
      </c>
      <c r="J2327">
        <v>16</v>
      </c>
      <c r="K2327" s="2">
        <v>45771</v>
      </c>
    </row>
    <row r="2328" spans="1:11" x14ac:dyDescent="0.25">
      <c r="A2328" s="1" t="s">
        <v>641</v>
      </c>
      <c r="B2328" s="1"/>
      <c r="C2328" s="1" t="s">
        <v>2924</v>
      </c>
      <c r="D2328" s="1" t="s">
        <v>3372</v>
      </c>
      <c r="E2328" s="1"/>
      <c r="F2328">
        <v>1</v>
      </c>
      <c r="G2328">
        <v>1.2</v>
      </c>
      <c r="H2328">
        <v>-10</v>
      </c>
      <c r="I2328">
        <v>0</v>
      </c>
      <c r="J2328">
        <v>16</v>
      </c>
      <c r="K2328" s="2">
        <v>45775</v>
      </c>
    </row>
    <row r="2329" spans="1:11" x14ac:dyDescent="0.25">
      <c r="A2329" s="1" t="s">
        <v>641</v>
      </c>
      <c r="B2329" s="1"/>
      <c r="C2329" s="1" t="s">
        <v>3192</v>
      </c>
      <c r="D2329" s="1" t="s">
        <v>3377</v>
      </c>
      <c r="E2329" s="1"/>
      <c r="F2329">
        <v>0.4</v>
      </c>
      <c r="G2329">
        <v>3.2</v>
      </c>
      <c r="H2329">
        <v>-130</v>
      </c>
      <c r="I2329">
        <v>0</v>
      </c>
      <c r="J2329">
        <v>16</v>
      </c>
      <c r="K2329" s="2">
        <v>45784</v>
      </c>
    </row>
    <row r="2330" spans="1:11" x14ac:dyDescent="0.25">
      <c r="A2330" s="1" t="s">
        <v>489</v>
      </c>
      <c r="B2330" s="1"/>
      <c r="C2330" s="1" t="s">
        <v>2808</v>
      </c>
      <c r="D2330" s="1" t="s">
        <v>3370</v>
      </c>
      <c r="E2330" s="1"/>
      <c r="F2330">
        <v>0</v>
      </c>
      <c r="G2330">
        <v>0</v>
      </c>
      <c r="H2330">
        <v>0</v>
      </c>
      <c r="I2330">
        <v>0</v>
      </c>
      <c r="J2330">
        <v>85</v>
      </c>
      <c r="K2330" s="2">
        <v>45761</v>
      </c>
    </row>
    <row r="2331" spans="1:11" x14ac:dyDescent="0.25">
      <c r="A2331" s="1" t="s">
        <v>489</v>
      </c>
      <c r="B2331" s="1"/>
      <c r="C2331" s="1" t="s">
        <v>2903</v>
      </c>
      <c r="D2331" s="1" t="s">
        <v>3388</v>
      </c>
      <c r="E2331" s="1"/>
      <c r="F2331">
        <v>1.8</v>
      </c>
      <c r="G2331">
        <v>1.8</v>
      </c>
      <c r="H2331">
        <v>5</v>
      </c>
      <c r="I2331">
        <v>0</v>
      </c>
      <c r="J2331">
        <v>85</v>
      </c>
      <c r="K2331" s="2">
        <v>45761</v>
      </c>
    </row>
    <row r="2332" spans="1:11" x14ac:dyDescent="0.25">
      <c r="A2332" s="1" t="s">
        <v>489</v>
      </c>
      <c r="B2332" s="1"/>
      <c r="C2332" s="1" t="s">
        <v>3193</v>
      </c>
      <c r="D2332" s="1" t="s">
        <v>3388</v>
      </c>
      <c r="E2332" s="1"/>
      <c r="F2332">
        <v>1.1000000000000001</v>
      </c>
      <c r="G2332">
        <v>2.1</v>
      </c>
      <c r="H2332">
        <v>-65</v>
      </c>
      <c r="I2332">
        <v>0</v>
      </c>
      <c r="J2332">
        <v>85</v>
      </c>
      <c r="K2332" s="2">
        <v>45761</v>
      </c>
    </row>
    <row r="2333" spans="1:11" x14ac:dyDescent="0.25">
      <c r="A2333" s="1" t="s">
        <v>489</v>
      </c>
      <c r="B2333" s="1"/>
      <c r="C2333" s="1" t="s">
        <v>3194</v>
      </c>
      <c r="D2333" s="1" t="s">
        <v>3388</v>
      </c>
      <c r="E2333" s="1"/>
      <c r="F2333">
        <v>0.7</v>
      </c>
      <c r="G2333">
        <v>2.1</v>
      </c>
      <c r="H2333">
        <v>-85</v>
      </c>
      <c r="I2333">
        <v>0</v>
      </c>
      <c r="J2333">
        <v>85</v>
      </c>
      <c r="K2333" s="2">
        <v>45761</v>
      </c>
    </row>
    <row r="2334" spans="1:11" x14ac:dyDescent="0.25">
      <c r="A2334" s="1" t="s">
        <v>489</v>
      </c>
      <c r="B2334" s="1"/>
      <c r="C2334" s="1" t="s">
        <v>3144</v>
      </c>
      <c r="D2334" s="1" t="s">
        <v>3388</v>
      </c>
      <c r="E2334" s="1"/>
      <c r="F2334">
        <v>5.6</v>
      </c>
      <c r="G2334">
        <v>10.8</v>
      </c>
      <c r="H2334">
        <v>-325</v>
      </c>
      <c r="I2334">
        <v>0</v>
      </c>
      <c r="J2334">
        <v>85</v>
      </c>
      <c r="K2334" s="2">
        <v>45761</v>
      </c>
    </row>
    <row r="2335" spans="1:11" x14ac:dyDescent="0.25">
      <c r="A2335" s="1" t="s">
        <v>489</v>
      </c>
      <c r="B2335" s="1"/>
      <c r="C2335" s="1" t="s">
        <v>3195</v>
      </c>
      <c r="D2335" s="1" t="s">
        <v>3429</v>
      </c>
      <c r="E2335" s="1"/>
      <c r="F2335">
        <v>0</v>
      </c>
      <c r="G2335">
        <v>0.1</v>
      </c>
      <c r="H2335">
        <v>0</v>
      </c>
      <c r="I2335">
        <v>0</v>
      </c>
      <c r="J2335">
        <v>85</v>
      </c>
      <c r="K2335" s="2">
        <v>45776</v>
      </c>
    </row>
    <row r="2336" spans="1:11" x14ac:dyDescent="0.25">
      <c r="A2336" s="1" t="s">
        <v>489</v>
      </c>
      <c r="B2336" s="1"/>
      <c r="C2336" s="1" t="s">
        <v>2988</v>
      </c>
      <c r="D2336" s="1" t="s">
        <v>3432</v>
      </c>
      <c r="E2336" s="1"/>
      <c r="F2336">
        <v>0</v>
      </c>
      <c r="G2336">
        <v>1.9</v>
      </c>
      <c r="H2336">
        <v>-130</v>
      </c>
      <c r="I2336">
        <v>0</v>
      </c>
      <c r="J2336">
        <v>5</v>
      </c>
      <c r="K2336" s="2">
        <v>45755</v>
      </c>
    </row>
    <row r="2337" spans="1:11" x14ac:dyDescent="0.25">
      <c r="A2337" s="1" t="s">
        <v>489</v>
      </c>
      <c r="B2337" s="1"/>
      <c r="C2337" s="1" t="s">
        <v>3154</v>
      </c>
      <c r="D2337" s="1" t="s">
        <v>3482</v>
      </c>
      <c r="E2337" s="1"/>
      <c r="F2337">
        <v>0</v>
      </c>
      <c r="G2337">
        <v>0</v>
      </c>
      <c r="H2337">
        <v>0</v>
      </c>
      <c r="I2337">
        <v>0</v>
      </c>
      <c r="J2337">
        <v>11</v>
      </c>
      <c r="K2337" s="2">
        <v>45776</v>
      </c>
    </row>
    <row r="2338" spans="1:11" x14ac:dyDescent="0.25">
      <c r="A2338" s="1" t="s">
        <v>489</v>
      </c>
      <c r="B2338" s="1"/>
      <c r="C2338" s="1" t="s">
        <v>3196</v>
      </c>
      <c r="D2338" s="1" t="s">
        <v>3471</v>
      </c>
      <c r="E2338" s="1"/>
      <c r="F2338">
        <v>0</v>
      </c>
      <c r="G2338">
        <v>0</v>
      </c>
      <c r="H2338">
        <v>0</v>
      </c>
      <c r="I2338">
        <v>0</v>
      </c>
      <c r="J2338">
        <v>5</v>
      </c>
      <c r="K2338" s="2">
        <v>45776</v>
      </c>
    </row>
    <row r="2339" spans="1:11" x14ac:dyDescent="0.25">
      <c r="A2339" s="1" t="s">
        <v>489</v>
      </c>
      <c r="B2339" s="1"/>
      <c r="C2339" s="1" t="s">
        <v>3155</v>
      </c>
      <c r="D2339" s="1" t="s">
        <v>3482</v>
      </c>
      <c r="E2339" s="1"/>
      <c r="F2339">
        <v>0</v>
      </c>
      <c r="G2339">
        <v>4.5999999999999996</v>
      </c>
      <c r="H2339">
        <v>-290</v>
      </c>
      <c r="I2339">
        <v>0</v>
      </c>
      <c r="J2339">
        <v>11</v>
      </c>
      <c r="K2339" s="2">
        <v>45776</v>
      </c>
    </row>
    <row r="2340" spans="1:11" x14ac:dyDescent="0.25">
      <c r="A2340" s="1" t="s">
        <v>489</v>
      </c>
      <c r="B2340" s="1"/>
      <c r="C2340" s="1" t="s">
        <v>3197</v>
      </c>
      <c r="D2340" s="1" t="s">
        <v>3482</v>
      </c>
      <c r="E2340" s="1"/>
      <c r="F2340">
        <v>0</v>
      </c>
      <c r="G2340">
        <v>0</v>
      </c>
      <c r="H2340">
        <v>0</v>
      </c>
      <c r="I2340">
        <v>0</v>
      </c>
      <c r="J2340">
        <v>11</v>
      </c>
      <c r="K2340" s="2">
        <v>45776</v>
      </c>
    </row>
    <row r="2341" spans="1:11" x14ac:dyDescent="0.25">
      <c r="A2341" s="1" t="s">
        <v>489</v>
      </c>
      <c r="B2341" s="1"/>
      <c r="C2341" s="1" t="s">
        <v>3198</v>
      </c>
      <c r="D2341" s="1" t="s">
        <v>3462</v>
      </c>
      <c r="E2341" s="1"/>
      <c r="F2341">
        <v>0</v>
      </c>
      <c r="G2341">
        <v>6.5</v>
      </c>
      <c r="H2341">
        <v>-270</v>
      </c>
      <c r="I2341">
        <v>0</v>
      </c>
      <c r="J2341">
        <v>6</v>
      </c>
      <c r="K2341" s="2">
        <v>45782</v>
      </c>
    </row>
    <row r="2342" spans="1:11" x14ac:dyDescent="0.25">
      <c r="A2342" s="1" t="s">
        <v>489</v>
      </c>
      <c r="B2342" s="1"/>
      <c r="C2342" s="1" t="s">
        <v>3145</v>
      </c>
      <c r="D2342" s="1" t="s">
        <v>3432</v>
      </c>
      <c r="E2342" s="1"/>
      <c r="F2342">
        <v>10.9</v>
      </c>
      <c r="G2342">
        <v>28.7</v>
      </c>
      <c r="H2342">
        <v>-975</v>
      </c>
      <c r="I2342">
        <v>15</v>
      </c>
      <c r="J2342">
        <v>70</v>
      </c>
      <c r="K2342" s="2">
        <v>45776</v>
      </c>
    </row>
    <row r="2343" spans="1:11" x14ac:dyDescent="0.25">
      <c r="A2343" s="1" t="s">
        <v>489</v>
      </c>
      <c r="B2343" s="1"/>
      <c r="C2343" s="1" t="s">
        <v>3199</v>
      </c>
      <c r="D2343" s="1" t="s">
        <v>3476</v>
      </c>
      <c r="E2343" s="1"/>
      <c r="F2343">
        <v>4.5</v>
      </c>
      <c r="G2343">
        <v>0.8</v>
      </c>
      <c r="H2343">
        <v>240</v>
      </c>
      <c r="I2343">
        <v>5</v>
      </c>
      <c r="J2343">
        <v>65</v>
      </c>
      <c r="K2343" s="2">
        <v>45776</v>
      </c>
    </row>
    <row r="2344" spans="1:11" x14ac:dyDescent="0.25">
      <c r="A2344" s="1" t="s">
        <v>489</v>
      </c>
      <c r="B2344" s="1"/>
      <c r="C2344" s="1" t="s">
        <v>3149</v>
      </c>
      <c r="D2344" s="1" t="s">
        <v>3471</v>
      </c>
      <c r="E2344" s="1"/>
      <c r="F2344">
        <v>4.5</v>
      </c>
      <c r="G2344">
        <v>2.6</v>
      </c>
      <c r="H2344">
        <v>125</v>
      </c>
      <c r="I2344">
        <v>0</v>
      </c>
      <c r="J2344">
        <v>65</v>
      </c>
      <c r="K2344" s="2">
        <v>45776</v>
      </c>
    </row>
    <row r="2345" spans="1:11" x14ac:dyDescent="0.25">
      <c r="A2345" s="1" t="s">
        <v>489</v>
      </c>
      <c r="B2345" s="1"/>
      <c r="C2345" s="1" t="s">
        <v>3200</v>
      </c>
      <c r="D2345" s="1" t="s">
        <v>3477</v>
      </c>
      <c r="E2345" s="1"/>
      <c r="F2345">
        <v>11.1</v>
      </c>
      <c r="G2345">
        <v>14.4</v>
      </c>
      <c r="H2345">
        <v>-205</v>
      </c>
      <c r="I2345">
        <v>0</v>
      </c>
      <c r="J2345">
        <v>65</v>
      </c>
      <c r="K2345" s="2">
        <v>45776</v>
      </c>
    </row>
    <row r="2346" spans="1:11" x14ac:dyDescent="0.25">
      <c r="A2346" s="1" t="s">
        <v>489</v>
      </c>
      <c r="B2346" s="1"/>
      <c r="C2346" s="1" t="s">
        <v>3201</v>
      </c>
      <c r="D2346" s="1" t="s">
        <v>3477</v>
      </c>
      <c r="E2346" s="1"/>
      <c r="F2346">
        <v>5</v>
      </c>
      <c r="G2346">
        <v>3.1</v>
      </c>
      <c r="H2346">
        <v>120</v>
      </c>
      <c r="I2346">
        <v>0</v>
      </c>
      <c r="J2346">
        <v>65</v>
      </c>
      <c r="K2346" s="2">
        <v>45776</v>
      </c>
    </row>
    <row r="2347" spans="1:11" x14ac:dyDescent="0.25">
      <c r="A2347" s="1" t="s">
        <v>489</v>
      </c>
      <c r="B2347" s="1"/>
      <c r="C2347" s="1" t="s">
        <v>3202</v>
      </c>
      <c r="D2347" s="1" t="s">
        <v>3462</v>
      </c>
      <c r="E2347" s="1"/>
      <c r="F2347">
        <v>1</v>
      </c>
      <c r="G2347">
        <v>5</v>
      </c>
      <c r="H2347">
        <v>-165</v>
      </c>
      <c r="I2347">
        <v>0</v>
      </c>
      <c r="J2347">
        <v>5</v>
      </c>
      <c r="K2347" s="2">
        <v>45782</v>
      </c>
    </row>
    <row r="2348" spans="1:11" x14ac:dyDescent="0.25">
      <c r="A2348" s="1" t="s">
        <v>489</v>
      </c>
      <c r="B2348" s="1"/>
      <c r="C2348" s="1" t="s">
        <v>2924</v>
      </c>
      <c r="D2348" s="1" t="s">
        <v>3372</v>
      </c>
      <c r="E2348" s="1"/>
      <c r="F2348">
        <v>1</v>
      </c>
      <c r="G2348">
        <v>0.6</v>
      </c>
      <c r="H2348">
        <v>25</v>
      </c>
      <c r="I2348">
        <v>0</v>
      </c>
      <c r="J2348">
        <v>65</v>
      </c>
      <c r="K2348" s="2">
        <v>45782</v>
      </c>
    </row>
    <row r="2349" spans="1:11" x14ac:dyDescent="0.25">
      <c r="A2349" s="1" t="s">
        <v>489</v>
      </c>
      <c r="B2349" s="1"/>
      <c r="C2349" s="1" t="s">
        <v>3164</v>
      </c>
      <c r="D2349" s="1" t="s">
        <v>3449</v>
      </c>
      <c r="E2349" s="1"/>
      <c r="F2349">
        <v>4.8</v>
      </c>
      <c r="G2349">
        <v>3.3</v>
      </c>
      <c r="H2349">
        <v>100</v>
      </c>
      <c r="I2349">
        <v>0</v>
      </c>
      <c r="J2349">
        <v>65</v>
      </c>
      <c r="K2349" s="2">
        <v>45784</v>
      </c>
    </row>
    <row r="2350" spans="1:11" x14ac:dyDescent="0.25">
      <c r="A2350" s="1" t="s">
        <v>449</v>
      </c>
      <c r="B2350" s="1"/>
      <c r="C2350" s="1" t="s">
        <v>2808</v>
      </c>
      <c r="D2350" s="1" t="s">
        <v>3370</v>
      </c>
      <c r="E2350" s="1"/>
      <c r="F2350">
        <v>0</v>
      </c>
      <c r="G2350">
        <v>0</v>
      </c>
      <c r="H2350">
        <v>0</v>
      </c>
      <c r="I2350">
        <v>0</v>
      </c>
      <c r="J2350">
        <v>107</v>
      </c>
      <c r="K2350" s="2">
        <v>45761</v>
      </c>
    </row>
    <row r="2351" spans="1:11" x14ac:dyDescent="0.25">
      <c r="A2351" s="1" t="s">
        <v>449</v>
      </c>
      <c r="B2351" s="1"/>
      <c r="C2351" s="1" t="s">
        <v>2903</v>
      </c>
      <c r="D2351" s="1" t="s">
        <v>3412</v>
      </c>
      <c r="E2351" s="1"/>
      <c r="F2351">
        <v>2.1</v>
      </c>
      <c r="G2351">
        <v>1.7</v>
      </c>
      <c r="H2351">
        <v>35</v>
      </c>
      <c r="I2351">
        <v>0</v>
      </c>
      <c r="J2351">
        <v>107</v>
      </c>
      <c r="K2351" s="2">
        <v>45744</v>
      </c>
    </row>
    <row r="2352" spans="1:11" x14ac:dyDescent="0.25">
      <c r="A2352" s="1" t="s">
        <v>449</v>
      </c>
      <c r="B2352" s="1"/>
      <c r="C2352" s="1" t="s">
        <v>3193</v>
      </c>
      <c r="D2352" s="1" t="s">
        <v>3414</v>
      </c>
      <c r="E2352" s="1"/>
      <c r="F2352">
        <v>1.3</v>
      </c>
      <c r="G2352">
        <v>1.6</v>
      </c>
      <c r="H2352">
        <v>-20</v>
      </c>
      <c r="I2352">
        <v>0</v>
      </c>
      <c r="J2352">
        <v>107</v>
      </c>
      <c r="K2352" s="2">
        <v>45744</v>
      </c>
    </row>
    <row r="2353" spans="1:11" x14ac:dyDescent="0.25">
      <c r="A2353" s="1" t="s">
        <v>449</v>
      </c>
      <c r="B2353" s="1"/>
      <c r="C2353" s="1" t="s">
        <v>3194</v>
      </c>
      <c r="D2353" s="1" t="s">
        <v>3412</v>
      </c>
      <c r="E2353" s="1"/>
      <c r="F2353">
        <v>0.9</v>
      </c>
      <c r="G2353">
        <v>0</v>
      </c>
      <c r="H2353">
        <v>60</v>
      </c>
      <c r="I2353">
        <v>0</v>
      </c>
      <c r="J2353">
        <v>107</v>
      </c>
      <c r="K2353" s="2">
        <v>45744</v>
      </c>
    </row>
    <row r="2354" spans="1:11" x14ac:dyDescent="0.25">
      <c r="A2354" s="1" t="s">
        <v>449</v>
      </c>
      <c r="B2354" s="1"/>
      <c r="C2354" s="1" t="s">
        <v>3144</v>
      </c>
      <c r="D2354" s="1" t="s">
        <v>3388</v>
      </c>
      <c r="E2354" s="1"/>
      <c r="F2354">
        <v>7</v>
      </c>
      <c r="G2354">
        <v>10.9</v>
      </c>
      <c r="H2354">
        <v>-245</v>
      </c>
      <c r="I2354">
        <v>0</v>
      </c>
      <c r="J2354">
        <v>107</v>
      </c>
      <c r="K2354" s="2">
        <v>45744</v>
      </c>
    </row>
    <row r="2355" spans="1:11" x14ac:dyDescent="0.25">
      <c r="A2355" s="1" t="s">
        <v>449</v>
      </c>
      <c r="B2355" s="1"/>
      <c r="C2355" s="1" t="s">
        <v>3195</v>
      </c>
      <c r="D2355" s="1" t="s">
        <v>3429</v>
      </c>
      <c r="E2355" s="1"/>
      <c r="F2355">
        <v>0</v>
      </c>
      <c r="G2355">
        <v>0</v>
      </c>
      <c r="H2355">
        <v>0</v>
      </c>
      <c r="I2355">
        <v>0</v>
      </c>
      <c r="J2355">
        <v>107</v>
      </c>
      <c r="K2355" s="2">
        <v>45748</v>
      </c>
    </row>
    <row r="2356" spans="1:11" x14ac:dyDescent="0.25">
      <c r="A2356" s="1" t="s">
        <v>449</v>
      </c>
      <c r="B2356" s="1"/>
      <c r="C2356" s="1" t="s">
        <v>3145</v>
      </c>
      <c r="D2356" s="1" t="s">
        <v>3432</v>
      </c>
      <c r="E2356" s="1"/>
      <c r="F2356">
        <v>18.8</v>
      </c>
      <c r="G2356">
        <v>20.3</v>
      </c>
      <c r="H2356">
        <v>-60</v>
      </c>
      <c r="I2356">
        <v>3</v>
      </c>
      <c r="J2356">
        <v>104</v>
      </c>
      <c r="K2356" s="2">
        <v>45756</v>
      </c>
    </row>
    <row r="2357" spans="1:11" x14ac:dyDescent="0.25">
      <c r="A2357" s="1" t="s">
        <v>449</v>
      </c>
      <c r="B2357" s="1"/>
      <c r="C2357" s="1" t="s">
        <v>3149</v>
      </c>
      <c r="D2357" s="1" t="s">
        <v>3471</v>
      </c>
      <c r="E2357" s="1"/>
      <c r="F2357">
        <v>5.6</v>
      </c>
      <c r="G2357">
        <v>0</v>
      </c>
      <c r="H2357">
        <v>365</v>
      </c>
      <c r="I2357">
        <v>0</v>
      </c>
      <c r="J2357">
        <v>104</v>
      </c>
      <c r="K2357" s="2">
        <v>45756</v>
      </c>
    </row>
    <row r="2358" spans="1:11" x14ac:dyDescent="0.25">
      <c r="A2358" s="1" t="s">
        <v>449</v>
      </c>
      <c r="B2358" s="1"/>
      <c r="C2358" s="1" t="s">
        <v>3146</v>
      </c>
      <c r="D2358" s="1" t="s">
        <v>3476</v>
      </c>
      <c r="E2358" s="1"/>
      <c r="F2358">
        <v>1.5</v>
      </c>
      <c r="G2358">
        <v>0</v>
      </c>
      <c r="H2358">
        <v>105</v>
      </c>
      <c r="I2358">
        <v>0</v>
      </c>
      <c r="J2358">
        <v>6</v>
      </c>
      <c r="K2358" s="2">
        <v>45762</v>
      </c>
    </row>
    <row r="2359" spans="1:11" x14ac:dyDescent="0.25">
      <c r="A2359" s="1" t="s">
        <v>449</v>
      </c>
      <c r="B2359" s="1"/>
      <c r="C2359" s="1" t="s">
        <v>3203</v>
      </c>
      <c r="D2359" s="1" t="s">
        <v>3462</v>
      </c>
      <c r="E2359" s="1"/>
      <c r="F2359">
        <v>2</v>
      </c>
      <c r="G2359">
        <v>0.8</v>
      </c>
      <c r="H2359">
        <v>55</v>
      </c>
      <c r="I2359">
        <v>0</v>
      </c>
      <c r="J2359">
        <v>6</v>
      </c>
      <c r="K2359" s="2">
        <v>45762</v>
      </c>
    </row>
    <row r="2360" spans="1:11" x14ac:dyDescent="0.25">
      <c r="A2360" s="1" t="s">
        <v>449</v>
      </c>
      <c r="B2360" s="1"/>
      <c r="C2360" s="1" t="s">
        <v>3204</v>
      </c>
      <c r="D2360" s="1" t="s">
        <v>3477</v>
      </c>
      <c r="E2360" s="1"/>
      <c r="F2360">
        <v>1.5</v>
      </c>
      <c r="G2360">
        <v>7.4</v>
      </c>
      <c r="H2360">
        <v>-365</v>
      </c>
      <c r="I2360">
        <v>0</v>
      </c>
      <c r="J2360">
        <v>6</v>
      </c>
      <c r="K2360" s="2">
        <v>45756</v>
      </c>
    </row>
    <row r="2361" spans="1:11" x14ac:dyDescent="0.25">
      <c r="A2361" s="1" t="s">
        <v>449</v>
      </c>
      <c r="B2361" s="1"/>
      <c r="C2361" s="1" t="s">
        <v>2821</v>
      </c>
      <c r="D2361" s="1" t="s">
        <v>3476</v>
      </c>
      <c r="E2361" s="1"/>
      <c r="F2361">
        <v>5.6</v>
      </c>
      <c r="G2361">
        <v>0</v>
      </c>
      <c r="H2361">
        <v>365</v>
      </c>
      <c r="I2361">
        <v>0</v>
      </c>
      <c r="J2361">
        <v>104</v>
      </c>
      <c r="K2361" s="2">
        <v>45757</v>
      </c>
    </row>
    <row r="2362" spans="1:11" x14ac:dyDescent="0.25">
      <c r="A2362" s="1" t="s">
        <v>449</v>
      </c>
      <c r="B2362" s="1"/>
      <c r="C2362" s="1" t="s">
        <v>3200</v>
      </c>
      <c r="D2362" s="1" t="s">
        <v>3477</v>
      </c>
      <c r="E2362" s="1"/>
      <c r="F2362">
        <v>13.9</v>
      </c>
      <c r="G2362">
        <v>5.9</v>
      </c>
      <c r="H2362">
        <v>520</v>
      </c>
      <c r="I2362">
        <v>0</v>
      </c>
      <c r="J2362">
        <v>104</v>
      </c>
      <c r="K2362" s="2">
        <v>45759</v>
      </c>
    </row>
    <row r="2363" spans="1:11" x14ac:dyDescent="0.25">
      <c r="A2363" s="1" t="s">
        <v>449</v>
      </c>
      <c r="B2363" s="1"/>
      <c r="C2363" s="1" t="s">
        <v>3150</v>
      </c>
      <c r="D2363" s="1" t="s">
        <v>3462</v>
      </c>
      <c r="E2363" s="1"/>
      <c r="F2363">
        <v>1</v>
      </c>
      <c r="G2363">
        <v>2.7</v>
      </c>
      <c r="H2363">
        <v>-70</v>
      </c>
      <c r="I2363">
        <v>0</v>
      </c>
      <c r="J2363">
        <v>3</v>
      </c>
      <c r="K2363" s="2">
        <v>45762</v>
      </c>
    </row>
    <row r="2364" spans="1:11" x14ac:dyDescent="0.25">
      <c r="A2364" s="1" t="s">
        <v>449</v>
      </c>
      <c r="B2364" s="1"/>
      <c r="C2364" s="1" t="s">
        <v>2924</v>
      </c>
      <c r="D2364" s="1" t="s">
        <v>3372</v>
      </c>
      <c r="E2364" s="1"/>
      <c r="F2364">
        <v>1</v>
      </c>
      <c r="G2364">
        <v>0.7</v>
      </c>
      <c r="H2364">
        <v>15</v>
      </c>
      <c r="I2364">
        <v>0</v>
      </c>
      <c r="J2364">
        <v>104</v>
      </c>
      <c r="K2364" s="2">
        <v>45764</v>
      </c>
    </row>
    <row r="2365" spans="1:11" x14ac:dyDescent="0.25">
      <c r="A2365" s="1" t="s">
        <v>449</v>
      </c>
      <c r="B2365" s="1"/>
      <c r="C2365" s="1" t="s">
        <v>3164</v>
      </c>
      <c r="D2365" s="1" t="s">
        <v>3449</v>
      </c>
      <c r="E2365" s="1"/>
      <c r="F2365">
        <v>5.9</v>
      </c>
      <c r="G2365">
        <v>5.8</v>
      </c>
      <c r="H2365">
        <v>15</v>
      </c>
      <c r="I2365">
        <v>0</v>
      </c>
      <c r="J2365">
        <v>104</v>
      </c>
      <c r="K2365" s="2">
        <v>45764</v>
      </c>
    </row>
    <row r="2366" spans="1:11" x14ac:dyDescent="0.25">
      <c r="A2366" s="1" t="s">
        <v>305</v>
      </c>
      <c r="B2366" s="1"/>
      <c r="C2366" s="1" t="s">
        <v>2953</v>
      </c>
      <c r="D2366" s="1" t="s">
        <v>3406</v>
      </c>
      <c r="E2366" s="1"/>
      <c r="F2366">
        <v>3.7</v>
      </c>
      <c r="G2366">
        <v>3.8</v>
      </c>
      <c r="H2366">
        <v>-45</v>
      </c>
      <c r="I2366">
        <v>18</v>
      </c>
      <c r="J2366">
        <v>25</v>
      </c>
      <c r="K2366" s="2">
        <v>45779</v>
      </c>
    </row>
    <row r="2367" spans="1:11" x14ac:dyDescent="0.25">
      <c r="A2367" s="1" t="s">
        <v>769</v>
      </c>
      <c r="B2367" s="1"/>
      <c r="C2367" s="1" t="s">
        <v>2808</v>
      </c>
      <c r="D2367" s="1" t="s">
        <v>3370</v>
      </c>
      <c r="E2367" s="1"/>
      <c r="F2367">
        <v>0</v>
      </c>
      <c r="G2367">
        <v>0</v>
      </c>
      <c r="H2367">
        <v>0</v>
      </c>
      <c r="I2367">
        <v>0</v>
      </c>
      <c r="J2367">
        <v>10</v>
      </c>
      <c r="K2367" s="2">
        <v>45776</v>
      </c>
    </row>
    <row r="2368" spans="1:11" x14ac:dyDescent="0.25">
      <c r="A2368" s="1" t="s">
        <v>769</v>
      </c>
      <c r="B2368" s="1"/>
      <c r="C2368" s="1" t="s">
        <v>3205</v>
      </c>
      <c r="D2368" s="1" t="s">
        <v>3431</v>
      </c>
      <c r="E2368" s="1"/>
      <c r="F2368">
        <v>0.5</v>
      </c>
      <c r="G2368">
        <v>0</v>
      </c>
      <c r="H2368">
        <v>35</v>
      </c>
      <c r="I2368">
        <v>0</v>
      </c>
      <c r="J2368">
        <v>10</v>
      </c>
      <c r="K2368" s="2">
        <v>45784</v>
      </c>
    </row>
    <row r="2369" spans="1:11" x14ac:dyDescent="0.25">
      <c r="A2369" s="1" t="s">
        <v>769</v>
      </c>
      <c r="B2369" s="1"/>
      <c r="C2369" s="1" t="s">
        <v>3093</v>
      </c>
      <c r="D2369" s="1" t="s">
        <v>3372</v>
      </c>
      <c r="E2369" s="1"/>
      <c r="F2369">
        <v>1</v>
      </c>
      <c r="G2369">
        <v>0</v>
      </c>
      <c r="H2369">
        <v>55</v>
      </c>
      <c r="I2369">
        <v>0</v>
      </c>
      <c r="J2369">
        <v>10</v>
      </c>
      <c r="K2369" s="2">
        <v>45785</v>
      </c>
    </row>
    <row r="2370" spans="1:11" x14ac:dyDescent="0.25">
      <c r="A2370" s="1" t="s">
        <v>769</v>
      </c>
      <c r="B2370" s="1"/>
      <c r="C2370" s="1" t="s">
        <v>3206</v>
      </c>
      <c r="D2370" s="1" t="s">
        <v>3449</v>
      </c>
      <c r="E2370" s="1"/>
      <c r="F2370">
        <v>0.5</v>
      </c>
      <c r="G2370">
        <v>0.5</v>
      </c>
      <c r="H2370">
        <v>0</v>
      </c>
      <c r="I2370">
        <v>0</v>
      </c>
      <c r="J2370">
        <v>10</v>
      </c>
      <c r="K2370" s="2">
        <v>45785</v>
      </c>
    </row>
    <row r="2371" spans="1:11" x14ac:dyDescent="0.25">
      <c r="A2371" s="1" t="s">
        <v>148</v>
      </c>
      <c r="B2371" s="1"/>
      <c r="C2371" s="1" t="s">
        <v>3206</v>
      </c>
      <c r="D2371" s="1" t="s">
        <v>3449</v>
      </c>
      <c r="E2371" s="1"/>
      <c r="F2371">
        <v>0</v>
      </c>
      <c r="G2371">
        <v>20.5</v>
      </c>
      <c r="H2371">
        <v>-1305</v>
      </c>
      <c r="I2371">
        <v>0</v>
      </c>
      <c r="J2371">
        <v>119</v>
      </c>
      <c r="K2371" s="2">
        <v>45756</v>
      </c>
    </row>
    <row r="2372" spans="1:11" x14ac:dyDescent="0.25">
      <c r="A2372" s="1" t="s">
        <v>205</v>
      </c>
      <c r="B2372" s="1"/>
      <c r="C2372" s="1" t="s">
        <v>3171</v>
      </c>
      <c r="D2372" s="1" t="s">
        <v>3449</v>
      </c>
      <c r="E2372" s="1"/>
      <c r="F2372">
        <v>3</v>
      </c>
      <c r="G2372">
        <v>14.6</v>
      </c>
      <c r="H2372">
        <v>-740</v>
      </c>
      <c r="I2372">
        <v>0</v>
      </c>
      <c r="J2372">
        <v>87</v>
      </c>
      <c r="K2372" s="2">
        <v>45769</v>
      </c>
    </row>
    <row r="2373" spans="1:11" x14ac:dyDescent="0.25">
      <c r="A2373" s="1" t="s">
        <v>344</v>
      </c>
      <c r="B2373" s="1"/>
      <c r="C2373" s="1" t="s">
        <v>2808</v>
      </c>
      <c r="D2373" s="1" t="s">
        <v>3370</v>
      </c>
      <c r="E2373" s="1"/>
      <c r="F2373">
        <v>0</v>
      </c>
      <c r="G2373">
        <v>0</v>
      </c>
      <c r="H2373">
        <v>0</v>
      </c>
      <c r="I2373">
        <v>0</v>
      </c>
      <c r="J2373">
        <v>98</v>
      </c>
      <c r="K2373" s="2">
        <v>45747</v>
      </c>
    </row>
    <row r="2374" spans="1:11" x14ac:dyDescent="0.25">
      <c r="A2374" s="1" t="s">
        <v>344</v>
      </c>
      <c r="B2374" s="1"/>
      <c r="C2374" s="1" t="s">
        <v>3030</v>
      </c>
      <c r="D2374" s="1" t="s">
        <v>3429</v>
      </c>
      <c r="E2374" s="1"/>
      <c r="F2374">
        <v>0</v>
      </c>
      <c r="G2374">
        <v>0.6</v>
      </c>
      <c r="H2374">
        <v>-35</v>
      </c>
      <c r="I2374">
        <v>0</v>
      </c>
      <c r="J2374">
        <v>98</v>
      </c>
      <c r="K2374" s="2">
        <v>45743</v>
      </c>
    </row>
    <row r="2375" spans="1:11" x14ac:dyDescent="0.25">
      <c r="A2375" s="1" t="s">
        <v>344</v>
      </c>
      <c r="B2375" s="1"/>
      <c r="C2375" s="1" t="s">
        <v>3207</v>
      </c>
      <c r="D2375" s="1" t="s">
        <v>3471</v>
      </c>
      <c r="E2375" s="1"/>
      <c r="F2375">
        <v>10.3</v>
      </c>
      <c r="G2375">
        <v>0.1</v>
      </c>
      <c r="H2375">
        <v>660</v>
      </c>
      <c r="I2375">
        <v>0</v>
      </c>
      <c r="J2375">
        <v>98</v>
      </c>
      <c r="K2375" s="2">
        <v>45743</v>
      </c>
    </row>
    <row r="2376" spans="1:11" x14ac:dyDescent="0.25">
      <c r="A2376" s="1" t="s">
        <v>344</v>
      </c>
      <c r="B2376" s="1"/>
      <c r="C2376" s="1" t="s">
        <v>2903</v>
      </c>
      <c r="D2376" s="1" t="s">
        <v>3412</v>
      </c>
      <c r="E2376" s="1"/>
      <c r="F2376">
        <v>2.6</v>
      </c>
      <c r="G2376">
        <v>14.2</v>
      </c>
      <c r="H2376">
        <v>-725</v>
      </c>
      <c r="I2376">
        <v>0</v>
      </c>
      <c r="J2376">
        <v>98</v>
      </c>
      <c r="K2376" s="2">
        <v>45734</v>
      </c>
    </row>
    <row r="2377" spans="1:11" x14ac:dyDescent="0.25">
      <c r="A2377" s="1" t="s">
        <v>344</v>
      </c>
      <c r="B2377" s="1"/>
      <c r="C2377" s="1" t="s">
        <v>3208</v>
      </c>
      <c r="D2377" s="1" t="s">
        <v>3413</v>
      </c>
      <c r="E2377" s="1"/>
      <c r="F2377">
        <v>3.5</v>
      </c>
      <c r="G2377">
        <v>14.2</v>
      </c>
      <c r="H2377">
        <v>-665</v>
      </c>
      <c r="I2377">
        <v>0</v>
      </c>
      <c r="J2377">
        <v>98</v>
      </c>
      <c r="K2377" s="2">
        <v>45734</v>
      </c>
    </row>
    <row r="2378" spans="1:11" x14ac:dyDescent="0.25">
      <c r="A2378" s="1" t="s">
        <v>344</v>
      </c>
      <c r="B2378" s="1"/>
      <c r="C2378" s="1" t="s">
        <v>2903</v>
      </c>
      <c r="D2378" s="1" t="s">
        <v>3412</v>
      </c>
      <c r="E2378" s="1"/>
      <c r="F2378">
        <v>2.6</v>
      </c>
      <c r="G2378">
        <v>14.2</v>
      </c>
      <c r="H2378">
        <v>-725</v>
      </c>
      <c r="I2378">
        <v>0</v>
      </c>
      <c r="J2378">
        <v>98</v>
      </c>
      <c r="K2378" s="2">
        <v>45734</v>
      </c>
    </row>
    <row r="2379" spans="1:11" x14ac:dyDescent="0.25">
      <c r="A2379" s="1" t="s">
        <v>344</v>
      </c>
      <c r="B2379" s="1"/>
      <c r="C2379" s="1" t="s">
        <v>3144</v>
      </c>
      <c r="D2379" s="1" t="s">
        <v>3388</v>
      </c>
      <c r="E2379" s="1"/>
      <c r="F2379">
        <v>1.5</v>
      </c>
      <c r="G2379">
        <v>18.2</v>
      </c>
      <c r="H2379">
        <v>-1045</v>
      </c>
      <c r="I2379">
        <v>0</v>
      </c>
      <c r="J2379">
        <v>98</v>
      </c>
      <c r="K2379" s="2">
        <v>45734</v>
      </c>
    </row>
    <row r="2380" spans="1:11" x14ac:dyDescent="0.25">
      <c r="A2380" s="1" t="s">
        <v>344</v>
      </c>
      <c r="B2380" s="1"/>
      <c r="C2380" s="1" t="s">
        <v>3030</v>
      </c>
      <c r="D2380" s="1" t="s">
        <v>3429</v>
      </c>
      <c r="E2380" s="1"/>
      <c r="F2380">
        <v>0</v>
      </c>
      <c r="G2380">
        <v>0</v>
      </c>
      <c r="H2380">
        <v>0</v>
      </c>
      <c r="I2380">
        <v>0</v>
      </c>
      <c r="J2380">
        <v>98</v>
      </c>
      <c r="K2380" s="2">
        <v>45756</v>
      </c>
    </row>
    <row r="2381" spans="1:11" x14ac:dyDescent="0.25">
      <c r="A2381" s="1" t="s">
        <v>344</v>
      </c>
      <c r="B2381" s="1"/>
      <c r="C2381" s="1" t="s">
        <v>2988</v>
      </c>
      <c r="D2381" s="1" t="s">
        <v>3432</v>
      </c>
      <c r="E2381" s="1"/>
      <c r="F2381">
        <v>1</v>
      </c>
      <c r="G2381">
        <v>5.3</v>
      </c>
      <c r="H2381">
        <v>-220</v>
      </c>
      <c r="I2381">
        <v>0</v>
      </c>
      <c r="J2381">
        <v>6</v>
      </c>
      <c r="K2381" s="2">
        <v>45744</v>
      </c>
    </row>
    <row r="2382" spans="1:11" x14ac:dyDescent="0.25">
      <c r="A2382" s="1" t="s">
        <v>344</v>
      </c>
      <c r="B2382" s="1"/>
      <c r="C2382" s="1" t="s">
        <v>3209</v>
      </c>
      <c r="D2382" s="1" t="s">
        <v>3473</v>
      </c>
      <c r="E2382" s="1"/>
      <c r="F2382">
        <v>0.3</v>
      </c>
      <c r="G2382">
        <v>0</v>
      </c>
      <c r="H2382">
        <v>20</v>
      </c>
      <c r="I2382">
        <v>0</v>
      </c>
      <c r="J2382">
        <v>6</v>
      </c>
      <c r="K2382" s="2">
        <v>45735</v>
      </c>
    </row>
    <row r="2383" spans="1:11" x14ac:dyDescent="0.25">
      <c r="A2383" s="1" t="s">
        <v>344</v>
      </c>
      <c r="B2383" s="1"/>
      <c r="C2383" s="1" t="s">
        <v>2961</v>
      </c>
      <c r="D2383" s="1" t="s">
        <v>3462</v>
      </c>
      <c r="E2383" s="1"/>
      <c r="F2383">
        <v>1.5</v>
      </c>
      <c r="G2383">
        <v>3.1</v>
      </c>
      <c r="H2383">
        <v>-60</v>
      </c>
      <c r="I2383">
        <v>0</v>
      </c>
      <c r="J2383">
        <v>6</v>
      </c>
      <c r="K2383" s="2">
        <v>45744</v>
      </c>
    </row>
    <row r="2384" spans="1:11" x14ac:dyDescent="0.25">
      <c r="A2384" s="1" t="s">
        <v>344</v>
      </c>
      <c r="B2384" s="1"/>
      <c r="C2384" s="1" t="s">
        <v>3145</v>
      </c>
      <c r="D2384" s="1" t="s">
        <v>3432</v>
      </c>
      <c r="E2384" s="1"/>
      <c r="F2384">
        <v>51</v>
      </c>
      <c r="G2384">
        <v>45.3</v>
      </c>
      <c r="H2384">
        <v>275</v>
      </c>
      <c r="I2384">
        <v>3</v>
      </c>
      <c r="J2384">
        <v>95</v>
      </c>
      <c r="K2384" s="2">
        <v>45744</v>
      </c>
    </row>
    <row r="2385" spans="1:11" x14ac:dyDescent="0.25">
      <c r="A2385" s="1" t="s">
        <v>344</v>
      </c>
      <c r="B2385" s="1"/>
      <c r="C2385" s="1" t="s">
        <v>2828</v>
      </c>
      <c r="D2385" s="1" t="s">
        <v>3431</v>
      </c>
      <c r="E2385" s="1"/>
      <c r="F2385">
        <v>5.4</v>
      </c>
      <c r="G2385">
        <v>0.7</v>
      </c>
      <c r="H2385">
        <v>310</v>
      </c>
      <c r="I2385">
        <v>0</v>
      </c>
      <c r="J2385">
        <v>95</v>
      </c>
      <c r="K2385" s="2">
        <v>45744</v>
      </c>
    </row>
    <row r="2386" spans="1:11" x14ac:dyDescent="0.25">
      <c r="A2386" s="1" t="s">
        <v>344</v>
      </c>
      <c r="B2386" s="1"/>
      <c r="C2386" s="1" t="s">
        <v>3210</v>
      </c>
      <c r="D2386" s="1" t="s">
        <v>3473</v>
      </c>
      <c r="E2386" s="1"/>
      <c r="F2386">
        <v>10.3</v>
      </c>
      <c r="G2386">
        <v>11</v>
      </c>
      <c r="H2386">
        <v>-45</v>
      </c>
      <c r="I2386">
        <v>0</v>
      </c>
      <c r="J2386">
        <v>95</v>
      </c>
      <c r="K2386" s="2">
        <v>45744</v>
      </c>
    </row>
    <row r="2387" spans="1:11" x14ac:dyDescent="0.25">
      <c r="A2387" s="1" t="s">
        <v>344</v>
      </c>
      <c r="B2387" s="1"/>
      <c r="C2387" s="1" t="s">
        <v>3150</v>
      </c>
      <c r="D2387" s="1" t="s">
        <v>3462</v>
      </c>
      <c r="E2387" s="1"/>
      <c r="F2387">
        <v>16.8</v>
      </c>
      <c r="G2387">
        <v>26.2</v>
      </c>
      <c r="H2387">
        <v>-390</v>
      </c>
      <c r="I2387">
        <v>1</v>
      </c>
      <c r="J2387">
        <v>85</v>
      </c>
      <c r="K2387" s="2">
        <v>45754</v>
      </c>
    </row>
    <row r="2388" spans="1:11" x14ac:dyDescent="0.25">
      <c r="A2388" s="1" t="s">
        <v>344</v>
      </c>
      <c r="B2388" s="1"/>
      <c r="C2388" s="1" t="s">
        <v>3200</v>
      </c>
      <c r="D2388" s="1" t="s">
        <v>3477</v>
      </c>
      <c r="E2388" s="1"/>
      <c r="F2388">
        <v>25.5</v>
      </c>
      <c r="G2388">
        <v>25.3</v>
      </c>
      <c r="H2388">
        <v>30</v>
      </c>
      <c r="I2388">
        <v>0</v>
      </c>
      <c r="J2388">
        <v>94</v>
      </c>
      <c r="K2388" s="2">
        <v>45754</v>
      </c>
    </row>
    <row r="2389" spans="1:11" x14ac:dyDescent="0.25">
      <c r="A2389" s="1" t="s">
        <v>344</v>
      </c>
      <c r="B2389" s="1"/>
      <c r="C2389" s="1" t="s">
        <v>2924</v>
      </c>
      <c r="D2389" s="1" t="s">
        <v>3372</v>
      </c>
      <c r="E2389" s="1"/>
      <c r="F2389">
        <v>1</v>
      </c>
      <c r="G2389">
        <v>6.7</v>
      </c>
      <c r="H2389">
        <v>-285</v>
      </c>
      <c r="I2389">
        <v>0</v>
      </c>
      <c r="J2389">
        <v>94</v>
      </c>
      <c r="K2389" s="2">
        <v>45758</v>
      </c>
    </row>
    <row r="2390" spans="1:11" x14ac:dyDescent="0.25">
      <c r="A2390" s="1" t="s">
        <v>344</v>
      </c>
      <c r="B2390" s="1"/>
      <c r="C2390" s="1" t="s">
        <v>3171</v>
      </c>
      <c r="D2390" s="1" t="s">
        <v>3449</v>
      </c>
      <c r="E2390" s="1"/>
      <c r="F2390">
        <v>2.7</v>
      </c>
      <c r="G2390">
        <v>11.5</v>
      </c>
      <c r="H2390">
        <v>-555</v>
      </c>
      <c r="I2390">
        <v>0</v>
      </c>
      <c r="J2390">
        <v>94</v>
      </c>
      <c r="K2390" s="2">
        <v>45758</v>
      </c>
    </row>
    <row r="2391" spans="1:11" x14ac:dyDescent="0.25">
      <c r="A2391" s="1" t="s">
        <v>404</v>
      </c>
      <c r="B2391" s="1"/>
      <c r="C2391" s="1" t="s">
        <v>2808</v>
      </c>
      <c r="D2391" s="1" t="s">
        <v>3370</v>
      </c>
      <c r="E2391" s="1"/>
      <c r="F2391">
        <v>0</v>
      </c>
      <c r="G2391">
        <v>0</v>
      </c>
      <c r="H2391">
        <v>0</v>
      </c>
      <c r="I2391">
        <v>0</v>
      </c>
      <c r="J2391">
        <v>39</v>
      </c>
      <c r="K2391" s="2">
        <v>45737</v>
      </c>
    </row>
    <row r="2392" spans="1:11" x14ac:dyDescent="0.25">
      <c r="A2392" s="1" t="s">
        <v>404</v>
      </c>
      <c r="B2392" s="1"/>
      <c r="C2392" s="1" t="s">
        <v>3030</v>
      </c>
      <c r="D2392" s="1" t="s">
        <v>3429</v>
      </c>
      <c r="E2392" s="1"/>
      <c r="F2392">
        <v>0</v>
      </c>
      <c r="G2392">
        <v>0.9</v>
      </c>
      <c r="H2392">
        <v>-50</v>
      </c>
      <c r="I2392">
        <v>0</v>
      </c>
      <c r="J2392">
        <v>39</v>
      </c>
      <c r="K2392" s="2">
        <v>45743</v>
      </c>
    </row>
    <row r="2393" spans="1:11" x14ac:dyDescent="0.25">
      <c r="A2393" s="1" t="s">
        <v>404</v>
      </c>
      <c r="B2393" s="1"/>
      <c r="C2393" s="1" t="s">
        <v>3207</v>
      </c>
      <c r="D2393" s="1" t="s">
        <v>3471</v>
      </c>
      <c r="E2393" s="1"/>
      <c r="F2393">
        <v>4.4000000000000004</v>
      </c>
      <c r="G2393">
        <v>1.8</v>
      </c>
      <c r="H2393">
        <v>175</v>
      </c>
      <c r="I2393">
        <v>0</v>
      </c>
      <c r="J2393">
        <v>39</v>
      </c>
      <c r="K2393" s="2">
        <v>45743</v>
      </c>
    </row>
    <row r="2394" spans="1:11" x14ac:dyDescent="0.25">
      <c r="A2394" s="1" t="s">
        <v>404</v>
      </c>
      <c r="B2394" s="1"/>
      <c r="C2394" s="1" t="s">
        <v>2903</v>
      </c>
      <c r="D2394" s="1" t="s">
        <v>3412</v>
      </c>
      <c r="E2394" s="1"/>
      <c r="F2394">
        <v>1.1000000000000001</v>
      </c>
      <c r="G2394">
        <v>0.8</v>
      </c>
      <c r="H2394">
        <v>20</v>
      </c>
      <c r="I2394">
        <v>0</v>
      </c>
      <c r="J2394">
        <v>39</v>
      </c>
      <c r="K2394" s="2">
        <v>45742</v>
      </c>
    </row>
    <row r="2395" spans="1:11" x14ac:dyDescent="0.25">
      <c r="A2395" s="1" t="s">
        <v>404</v>
      </c>
      <c r="B2395" s="1"/>
      <c r="C2395" s="1" t="s">
        <v>3208</v>
      </c>
      <c r="D2395" s="1" t="s">
        <v>3413</v>
      </c>
      <c r="E2395" s="1"/>
      <c r="F2395">
        <v>1.6</v>
      </c>
      <c r="G2395">
        <v>4.8</v>
      </c>
      <c r="H2395">
        <v>-205</v>
      </c>
      <c r="I2395">
        <v>0</v>
      </c>
      <c r="J2395">
        <v>39</v>
      </c>
      <c r="K2395" s="2">
        <v>45743</v>
      </c>
    </row>
    <row r="2396" spans="1:11" x14ac:dyDescent="0.25">
      <c r="A2396" s="1" t="s">
        <v>404</v>
      </c>
      <c r="B2396" s="1"/>
      <c r="C2396" s="1" t="s">
        <v>2903</v>
      </c>
      <c r="D2396" s="1" t="s">
        <v>3412</v>
      </c>
      <c r="E2396" s="1"/>
      <c r="F2396">
        <v>1.1000000000000001</v>
      </c>
      <c r="G2396">
        <v>3.7</v>
      </c>
      <c r="H2396">
        <v>-160</v>
      </c>
      <c r="I2396">
        <v>0</v>
      </c>
      <c r="J2396">
        <v>39</v>
      </c>
      <c r="K2396" s="2">
        <v>45743</v>
      </c>
    </row>
    <row r="2397" spans="1:11" x14ac:dyDescent="0.25">
      <c r="A2397" s="1" t="s">
        <v>404</v>
      </c>
      <c r="B2397" s="1"/>
      <c r="C2397" s="1" t="s">
        <v>3144</v>
      </c>
      <c r="D2397" s="1" t="s">
        <v>3388</v>
      </c>
      <c r="E2397" s="1"/>
      <c r="F2397">
        <v>0.9</v>
      </c>
      <c r="G2397">
        <v>6.7</v>
      </c>
      <c r="H2397">
        <v>-360</v>
      </c>
      <c r="I2397">
        <v>0</v>
      </c>
      <c r="J2397">
        <v>39</v>
      </c>
      <c r="K2397" s="2">
        <v>45743</v>
      </c>
    </row>
    <row r="2398" spans="1:11" x14ac:dyDescent="0.25">
      <c r="A2398" s="1" t="s">
        <v>404</v>
      </c>
      <c r="B2398" s="1"/>
      <c r="C2398" s="1" t="s">
        <v>3030</v>
      </c>
      <c r="D2398" s="1" t="s">
        <v>3429</v>
      </c>
      <c r="E2398" s="1"/>
      <c r="F2398">
        <v>0</v>
      </c>
      <c r="G2398">
        <v>0</v>
      </c>
      <c r="H2398">
        <v>0</v>
      </c>
      <c r="I2398">
        <v>0</v>
      </c>
      <c r="J2398">
        <v>39</v>
      </c>
      <c r="K2398" s="2">
        <v>45756</v>
      </c>
    </row>
    <row r="2399" spans="1:11" x14ac:dyDescent="0.25">
      <c r="A2399" s="1" t="s">
        <v>404</v>
      </c>
      <c r="B2399" s="1"/>
      <c r="C2399" s="1" t="s">
        <v>2988</v>
      </c>
      <c r="D2399" s="1" t="s">
        <v>3432</v>
      </c>
      <c r="E2399" s="1"/>
      <c r="F2399">
        <v>1</v>
      </c>
      <c r="G2399">
        <v>0.1</v>
      </c>
      <c r="H2399">
        <v>70</v>
      </c>
      <c r="I2399">
        <v>0</v>
      </c>
      <c r="J2399">
        <v>0</v>
      </c>
      <c r="K2399" s="2">
        <v>45742</v>
      </c>
    </row>
    <row r="2400" spans="1:11" x14ac:dyDescent="0.25">
      <c r="A2400" s="1" t="s">
        <v>404</v>
      </c>
      <c r="B2400" s="1"/>
      <c r="C2400" s="1" t="s">
        <v>3209</v>
      </c>
      <c r="D2400" s="1" t="s">
        <v>3473</v>
      </c>
      <c r="E2400" s="1"/>
      <c r="F2400">
        <v>0.3</v>
      </c>
      <c r="G2400">
        <v>0</v>
      </c>
      <c r="H2400">
        <v>20</v>
      </c>
      <c r="I2400">
        <v>0</v>
      </c>
      <c r="J2400">
        <v>0</v>
      </c>
      <c r="K2400" s="2">
        <v>45743</v>
      </c>
    </row>
    <row r="2401" spans="1:11" x14ac:dyDescent="0.25">
      <c r="A2401" s="1" t="s">
        <v>404</v>
      </c>
      <c r="B2401" s="1"/>
      <c r="C2401" s="1" t="s">
        <v>2961</v>
      </c>
      <c r="D2401" s="1" t="s">
        <v>3462</v>
      </c>
      <c r="E2401" s="1"/>
      <c r="F2401">
        <v>1.5</v>
      </c>
      <c r="G2401">
        <v>0</v>
      </c>
      <c r="H2401">
        <v>65</v>
      </c>
      <c r="I2401">
        <v>0</v>
      </c>
      <c r="J2401">
        <v>0</v>
      </c>
      <c r="K2401" s="2">
        <v>45743</v>
      </c>
    </row>
    <row r="2402" spans="1:11" x14ac:dyDescent="0.25">
      <c r="A2402" s="1" t="s">
        <v>404</v>
      </c>
      <c r="B2402" s="1"/>
      <c r="C2402" s="1" t="s">
        <v>3145</v>
      </c>
      <c r="D2402" s="1" t="s">
        <v>3432</v>
      </c>
      <c r="E2402" s="1"/>
      <c r="F2402">
        <v>21.5</v>
      </c>
      <c r="G2402">
        <v>21.4</v>
      </c>
      <c r="H2402">
        <v>50</v>
      </c>
      <c r="I2402">
        <v>0</v>
      </c>
      <c r="J2402">
        <v>39</v>
      </c>
      <c r="K2402" s="2">
        <v>45747</v>
      </c>
    </row>
    <row r="2403" spans="1:11" x14ac:dyDescent="0.25">
      <c r="A2403" s="1" t="s">
        <v>404</v>
      </c>
      <c r="B2403" s="1"/>
      <c r="C2403" s="1" t="s">
        <v>2828</v>
      </c>
      <c r="D2403" s="1" t="s">
        <v>3431</v>
      </c>
      <c r="E2403" s="1"/>
      <c r="F2403">
        <v>2.5</v>
      </c>
      <c r="G2403">
        <v>2.2000000000000002</v>
      </c>
      <c r="H2403">
        <v>20</v>
      </c>
      <c r="I2403">
        <v>0</v>
      </c>
      <c r="J2403">
        <v>38</v>
      </c>
      <c r="K2403" s="2">
        <v>45750</v>
      </c>
    </row>
    <row r="2404" spans="1:11" x14ac:dyDescent="0.25">
      <c r="A2404" s="1" t="s">
        <v>404</v>
      </c>
      <c r="B2404" s="1"/>
      <c r="C2404" s="1" t="s">
        <v>3210</v>
      </c>
      <c r="D2404" s="1" t="s">
        <v>3473</v>
      </c>
      <c r="E2404" s="1"/>
      <c r="F2404">
        <v>4.4000000000000004</v>
      </c>
      <c r="G2404">
        <v>0.8</v>
      </c>
      <c r="H2404">
        <v>230</v>
      </c>
      <c r="I2404">
        <v>0</v>
      </c>
      <c r="J2404">
        <v>38</v>
      </c>
      <c r="K2404" s="2">
        <v>45750</v>
      </c>
    </row>
    <row r="2405" spans="1:11" x14ac:dyDescent="0.25">
      <c r="A2405" s="1" t="s">
        <v>404</v>
      </c>
      <c r="B2405" s="1"/>
      <c r="C2405" s="1" t="s">
        <v>3150</v>
      </c>
      <c r="D2405" s="1" t="s">
        <v>3462</v>
      </c>
      <c r="E2405" s="1"/>
      <c r="F2405">
        <v>7</v>
      </c>
      <c r="G2405">
        <v>8.4</v>
      </c>
      <c r="H2405">
        <v>-55</v>
      </c>
      <c r="I2405">
        <v>1</v>
      </c>
      <c r="J2405">
        <v>38</v>
      </c>
      <c r="K2405" s="2">
        <v>45756</v>
      </c>
    </row>
    <row r="2406" spans="1:11" x14ac:dyDescent="0.25">
      <c r="A2406" s="1" t="s">
        <v>404</v>
      </c>
      <c r="B2406" s="1"/>
      <c r="C2406" s="1" t="s">
        <v>3200</v>
      </c>
      <c r="D2406" s="1" t="s">
        <v>3477</v>
      </c>
      <c r="E2406" s="1"/>
      <c r="F2406">
        <v>10.8</v>
      </c>
      <c r="G2406">
        <v>4.5999999999999996</v>
      </c>
      <c r="H2406">
        <v>405</v>
      </c>
      <c r="I2406">
        <v>0</v>
      </c>
      <c r="J2406">
        <v>38</v>
      </c>
      <c r="K2406" s="2">
        <v>45756</v>
      </c>
    </row>
    <row r="2407" spans="1:11" x14ac:dyDescent="0.25">
      <c r="A2407" s="1" t="s">
        <v>404</v>
      </c>
      <c r="B2407" s="1"/>
      <c r="C2407" s="1" t="s">
        <v>2924</v>
      </c>
      <c r="D2407" s="1" t="s">
        <v>3372</v>
      </c>
      <c r="E2407" s="1"/>
      <c r="F2407">
        <v>1</v>
      </c>
      <c r="G2407">
        <v>0</v>
      </c>
      <c r="H2407">
        <v>50</v>
      </c>
      <c r="I2407">
        <v>0</v>
      </c>
      <c r="J2407">
        <v>38</v>
      </c>
      <c r="K2407" s="2">
        <v>45756</v>
      </c>
    </row>
    <row r="2408" spans="1:11" x14ac:dyDescent="0.25">
      <c r="A2408" s="1" t="s">
        <v>404</v>
      </c>
      <c r="B2408" s="1"/>
      <c r="C2408" s="1" t="s">
        <v>3171</v>
      </c>
      <c r="D2408" s="1" t="s">
        <v>3449</v>
      </c>
      <c r="E2408" s="1"/>
      <c r="F2408">
        <v>1.2</v>
      </c>
      <c r="G2408">
        <v>6.7</v>
      </c>
      <c r="H2408">
        <v>-345</v>
      </c>
      <c r="I2408">
        <v>0</v>
      </c>
      <c r="J2408">
        <v>38</v>
      </c>
      <c r="K2408" s="2">
        <v>45757</v>
      </c>
    </row>
    <row r="2409" spans="1:11" x14ac:dyDescent="0.25">
      <c r="A2409" s="1" t="s">
        <v>145</v>
      </c>
      <c r="B2409" s="1"/>
      <c r="C2409" s="1" t="s">
        <v>3211</v>
      </c>
      <c r="D2409" s="1" t="s">
        <v>3370</v>
      </c>
      <c r="E2409" s="1"/>
      <c r="F2409">
        <v>0</v>
      </c>
      <c r="G2409">
        <v>0</v>
      </c>
      <c r="H2409">
        <v>0</v>
      </c>
      <c r="I2409">
        <v>0</v>
      </c>
      <c r="J2409">
        <v>120</v>
      </c>
      <c r="K2409" s="2">
        <v>45772</v>
      </c>
    </row>
    <row r="2410" spans="1:11" x14ac:dyDescent="0.25">
      <c r="A2410" s="1" t="s">
        <v>145</v>
      </c>
      <c r="B2410" s="1"/>
      <c r="C2410" s="1" t="s">
        <v>3212</v>
      </c>
      <c r="D2410" s="1" t="s">
        <v>3449</v>
      </c>
      <c r="E2410" s="1"/>
      <c r="F2410">
        <v>0</v>
      </c>
      <c r="G2410">
        <v>1.1000000000000001</v>
      </c>
      <c r="H2410">
        <v>-70</v>
      </c>
      <c r="I2410">
        <v>0</v>
      </c>
      <c r="J2410">
        <v>120</v>
      </c>
      <c r="K2410" s="2">
        <v>45771</v>
      </c>
    </row>
    <row r="2411" spans="1:11" x14ac:dyDescent="0.25">
      <c r="A2411" s="1" t="s">
        <v>488</v>
      </c>
      <c r="B2411" s="1"/>
      <c r="C2411" s="1" t="s">
        <v>2808</v>
      </c>
      <c r="D2411" s="1" t="s">
        <v>3370</v>
      </c>
      <c r="E2411" s="1"/>
      <c r="F2411">
        <v>0</v>
      </c>
      <c r="G2411">
        <v>0</v>
      </c>
      <c r="H2411">
        <v>0</v>
      </c>
      <c r="I2411">
        <v>0</v>
      </c>
      <c r="J2411">
        <v>60</v>
      </c>
      <c r="K2411" s="2">
        <v>45749</v>
      </c>
    </row>
    <row r="2412" spans="1:11" x14ac:dyDescent="0.25">
      <c r="A2412" s="1" t="s">
        <v>488</v>
      </c>
      <c r="B2412" s="1"/>
      <c r="C2412" s="1" t="s">
        <v>3030</v>
      </c>
      <c r="D2412" s="1" t="s">
        <v>3429</v>
      </c>
      <c r="E2412" s="1"/>
      <c r="F2412">
        <v>0</v>
      </c>
      <c r="G2412">
        <v>0</v>
      </c>
      <c r="H2412">
        <v>0</v>
      </c>
      <c r="I2412">
        <v>0</v>
      </c>
      <c r="J2412">
        <v>60</v>
      </c>
      <c r="K2412" s="2">
        <v>45750</v>
      </c>
    </row>
    <row r="2413" spans="1:11" x14ac:dyDescent="0.25">
      <c r="A2413" s="1" t="s">
        <v>488</v>
      </c>
      <c r="B2413" s="1"/>
      <c r="C2413" s="1" t="s">
        <v>3207</v>
      </c>
      <c r="D2413" s="1" t="s">
        <v>3471</v>
      </c>
      <c r="E2413" s="1"/>
      <c r="F2413">
        <v>6.5</v>
      </c>
      <c r="G2413">
        <v>2.4</v>
      </c>
      <c r="H2413">
        <v>270</v>
      </c>
      <c r="I2413">
        <v>0</v>
      </c>
      <c r="J2413">
        <v>60</v>
      </c>
      <c r="K2413" s="2">
        <v>45750</v>
      </c>
    </row>
    <row r="2414" spans="1:11" x14ac:dyDescent="0.25">
      <c r="A2414" s="1" t="s">
        <v>488</v>
      </c>
      <c r="B2414" s="1"/>
      <c r="C2414" s="1" t="s">
        <v>2903</v>
      </c>
      <c r="D2414" s="1" t="s">
        <v>3412</v>
      </c>
      <c r="E2414" s="1"/>
      <c r="F2414">
        <v>1.6</v>
      </c>
      <c r="G2414">
        <v>2.2000000000000002</v>
      </c>
      <c r="H2414">
        <v>-35</v>
      </c>
      <c r="I2414">
        <v>0</v>
      </c>
      <c r="J2414">
        <v>60</v>
      </c>
      <c r="K2414" s="2">
        <v>45750</v>
      </c>
    </row>
    <row r="2415" spans="1:11" x14ac:dyDescent="0.25">
      <c r="A2415" s="1" t="s">
        <v>488</v>
      </c>
      <c r="B2415" s="1"/>
      <c r="C2415" s="1" t="s">
        <v>3208</v>
      </c>
      <c r="D2415" s="1" t="s">
        <v>3413</v>
      </c>
      <c r="E2415" s="1"/>
      <c r="F2415">
        <v>2.2999999999999998</v>
      </c>
      <c r="G2415">
        <v>4.8</v>
      </c>
      <c r="H2415">
        <v>-160</v>
      </c>
      <c r="I2415">
        <v>0</v>
      </c>
      <c r="J2415">
        <v>60</v>
      </c>
      <c r="K2415" s="2">
        <v>45751</v>
      </c>
    </row>
    <row r="2416" spans="1:11" x14ac:dyDescent="0.25">
      <c r="A2416" s="1" t="s">
        <v>488</v>
      </c>
      <c r="B2416" s="1"/>
      <c r="C2416" s="1" t="s">
        <v>2903</v>
      </c>
      <c r="D2416" s="1" t="s">
        <v>3412</v>
      </c>
      <c r="E2416" s="1"/>
      <c r="F2416">
        <v>1.6</v>
      </c>
      <c r="G2416">
        <v>5.2</v>
      </c>
      <c r="H2416">
        <v>-220</v>
      </c>
      <c r="I2416">
        <v>0</v>
      </c>
      <c r="J2416">
        <v>60</v>
      </c>
      <c r="K2416" s="2">
        <v>45751</v>
      </c>
    </row>
    <row r="2417" spans="1:11" x14ac:dyDescent="0.25">
      <c r="A2417" s="1" t="s">
        <v>488</v>
      </c>
      <c r="B2417" s="1"/>
      <c r="C2417" s="1" t="s">
        <v>3144</v>
      </c>
      <c r="D2417" s="1" t="s">
        <v>3388</v>
      </c>
      <c r="E2417" s="1"/>
      <c r="F2417">
        <v>1.1000000000000001</v>
      </c>
      <c r="G2417">
        <v>3.1</v>
      </c>
      <c r="H2417">
        <v>-125</v>
      </c>
      <c r="I2417">
        <v>0</v>
      </c>
      <c r="J2417">
        <v>60</v>
      </c>
      <c r="K2417" s="2">
        <v>45751</v>
      </c>
    </row>
    <row r="2418" spans="1:11" x14ac:dyDescent="0.25">
      <c r="A2418" s="1" t="s">
        <v>488</v>
      </c>
      <c r="B2418" s="1"/>
      <c r="C2418" s="1" t="s">
        <v>3030</v>
      </c>
      <c r="D2418" s="1" t="s">
        <v>3429</v>
      </c>
      <c r="E2418" s="1"/>
      <c r="F2418">
        <v>0</v>
      </c>
      <c r="G2418">
        <v>0</v>
      </c>
      <c r="H2418">
        <v>0</v>
      </c>
      <c r="I2418">
        <v>0</v>
      </c>
      <c r="J2418">
        <v>60</v>
      </c>
      <c r="K2418" s="2">
        <v>45756</v>
      </c>
    </row>
    <row r="2419" spans="1:11" x14ac:dyDescent="0.25">
      <c r="A2419" s="1" t="s">
        <v>488</v>
      </c>
      <c r="B2419" s="1"/>
      <c r="C2419" s="1" t="s">
        <v>2988</v>
      </c>
      <c r="D2419" s="1" t="s">
        <v>3432</v>
      </c>
      <c r="E2419" s="1"/>
      <c r="F2419">
        <v>1</v>
      </c>
      <c r="G2419">
        <v>5.6</v>
      </c>
      <c r="H2419">
        <v>-315</v>
      </c>
      <c r="I2419">
        <v>0</v>
      </c>
      <c r="J2419">
        <v>0</v>
      </c>
      <c r="K2419" s="2">
        <v>45755</v>
      </c>
    </row>
    <row r="2420" spans="1:11" x14ac:dyDescent="0.25">
      <c r="A2420" s="1" t="s">
        <v>488</v>
      </c>
      <c r="B2420" s="1"/>
      <c r="C2420" s="1" t="s">
        <v>3209</v>
      </c>
      <c r="D2420" s="1" t="s">
        <v>3473</v>
      </c>
      <c r="E2420" s="1"/>
      <c r="F2420">
        <v>0.3</v>
      </c>
      <c r="G2420">
        <v>0</v>
      </c>
      <c r="H2420">
        <v>20</v>
      </c>
      <c r="I2420">
        <v>0</v>
      </c>
      <c r="J2420">
        <v>0</v>
      </c>
      <c r="K2420" s="2">
        <v>45756</v>
      </c>
    </row>
    <row r="2421" spans="1:11" x14ac:dyDescent="0.25">
      <c r="A2421" s="1" t="s">
        <v>488</v>
      </c>
      <c r="B2421" s="1"/>
      <c r="C2421" s="1" t="s">
        <v>2961</v>
      </c>
      <c r="D2421" s="1" t="s">
        <v>3462</v>
      </c>
      <c r="E2421" s="1"/>
      <c r="F2421">
        <v>1.5</v>
      </c>
      <c r="G2421">
        <v>0</v>
      </c>
      <c r="H2421">
        <v>65</v>
      </c>
      <c r="I2421">
        <v>0</v>
      </c>
      <c r="J2421">
        <v>0</v>
      </c>
      <c r="K2421" s="2">
        <v>45756</v>
      </c>
    </row>
    <row r="2422" spans="1:11" x14ac:dyDescent="0.25">
      <c r="A2422" s="1" t="s">
        <v>488</v>
      </c>
      <c r="B2422" s="1"/>
      <c r="C2422" s="1" t="s">
        <v>3145</v>
      </c>
      <c r="D2422" s="1" t="s">
        <v>3432</v>
      </c>
      <c r="E2422" s="1"/>
      <c r="F2422">
        <v>32</v>
      </c>
      <c r="G2422">
        <v>23</v>
      </c>
      <c r="H2422">
        <v>535</v>
      </c>
      <c r="I2422">
        <v>1</v>
      </c>
      <c r="J2422">
        <v>59</v>
      </c>
      <c r="K2422" s="2">
        <v>45757</v>
      </c>
    </row>
    <row r="2423" spans="1:11" x14ac:dyDescent="0.25">
      <c r="A2423" s="1" t="s">
        <v>488</v>
      </c>
      <c r="B2423" s="1"/>
      <c r="C2423" s="1" t="s">
        <v>2828</v>
      </c>
      <c r="D2423" s="1" t="s">
        <v>3431</v>
      </c>
      <c r="E2423" s="1"/>
      <c r="F2423">
        <v>3.5</v>
      </c>
      <c r="G2423">
        <v>7.1</v>
      </c>
      <c r="H2423">
        <v>-220</v>
      </c>
      <c r="I2423">
        <v>0</v>
      </c>
      <c r="J2423">
        <v>59</v>
      </c>
      <c r="K2423" s="2">
        <v>45757</v>
      </c>
    </row>
    <row r="2424" spans="1:11" x14ac:dyDescent="0.25">
      <c r="A2424" s="1" t="s">
        <v>488</v>
      </c>
      <c r="B2424" s="1"/>
      <c r="C2424" s="1" t="s">
        <v>3210</v>
      </c>
      <c r="D2424" s="1" t="s">
        <v>3473</v>
      </c>
      <c r="E2424" s="1"/>
      <c r="F2424">
        <v>6.5</v>
      </c>
      <c r="G2424">
        <v>6.8</v>
      </c>
      <c r="H2424">
        <v>-10</v>
      </c>
      <c r="I2424">
        <v>0</v>
      </c>
      <c r="J2424">
        <v>59</v>
      </c>
      <c r="K2424" s="2">
        <v>45757</v>
      </c>
    </row>
    <row r="2425" spans="1:11" x14ac:dyDescent="0.25">
      <c r="A2425" s="1" t="s">
        <v>488</v>
      </c>
      <c r="B2425" s="1"/>
      <c r="C2425" s="1" t="s">
        <v>3150</v>
      </c>
      <c r="D2425" s="1" t="s">
        <v>3462</v>
      </c>
      <c r="E2425" s="1"/>
      <c r="F2425">
        <v>10.5</v>
      </c>
      <c r="G2425">
        <v>14.3</v>
      </c>
      <c r="H2425">
        <v>-155</v>
      </c>
      <c r="I2425">
        <v>0</v>
      </c>
      <c r="J2425">
        <v>59</v>
      </c>
      <c r="K2425" s="2">
        <v>45782</v>
      </c>
    </row>
    <row r="2426" spans="1:11" x14ac:dyDescent="0.25">
      <c r="A2426" s="1" t="s">
        <v>488</v>
      </c>
      <c r="B2426" s="1"/>
      <c r="C2426" s="1" t="s">
        <v>3200</v>
      </c>
      <c r="D2426" s="1" t="s">
        <v>3477</v>
      </c>
      <c r="E2426" s="1"/>
      <c r="F2426">
        <v>16</v>
      </c>
      <c r="G2426">
        <v>14.1</v>
      </c>
      <c r="H2426">
        <v>140</v>
      </c>
      <c r="I2426">
        <v>0</v>
      </c>
      <c r="J2426">
        <v>59</v>
      </c>
      <c r="K2426" s="2">
        <v>45782</v>
      </c>
    </row>
    <row r="2427" spans="1:11" x14ac:dyDescent="0.25">
      <c r="A2427" s="1" t="s">
        <v>488</v>
      </c>
      <c r="B2427" s="1"/>
      <c r="C2427" s="1" t="s">
        <v>2924</v>
      </c>
      <c r="D2427" s="1" t="s">
        <v>3372</v>
      </c>
      <c r="E2427" s="1"/>
      <c r="F2427">
        <v>1</v>
      </c>
      <c r="G2427">
        <v>0.2</v>
      </c>
      <c r="H2427">
        <v>45</v>
      </c>
      <c r="I2427">
        <v>0</v>
      </c>
      <c r="J2427">
        <v>59</v>
      </c>
      <c r="K2427" s="2">
        <v>45782</v>
      </c>
    </row>
    <row r="2428" spans="1:11" x14ac:dyDescent="0.25">
      <c r="A2428" s="1" t="s">
        <v>488</v>
      </c>
      <c r="B2428" s="1"/>
      <c r="C2428" s="1" t="s">
        <v>3171</v>
      </c>
      <c r="D2428" s="1" t="s">
        <v>3449</v>
      </c>
      <c r="E2428" s="1"/>
      <c r="F2428">
        <v>1.8</v>
      </c>
      <c r="G2428">
        <v>9.6999999999999993</v>
      </c>
      <c r="H2428">
        <v>-505</v>
      </c>
      <c r="I2428">
        <v>0</v>
      </c>
      <c r="J2428">
        <v>59</v>
      </c>
      <c r="K2428" s="2">
        <v>45784</v>
      </c>
    </row>
    <row r="2429" spans="1:11" x14ac:dyDescent="0.25">
      <c r="A2429" s="1" t="s">
        <v>534</v>
      </c>
      <c r="B2429" s="1"/>
      <c r="C2429" s="1" t="s">
        <v>2808</v>
      </c>
      <c r="D2429" s="1" t="s">
        <v>3370</v>
      </c>
      <c r="E2429" s="1"/>
      <c r="F2429">
        <v>0</v>
      </c>
      <c r="G2429">
        <v>0</v>
      </c>
      <c r="H2429">
        <v>0</v>
      </c>
      <c r="I2429">
        <v>0</v>
      </c>
      <c r="J2429">
        <v>69</v>
      </c>
      <c r="K2429" s="2">
        <v>45755</v>
      </c>
    </row>
    <row r="2430" spans="1:11" x14ac:dyDescent="0.25">
      <c r="A2430" s="1" t="s">
        <v>534</v>
      </c>
      <c r="B2430" s="1"/>
      <c r="C2430" s="1" t="s">
        <v>3030</v>
      </c>
      <c r="D2430" s="1" t="s">
        <v>3429</v>
      </c>
      <c r="E2430" s="1"/>
      <c r="F2430">
        <v>0</v>
      </c>
      <c r="G2430">
        <v>0</v>
      </c>
      <c r="H2430">
        <v>0</v>
      </c>
      <c r="I2430">
        <v>0</v>
      </c>
      <c r="J2430">
        <v>69</v>
      </c>
      <c r="K2430" s="2">
        <v>45755</v>
      </c>
    </row>
    <row r="2431" spans="1:11" x14ac:dyDescent="0.25">
      <c r="A2431" s="1" t="s">
        <v>534</v>
      </c>
      <c r="B2431" s="1"/>
      <c r="C2431" s="1" t="s">
        <v>3207</v>
      </c>
      <c r="D2431" s="1" t="s">
        <v>3471</v>
      </c>
      <c r="E2431" s="1"/>
      <c r="F2431">
        <v>7.4</v>
      </c>
      <c r="G2431">
        <v>0</v>
      </c>
      <c r="H2431">
        <v>480</v>
      </c>
      <c r="I2431">
        <v>0</v>
      </c>
      <c r="J2431">
        <v>69</v>
      </c>
      <c r="K2431" s="2">
        <v>45757</v>
      </c>
    </row>
    <row r="2432" spans="1:11" x14ac:dyDescent="0.25">
      <c r="A2432" s="1" t="s">
        <v>534</v>
      </c>
      <c r="B2432" s="1"/>
      <c r="C2432" s="1" t="s">
        <v>2903</v>
      </c>
      <c r="D2432" s="1" t="s">
        <v>3412</v>
      </c>
      <c r="E2432" s="1"/>
      <c r="F2432">
        <v>1.8</v>
      </c>
      <c r="G2432">
        <v>9.4</v>
      </c>
      <c r="H2432">
        <v>-470</v>
      </c>
      <c r="I2432">
        <v>0</v>
      </c>
      <c r="J2432">
        <v>69</v>
      </c>
      <c r="K2432" s="2">
        <v>45756</v>
      </c>
    </row>
    <row r="2433" spans="1:11" x14ac:dyDescent="0.25">
      <c r="A2433" s="1" t="s">
        <v>534</v>
      </c>
      <c r="B2433" s="1"/>
      <c r="C2433" s="1" t="s">
        <v>3208</v>
      </c>
      <c r="D2433" s="1" t="s">
        <v>3413</v>
      </c>
      <c r="E2433" s="1"/>
      <c r="F2433">
        <v>2.6</v>
      </c>
      <c r="G2433">
        <v>9.4</v>
      </c>
      <c r="H2433">
        <v>-425</v>
      </c>
      <c r="I2433">
        <v>0</v>
      </c>
      <c r="J2433">
        <v>69</v>
      </c>
      <c r="K2433" s="2">
        <v>45757</v>
      </c>
    </row>
    <row r="2434" spans="1:11" x14ac:dyDescent="0.25">
      <c r="A2434" s="1" t="s">
        <v>534</v>
      </c>
      <c r="B2434" s="1"/>
      <c r="C2434" s="1" t="s">
        <v>2903</v>
      </c>
      <c r="D2434" s="1" t="s">
        <v>3412</v>
      </c>
      <c r="E2434" s="1"/>
      <c r="F2434">
        <v>1.8</v>
      </c>
      <c r="G2434">
        <v>10.9</v>
      </c>
      <c r="H2434">
        <v>-565</v>
      </c>
      <c r="I2434">
        <v>0</v>
      </c>
      <c r="J2434">
        <v>69</v>
      </c>
      <c r="K2434" s="2">
        <v>45757</v>
      </c>
    </row>
    <row r="2435" spans="1:11" x14ac:dyDescent="0.25">
      <c r="A2435" s="1" t="s">
        <v>534</v>
      </c>
      <c r="B2435" s="1"/>
      <c r="C2435" s="1" t="s">
        <v>3144</v>
      </c>
      <c r="D2435" s="1" t="s">
        <v>3388</v>
      </c>
      <c r="E2435" s="1"/>
      <c r="F2435">
        <v>1.2</v>
      </c>
      <c r="G2435">
        <v>10.4</v>
      </c>
      <c r="H2435">
        <v>-570</v>
      </c>
      <c r="I2435">
        <v>0</v>
      </c>
      <c r="J2435">
        <v>69</v>
      </c>
      <c r="K2435" s="2">
        <v>45757</v>
      </c>
    </row>
    <row r="2436" spans="1:11" x14ac:dyDescent="0.25">
      <c r="A2436" s="1" t="s">
        <v>534</v>
      </c>
      <c r="B2436" s="1"/>
      <c r="C2436" s="1" t="s">
        <v>3030</v>
      </c>
      <c r="D2436" s="1" t="s">
        <v>3429</v>
      </c>
      <c r="E2436" s="1"/>
      <c r="F2436">
        <v>0</v>
      </c>
      <c r="G2436">
        <v>0</v>
      </c>
      <c r="H2436">
        <v>0</v>
      </c>
      <c r="I2436">
        <v>0</v>
      </c>
      <c r="J2436">
        <v>69</v>
      </c>
      <c r="K2436" s="2">
        <v>45757</v>
      </c>
    </row>
    <row r="2437" spans="1:11" x14ac:dyDescent="0.25">
      <c r="A2437" s="1" t="s">
        <v>534</v>
      </c>
      <c r="B2437" s="1"/>
      <c r="C2437" s="1" t="s">
        <v>2988</v>
      </c>
      <c r="D2437" s="1" t="s">
        <v>3432</v>
      </c>
      <c r="E2437" s="1"/>
      <c r="F2437">
        <v>1</v>
      </c>
      <c r="G2437">
        <v>3</v>
      </c>
      <c r="H2437">
        <v>-85</v>
      </c>
      <c r="I2437">
        <v>0</v>
      </c>
      <c r="J2437">
        <v>6</v>
      </c>
      <c r="K2437" s="2">
        <v>45758</v>
      </c>
    </row>
    <row r="2438" spans="1:11" x14ac:dyDescent="0.25">
      <c r="A2438" s="1" t="s">
        <v>534</v>
      </c>
      <c r="B2438" s="1"/>
      <c r="C2438" s="1" t="s">
        <v>3209</v>
      </c>
      <c r="D2438" s="1" t="s">
        <v>3473</v>
      </c>
      <c r="E2438" s="1"/>
      <c r="F2438">
        <v>0.3</v>
      </c>
      <c r="G2438">
        <v>0.8</v>
      </c>
      <c r="H2438">
        <v>-25</v>
      </c>
      <c r="I2438">
        <v>0</v>
      </c>
      <c r="J2438">
        <v>5</v>
      </c>
      <c r="K2438" s="2">
        <v>45763</v>
      </c>
    </row>
    <row r="2439" spans="1:11" x14ac:dyDescent="0.25">
      <c r="A2439" s="1" t="s">
        <v>534</v>
      </c>
      <c r="B2439" s="1"/>
      <c r="C2439" s="1" t="s">
        <v>2961</v>
      </c>
      <c r="D2439" s="1" t="s">
        <v>3462</v>
      </c>
      <c r="E2439" s="1"/>
      <c r="F2439">
        <v>1.5</v>
      </c>
      <c r="G2439">
        <v>0</v>
      </c>
      <c r="H2439">
        <v>65</v>
      </c>
      <c r="I2439">
        <v>0</v>
      </c>
      <c r="J2439">
        <v>0</v>
      </c>
      <c r="K2439" s="2">
        <v>45765</v>
      </c>
    </row>
    <row r="2440" spans="1:11" x14ac:dyDescent="0.25">
      <c r="A2440" s="1" t="s">
        <v>534</v>
      </c>
      <c r="B2440" s="1"/>
      <c r="C2440" s="1" t="s">
        <v>3145</v>
      </c>
      <c r="D2440" s="1" t="s">
        <v>3432</v>
      </c>
      <c r="E2440" s="1"/>
      <c r="F2440">
        <v>36.5</v>
      </c>
      <c r="G2440">
        <v>27.2</v>
      </c>
      <c r="H2440">
        <v>535</v>
      </c>
      <c r="I2440">
        <v>0</v>
      </c>
      <c r="J2440">
        <v>69</v>
      </c>
      <c r="K2440" s="2">
        <v>45786</v>
      </c>
    </row>
    <row r="2441" spans="1:11" x14ac:dyDescent="0.25">
      <c r="A2441" s="1" t="s">
        <v>534</v>
      </c>
      <c r="B2441" s="1"/>
      <c r="C2441" s="1" t="s">
        <v>2828</v>
      </c>
      <c r="D2441" s="1" t="s">
        <v>3431</v>
      </c>
      <c r="E2441" s="1"/>
      <c r="F2441">
        <v>4</v>
      </c>
      <c r="G2441">
        <v>5.9</v>
      </c>
      <c r="H2441">
        <v>-115</v>
      </c>
      <c r="I2441">
        <v>0</v>
      </c>
      <c r="J2441">
        <v>69</v>
      </c>
      <c r="K2441" s="2">
        <v>45786</v>
      </c>
    </row>
    <row r="2442" spans="1:11" x14ac:dyDescent="0.25">
      <c r="A2442" s="1" t="s">
        <v>534</v>
      </c>
      <c r="B2442" s="1"/>
      <c r="C2442" s="1" t="s">
        <v>3210</v>
      </c>
      <c r="D2442" s="1" t="s">
        <v>3473</v>
      </c>
      <c r="E2442" s="1"/>
      <c r="F2442">
        <v>7.4</v>
      </c>
      <c r="G2442">
        <v>10.1</v>
      </c>
      <c r="H2442">
        <v>-180</v>
      </c>
      <c r="I2442">
        <v>0</v>
      </c>
      <c r="J2442">
        <v>69</v>
      </c>
      <c r="K2442" s="2">
        <v>45786</v>
      </c>
    </row>
    <row r="2443" spans="1:11" x14ac:dyDescent="0.25">
      <c r="A2443" s="1" t="s">
        <v>270</v>
      </c>
      <c r="B2443" s="1"/>
      <c r="C2443" s="1" t="s">
        <v>2848</v>
      </c>
      <c r="D2443" s="1" t="s">
        <v>3372</v>
      </c>
      <c r="E2443" s="1"/>
      <c r="F2443">
        <v>1</v>
      </c>
      <c r="G2443">
        <v>0</v>
      </c>
      <c r="H2443">
        <v>55</v>
      </c>
      <c r="I2443">
        <v>0</v>
      </c>
      <c r="J2443">
        <v>94</v>
      </c>
      <c r="K2443" s="2">
        <v>45769</v>
      </c>
    </row>
    <row r="2444" spans="1:11" x14ac:dyDescent="0.25">
      <c r="A2444" s="1" t="s">
        <v>270</v>
      </c>
      <c r="B2444" s="1"/>
      <c r="C2444" s="1" t="s">
        <v>3213</v>
      </c>
      <c r="D2444" s="1" t="s">
        <v>3421</v>
      </c>
      <c r="E2444" s="1"/>
      <c r="F2444">
        <v>3.8</v>
      </c>
      <c r="G2444">
        <v>8.9</v>
      </c>
      <c r="H2444">
        <v>-315</v>
      </c>
      <c r="I2444">
        <v>0</v>
      </c>
      <c r="J2444">
        <v>64</v>
      </c>
      <c r="K2444" s="2">
        <v>45730</v>
      </c>
    </row>
    <row r="2445" spans="1:11" x14ac:dyDescent="0.25">
      <c r="A2445" s="1" t="s">
        <v>270</v>
      </c>
      <c r="B2445" s="1"/>
      <c r="C2445" s="1" t="s">
        <v>2948</v>
      </c>
      <c r="D2445" s="1" t="s">
        <v>3388</v>
      </c>
      <c r="E2445" s="1"/>
      <c r="F2445">
        <v>16.100000000000001</v>
      </c>
      <c r="G2445">
        <v>13.4</v>
      </c>
      <c r="H2445">
        <v>170</v>
      </c>
      <c r="I2445">
        <v>0</v>
      </c>
      <c r="J2445">
        <v>94</v>
      </c>
      <c r="K2445" s="2">
        <v>45769</v>
      </c>
    </row>
    <row r="2446" spans="1:11" x14ac:dyDescent="0.25">
      <c r="A2446" s="1" t="s">
        <v>270</v>
      </c>
      <c r="B2446" s="1"/>
      <c r="C2446" s="1" t="s">
        <v>2816</v>
      </c>
      <c r="D2446" s="1" t="s">
        <v>3372</v>
      </c>
      <c r="E2446" s="1"/>
      <c r="F2446">
        <v>1</v>
      </c>
      <c r="G2446">
        <v>0.1</v>
      </c>
      <c r="H2446">
        <v>50</v>
      </c>
      <c r="I2446">
        <v>0</v>
      </c>
      <c r="J2446">
        <v>94</v>
      </c>
      <c r="K2446" s="2">
        <v>45769</v>
      </c>
    </row>
    <row r="2447" spans="1:11" x14ac:dyDescent="0.25">
      <c r="A2447" s="1" t="s">
        <v>270</v>
      </c>
      <c r="B2447" s="1"/>
      <c r="C2447" s="1" t="s">
        <v>2923</v>
      </c>
      <c r="D2447" s="1" t="s">
        <v>3449</v>
      </c>
      <c r="E2447" s="1"/>
      <c r="F2447">
        <v>0.5</v>
      </c>
      <c r="G2447">
        <v>1.8</v>
      </c>
      <c r="H2447">
        <v>-80</v>
      </c>
      <c r="I2447">
        <v>0</v>
      </c>
      <c r="J2447">
        <v>94</v>
      </c>
      <c r="K2447" s="2">
        <v>45740</v>
      </c>
    </row>
    <row r="2448" spans="1:11" x14ac:dyDescent="0.25">
      <c r="A2448" s="1" t="s">
        <v>493</v>
      </c>
      <c r="B2448" s="1"/>
      <c r="C2448" s="1" t="s">
        <v>2808</v>
      </c>
      <c r="D2448" s="1" t="s">
        <v>3370</v>
      </c>
      <c r="E2448" s="1"/>
      <c r="F2448">
        <v>0</v>
      </c>
      <c r="G2448">
        <v>0</v>
      </c>
      <c r="H2448">
        <v>0</v>
      </c>
      <c r="I2448">
        <v>0</v>
      </c>
      <c r="J2448">
        <v>120</v>
      </c>
      <c r="K2448" s="2">
        <v>45750</v>
      </c>
    </row>
    <row r="2449" spans="1:11" x14ac:dyDescent="0.25">
      <c r="A2449" s="1" t="s">
        <v>493</v>
      </c>
      <c r="B2449" s="1"/>
      <c r="C2449" s="1" t="s">
        <v>3182</v>
      </c>
      <c r="D2449" s="1" t="s">
        <v>3412</v>
      </c>
      <c r="E2449" s="1"/>
      <c r="F2449">
        <v>0.6</v>
      </c>
      <c r="G2449">
        <v>3.8</v>
      </c>
      <c r="H2449">
        <v>-195</v>
      </c>
      <c r="I2449">
        <v>0</v>
      </c>
      <c r="J2449">
        <v>10</v>
      </c>
      <c r="K2449" s="2">
        <v>45757</v>
      </c>
    </row>
    <row r="2450" spans="1:11" x14ac:dyDescent="0.25">
      <c r="A2450" s="1" t="s">
        <v>493</v>
      </c>
      <c r="B2450" s="1"/>
      <c r="C2450" s="1" t="s">
        <v>3090</v>
      </c>
      <c r="D2450" s="1" t="s">
        <v>3421</v>
      </c>
      <c r="E2450" s="1"/>
      <c r="F2450">
        <v>6</v>
      </c>
      <c r="G2450">
        <v>1.7</v>
      </c>
      <c r="H2450">
        <v>270</v>
      </c>
      <c r="I2450">
        <v>0</v>
      </c>
      <c r="J2450">
        <v>120</v>
      </c>
      <c r="K2450" s="2">
        <v>45751</v>
      </c>
    </row>
    <row r="2451" spans="1:11" x14ac:dyDescent="0.25">
      <c r="A2451" s="1" t="s">
        <v>493</v>
      </c>
      <c r="B2451" s="1"/>
      <c r="C2451" s="1" t="s">
        <v>3182</v>
      </c>
      <c r="D2451" s="1" t="s">
        <v>3412</v>
      </c>
      <c r="E2451" s="1"/>
      <c r="F2451">
        <v>0.6</v>
      </c>
      <c r="G2451">
        <v>3.1</v>
      </c>
      <c r="H2451">
        <v>-150</v>
      </c>
      <c r="I2451">
        <v>0</v>
      </c>
      <c r="J2451">
        <v>120</v>
      </c>
      <c r="K2451" s="2">
        <v>45752</v>
      </c>
    </row>
    <row r="2452" spans="1:11" x14ac:dyDescent="0.25">
      <c r="A2452" s="1" t="s">
        <v>493</v>
      </c>
      <c r="B2452" s="1"/>
      <c r="C2452" s="1" t="s">
        <v>2872</v>
      </c>
      <c r="D2452" s="1" t="s">
        <v>3388</v>
      </c>
      <c r="E2452" s="1"/>
      <c r="F2452">
        <v>4.2</v>
      </c>
      <c r="G2452">
        <v>4.5999999999999996</v>
      </c>
      <c r="H2452">
        <v>-25</v>
      </c>
      <c r="I2452">
        <v>0</v>
      </c>
      <c r="J2452">
        <v>120</v>
      </c>
      <c r="K2452" s="2">
        <v>45752</v>
      </c>
    </row>
    <row r="2453" spans="1:11" x14ac:dyDescent="0.25">
      <c r="A2453" s="1" t="s">
        <v>493</v>
      </c>
      <c r="B2453" s="1"/>
      <c r="C2453" s="1" t="s">
        <v>2873</v>
      </c>
      <c r="D2453" s="1" t="s">
        <v>3426</v>
      </c>
      <c r="E2453" s="1"/>
      <c r="F2453">
        <v>40.5</v>
      </c>
      <c r="G2453">
        <v>44.8</v>
      </c>
      <c r="H2453">
        <v>-260</v>
      </c>
      <c r="I2453">
        <v>6</v>
      </c>
      <c r="J2453">
        <v>114</v>
      </c>
      <c r="K2453" s="2">
        <v>45757</v>
      </c>
    </row>
    <row r="2454" spans="1:11" x14ac:dyDescent="0.25">
      <c r="A2454" s="1" t="s">
        <v>493</v>
      </c>
      <c r="B2454" s="1"/>
      <c r="C2454" s="1" t="s">
        <v>2864</v>
      </c>
      <c r="D2454" s="1" t="s">
        <v>3462</v>
      </c>
      <c r="E2454" s="1"/>
      <c r="F2454">
        <v>3</v>
      </c>
      <c r="G2454">
        <v>4.3</v>
      </c>
      <c r="H2454">
        <v>-50</v>
      </c>
      <c r="I2454">
        <v>0</v>
      </c>
      <c r="J2454">
        <v>8</v>
      </c>
      <c r="K2454" s="2">
        <v>45761</v>
      </c>
    </row>
    <row r="2455" spans="1:11" x14ac:dyDescent="0.25">
      <c r="A2455" s="1" t="s">
        <v>493</v>
      </c>
      <c r="B2455" s="1"/>
      <c r="C2455" s="1" t="s">
        <v>2828</v>
      </c>
      <c r="D2455" s="1" t="s">
        <v>3431</v>
      </c>
      <c r="E2455" s="1"/>
      <c r="F2455">
        <v>2.1</v>
      </c>
      <c r="G2455">
        <v>5.5</v>
      </c>
      <c r="H2455">
        <v>-210</v>
      </c>
      <c r="I2455">
        <v>0</v>
      </c>
      <c r="J2455">
        <v>114</v>
      </c>
      <c r="K2455" s="2">
        <v>45761</v>
      </c>
    </row>
    <row r="2456" spans="1:11" x14ac:dyDescent="0.25">
      <c r="A2456" s="1" t="s">
        <v>493</v>
      </c>
      <c r="B2456" s="1"/>
      <c r="C2456" s="1" t="s">
        <v>3214</v>
      </c>
      <c r="D2456" s="1" t="s">
        <v>3471</v>
      </c>
      <c r="E2456" s="1"/>
      <c r="F2456">
        <v>2.2999999999999998</v>
      </c>
      <c r="G2456">
        <v>4.4000000000000004</v>
      </c>
      <c r="H2456">
        <v>-135</v>
      </c>
      <c r="I2456">
        <v>0</v>
      </c>
      <c r="J2456">
        <v>114</v>
      </c>
      <c r="K2456" s="2">
        <v>45779</v>
      </c>
    </row>
    <row r="2457" spans="1:11" x14ac:dyDescent="0.25">
      <c r="A2457" s="1" t="s">
        <v>493</v>
      </c>
      <c r="B2457" s="1"/>
      <c r="C2457" s="1" t="s">
        <v>2848</v>
      </c>
      <c r="D2457" s="1" t="s">
        <v>3372</v>
      </c>
      <c r="E2457" s="1"/>
      <c r="F2457">
        <v>1</v>
      </c>
      <c r="G2457">
        <v>0.1</v>
      </c>
      <c r="H2457">
        <v>45</v>
      </c>
      <c r="I2457">
        <v>0</v>
      </c>
      <c r="J2457">
        <v>114</v>
      </c>
      <c r="K2457" s="2">
        <v>45761</v>
      </c>
    </row>
    <row r="2458" spans="1:11" x14ac:dyDescent="0.25">
      <c r="A2458" s="1" t="s">
        <v>493</v>
      </c>
      <c r="B2458" s="1"/>
      <c r="C2458" s="1" t="s">
        <v>3213</v>
      </c>
      <c r="D2458" s="1" t="s">
        <v>3421</v>
      </c>
      <c r="E2458" s="1"/>
      <c r="F2458">
        <v>4.5</v>
      </c>
      <c r="G2458">
        <v>7.5</v>
      </c>
      <c r="H2458">
        <v>-185</v>
      </c>
      <c r="I2458">
        <v>0</v>
      </c>
      <c r="J2458">
        <v>114</v>
      </c>
      <c r="K2458" s="2">
        <v>45762</v>
      </c>
    </row>
    <row r="2459" spans="1:11" x14ac:dyDescent="0.25">
      <c r="A2459" s="1" t="s">
        <v>493</v>
      </c>
      <c r="B2459" s="1"/>
      <c r="C2459" s="1" t="s">
        <v>2948</v>
      </c>
      <c r="D2459" s="1" t="s">
        <v>3388</v>
      </c>
      <c r="E2459" s="1"/>
      <c r="F2459">
        <v>19.3</v>
      </c>
      <c r="G2459">
        <v>27.4</v>
      </c>
      <c r="H2459">
        <v>-500</v>
      </c>
      <c r="I2459">
        <v>0</v>
      </c>
      <c r="J2459">
        <v>114</v>
      </c>
      <c r="K2459" s="2">
        <v>45779</v>
      </c>
    </row>
    <row r="2460" spans="1:11" x14ac:dyDescent="0.25">
      <c r="A2460" s="1" t="s">
        <v>493</v>
      </c>
      <c r="B2460" s="1"/>
      <c r="C2460" s="1" t="s">
        <v>2816</v>
      </c>
      <c r="D2460" s="1" t="s">
        <v>3372</v>
      </c>
      <c r="E2460" s="1"/>
      <c r="F2460">
        <v>1</v>
      </c>
      <c r="G2460">
        <v>0.1</v>
      </c>
      <c r="H2460">
        <v>50</v>
      </c>
      <c r="I2460">
        <v>0</v>
      </c>
      <c r="J2460">
        <v>114</v>
      </c>
      <c r="K2460" s="2">
        <v>45779</v>
      </c>
    </row>
    <row r="2461" spans="1:11" x14ac:dyDescent="0.25">
      <c r="A2461" s="1" t="s">
        <v>493</v>
      </c>
      <c r="B2461" s="1"/>
      <c r="C2461" s="1" t="s">
        <v>2923</v>
      </c>
      <c r="D2461" s="1" t="s">
        <v>3449</v>
      </c>
      <c r="E2461" s="1"/>
      <c r="F2461">
        <v>0.6</v>
      </c>
      <c r="G2461">
        <v>2.2999999999999998</v>
      </c>
      <c r="H2461">
        <v>-105</v>
      </c>
      <c r="I2461">
        <v>0</v>
      </c>
      <c r="J2461">
        <v>114</v>
      </c>
      <c r="K2461" s="2">
        <v>45772</v>
      </c>
    </row>
    <row r="2462" spans="1:11" x14ac:dyDescent="0.25">
      <c r="A2462" s="1" t="s">
        <v>574</v>
      </c>
      <c r="B2462" s="1"/>
      <c r="C2462" s="1" t="s">
        <v>2808</v>
      </c>
      <c r="D2462" s="1" t="s">
        <v>3370</v>
      </c>
      <c r="E2462" s="1"/>
      <c r="F2462">
        <v>0</v>
      </c>
      <c r="G2462">
        <v>0</v>
      </c>
      <c r="H2462">
        <v>0</v>
      </c>
      <c r="I2462">
        <v>0</v>
      </c>
      <c r="J2462">
        <v>120</v>
      </c>
      <c r="K2462" s="2">
        <v>45757</v>
      </c>
    </row>
    <row r="2463" spans="1:11" x14ac:dyDescent="0.25">
      <c r="A2463" s="1" t="s">
        <v>574</v>
      </c>
      <c r="B2463" s="1"/>
      <c r="C2463" s="1" t="s">
        <v>3182</v>
      </c>
      <c r="D2463" s="1" t="s">
        <v>3412</v>
      </c>
      <c r="E2463" s="1"/>
      <c r="F2463">
        <v>0.6</v>
      </c>
      <c r="G2463">
        <v>0</v>
      </c>
      <c r="H2463">
        <v>40</v>
      </c>
      <c r="I2463">
        <v>0</v>
      </c>
      <c r="J2463">
        <v>120</v>
      </c>
      <c r="K2463" s="2">
        <v>45758</v>
      </c>
    </row>
    <row r="2464" spans="1:11" x14ac:dyDescent="0.25">
      <c r="A2464" s="1" t="s">
        <v>574</v>
      </c>
      <c r="B2464" s="1"/>
      <c r="C2464" s="1" t="s">
        <v>3090</v>
      </c>
      <c r="D2464" s="1" t="s">
        <v>3421</v>
      </c>
      <c r="E2464" s="1"/>
      <c r="F2464">
        <v>6</v>
      </c>
      <c r="G2464">
        <v>11.1</v>
      </c>
      <c r="H2464">
        <v>-320</v>
      </c>
      <c r="I2464">
        <v>0</v>
      </c>
      <c r="J2464">
        <v>120</v>
      </c>
      <c r="K2464" s="2">
        <v>45762</v>
      </c>
    </row>
    <row r="2465" spans="1:11" x14ac:dyDescent="0.25">
      <c r="A2465" s="1" t="s">
        <v>574</v>
      </c>
      <c r="B2465" s="1"/>
      <c r="C2465" s="1" t="s">
        <v>3182</v>
      </c>
      <c r="D2465" s="1" t="s">
        <v>3412</v>
      </c>
      <c r="E2465" s="1"/>
      <c r="F2465">
        <v>0.6</v>
      </c>
      <c r="G2465">
        <v>1.4</v>
      </c>
      <c r="H2465">
        <v>-45</v>
      </c>
      <c r="I2465">
        <v>0</v>
      </c>
      <c r="J2465">
        <v>120</v>
      </c>
      <c r="K2465" s="2">
        <v>45762</v>
      </c>
    </row>
    <row r="2466" spans="1:11" x14ac:dyDescent="0.25">
      <c r="A2466" s="1" t="s">
        <v>574</v>
      </c>
      <c r="B2466" s="1"/>
      <c r="C2466" s="1" t="s">
        <v>2872</v>
      </c>
      <c r="D2466" s="1" t="s">
        <v>3388</v>
      </c>
      <c r="E2466" s="1"/>
      <c r="F2466">
        <v>4.2</v>
      </c>
      <c r="G2466">
        <v>7</v>
      </c>
      <c r="H2466">
        <v>-175</v>
      </c>
      <c r="I2466">
        <v>0</v>
      </c>
      <c r="J2466">
        <v>120</v>
      </c>
      <c r="K2466" s="2">
        <v>45762</v>
      </c>
    </row>
    <row r="2467" spans="1:11" x14ac:dyDescent="0.25">
      <c r="A2467" s="1" t="s">
        <v>574</v>
      </c>
      <c r="B2467" s="1"/>
      <c r="C2467" s="1" t="s">
        <v>2873</v>
      </c>
      <c r="D2467" s="1" t="s">
        <v>3448</v>
      </c>
      <c r="E2467" s="1"/>
      <c r="F2467">
        <v>40.5</v>
      </c>
      <c r="G2467">
        <v>62</v>
      </c>
      <c r="H2467">
        <v>-1365</v>
      </c>
      <c r="I2467">
        <v>1</v>
      </c>
      <c r="J2467">
        <v>119</v>
      </c>
      <c r="K2467" s="2">
        <v>45768</v>
      </c>
    </row>
    <row r="2468" spans="1:11" x14ac:dyDescent="0.25">
      <c r="A2468" s="1" t="s">
        <v>574</v>
      </c>
      <c r="B2468" s="1"/>
      <c r="C2468" s="1" t="s">
        <v>2864</v>
      </c>
      <c r="D2468" s="1" t="s">
        <v>3462</v>
      </c>
      <c r="E2468" s="1"/>
      <c r="F2468">
        <v>3</v>
      </c>
      <c r="G2468">
        <v>0.1</v>
      </c>
      <c r="H2468">
        <v>125</v>
      </c>
      <c r="I2468">
        <v>0</v>
      </c>
      <c r="J2468">
        <v>8</v>
      </c>
      <c r="K2468" s="2">
        <v>45771</v>
      </c>
    </row>
    <row r="2469" spans="1:11" x14ac:dyDescent="0.25">
      <c r="A2469" s="1" t="s">
        <v>574</v>
      </c>
      <c r="B2469" s="1"/>
      <c r="C2469" s="1" t="s">
        <v>2828</v>
      </c>
      <c r="D2469" s="1" t="s">
        <v>3431</v>
      </c>
      <c r="E2469" s="1"/>
      <c r="F2469">
        <v>2.1</v>
      </c>
      <c r="G2469">
        <v>5.3</v>
      </c>
      <c r="H2469">
        <v>-200</v>
      </c>
      <c r="I2469">
        <v>0</v>
      </c>
      <c r="J2469">
        <v>119</v>
      </c>
      <c r="K2469" s="2">
        <v>45771</v>
      </c>
    </row>
    <row r="2470" spans="1:11" x14ac:dyDescent="0.25">
      <c r="A2470" s="1" t="s">
        <v>574</v>
      </c>
      <c r="B2470" s="1"/>
      <c r="C2470" s="1" t="s">
        <v>3214</v>
      </c>
      <c r="D2470" s="1" t="s">
        <v>3471</v>
      </c>
      <c r="E2470" s="1"/>
      <c r="F2470">
        <v>2.2999999999999998</v>
      </c>
      <c r="G2470">
        <v>2.9</v>
      </c>
      <c r="H2470">
        <v>-35</v>
      </c>
      <c r="I2470">
        <v>0</v>
      </c>
      <c r="J2470">
        <v>119</v>
      </c>
      <c r="K2470" s="2">
        <v>45771</v>
      </c>
    </row>
    <row r="2471" spans="1:11" x14ac:dyDescent="0.25">
      <c r="A2471" s="1" t="s">
        <v>574</v>
      </c>
      <c r="B2471" s="1"/>
      <c r="C2471" s="1" t="s">
        <v>2848</v>
      </c>
      <c r="D2471" s="1" t="s">
        <v>3372</v>
      </c>
      <c r="E2471" s="1"/>
      <c r="F2471">
        <v>1</v>
      </c>
      <c r="G2471">
        <v>0</v>
      </c>
      <c r="H2471">
        <v>55</v>
      </c>
      <c r="I2471">
        <v>0</v>
      </c>
      <c r="J2471">
        <v>119</v>
      </c>
      <c r="K2471" s="2">
        <v>45783</v>
      </c>
    </row>
    <row r="2472" spans="1:11" x14ac:dyDescent="0.25">
      <c r="A2472" s="1" t="s">
        <v>574</v>
      </c>
      <c r="B2472" s="1"/>
      <c r="C2472" s="1" t="s">
        <v>3213</v>
      </c>
      <c r="D2472" s="1" t="s">
        <v>3421</v>
      </c>
      <c r="E2472" s="1"/>
      <c r="F2472">
        <v>4.5</v>
      </c>
      <c r="G2472">
        <v>9</v>
      </c>
      <c r="H2472">
        <v>-280</v>
      </c>
      <c r="I2472">
        <v>0</v>
      </c>
      <c r="J2472">
        <v>119</v>
      </c>
      <c r="K2472" s="2">
        <v>45789</v>
      </c>
    </row>
    <row r="2473" spans="1:11" x14ac:dyDescent="0.25">
      <c r="A2473" s="1" t="s">
        <v>574</v>
      </c>
      <c r="B2473" s="1"/>
      <c r="C2473" s="1" t="s">
        <v>2816</v>
      </c>
      <c r="D2473" s="1" t="s">
        <v>3372</v>
      </c>
      <c r="E2473" s="1"/>
      <c r="F2473">
        <v>1</v>
      </c>
      <c r="G2473">
        <v>0</v>
      </c>
      <c r="H2473">
        <v>50</v>
      </c>
      <c r="I2473">
        <v>0</v>
      </c>
      <c r="J2473">
        <v>20</v>
      </c>
      <c r="K2473" s="2">
        <v>45783</v>
      </c>
    </row>
    <row r="2474" spans="1:11" x14ac:dyDescent="0.25">
      <c r="A2474" s="1" t="s">
        <v>203</v>
      </c>
      <c r="B2474" s="1"/>
      <c r="C2474" s="1" t="s">
        <v>2869</v>
      </c>
      <c r="D2474" s="1" t="s">
        <v>3455</v>
      </c>
      <c r="E2474" s="1"/>
      <c r="F2474">
        <v>32.799999999999997</v>
      </c>
      <c r="G2474">
        <v>19</v>
      </c>
      <c r="H2474">
        <v>780</v>
      </c>
      <c r="I2474">
        <v>81</v>
      </c>
      <c r="J2474">
        <v>367</v>
      </c>
      <c r="K2474" s="2">
        <v>45750</v>
      </c>
    </row>
    <row r="2475" spans="1:11" x14ac:dyDescent="0.25">
      <c r="A2475" s="1" t="s">
        <v>260</v>
      </c>
      <c r="B2475" s="1"/>
      <c r="C2475" s="1" t="s">
        <v>2870</v>
      </c>
      <c r="D2475" s="1" t="s">
        <v>3375</v>
      </c>
      <c r="E2475" s="1"/>
      <c r="F2475">
        <v>30.1</v>
      </c>
      <c r="G2475">
        <v>58.8</v>
      </c>
      <c r="H2475">
        <v>-1485</v>
      </c>
      <c r="I2475">
        <v>39</v>
      </c>
      <c r="J2475">
        <v>563</v>
      </c>
      <c r="K2475" s="2">
        <v>45741</v>
      </c>
    </row>
    <row r="2476" spans="1:11" x14ac:dyDescent="0.25">
      <c r="A2476" s="1" t="s">
        <v>261</v>
      </c>
      <c r="B2476" s="1"/>
      <c r="C2476" s="1" t="s">
        <v>2870</v>
      </c>
      <c r="D2476" s="1" t="s">
        <v>3375</v>
      </c>
      <c r="E2476" s="1"/>
      <c r="F2476">
        <v>30.1</v>
      </c>
      <c r="G2476">
        <v>38</v>
      </c>
      <c r="H2476">
        <v>-405</v>
      </c>
      <c r="I2476">
        <v>71</v>
      </c>
      <c r="J2476">
        <v>531</v>
      </c>
      <c r="K2476" s="2">
        <v>45741</v>
      </c>
    </row>
    <row r="2477" spans="1:11" x14ac:dyDescent="0.25">
      <c r="A2477" s="1" t="s">
        <v>269</v>
      </c>
      <c r="B2477" s="1"/>
      <c r="C2477" s="1" t="s">
        <v>2963</v>
      </c>
      <c r="D2477" s="1" t="s">
        <v>3404</v>
      </c>
      <c r="E2477" s="1"/>
      <c r="F2477">
        <v>5.5</v>
      </c>
      <c r="G2477">
        <v>0</v>
      </c>
      <c r="H2477">
        <v>300</v>
      </c>
      <c r="I2477">
        <v>0</v>
      </c>
      <c r="J2477">
        <v>602</v>
      </c>
      <c r="K2477" s="2">
        <v>45737</v>
      </c>
    </row>
    <row r="2478" spans="1:11" x14ac:dyDescent="0.25">
      <c r="A2478" s="1" t="s">
        <v>269</v>
      </c>
      <c r="B2478" s="1"/>
      <c r="C2478" s="1" t="s">
        <v>2872</v>
      </c>
      <c r="D2478" s="1" t="s">
        <v>3371</v>
      </c>
      <c r="E2478" s="1"/>
      <c r="F2478">
        <v>10.1</v>
      </c>
      <c r="G2478">
        <v>6.3</v>
      </c>
      <c r="H2478">
        <v>195</v>
      </c>
      <c r="I2478">
        <v>0</v>
      </c>
      <c r="J2478">
        <v>604</v>
      </c>
      <c r="K2478" s="2">
        <v>45741</v>
      </c>
    </row>
    <row r="2479" spans="1:11" x14ac:dyDescent="0.25">
      <c r="A2479" s="1" t="s">
        <v>269</v>
      </c>
      <c r="B2479" s="1"/>
      <c r="C2479" s="1" t="s">
        <v>2869</v>
      </c>
      <c r="D2479" s="1" t="s">
        <v>3455</v>
      </c>
      <c r="E2479" s="1"/>
      <c r="F2479">
        <v>41.6</v>
      </c>
      <c r="G2479">
        <v>26</v>
      </c>
      <c r="H2479">
        <v>900</v>
      </c>
      <c r="I2479">
        <v>8</v>
      </c>
      <c r="J2479">
        <v>571</v>
      </c>
      <c r="K2479" s="2">
        <v>45751</v>
      </c>
    </row>
    <row r="2480" spans="1:11" x14ac:dyDescent="0.25">
      <c r="A2480" s="1" t="s">
        <v>269</v>
      </c>
      <c r="B2480" s="1"/>
      <c r="C2480" s="1" t="s">
        <v>2812</v>
      </c>
      <c r="D2480" s="1" t="s">
        <v>3374</v>
      </c>
      <c r="E2480" s="1"/>
      <c r="F2480">
        <v>0.3</v>
      </c>
      <c r="G2480">
        <v>0</v>
      </c>
      <c r="H2480">
        <v>20</v>
      </c>
      <c r="I2480">
        <v>0</v>
      </c>
      <c r="J2480">
        <v>594</v>
      </c>
      <c r="K2480" s="2">
        <v>45730</v>
      </c>
    </row>
    <row r="2481" spans="1:11" x14ac:dyDescent="0.25">
      <c r="A2481" s="1" t="s">
        <v>278</v>
      </c>
      <c r="B2481" s="1"/>
      <c r="C2481" s="1" t="s">
        <v>3096</v>
      </c>
      <c r="D2481" s="1" t="s">
        <v>3469</v>
      </c>
      <c r="E2481" s="1"/>
      <c r="F2481">
        <v>1</v>
      </c>
      <c r="G2481">
        <v>0</v>
      </c>
      <c r="H2481">
        <v>60</v>
      </c>
      <c r="I2481">
        <v>0</v>
      </c>
      <c r="J2481">
        <v>602</v>
      </c>
      <c r="K2481" s="2">
        <v>45730</v>
      </c>
    </row>
    <row r="2482" spans="1:11" x14ac:dyDescent="0.25">
      <c r="A2482" s="1" t="s">
        <v>136</v>
      </c>
      <c r="B2482" s="1"/>
      <c r="C2482" s="1" t="s">
        <v>2963</v>
      </c>
      <c r="D2482" s="1" t="s">
        <v>3404</v>
      </c>
      <c r="E2482" s="1"/>
      <c r="F2482">
        <v>0.8</v>
      </c>
      <c r="G2482">
        <v>0</v>
      </c>
      <c r="H2482">
        <v>55</v>
      </c>
      <c r="I2482">
        <v>0</v>
      </c>
      <c r="J2482">
        <v>35</v>
      </c>
      <c r="K2482" s="2">
        <v>45730</v>
      </c>
    </row>
    <row r="2483" spans="1:11" x14ac:dyDescent="0.25">
      <c r="A2483" s="1" t="s">
        <v>136</v>
      </c>
      <c r="B2483" s="1"/>
      <c r="C2483" s="1" t="s">
        <v>2872</v>
      </c>
      <c r="D2483" s="1" t="s">
        <v>3371</v>
      </c>
      <c r="E2483" s="1"/>
      <c r="F2483">
        <v>0.6</v>
      </c>
      <c r="G2483">
        <v>0.1</v>
      </c>
      <c r="H2483">
        <v>30</v>
      </c>
      <c r="I2483">
        <v>0</v>
      </c>
      <c r="J2483">
        <v>35</v>
      </c>
      <c r="K2483" s="2">
        <v>45735</v>
      </c>
    </row>
    <row r="2484" spans="1:11" x14ac:dyDescent="0.25">
      <c r="A2484" s="1" t="s">
        <v>136</v>
      </c>
      <c r="B2484" s="1"/>
      <c r="C2484" s="1" t="s">
        <v>3096</v>
      </c>
      <c r="D2484" s="1" t="s">
        <v>3469</v>
      </c>
      <c r="E2484" s="1"/>
      <c r="F2484">
        <v>1</v>
      </c>
      <c r="G2484">
        <v>0</v>
      </c>
      <c r="H2484">
        <v>60</v>
      </c>
      <c r="I2484">
        <v>0</v>
      </c>
      <c r="J2484">
        <v>32</v>
      </c>
      <c r="K2484" s="2">
        <v>45737</v>
      </c>
    </row>
    <row r="2485" spans="1:11" x14ac:dyDescent="0.25">
      <c r="A2485" s="1" t="s">
        <v>136</v>
      </c>
      <c r="B2485" s="1"/>
      <c r="C2485" s="1" t="s">
        <v>2869</v>
      </c>
      <c r="D2485" s="1" t="s">
        <v>3455</v>
      </c>
      <c r="E2485" s="1"/>
      <c r="F2485">
        <v>6.2</v>
      </c>
      <c r="G2485">
        <v>6</v>
      </c>
      <c r="H2485">
        <v>5</v>
      </c>
      <c r="I2485">
        <v>3</v>
      </c>
      <c r="J2485">
        <v>32</v>
      </c>
      <c r="K2485" s="2">
        <v>45737</v>
      </c>
    </row>
    <row r="2486" spans="1:11" x14ac:dyDescent="0.25">
      <c r="A2486" s="1" t="s">
        <v>136</v>
      </c>
      <c r="B2486" s="1"/>
      <c r="C2486" s="1" t="s">
        <v>2812</v>
      </c>
      <c r="D2486" s="1" t="s">
        <v>3374</v>
      </c>
      <c r="E2486" s="1"/>
      <c r="F2486">
        <v>0.3</v>
      </c>
      <c r="G2486">
        <v>0</v>
      </c>
      <c r="H2486">
        <v>20</v>
      </c>
      <c r="I2486">
        <v>0</v>
      </c>
      <c r="J2486">
        <v>32</v>
      </c>
      <c r="K2486" s="2">
        <v>45741</v>
      </c>
    </row>
    <row r="2487" spans="1:11" x14ac:dyDescent="0.25">
      <c r="A2487" s="1" t="s">
        <v>136</v>
      </c>
      <c r="B2487" s="1"/>
      <c r="C2487" s="1" t="s">
        <v>2870</v>
      </c>
      <c r="D2487" s="1" t="s">
        <v>3375</v>
      </c>
      <c r="E2487" s="1"/>
      <c r="F2487">
        <v>1.8</v>
      </c>
      <c r="G2487">
        <v>0.9</v>
      </c>
      <c r="H2487">
        <v>45</v>
      </c>
      <c r="I2487">
        <v>0</v>
      </c>
      <c r="J2487">
        <v>32</v>
      </c>
      <c r="K2487" s="2">
        <v>45741</v>
      </c>
    </row>
    <row r="2488" spans="1:11" x14ac:dyDescent="0.25">
      <c r="A2488" s="1" t="s">
        <v>136</v>
      </c>
      <c r="B2488" s="1"/>
      <c r="C2488" s="1" t="s">
        <v>2987</v>
      </c>
      <c r="D2488" s="1" t="s">
        <v>3425</v>
      </c>
      <c r="E2488" s="1"/>
      <c r="F2488">
        <v>6</v>
      </c>
      <c r="G2488">
        <v>20.399999999999999</v>
      </c>
      <c r="H2488">
        <v>-600</v>
      </c>
      <c r="I2488">
        <v>7</v>
      </c>
      <c r="J2488">
        <v>25</v>
      </c>
      <c r="K2488" s="2">
        <v>45775</v>
      </c>
    </row>
    <row r="2489" spans="1:11" x14ac:dyDescent="0.25">
      <c r="A2489" s="1" t="s">
        <v>136</v>
      </c>
      <c r="B2489" s="1"/>
      <c r="C2489" s="1" t="s">
        <v>3215</v>
      </c>
      <c r="D2489" s="1" t="s">
        <v>3372</v>
      </c>
      <c r="E2489" s="1"/>
      <c r="F2489">
        <v>1</v>
      </c>
      <c r="G2489">
        <v>0.4</v>
      </c>
      <c r="H2489">
        <v>35</v>
      </c>
      <c r="I2489">
        <v>0</v>
      </c>
      <c r="J2489">
        <v>25</v>
      </c>
      <c r="K2489" s="2">
        <v>45775</v>
      </c>
    </row>
    <row r="2490" spans="1:11" x14ac:dyDescent="0.25">
      <c r="A2490" s="1" t="s">
        <v>136</v>
      </c>
      <c r="B2490" s="1"/>
      <c r="C2490" s="1" t="s">
        <v>3216</v>
      </c>
      <c r="D2490" s="1" t="s">
        <v>3417</v>
      </c>
      <c r="E2490" s="1"/>
      <c r="F2490">
        <v>0.3</v>
      </c>
      <c r="G2490">
        <v>0.1</v>
      </c>
      <c r="H2490">
        <v>15</v>
      </c>
      <c r="I2490">
        <v>0</v>
      </c>
      <c r="J2490">
        <v>25</v>
      </c>
      <c r="K2490" s="2">
        <v>45775</v>
      </c>
    </row>
    <row r="2491" spans="1:11" x14ac:dyDescent="0.25">
      <c r="A2491" s="1" t="s">
        <v>279</v>
      </c>
      <c r="B2491" s="1"/>
      <c r="C2491" s="1" t="s">
        <v>2869</v>
      </c>
      <c r="D2491" s="1" t="s">
        <v>3455</v>
      </c>
      <c r="E2491" s="1"/>
      <c r="F2491">
        <v>22.8</v>
      </c>
      <c r="G2491">
        <v>26.6</v>
      </c>
      <c r="H2491">
        <v>-110</v>
      </c>
      <c r="I2491">
        <v>0</v>
      </c>
      <c r="J2491">
        <v>536</v>
      </c>
      <c r="K2491" s="2">
        <v>45755</v>
      </c>
    </row>
    <row r="2492" spans="1:11" x14ac:dyDescent="0.25">
      <c r="A2492" s="1" t="s">
        <v>318</v>
      </c>
      <c r="B2492" s="1"/>
      <c r="C2492" s="1" t="s">
        <v>2812</v>
      </c>
      <c r="D2492" s="1" t="s">
        <v>3374</v>
      </c>
      <c r="E2492" s="1"/>
      <c r="F2492">
        <v>0.3</v>
      </c>
      <c r="G2492">
        <v>0</v>
      </c>
      <c r="H2492">
        <v>20</v>
      </c>
      <c r="I2492">
        <v>0</v>
      </c>
      <c r="J2492">
        <v>598</v>
      </c>
      <c r="K2492" s="2">
        <v>45748</v>
      </c>
    </row>
    <row r="2493" spans="1:11" x14ac:dyDescent="0.25">
      <c r="A2493" s="1" t="s">
        <v>351</v>
      </c>
      <c r="B2493" s="1"/>
      <c r="C2493" s="1" t="s">
        <v>2808</v>
      </c>
      <c r="D2493" s="1" t="s">
        <v>3370</v>
      </c>
      <c r="E2493" s="1"/>
      <c r="F2493">
        <v>0</v>
      </c>
      <c r="G2493">
        <v>0</v>
      </c>
      <c r="H2493">
        <v>0</v>
      </c>
      <c r="I2493">
        <v>0</v>
      </c>
      <c r="J2493">
        <v>602</v>
      </c>
      <c r="K2493" s="2">
        <v>45729</v>
      </c>
    </row>
    <row r="2494" spans="1:11" x14ac:dyDescent="0.25">
      <c r="A2494" s="1" t="s">
        <v>351</v>
      </c>
      <c r="B2494" s="1"/>
      <c r="C2494" s="1" t="s">
        <v>2963</v>
      </c>
      <c r="D2494" s="1" t="s">
        <v>3404</v>
      </c>
      <c r="E2494" s="1"/>
      <c r="F2494">
        <v>5.5</v>
      </c>
      <c r="G2494">
        <v>0</v>
      </c>
      <c r="H2494">
        <v>300</v>
      </c>
      <c r="I2494">
        <v>0</v>
      </c>
      <c r="J2494">
        <v>602</v>
      </c>
      <c r="K2494" s="2">
        <v>45735</v>
      </c>
    </row>
    <row r="2495" spans="1:11" x14ac:dyDescent="0.25">
      <c r="A2495" s="1" t="s">
        <v>351</v>
      </c>
      <c r="B2495" s="1"/>
      <c r="C2495" s="1" t="s">
        <v>3096</v>
      </c>
      <c r="D2495" s="1" t="s">
        <v>3469</v>
      </c>
      <c r="E2495" s="1"/>
      <c r="F2495">
        <v>1</v>
      </c>
      <c r="G2495">
        <v>0.5</v>
      </c>
      <c r="H2495">
        <v>30</v>
      </c>
      <c r="I2495">
        <v>0</v>
      </c>
      <c r="J2495">
        <v>602</v>
      </c>
      <c r="K2495" s="2">
        <v>45758</v>
      </c>
    </row>
    <row r="2496" spans="1:11" x14ac:dyDescent="0.25">
      <c r="A2496" s="1" t="s">
        <v>351</v>
      </c>
      <c r="B2496" s="1"/>
      <c r="C2496" s="1" t="s">
        <v>2869</v>
      </c>
      <c r="D2496" s="1" t="s">
        <v>3455</v>
      </c>
      <c r="E2496" s="1"/>
      <c r="F2496">
        <v>22.8</v>
      </c>
      <c r="G2496">
        <v>25.7</v>
      </c>
      <c r="H2496">
        <v>-55</v>
      </c>
      <c r="I2496">
        <v>3</v>
      </c>
      <c r="J2496">
        <v>600</v>
      </c>
      <c r="K2496" s="2">
        <v>45737</v>
      </c>
    </row>
    <row r="2497" spans="1:11" x14ac:dyDescent="0.25">
      <c r="A2497" s="1" t="s">
        <v>351</v>
      </c>
      <c r="B2497" s="1"/>
      <c r="C2497" s="1" t="s">
        <v>2812</v>
      </c>
      <c r="D2497" s="1" t="s">
        <v>3374</v>
      </c>
      <c r="E2497" s="1"/>
      <c r="F2497">
        <v>0.3</v>
      </c>
      <c r="G2497">
        <v>0</v>
      </c>
      <c r="H2497">
        <v>20</v>
      </c>
      <c r="I2497">
        <v>0</v>
      </c>
      <c r="J2497">
        <v>599</v>
      </c>
      <c r="K2497" s="2">
        <v>45758</v>
      </c>
    </row>
    <row r="2498" spans="1:11" x14ac:dyDescent="0.25">
      <c r="A2498" s="1" t="s">
        <v>351</v>
      </c>
      <c r="B2498" s="1"/>
      <c r="C2498" s="1" t="s">
        <v>2924</v>
      </c>
      <c r="D2498" s="1" t="s">
        <v>3372</v>
      </c>
      <c r="E2498" s="1"/>
      <c r="F2498">
        <v>1</v>
      </c>
      <c r="G2498">
        <v>1.3</v>
      </c>
      <c r="H2498">
        <v>-10</v>
      </c>
      <c r="I2498">
        <v>0</v>
      </c>
      <c r="J2498">
        <v>342</v>
      </c>
      <c r="K2498" s="2">
        <v>45776</v>
      </c>
    </row>
    <row r="2499" spans="1:11" x14ac:dyDescent="0.25">
      <c r="A2499" s="1" t="s">
        <v>304</v>
      </c>
      <c r="B2499" s="1"/>
      <c r="C2499" s="1" t="s">
        <v>2869</v>
      </c>
      <c r="D2499" s="1" t="s">
        <v>3455</v>
      </c>
      <c r="E2499" s="1"/>
      <c r="F2499">
        <v>22.8</v>
      </c>
      <c r="G2499">
        <v>24.7</v>
      </c>
      <c r="H2499">
        <v>-10</v>
      </c>
      <c r="I2499">
        <v>0</v>
      </c>
      <c r="J2499">
        <v>521</v>
      </c>
      <c r="K2499" s="2">
        <v>45755</v>
      </c>
    </row>
    <row r="2500" spans="1:11" x14ac:dyDescent="0.25">
      <c r="A2500" s="1" t="s">
        <v>304</v>
      </c>
      <c r="B2500" s="1"/>
      <c r="C2500" s="1" t="s">
        <v>2924</v>
      </c>
      <c r="D2500" s="1" t="s">
        <v>3372</v>
      </c>
      <c r="E2500" s="1"/>
      <c r="F2500">
        <v>1</v>
      </c>
      <c r="G2500">
        <v>0</v>
      </c>
      <c r="H2500">
        <v>50</v>
      </c>
      <c r="I2500">
        <v>0</v>
      </c>
      <c r="J2500">
        <v>186</v>
      </c>
      <c r="K2500" s="2">
        <v>45751</v>
      </c>
    </row>
    <row r="2501" spans="1:11" x14ac:dyDescent="0.25">
      <c r="A2501" s="1" t="s">
        <v>350</v>
      </c>
      <c r="B2501" s="1"/>
      <c r="C2501" s="1" t="s">
        <v>2808</v>
      </c>
      <c r="D2501" s="1" t="s">
        <v>3370</v>
      </c>
      <c r="E2501" s="1"/>
      <c r="F2501">
        <v>0</v>
      </c>
      <c r="G2501">
        <v>0</v>
      </c>
      <c r="H2501">
        <v>0</v>
      </c>
      <c r="I2501">
        <v>0</v>
      </c>
      <c r="J2501">
        <v>602</v>
      </c>
      <c r="K2501" s="2">
        <v>45729</v>
      </c>
    </row>
    <row r="2502" spans="1:11" x14ac:dyDescent="0.25">
      <c r="A2502" s="1" t="s">
        <v>350</v>
      </c>
      <c r="B2502" s="1"/>
      <c r="C2502" s="1" t="s">
        <v>2963</v>
      </c>
      <c r="D2502" s="1" t="s">
        <v>3404</v>
      </c>
      <c r="E2502" s="1"/>
      <c r="F2502">
        <v>5.5</v>
      </c>
      <c r="G2502">
        <v>0</v>
      </c>
      <c r="H2502">
        <v>300</v>
      </c>
      <c r="I2502">
        <v>0</v>
      </c>
      <c r="J2502">
        <v>602</v>
      </c>
      <c r="K2502" s="2">
        <v>45777</v>
      </c>
    </row>
    <row r="2503" spans="1:11" x14ac:dyDescent="0.25">
      <c r="A2503" s="1" t="s">
        <v>350</v>
      </c>
      <c r="B2503" s="1"/>
      <c r="C2503" s="1" t="s">
        <v>2869</v>
      </c>
      <c r="D2503" s="1" t="s">
        <v>3455</v>
      </c>
      <c r="E2503" s="1"/>
      <c r="F2503">
        <v>22.8</v>
      </c>
      <c r="G2503">
        <v>36.5</v>
      </c>
      <c r="H2503">
        <v>-635</v>
      </c>
      <c r="I2503">
        <v>10</v>
      </c>
      <c r="J2503">
        <v>585</v>
      </c>
      <c r="K2503" s="2">
        <v>45778</v>
      </c>
    </row>
    <row r="2504" spans="1:11" x14ac:dyDescent="0.25">
      <c r="A2504" s="1" t="s">
        <v>350</v>
      </c>
      <c r="B2504" s="1"/>
      <c r="C2504" s="1" t="s">
        <v>2924</v>
      </c>
      <c r="D2504" s="1" t="s">
        <v>3372</v>
      </c>
      <c r="E2504" s="1"/>
      <c r="F2504">
        <v>1</v>
      </c>
      <c r="G2504">
        <v>0</v>
      </c>
      <c r="H2504">
        <v>50</v>
      </c>
      <c r="I2504">
        <v>0</v>
      </c>
      <c r="J2504">
        <v>63</v>
      </c>
      <c r="K2504" s="2">
        <v>45777</v>
      </c>
    </row>
    <row r="2505" spans="1:11" x14ac:dyDescent="0.25">
      <c r="A2505" s="1" t="s">
        <v>332</v>
      </c>
      <c r="B2505" s="1"/>
      <c r="C2505" s="1" t="s">
        <v>2808</v>
      </c>
      <c r="D2505" s="1" t="s">
        <v>3370</v>
      </c>
      <c r="E2505" s="1"/>
      <c r="F2505">
        <v>0</v>
      </c>
      <c r="G2505">
        <v>0</v>
      </c>
      <c r="H2505">
        <v>0</v>
      </c>
      <c r="I2505">
        <v>0</v>
      </c>
      <c r="J2505">
        <v>602</v>
      </c>
      <c r="K2505" s="2">
        <v>45729</v>
      </c>
    </row>
    <row r="2506" spans="1:11" x14ac:dyDescent="0.25">
      <c r="A2506" s="1" t="s">
        <v>332</v>
      </c>
      <c r="B2506" s="1"/>
      <c r="C2506" s="1" t="s">
        <v>2963</v>
      </c>
      <c r="D2506" s="1" t="s">
        <v>3404</v>
      </c>
      <c r="E2506" s="1"/>
      <c r="F2506">
        <v>5.5</v>
      </c>
      <c r="G2506">
        <v>0</v>
      </c>
      <c r="H2506">
        <v>300</v>
      </c>
      <c r="I2506">
        <v>0</v>
      </c>
      <c r="J2506">
        <v>602</v>
      </c>
      <c r="K2506" s="2">
        <v>45734</v>
      </c>
    </row>
    <row r="2507" spans="1:11" x14ac:dyDescent="0.25">
      <c r="A2507" s="1" t="s">
        <v>332</v>
      </c>
      <c r="B2507" s="1"/>
      <c r="C2507" s="1" t="s">
        <v>2872</v>
      </c>
      <c r="D2507" s="1" t="s">
        <v>3371</v>
      </c>
      <c r="E2507" s="1"/>
      <c r="F2507">
        <v>10.1</v>
      </c>
      <c r="G2507">
        <v>14.6</v>
      </c>
      <c r="H2507">
        <v>-230</v>
      </c>
      <c r="I2507">
        <v>0</v>
      </c>
      <c r="J2507">
        <v>532</v>
      </c>
      <c r="K2507" s="2">
        <v>45734</v>
      </c>
    </row>
    <row r="2508" spans="1:11" x14ac:dyDescent="0.25">
      <c r="A2508" s="1" t="s">
        <v>332</v>
      </c>
      <c r="B2508" s="1"/>
      <c r="C2508" s="1" t="s">
        <v>3096</v>
      </c>
      <c r="D2508" s="1" t="s">
        <v>3469</v>
      </c>
      <c r="E2508" s="1"/>
      <c r="F2508">
        <v>1</v>
      </c>
      <c r="G2508">
        <v>0.3</v>
      </c>
      <c r="H2508">
        <v>45</v>
      </c>
      <c r="I2508">
        <v>0</v>
      </c>
      <c r="J2508">
        <v>602</v>
      </c>
      <c r="K2508" s="2">
        <v>45729</v>
      </c>
    </row>
    <row r="2509" spans="1:11" x14ac:dyDescent="0.25">
      <c r="A2509" s="1" t="s">
        <v>332</v>
      </c>
      <c r="B2509" s="1"/>
      <c r="C2509" s="1" t="s">
        <v>2869</v>
      </c>
      <c r="D2509" s="1" t="s">
        <v>3455</v>
      </c>
      <c r="E2509" s="1"/>
      <c r="F2509">
        <v>22.8</v>
      </c>
      <c r="G2509">
        <v>32.200000000000003</v>
      </c>
      <c r="H2509">
        <v>-400</v>
      </c>
      <c r="I2509">
        <v>0</v>
      </c>
      <c r="J2509">
        <v>519.5</v>
      </c>
      <c r="K2509" s="2">
        <v>45751</v>
      </c>
    </row>
    <row r="2510" spans="1:11" x14ac:dyDescent="0.25">
      <c r="A2510" s="1" t="s">
        <v>415</v>
      </c>
      <c r="B2510" s="1"/>
      <c r="C2510" s="1" t="s">
        <v>2808</v>
      </c>
      <c r="D2510" s="1" t="s">
        <v>3370</v>
      </c>
      <c r="E2510" s="1"/>
      <c r="F2510">
        <v>0</v>
      </c>
      <c r="G2510">
        <v>0</v>
      </c>
      <c r="H2510">
        <v>0</v>
      </c>
      <c r="I2510">
        <v>0</v>
      </c>
      <c r="J2510">
        <v>602</v>
      </c>
      <c r="K2510" s="2">
        <v>45750</v>
      </c>
    </row>
    <row r="2511" spans="1:11" x14ac:dyDescent="0.25">
      <c r="A2511" s="1" t="s">
        <v>415</v>
      </c>
      <c r="B2511" s="1"/>
      <c r="C2511" s="1" t="s">
        <v>2869</v>
      </c>
      <c r="D2511" s="1" t="s">
        <v>3455</v>
      </c>
      <c r="E2511" s="1"/>
      <c r="F2511">
        <v>22.8</v>
      </c>
      <c r="G2511">
        <v>26.1</v>
      </c>
      <c r="H2511">
        <v>-70</v>
      </c>
      <c r="I2511">
        <v>35</v>
      </c>
      <c r="J2511">
        <v>485</v>
      </c>
      <c r="K2511" s="2">
        <v>45765</v>
      </c>
    </row>
    <row r="2512" spans="1:11" x14ac:dyDescent="0.25">
      <c r="A2512" s="1" t="s">
        <v>115</v>
      </c>
      <c r="B2512" s="1"/>
      <c r="C2512" s="1" t="s">
        <v>2808</v>
      </c>
      <c r="D2512" s="1" t="s">
        <v>3370</v>
      </c>
      <c r="E2512" s="1"/>
      <c r="F2512">
        <v>0</v>
      </c>
      <c r="G2512">
        <v>0</v>
      </c>
      <c r="H2512">
        <v>0</v>
      </c>
      <c r="I2512">
        <v>0</v>
      </c>
      <c r="J2512">
        <v>84</v>
      </c>
      <c r="K2512" s="2">
        <v>45741</v>
      </c>
    </row>
    <row r="2513" spans="1:11" x14ac:dyDescent="0.25">
      <c r="A2513" s="1" t="s">
        <v>115</v>
      </c>
      <c r="B2513" s="1"/>
      <c r="C2513" s="1" t="s">
        <v>2963</v>
      </c>
      <c r="D2513" s="1" t="s">
        <v>3404</v>
      </c>
      <c r="E2513" s="1"/>
      <c r="F2513">
        <v>1.2</v>
      </c>
      <c r="G2513">
        <v>0.2</v>
      </c>
      <c r="H2513">
        <v>65</v>
      </c>
      <c r="I2513">
        <v>0</v>
      </c>
      <c r="J2513">
        <v>84</v>
      </c>
      <c r="K2513" s="2">
        <v>45744</v>
      </c>
    </row>
    <row r="2514" spans="1:11" x14ac:dyDescent="0.25">
      <c r="A2514" s="1" t="s">
        <v>115</v>
      </c>
      <c r="B2514" s="1"/>
      <c r="C2514" s="1" t="s">
        <v>2872</v>
      </c>
      <c r="D2514" s="1" t="s">
        <v>3371</v>
      </c>
      <c r="E2514" s="1"/>
      <c r="F2514">
        <v>1.4</v>
      </c>
      <c r="G2514">
        <v>0.4</v>
      </c>
      <c r="H2514">
        <v>55</v>
      </c>
      <c r="I2514">
        <v>0</v>
      </c>
      <c r="J2514">
        <v>84</v>
      </c>
      <c r="K2514" s="2">
        <v>45742</v>
      </c>
    </row>
    <row r="2515" spans="1:11" x14ac:dyDescent="0.25">
      <c r="A2515" s="1" t="s">
        <v>115</v>
      </c>
      <c r="B2515" s="1"/>
      <c r="C2515" s="1" t="s">
        <v>3096</v>
      </c>
      <c r="D2515" s="1" t="s">
        <v>3469</v>
      </c>
      <c r="E2515" s="1"/>
      <c r="F2515">
        <v>1</v>
      </c>
      <c r="G2515">
        <v>0</v>
      </c>
      <c r="H2515">
        <v>60</v>
      </c>
      <c r="I2515">
        <v>0</v>
      </c>
      <c r="J2515">
        <v>76</v>
      </c>
      <c r="K2515" s="2">
        <v>45748</v>
      </c>
    </row>
    <row r="2516" spans="1:11" x14ac:dyDescent="0.25">
      <c r="A2516" s="1" t="s">
        <v>115</v>
      </c>
      <c r="B2516" s="1"/>
      <c r="C2516" s="1" t="s">
        <v>2869</v>
      </c>
      <c r="D2516" s="1" t="s">
        <v>3455</v>
      </c>
      <c r="E2516" s="1"/>
      <c r="F2516">
        <v>6.6</v>
      </c>
      <c r="G2516">
        <v>5.7</v>
      </c>
      <c r="H2516">
        <v>105</v>
      </c>
      <c r="I2516">
        <v>8</v>
      </c>
      <c r="J2516">
        <v>76</v>
      </c>
      <c r="K2516" s="2">
        <v>45744</v>
      </c>
    </row>
    <row r="2517" spans="1:11" x14ac:dyDescent="0.25">
      <c r="A2517" s="1" t="s">
        <v>115</v>
      </c>
      <c r="B2517" s="1"/>
      <c r="C2517" s="1" t="s">
        <v>2812</v>
      </c>
      <c r="D2517" s="1" t="s">
        <v>3374</v>
      </c>
      <c r="E2517" s="1"/>
      <c r="F2517">
        <v>0.3</v>
      </c>
      <c r="G2517">
        <v>0</v>
      </c>
      <c r="H2517">
        <v>20</v>
      </c>
      <c r="I2517">
        <v>0</v>
      </c>
      <c r="J2517">
        <v>76</v>
      </c>
      <c r="K2517" s="2">
        <v>45744</v>
      </c>
    </row>
    <row r="2518" spans="1:11" x14ac:dyDescent="0.25">
      <c r="A2518" s="1" t="s">
        <v>115</v>
      </c>
      <c r="B2518" s="1"/>
      <c r="C2518" s="1" t="s">
        <v>2924</v>
      </c>
      <c r="D2518" s="1" t="s">
        <v>3372</v>
      </c>
      <c r="E2518" s="1"/>
      <c r="F2518">
        <v>1</v>
      </c>
      <c r="G2518">
        <v>0</v>
      </c>
      <c r="H2518">
        <v>50</v>
      </c>
      <c r="I2518">
        <v>0</v>
      </c>
      <c r="J2518">
        <v>33</v>
      </c>
      <c r="K2518" s="2">
        <v>45749</v>
      </c>
    </row>
    <row r="2519" spans="1:11" x14ac:dyDescent="0.25">
      <c r="A2519" s="1" t="s">
        <v>153</v>
      </c>
      <c r="B2519" s="1"/>
      <c r="C2519" s="1" t="s">
        <v>2808</v>
      </c>
      <c r="D2519" s="1" t="s">
        <v>3370</v>
      </c>
      <c r="E2519" s="1"/>
      <c r="F2519">
        <v>0</v>
      </c>
      <c r="G2519">
        <v>0</v>
      </c>
      <c r="H2519">
        <v>0</v>
      </c>
      <c r="I2519">
        <v>0</v>
      </c>
      <c r="J2519">
        <v>658</v>
      </c>
      <c r="K2519" s="2">
        <v>45741</v>
      </c>
    </row>
    <row r="2520" spans="1:11" x14ac:dyDescent="0.25">
      <c r="A2520" s="1" t="s">
        <v>153</v>
      </c>
      <c r="B2520" s="1"/>
      <c r="C2520" s="1" t="s">
        <v>3217</v>
      </c>
      <c r="D2520" s="1" t="s">
        <v>3484</v>
      </c>
      <c r="E2520" s="1"/>
      <c r="F2520">
        <v>0</v>
      </c>
      <c r="G2520">
        <v>0</v>
      </c>
      <c r="H2520">
        <v>0</v>
      </c>
      <c r="I2520">
        <v>0</v>
      </c>
      <c r="J2520">
        <v>658</v>
      </c>
      <c r="K2520" s="2">
        <v>45747</v>
      </c>
    </row>
    <row r="2521" spans="1:11" x14ac:dyDescent="0.25">
      <c r="A2521" s="1" t="s">
        <v>416</v>
      </c>
      <c r="B2521" s="1"/>
      <c r="C2521" s="1" t="s">
        <v>2808</v>
      </c>
      <c r="D2521" s="1" t="s">
        <v>3370</v>
      </c>
      <c r="E2521" s="1"/>
      <c r="F2521">
        <v>0</v>
      </c>
      <c r="G2521">
        <v>0</v>
      </c>
      <c r="H2521">
        <v>0</v>
      </c>
      <c r="I2521">
        <v>0</v>
      </c>
      <c r="J2521">
        <v>602</v>
      </c>
      <c r="K2521" s="2">
        <v>45737</v>
      </c>
    </row>
    <row r="2522" spans="1:11" x14ac:dyDescent="0.25">
      <c r="A2522" s="1" t="s">
        <v>416</v>
      </c>
      <c r="B2522" s="1"/>
      <c r="C2522" s="1" t="s">
        <v>2869</v>
      </c>
      <c r="D2522" s="1" t="s">
        <v>3455</v>
      </c>
      <c r="E2522" s="1"/>
      <c r="F2522">
        <v>22.8</v>
      </c>
      <c r="G2522">
        <v>18</v>
      </c>
      <c r="H2522">
        <v>310</v>
      </c>
      <c r="I2522">
        <v>0</v>
      </c>
      <c r="J2522">
        <v>309</v>
      </c>
      <c r="K2522" s="2">
        <v>45770</v>
      </c>
    </row>
    <row r="2523" spans="1:11" x14ac:dyDescent="0.25">
      <c r="A2523" s="1" t="s">
        <v>694</v>
      </c>
      <c r="B2523" s="1"/>
      <c r="C2523" s="1" t="s">
        <v>2808</v>
      </c>
      <c r="D2523" s="1" t="s">
        <v>3370</v>
      </c>
      <c r="E2523" s="1"/>
      <c r="F2523">
        <v>0</v>
      </c>
      <c r="G2523">
        <v>0</v>
      </c>
      <c r="H2523">
        <v>0</v>
      </c>
      <c r="I2523">
        <v>0</v>
      </c>
      <c r="J2523">
        <v>7</v>
      </c>
      <c r="K2523" s="2">
        <v>45765</v>
      </c>
    </row>
    <row r="2524" spans="1:11" x14ac:dyDescent="0.25">
      <c r="A2524" s="1" t="s">
        <v>694</v>
      </c>
      <c r="B2524" s="1"/>
      <c r="C2524" s="1" t="s">
        <v>2963</v>
      </c>
      <c r="D2524" s="1" t="s">
        <v>3404</v>
      </c>
      <c r="E2524" s="1"/>
      <c r="F2524">
        <v>0.6</v>
      </c>
      <c r="G2524">
        <v>0</v>
      </c>
      <c r="H2524">
        <v>45</v>
      </c>
      <c r="I2524">
        <v>0</v>
      </c>
      <c r="J2524">
        <v>7</v>
      </c>
      <c r="K2524" s="2">
        <v>45768</v>
      </c>
    </row>
    <row r="2525" spans="1:11" x14ac:dyDescent="0.25">
      <c r="A2525" s="1" t="s">
        <v>694</v>
      </c>
      <c r="B2525" s="1"/>
      <c r="C2525" s="1" t="s">
        <v>2872</v>
      </c>
      <c r="D2525" s="1" t="s">
        <v>3371</v>
      </c>
      <c r="E2525" s="1"/>
      <c r="F2525">
        <v>0.1</v>
      </c>
      <c r="G2525">
        <v>0</v>
      </c>
      <c r="H2525">
        <v>10</v>
      </c>
      <c r="I2525">
        <v>0</v>
      </c>
      <c r="J2525">
        <v>7</v>
      </c>
      <c r="K2525" s="2">
        <v>45768</v>
      </c>
    </row>
    <row r="2526" spans="1:11" x14ac:dyDescent="0.25">
      <c r="A2526" s="1" t="s">
        <v>694</v>
      </c>
      <c r="B2526" s="1"/>
      <c r="C2526" s="1" t="s">
        <v>3096</v>
      </c>
      <c r="D2526" s="1" t="s">
        <v>3469</v>
      </c>
      <c r="E2526" s="1"/>
      <c r="F2526">
        <v>1</v>
      </c>
      <c r="G2526">
        <v>0</v>
      </c>
      <c r="H2526">
        <v>60</v>
      </c>
      <c r="I2526">
        <v>0</v>
      </c>
      <c r="J2526">
        <v>7</v>
      </c>
      <c r="K2526" s="2">
        <v>45768</v>
      </c>
    </row>
    <row r="2527" spans="1:11" x14ac:dyDescent="0.25">
      <c r="A2527" s="1" t="s">
        <v>694</v>
      </c>
      <c r="B2527" s="1"/>
      <c r="C2527" s="1" t="s">
        <v>2869</v>
      </c>
      <c r="D2527" s="1" t="s">
        <v>3455</v>
      </c>
      <c r="E2527" s="1"/>
      <c r="F2527">
        <v>4.2</v>
      </c>
      <c r="G2527">
        <v>0.6</v>
      </c>
      <c r="H2527">
        <v>275</v>
      </c>
      <c r="I2527">
        <v>0</v>
      </c>
      <c r="J2527">
        <v>7</v>
      </c>
      <c r="K2527" s="2">
        <v>45768</v>
      </c>
    </row>
    <row r="2528" spans="1:11" x14ac:dyDescent="0.25">
      <c r="A2528" s="1" t="s">
        <v>694</v>
      </c>
      <c r="B2528" s="1"/>
      <c r="C2528" s="1" t="s">
        <v>2812</v>
      </c>
      <c r="D2528" s="1" t="s">
        <v>3374</v>
      </c>
      <c r="E2528" s="1"/>
      <c r="F2528">
        <v>0.3</v>
      </c>
      <c r="G2528">
        <v>0</v>
      </c>
      <c r="H2528">
        <v>20</v>
      </c>
      <c r="I2528">
        <v>0</v>
      </c>
      <c r="J2528">
        <v>7</v>
      </c>
      <c r="K2528" s="2">
        <v>45777</v>
      </c>
    </row>
    <row r="2529" spans="1:11" x14ac:dyDescent="0.25">
      <c r="A2529" s="1" t="s">
        <v>694</v>
      </c>
      <c r="B2529" s="1"/>
      <c r="C2529" s="1" t="s">
        <v>2870</v>
      </c>
      <c r="D2529" s="1" t="s">
        <v>3375</v>
      </c>
      <c r="E2529" s="1"/>
      <c r="F2529">
        <v>0.4</v>
      </c>
      <c r="G2529">
        <v>0</v>
      </c>
      <c r="H2529">
        <v>20</v>
      </c>
      <c r="I2529">
        <v>6</v>
      </c>
      <c r="J2529">
        <v>1</v>
      </c>
      <c r="K2529" s="2">
        <v>45777</v>
      </c>
    </row>
    <row r="2530" spans="1:11" x14ac:dyDescent="0.25">
      <c r="A2530" s="1" t="s">
        <v>694</v>
      </c>
      <c r="B2530" s="1"/>
      <c r="C2530" s="1" t="s">
        <v>2987</v>
      </c>
      <c r="D2530" s="1" t="s">
        <v>3425</v>
      </c>
      <c r="E2530" s="1"/>
      <c r="F2530">
        <v>6</v>
      </c>
      <c r="G2530">
        <v>0</v>
      </c>
      <c r="H2530">
        <v>250</v>
      </c>
      <c r="I2530">
        <v>0</v>
      </c>
      <c r="J2530">
        <v>0</v>
      </c>
      <c r="K2530" s="2">
        <v>45777</v>
      </c>
    </row>
    <row r="2531" spans="1:11" x14ac:dyDescent="0.25">
      <c r="A2531" s="1" t="s">
        <v>694</v>
      </c>
      <c r="B2531" s="1"/>
      <c r="C2531" s="1" t="s">
        <v>2924</v>
      </c>
      <c r="D2531" s="1" t="s">
        <v>3372</v>
      </c>
      <c r="E2531" s="1"/>
      <c r="F2531">
        <v>1</v>
      </c>
      <c r="G2531">
        <v>0</v>
      </c>
      <c r="H2531">
        <v>55</v>
      </c>
      <c r="I2531">
        <v>0</v>
      </c>
      <c r="J2531">
        <v>1</v>
      </c>
      <c r="K2531" s="2">
        <v>45777</v>
      </c>
    </row>
    <row r="2532" spans="1:11" x14ac:dyDescent="0.25">
      <c r="A2532" s="1" t="s">
        <v>694</v>
      </c>
      <c r="B2532" s="1"/>
      <c r="C2532" s="1" t="s">
        <v>3216</v>
      </c>
      <c r="D2532" s="1" t="s">
        <v>3417</v>
      </c>
      <c r="E2532" s="1"/>
      <c r="F2532">
        <v>0.1</v>
      </c>
      <c r="G2532">
        <v>0</v>
      </c>
      <c r="H2532">
        <v>5</v>
      </c>
      <c r="I2532">
        <v>0</v>
      </c>
      <c r="J2532">
        <v>1</v>
      </c>
      <c r="K2532" s="2">
        <v>45777</v>
      </c>
    </row>
    <row r="2533" spans="1:11" x14ac:dyDescent="0.25">
      <c r="A2533" s="1" t="s">
        <v>140</v>
      </c>
      <c r="B2533" s="1"/>
      <c r="C2533" s="1" t="s">
        <v>2808</v>
      </c>
      <c r="D2533" s="1" t="s">
        <v>3370</v>
      </c>
      <c r="E2533" s="1"/>
      <c r="F2533">
        <v>0</v>
      </c>
      <c r="G2533">
        <v>0</v>
      </c>
      <c r="H2533">
        <v>0</v>
      </c>
      <c r="I2533">
        <v>0</v>
      </c>
      <c r="J2533">
        <v>105</v>
      </c>
      <c r="K2533" s="2">
        <v>45757</v>
      </c>
    </row>
    <row r="2534" spans="1:11" x14ac:dyDescent="0.25">
      <c r="A2534" s="1" t="s">
        <v>140</v>
      </c>
      <c r="B2534" s="1"/>
      <c r="C2534" s="1" t="s">
        <v>2963</v>
      </c>
      <c r="D2534" s="1" t="s">
        <v>3404</v>
      </c>
      <c r="E2534" s="1"/>
      <c r="F2534">
        <v>1.4</v>
      </c>
      <c r="G2534">
        <v>0</v>
      </c>
      <c r="H2534">
        <v>85</v>
      </c>
      <c r="I2534">
        <v>0</v>
      </c>
      <c r="J2534">
        <v>105</v>
      </c>
      <c r="K2534" s="2">
        <v>45757</v>
      </c>
    </row>
    <row r="2535" spans="1:11" x14ac:dyDescent="0.25">
      <c r="A2535" s="1" t="s">
        <v>140</v>
      </c>
      <c r="B2535" s="1"/>
      <c r="C2535" s="1" t="s">
        <v>2872</v>
      </c>
      <c r="D2535" s="1" t="s">
        <v>3371</v>
      </c>
      <c r="E2535" s="1"/>
      <c r="F2535">
        <v>1.8</v>
      </c>
      <c r="G2535">
        <v>0.1</v>
      </c>
      <c r="H2535">
        <v>90</v>
      </c>
      <c r="I2535">
        <v>0</v>
      </c>
      <c r="J2535">
        <v>105</v>
      </c>
      <c r="K2535" s="2">
        <v>45757</v>
      </c>
    </row>
    <row r="2536" spans="1:11" x14ac:dyDescent="0.25">
      <c r="A2536" s="1" t="s">
        <v>140</v>
      </c>
      <c r="B2536" s="1"/>
      <c r="C2536" s="1" t="s">
        <v>3096</v>
      </c>
      <c r="D2536" s="1" t="s">
        <v>3469</v>
      </c>
      <c r="E2536" s="1"/>
      <c r="F2536">
        <v>1</v>
      </c>
      <c r="G2536">
        <v>0</v>
      </c>
      <c r="H2536">
        <v>60</v>
      </c>
      <c r="I2536">
        <v>0</v>
      </c>
      <c r="J2536">
        <v>101</v>
      </c>
      <c r="K2536" s="2">
        <v>45764</v>
      </c>
    </row>
    <row r="2537" spans="1:11" x14ac:dyDescent="0.25">
      <c r="A2537" s="1" t="s">
        <v>140</v>
      </c>
      <c r="B2537" s="1"/>
      <c r="C2537" s="1" t="s">
        <v>2869</v>
      </c>
      <c r="D2537" s="1" t="s">
        <v>3455</v>
      </c>
      <c r="E2537" s="1"/>
      <c r="F2537">
        <v>7.3</v>
      </c>
      <c r="G2537">
        <v>6.3</v>
      </c>
      <c r="H2537">
        <v>145</v>
      </c>
      <c r="I2537">
        <v>4</v>
      </c>
      <c r="J2537">
        <v>97</v>
      </c>
      <c r="K2537" s="2">
        <v>45778</v>
      </c>
    </row>
    <row r="2538" spans="1:11" x14ac:dyDescent="0.25">
      <c r="A2538" s="1" t="s">
        <v>140</v>
      </c>
      <c r="B2538" s="1"/>
      <c r="C2538" s="1" t="s">
        <v>2812</v>
      </c>
      <c r="D2538" s="1" t="s">
        <v>3374</v>
      </c>
      <c r="E2538" s="1"/>
      <c r="F2538">
        <v>0.3</v>
      </c>
      <c r="G2538">
        <v>0</v>
      </c>
      <c r="H2538">
        <v>20</v>
      </c>
      <c r="I2538">
        <v>0</v>
      </c>
      <c r="J2538">
        <v>101</v>
      </c>
      <c r="K2538" s="2">
        <v>45777</v>
      </c>
    </row>
    <row r="2539" spans="1:11" x14ac:dyDescent="0.25">
      <c r="A2539" s="1" t="s">
        <v>140</v>
      </c>
      <c r="B2539" s="1"/>
      <c r="C2539" s="1" t="s">
        <v>2924</v>
      </c>
      <c r="D2539" s="1" t="s">
        <v>3372</v>
      </c>
      <c r="E2539" s="1"/>
      <c r="F2539">
        <v>1</v>
      </c>
      <c r="G2539">
        <v>0</v>
      </c>
      <c r="H2539">
        <v>55</v>
      </c>
      <c r="I2539">
        <v>0</v>
      </c>
      <c r="J2539">
        <v>35</v>
      </c>
      <c r="K2539" s="2">
        <v>45777</v>
      </c>
    </row>
    <row r="2540" spans="1:11" x14ac:dyDescent="0.25">
      <c r="A2540" s="1" t="s">
        <v>554</v>
      </c>
      <c r="B2540" s="1"/>
      <c r="C2540" s="1" t="s">
        <v>2808</v>
      </c>
      <c r="D2540" s="1" t="s">
        <v>3370</v>
      </c>
      <c r="E2540" s="1"/>
      <c r="F2540">
        <v>0</v>
      </c>
      <c r="G2540">
        <v>0</v>
      </c>
      <c r="H2540">
        <v>0</v>
      </c>
      <c r="I2540">
        <v>0</v>
      </c>
      <c r="J2540">
        <v>602</v>
      </c>
      <c r="K2540" s="2">
        <v>45757</v>
      </c>
    </row>
    <row r="2541" spans="1:11" x14ac:dyDescent="0.25">
      <c r="A2541" s="1" t="s">
        <v>554</v>
      </c>
      <c r="B2541" s="1"/>
      <c r="C2541" s="1" t="s">
        <v>2963</v>
      </c>
      <c r="D2541" s="1" t="s">
        <v>3404</v>
      </c>
      <c r="E2541" s="1"/>
      <c r="F2541">
        <v>5.5</v>
      </c>
      <c r="G2541">
        <v>5</v>
      </c>
      <c r="H2541">
        <v>40</v>
      </c>
      <c r="I2541">
        <v>0</v>
      </c>
      <c r="J2541">
        <v>602</v>
      </c>
      <c r="K2541" s="2">
        <v>45762</v>
      </c>
    </row>
    <row r="2542" spans="1:11" x14ac:dyDescent="0.25">
      <c r="A2542" s="1" t="s">
        <v>554</v>
      </c>
      <c r="B2542" s="1"/>
      <c r="C2542" s="1" t="s">
        <v>2872</v>
      </c>
      <c r="D2542" s="1" t="s">
        <v>3371</v>
      </c>
      <c r="E2542" s="1"/>
      <c r="F2542">
        <v>10.1</v>
      </c>
      <c r="G2542">
        <v>9.1999999999999993</v>
      </c>
      <c r="H2542">
        <v>45</v>
      </c>
      <c r="I2542">
        <v>0</v>
      </c>
      <c r="J2542">
        <v>602</v>
      </c>
      <c r="K2542" s="2">
        <v>45762</v>
      </c>
    </row>
    <row r="2543" spans="1:11" x14ac:dyDescent="0.25">
      <c r="A2543" s="1" t="s">
        <v>554</v>
      </c>
      <c r="B2543" s="1"/>
      <c r="C2543" s="1" t="s">
        <v>3096</v>
      </c>
      <c r="D2543" s="1" t="s">
        <v>3469</v>
      </c>
      <c r="E2543" s="1"/>
      <c r="F2543">
        <v>1</v>
      </c>
      <c r="G2543">
        <v>0</v>
      </c>
      <c r="H2543">
        <v>60</v>
      </c>
      <c r="I2543">
        <v>0</v>
      </c>
      <c r="J2543">
        <v>602</v>
      </c>
      <c r="K2543" s="2">
        <v>45762</v>
      </c>
    </row>
    <row r="2544" spans="1:11" x14ac:dyDescent="0.25">
      <c r="A2544" s="1" t="s">
        <v>554</v>
      </c>
      <c r="B2544" s="1"/>
      <c r="C2544" s="1" t="s">
        <v>2869</v>
      </c>
      <c r="D2544" s="1" t="s">
        <v>3455</v>
      </c>
      <c r="E2544" s="1"/>
      <c r="F2544">
        <v>22.8</v>
      </c>
      <c r="G2544">
        <v>24.1</v>
      </c>
      <c r="H2544">
        <v>30</v>
      </c>
      <c r="I2544">
        <v>17</v>
      </c>
      <c r="J2544">
        <v>579</v>
      </c>
      <c r="K2544" s="2">
        <v>45768</v>
      </c>
    </row>
    <row r="2545" spans="1:11" x14ac:dyDescent="0.25">
      <c r="A2545" s="1" t="s">
        <v>554</v>
      </c>
      <c r="B2545" s="1"/>
      <c r="C2545" s="1" t="s">
        <v>2812</v>
      </c>
      <c r="D2545" s="1" t="s">
        <v>3374</v>
      </c>
      <c r="E2545" s="1"/>
      <c r="F2545">
        <v>0.3</v>
      </c>
      <c r="G2545">
        <v>0</v>
      </c>
      <c r="H2545">
        <v>20</v>
      </c>
      <c r="I2545">
        <v>0</v>
      </c>
      <c r="J2545">
        <v>579</v>
      </c>
      <c r="K2545" s="2">
        <v>45762</v>
      </c>
    </row>
    <row r="2546" spans="1:11" x14ac:dyDescent="0.25">
      <c r="A2546" s="1" t="s">
        <v>554</v>
      </c>
      <c r="B2546" s="1"/>
      <c r="C2546" s="1" t="s">
        <v>2924</v>
      </c>
      <c r="D2546" s="1" t="s">
        <v>3372</v>
      </c>
      <c r="E2546" s="1"/>
      <c r="F2546">
        <v>1</v>
      </c>
      <c r="G2546">
        <v>0.1</v>
      </c>
      <c r="H2546">
        <v>50</v>
      </c>
      <c r="I2546">
        <v>0</v>
      </c>
      <c r="J2546">
        <v>456</v>
      </c>
      <c r="K2546" s="2">
        <v>45776</v>
      </c>
    </row>
    <row r="2547" spans="1:11" x14ac:dyDescent="0.25">
      <c r="A2547" s="1" t="s">
        <v>539</v>
      </c>
      <c r="B2547" s="1"/>
      <c r="C2547" s="1" t="s">
        <v>2808</v>
      </c>
      <c r="D2547" s="1" t="s">
        <v>3370</v>
      </c>
      <c r="E2547" s="1"/>
      <c r="F2547">
        <v>0</v>
      </c>
      <c r="G2547">
        <v>0</v>
      </c>
      <c r="H2547">
        <v>0</v>
      </c>
      <c r="I2547">
        <v>0</v>
      </c>
      <c r="J2547">
        <v>602</v>
      </c>
      <c r="K2547" s="2">
        <v>45757</v>
      </c>
    </row>
    <row r="2548" spans="1:11" x14ac:dyDescent="0.25">
      <c r="A2548" s="1" t="s">
        <v>539</v>
      </c>
      <c r="B2548" s="1"/>
      <c r="C2548" s="1" t="s">
        <v>2963</v>
      </c>
      <c r="D2548" s="1" t="s">
        <v>3404</v>
      </c>
      <c r="E2548" s="1"/>
      <c r="F2548">
        <v>2.5</v>
      </c>
      <c r="G2548">
        <v>0</v>
      </c>
      <c r="H2548">
        <v>145</v>
      </c>
      <c r="I2548">
        <v>0</v>
      </c>
      <c r="J2548">
        <v>238</v>
      </c>
      <c r="K2548" s="2">
        <v>45763</v>
      </c>
    </row>
    <row r="2549" spans="1:11" x14ac:dyDescent="0.25">
      <c r="A2549" s="1" t="s">
        <v>539</v>
      </c>
      <c r="B2549" s="1"/>
      <c r="C2549" s="1" t="s">
        <v>2872</v>
      </c>
      <c r="D2549" s="1" t="s">
        <v>3371</v>
      </c>
      <c r="E2549" s="1"/>
      <c r="F2549">
        <v>4</v>
      </c>
      <c r="G2549">
        <v>6.1</v>
      </c>
      <c r="H2549">
        <v>-105</v>
      </c>
      <c r="I2549">
        <v>0</v>
      </c>
      <c r="J2549">
        <v>238</v>
      </c>
      <c r="K2549" s="2">
        <v>45763</v>
      </c>
    </row>
    <row r="2550" spans="1:11" x14ac:dyDescent="0.25">
      <c r="A2550" s="1" t="s">
        <v>539</v>
      </c>
      <c r="B2550" s="1"/>
      <c r="C2550" s="1" t="s">
        <v>3096</v>
      </c>
      <c r="D2550" s="1" t="s">
        <v>3469</v>
      </c>
      <c r="E2550" s="1"/>
      <c r="F2550">
        <v>1</v>
      </c>
      <c r="G2550">
        <v>0</v>
      </c>
      <c r="H2550">
        <v>60</v>
      </c>
      <c r="I2550">
        <v>0</v>
      </c>
      <c r="J2550">
        <v>234</v>
      </c>
      <c r="K2550" s="2">
        <v>45764</v>
      </c>
    </row>
    <row r="2551" spans="1:11" x14ac:dyDescent="0.25">
      <c r="A2551" s="1" t="s">
        <v>539</v>
      </c>
      <c r="B2551" s="1"/>
      <c r="C2551" s="1" t="s">
        <v>2869</v>
      </c>
      <c r="D2551" s="1" t="s">
        <v>3455</v>
      </c>
      <c r="E2551" s="1"/>
      <c r="F2551">
        <v>11.4</v>
      </c>
      <c r="G2551">
        <v>14.2</v>
      </c>
      <c r="H2551">
        <v>-85</v>
      </c>
      <c r="I2551">
        <v>4</v>
      </c>
      <c r="J2551">
        <v>234</v>
      </c>
      <c r="K2551" s="2">
        <v>45768</v>
      </c>
    </row>
    <row r="2552" spans="1:11" x14ac:dyDescent="0.25">
      <c r="A2552" s="1" t="s">
        <v>539</v>
      </c>
      <c r="B2552" s="1"/>
      <c r="C2552" s="1" t="s">
        <v>2812</v>
      </c>
      <c r="D2552" s="1" t="s">
        <v>3374</v>
      </c>
      <c r="E2552" s="1"/>
      <c r="F2552">
        <v>0.3</v>
      </c>
      <c r="G2552">
        <v>0</v>
      </c>
      <c r="H2552">
        <v>20</v>
      </c>
      <c r="I2552">
        <v>0</v>
      </c>
      <c r="J2552">
        <v>234</v>
      </c>
      <c r="K2552" s="2">
        <v>45763</v>
      </c>
    </row>
    <row r="2553" spans="1:11" x14ac:dyDescent="0.25">
      <c r="A2553" s="1" t="s">
        <v>539</v>
      </c>
      <c r="B2553" s="1"/>
      <c r="C2553" s="1" t="s">
        <v>2870</v>
      </c>
      <c r="D2553" s="1" t="s">
        <v>3375</v>
      </c>
      <c r="E2553" s="1"/>
      <c r="F2553">
        <v>11.9</v>
      </c>
      <c r="G2553">
        <v>5</v>
      </c>
      <c r="H2553">
        <v>360</v>
      </c>
      <c r="I2553">
        <v>39</v>
      </c>
      <c r="J2553">
        <v>195</v>
      </c>
      <c r="K2553" s="2">
        <v>45775</v>
      </c>
    </row>
    <row r="2554" spans="1:11" x14ac:dyDescent="0.25">
      <c r="A2554" s="1" t="s">
        <v>141</v>
      </c>
      <c r="B2554" s="1"/>
      <c r="C2554" s="1" t="s">
        <v>2808</v>
      </c>
      <c r="D2554" s="1" t="s">
        <v>3370</v>
      </c>
      <c r="E2554" s="1"/>
      <c r="F2554">
        <v>0</v>
      </c>
      <c r="G2554">
        <v>0</v>
      </c>
      <c r="H2554">
        <v>0</v>
      </c>
      <c r="I2554">
        <v>0</v>
      </c>
      <c r="J2554">
        <v>35</v>
      </c>
      <c r="K2554" s="2">
        <v>45763</v>
      </c>
    </row>
    <row r="2555" spans="1:11" x14ac:dyDescent="0.25">
      <c r="A2555" s="1" t="s">
        <v>141</v>
      </c>
      <c r="B2555" s="1"/>
      <c r="C2555" s="1" t="s">
        <v>2963</v>
      </c>
      <c r="D2555" s="1" t="s">
        <v>3404</v>
      </c>
      <c r="E2555" s="1"/>
      <c r="F2555">
        <v>0.8</v>
      </c>
      <c r="G2555">
        <v>0</v>
      </c>
      <c r="H2555">
        <v>55</v>
      </c>
      <c r="I2555">
        <v>0</v>
      </c>
      <c r="J2555">
        <v>35</v>
      </c>
      <c r="K2555" s="2">
        <v>45772</v>
      </c>
    </row>
    <row r="2556" spans="1:11" x14ac:dyDescent="0.25">
      <c r="A2556" s="1" t="s">
        <v>141</v>
      </c>
      <c r="B2556" s="1"/>
      <c r="C2556" s="1" t="s">
        <v>2872</v>
      </c>
      <c r="D2556" s="1" t="s">
        <v>3371</v>
      </c>
      <c r="E2556" s="1"/>
      <c r="F2556">
        <v>0.6</v>
      </c>
      <c r="G2556">
        <v>0.1</v>
      </c>
      <c r="H2556">
        <v>30</v>
      </c>
      <c r="I2556">
        <v>0</v>
      </c>
      <c r="J2556">
        <v>42</v>
      </c>
      <c r="K2556" s="2">
        <v>45778</v>
      </c>
    </row>
    <row r="2557" spans="1:11" x14ac:dyDescent="0.25">
      <c r="A2557" s="1" t="s">
        <v>141</v>
      </c>
      <c r="B2557" s="1"/>
      <c r="C2557" s="1" t="s">
        <v>3096</v>
      </c>
      <c r="D2557" s="1" t="s">
        <v>3469</v>
      </c>
      <c r="E2557" s="1"/>
      <c r="F2557">
        <v>1</v>
      </c>
      <c r="G2557">
        <v>0</v>
      </c>
      <c r="H2557">
        <v>60</v>
      </c>
      <c r="I2557">
        <v>0</v>
      </c>
      <c r="J2557">
        <v>35</v>
      </c>
      <c r="K2557" s="2">
        <v>45778</v>
      </c>
    </row>
    <row r="2558" spans="1:11" x14ac:dyDescent="0.25">
      <c r="A2558" s="1" t="s">
        <v>141</v>
      </c>
      <c r="B2558" s="1"/>
      <c r="C2558" s="1" t="s">
        <v>2869</v>
      </c>
      <c r="D2558" s="1" t="s">
        <v>3455</v>
      </c>
      <c r="E2558" s="1"/>
      <c r="F2558">
        <v>5.0999999999999996</v>
      </c>
      <c r="G2558">
        <v>2.9</v>
      </c>
      <c r="H2558">
        <v>195</v>
      </c>
      <c r="I2558">
        <v>0</v>
      </c>
      <c r="J2558">
        <v>42</v>
      </c>
      <c r="K2558" s="2">
        <v>45776</v>
      </c>
    </row>
    <row r="2559" spans="1:11" x14ac:dyDescent="0.25">
      <c r="A2559" s="1" t="s">
        <v>141</v>
      </c>
      <c r="B2559" s="1"/>
      <c r="C2559" s="1" t="s">
        <v>2812</v>
      </c>
      <c r="D2559" s="1" t="s">
        <v>3374</v>
      </c>
      <c r="E2559" s="1"/>
      <c r="F2559">
        <v>0.3</v>
      </c>
      <c r="G2559">
        <v>0</v>
      </c>
      <c r="H2559">
        <v>20</v>
      </c>
      <c r="I2559">
        <v>0</v>
      </c>
      <c r="J2559">
        <v>35</v>
      </c>
      <c r="K2559" s="2">
        <v>45769</v>
      </c>
    </row>
    <row r="2560" spans="1:11" x14ac:dyDescent="0.25">
      <c r="A2560" s="1" t="s">
        <v>141</v>
      </c>
      <c r="B2560" s="1"/>
      <c r="C2560" s="1" t="s">
        <v>2987</v>
      </c>
      <c r="D2560" s="1" t="s">
        <v>3425</v>
      </c>
      <c r="E2560" s="1"/>
      <c r="F2560">
        <v>6</v>
      </c>
      <c r="G2560">
        <v>1.5</v>
      </c>
      <c r="H2560">
        <v>190</v>
      </c>
      <c r="I2560">
        <v>0</v>
      </c>
      <c r="J2560">
        <v>28</v>
      </c>
      <c r="K2560" s="2">
        <v>45769</v>
      </c>
    </row>
    <row r="2561" spans="1:11" x14ac:dyDescent="0.25">
      <c r="A2561" s="1" t="s">
        <v>141</v>
      </c>
      <c r="B2561" s="1"/>
      <c r="C2561" s="1" t="s">
        <v>2924</v>
      </c>
      <c r="D2561" s="1" t="s">
        <v>3372</v>
      </c>
      <c r="E2561" s="1"/>
      <c r="F2561">
        <v>1</v>
      </c>
      <c r="G2561">
        <v>0</v>
      </c>
      <c r="H2561">
        <v>50</v>
      </c>
      <c r="I2561">
        <v>0</v>
      </c>
      <c r="J2561">
        <v>28</v>
      </c>
      <c r="K2561" s="2">
        <v>45771</v>
      </c>
    </row>
    <row r="2562" spans="1:11" x14ac:dyDescent="0.25">
      <c r="A2562" s="1" t="s">
        <v>555</v>
      </c>
      <c r="B2562" s="1"/>
      <c r="C2562" s="1" t="s">
        <v>2808</v>
      </c>
      <c r="D2562" s="1" t="s">
        <v>3370</v>
      </c>
      <c r="E2562" s="1"/>
      <c r="F2562">
        <v>0</v>
      </c>
      <c r="G2562">
        <v>0</v>
      </c>
      <c r="H2562">
        <v>0</v>
      </c>
      <c r="I2562">
        <v>0</v>
      </c>
      <c r="J2562">
        <v>602</v>
      </c>
      <c r="K2562" s="2">
        <v>45764</v>
      </c>
    </row>
    <row r="2563" spans="1:11" x14ac:dyDescent="0.25">
      <c r="A2563" s="1" t="s">
        <v>555</v>
      </c>
      <c r="B2563" s="1"/>
      <c r="C2563" s="1" t="s">
        <v>2963</v>
      </c>
      <c r="D2563" s="1" t="s">
        <v>3404</v>
      </c>
      <c r="E2563" s="1"/>
      <c r="F2563">
        <v>5.5</v>
      </c>
      <c r="G2563">
        <v>2.1</v>
      </c>
      <c r="H2563">
        <v>195</v>
      </c>
      <c r="I2563">
        <v>0</v>
      </c>
      <c r="J2563">
        <v>602</v>
      </c>
      <c r="K2563" s="2">
        <v>45772</v>
      </c>
    </row>
    <row r="2564" spans="1:11" x14ac:dyDescent="0.25">
      <c r="A2564" s="1" t="s">
        <v>555</v>
      </c>
      <c r="B2564" s="1"/>
      <c r="C2564" s="1" t="s">
        <v>2872</v>
      </c>
      <c r="D2564" s="1" t="s">
        <v>3371</v>
      </c>
      <c r="E2564" s="1"/>
      <c r="F2564">
        <v>10.1</v>
      </c>
      <c r="G2564">
        <v>15.4</v>
      </c>
      <c r="H2564">
        <v>-270</v>
      </c>
      <c r="I2564">
        <v>0</v>
      </c>
      <c r="J2564">
        <v>596</v>
      </c>
      <c r="K2564" s="2">
        <v>45772</v>
      </c>
    </row>
    <row r="2565" spans="1:11" x14ac:dyDescent="0.25">
      <c r="A2565" s="1" t="s">
        <v>555</v>
      </c>
      <c r="B2565" s="1"/>
      <c r="C2565" s="1" t="s">
        <v>3096</v>
      </c>
      <c r="D2565" s="1" t="s">
        <v>3469</v>
      </c>
      <c r="E2565" s="1"/>
      <c r="F2565">
        <v>1</v>
      </c>
      <c r="G2565">
        <v>0</v>
      </c>
      <c r="H2565">
        <v>60</v>
      </c>
      <c r="I2565">
        <v>0</v>
      </c>
      <c r="J2565">
        <v>786</v>
      </c>
      <c r="K2565" s="2">
        <v>45776</v>
      </c>
    </row>
    <row r="2566" spans="1:11" x14ac:dyDescent="0.25">
      <c r="A2566" s="1" t="s">
        <v>555</v>
      </c>
      <c r="B2566" s="1"/>
      <c r="C2566" s="1" t="s">
        <v>2869</v>
      </c>
      <c r="D2566" s="1" t="s">
        <v>3455</v>
      </c>
      <c r="E2566" s="1"/>
      <c r="F2566">
        <v>22.8</v>
      </c>
      <c r="G2566">
        <v>23.5</v>
      </c>
      <c r="H2566">
        <v>55</v>
      </c>
      <c r="I2566">
        <v>14</v>
      </c>
      <c r="J2566">
        <v>573</v>
      </c>
      <c r="K2566" s="2">
        <v>45778</v>
      </c>
    </row>
    <row r="2567" spans="1:11" x14ac:dyDescent="0.25">
      <c r="A2567" s="1" t="s">
        <v>555</v>
      </c>
      <c r="B2567" s="1"/>
      <c r="C2567" s="1" t="s">
        <v>2812</v>
      </c>
      <c r="D2567" s="1" t="s">
        <v>3374</v>
      </c>
      <c r="E2567" s="1"/>
      <c r="F2567">
        <v>0.3</v>
      </c>
      <c r="G2567">
        <v>0</v>
      </c>
      <c r="H2567">
        <v>20</v>
      </c>
      <c r="I2567">
        <v>0</v>
      </c>
      <c r="J2567">
        <v>588</v>
      </c>
      <c r="K2567" s="2">
        <v>45769</v>
      </c>
    </row>
    <row r="2568" spans="1:11" x14ac:dyDescent="0.25">
      <c r="A2568" s="1" t="s">
        <v>555</v>
      </c>
      <c r="B2568" s="1"/>
      <c r="C2568" s="1" t="s">
        <v>2987</v>
      </c>
      <c r="D2568" s="1" t="s">
        <v>3425</v>
      </c>
      <c r="E2568" s="1"/>
      <c r="F2568">
        <v>6</v>
      </c>
      <c r="G2568">
        <v>3.4</v>
      </c>
      <c r="H2568">
        <v>115</v>
      </c>
      <c r="I2568">
        <v>0</v>
      </c>
      <c r="J2568">
        <v>35</v>
      </c>
      <c r="K2568" s="2">
        <v>45769</v>
      </c>
    </row>
    <row r="2569" spans="1:11" x14ac:dyDescent="0.25">
      <c r="A2569" s="1" t="s">
        <v>693</v>
      </c>
      <c r="B2569" s="1"/>
      <c r="C2569" s="1" t="s">
        <v>2808</v>
      </c>
      <c r="D2569" s="1" t="s">
        <v>3370</v>
      </c>
      <c r="E2569" s="1"/>
      <c r="F2569">
        <v>0</v>
      </c>
      <c r="G2569">
        <v>0</v>
      </c>
      <c r="H2569">
        <v>0</v>
      </c>
      <c r="I2569">
        <v>0</v>
      </c>
      <c r="J2569">
        <v>7</v>
      </c>
      <c r="K2569" s="2">
        <v>45765</v>
      </c>
    </row>
    <row r="2570" spans="1:11" x14ac:dyDescent="0.25">
      <c r="A2570" s="1" t="s">
        <v>693</v>
      </c>
      <c r="B2570" s="1"/>
      <c r="C2570" s="1" t="s">
        <v>2963</v>
      </c>
      <c r="D2570" s="1" t="s">
        <v>3404</v>
      </c>
      <c r="E2570" s="1"/>
      <c r="F2570">
        <v>0.6</v>
      </c>
      <c r="G2570">
        <v>0</v>
      </c>
      <c r="H2570">
        <v>45</v>
      </c>
      <c r="I2570">
        <v>0</v>
      </c>
      <c r="J2570">
        <v>7</v>
      </c>
      <c r="K2570" s="2">
        <v>45768</v>
      </c>
    </row>
    <row r="2571" spans="1:11" x14ac:dyDescent="0.25">
      <c r="A2571" s="1" t="s">
        <v>693</v>
      </c>
      <c r="B2571" s="1"/>
      <c r="C2571" s="1" t="s">
        <v>2872</v>
      </c>
      <c r="D2571" s="1" t="s">
        <v>3371</v>
      </c>
      <c r="E2571" s="1"/>
      <c r="F2571">
        <v>0.1</v>
      </c>
      <c r="G2571">
        <v>0</v>
      </c>
      <c r="H2571">
        <v>10</v>
      </c>
      <c r="I2571">
        <v>0</v>
      </c>
      <c r="J2571">
        <v>7</v>
      </c>
      <c r="K2571" s="2">
        <v>45768</v>
      </c>
    </row>
    <row r="2572" spans="1:11" x14ac:dyDescent="0.25">
      <c r="A2572" s="1" t="s">
        <v>693</v>
      </c>
      <c r="B2572" s="1"/>
      <c r="C2572" s="1" t="s">
        <v>3096</v>
      </c>
      <c r="D2572" s="1" t="s">
        <v>3469</v>
      </c>
      <c r="E2572" s="1"/>
      <c r="F2572">
        <v>1</v>
      </c>
      <c r="G2572">
        <v>0</v>
      </c>
      <c r="H2572">
        <v>60</v>
      </c>
      <c r="I2572">
        <v>0</v>
      </c>
      <c r="J2572">
        <v>7</v>
      </c>
      <c r="K2572" s="2">
        <v>45768</v>
      </c>
    </row>
    <row r="2573" spans="1:11" x14ac:dyDescent="0.25">
      <c r="A2573" s="1" t="s">
        <v>693</v>
      </c>
      <c r="B2573" s="1"/>
      <c r="C2573" s="1" t="s">
        <v>2869</v>
      </c>
      <c r="D2573" s="1" t="s">
        <v>3455</v>
      </c>
      <c r="E2573" s="1"/>
      <c r="F2573">
        <v>4.2</v>
      </c>
      <c r="G2573">
        <v>0</v>
      </c>
      <c r="H2573">
        <v>315</v>
      </c>
      <c r="I2573">
        <v>0</v>
      </c>
      <c r="J2573">
        <v>7</v>
      </c>
      <c r="K2573" s="2">
        <v>45768</v>
      </c>
    </row>
    <row r="2574" spans="1:11" x14ac:dyDescent="0.25">
      <c r="A2574" s="1" t="s">
        <v>693</v>
      </c>
      <c r="B2574" s="1"/>
      <c r="C2574" s="1" t="s">
        <v>2812</v>
      </c>
      <c r="D2574" s="1" t="s">
        <v>3374</v>
      </c>
      <c r="E2574" s="1"/>
      <c r="F2574">
        <v>0.3</v>
      </c>
      <c r="G2574">
        <v>0</v>
      </c>
      <c r="H2574">
        <v>20</v>
      </c>
      <c r="I2574">
        <v>0</v>
      </c>
      <c r="J2574">
        <v>7</v>
      </c>
      <c r="K2574" s="2">
        <v>45777</v>
      </c>
    </row>
    <row r="2575" spans="1:11" x14ac:dyDescent="0.25">
      <c r="A2575" s="1" t="s">
        <v>693</v>
      </c>
      <c r="B2575" s="1"/>
      <c r="C2575" s="1" t="s">
        <v>2987</v>
      </c>
      <c r="D2575" s="1" t="s">
        <v>3425</v>
      </c>
      <c r="E2575" s="1"/>
      <c r="F2575">
        <v>6</v>
      </c>
      <c r="G2575">
        <v>0.2</v>
      </c>
      <c r="H2575">
        <v>245</v>
      </c>
      <c r="I2575">
        <v>0</v>
      </c>
      <c r="J2575">
        <v>0</v>
      </c>
      <c r="K2575" s="2">
        <v>45777</v>
      </c>
    </row>
    <row r="2576" spans="1:11" x14ac:dyDescent="0.25">
      <c r="A2576" s="1" t="s">
        <v>693</v>
      </c>
      <c r="B2576" s="1"/>
      <c r="C2576" s="1" t="s">
        <v>2924</v>
      </c>
      <c r="D2576" s="1" t="s">
        <v>3372</v>
      </c>
      <c r="E2576" s="1"/>
      <c r="F2576">
        <v>1</v>
      </c>
      <c r="G2576">
        <v>0</v>
      </c>
      <c r="H2576">
        <v>55</v>
      </c>
      <c r="I2576">
        <v>0</v>
      </c>
      <c r="J2576">
        <v>6</v>
      </c>
      <c r="K2576" s="2">
        <v>45777</v>
      </c>
    </row>
    <row r="2577" spans="1:11" x14ac:dyDescent="0.25">
      <c r="A2577" s="1" t="s">
        <v>695</v>
      </c>
      <c r="B2577" s="1"/>
      <c r="C2577" s="1" t="s">
        <v>2808</v>
      </c>
      <c r="D2577" s="1" t="s">
        <v>3370</v>
      </c>
      <c r="E2577" s="1"/>
      <c r="F2577">
        <v>0</v>
      </c>
      <c r="G2577">
        <v>0</v>
      </c>
      <c r="H2577">
        <v>0</v>
      </c>
      <c r="I2577">
        <v>0</v>
      </c>
      <c r="J2577">
        <v>7</v>
      </c>
      <c r="K2577" s="2">
        <v>45765</v>
      </c>
    </row>
    <row r="2578" spans="1:11" x14ac:dyDescent="0.25">
      <c r="A2578" s="1" t="s">
        <v>695</v>
      </c>
      <c r="B2578" s="1"/>
      <c r="C2578" s="1" t="s">
        <v>2963</v>
      </c>
      <c r="D2578" s="1" t="s">
        <v>3404</v>
      </c>
      <c r="E2578" s="1"/>
      <c r="F2578">
        <v>0.6</v>
      </c>
      <c r="G2578">
        <v>0</v>
      </c>
      <c r="H2578">
        <v>45</v>
      </c>
      <c r="I2578">
        <v>0</v>
      </c>
      <c r="J2578">
        <v>7</v>
      </c>
      <c r="K2578" s="2">
        <v>45768</v>
      </c>
    </row>
    <row r="2579" spans="1:11" x14ac:dyDescent="0.25">
      <c r="A2579" s="1" t="s">
        <v>695</v>
      </c>
      <c r="B2579" s="1"/>
      <c r="C2579" s="1" t="s">
        <v>2872</v>
      </c>
      <c r="D2579" s="1" t="s">
        <v>3371</v>
      </c>
      <c r="E2579" s="1"/>
      <c r="F2579">
        <v>0.1</v>
      </c>
      <c r="G2579">
        <v>0</v>
      </c>
      <c r="H2579">
        <v>10</v>
      </c>
      <c r="I2579">
        <v>0</v>
      </c>
      <c r="J2579">
        <v>7</v>
      </c>
      <c r="K2579" s="2">
        <v>45768</v>
      </c>
    </row>
    <row r="2580" spans="1:11" x14ac:dyDescent="0.25">
      <c r="A2580" s="1" t="s">
        <v>695</v>
      </c>
      <c r="B2580" s="1"/>
      <c r="C2580" s="1" t="s">
        <v>3096</v>
      </c>
      <c r="D2580" s="1" t="s">
        <v>3469</v>
      </c>
      <c r="E2580" s="1"/>
      <c r="F2580">
        <v>1</v>
      </c>
      <c r="G2580">
        <v>0</v>
      </c>
      <c r="H2580">
        <v>60</v>
      </c>
      <c r="I2580">
        <v>0</v>
      </c>
      <c r="J2580">
        <v>7</v>
      </c>
      <c r="K2580" s="2">
        <v>45768</v>
      </c>
    </row>
    <row r="2581" spans="1:11" x14ac:dyDescent="0.25">
      <c r="A2581" s="1" t="s">
        <v>695</v>
      </c>
      <c r="B2581" s="1"/>
      <c r="C2581" s="1" t="s">
        <v>2869</v>
      </c>
      <c r="D2581" s="1" t="s">
        <v>3455</v>
      </c>
      <c r="E2581" s="1"/>
      <c r="F2581">
        <v>4.2</v>
      </c>
      <c r="G2581">
        <v>0</v>
      </c>
      <c r="H2581">
        <v>315</v>
      </c>
      <c r="I2581">
        <v>0</v>
      </c>
      <c r="J2581">
        <v>7</v>
      </c>
      <c r="K2581" s="2">
        <v>45768</v>
      </c>
    </row>
    <row r="2582" spans="1:11" x14ac:dyDescent="0.25">
      <c r="A2582" s="1" t="s">
        <v>695</v>
      </c>
      <c r="B2582" s="1"/>
      <c r="C2582" s="1" t="s">
        <v>2812</v>
      </c>
      <c r="D2582" s="1" t="s">
        <v>3374</v>
      </c>
      <c r="E2582" s="1"/>
      <c r="F2582">
        <v>0.3</v>
      </c>
      <c r="G2582">
        <v>0</v>
      </c>
      <c r="H2582">
        <v>20</v>
      </c>
      <c r="I2582">
        <v>0</v>
      </c>
      <c r="J2582">
        <v>7</v>
      </c>
      <c r="K2582" s="2">
        <v>45777</v>
      </c>
    </row>
    <row r="2583" spans="1:11" x14ac:dyDescent="0.25">
      <c r="A2583" s="1" t="s">
        <v>695</v>
      </c>
      <c r="B2583" s="1"/>
      <c r="C2583" s="1" t="s">
        <v>2870</v>
      </c>
      <c r="D2583" s="1" t="s">
        <v>3375</v>
      </c>
      <c r="E2583" s="1"/>
      <c r="F2583">
        <v>0.4</v>
      </c>
      <c r="G2583">
        <v>0</v>
      </c>
      <c r="H2583">
        <v>20</v>
      </c>
      <c r="I2583">
        <v>5</v>
      </c>
      <c r="J2583">
        <v>2</v>
      </c>
      <c r="K2583" s="2">
        <v>45777</v>
      </c>
    </row>
    <row r="2584" spans="1:11" x14ac:dyDescent="0.25">
      <c r="A2584" s="1" t="s">
        <v>695</v>
      </c>
      <c r="B2584" s="1"/>
      <c r="C2584" s="1" t="s">
        <v>2987</v>
      </c>
      <c r="D2584" s="1" t="s">
        <v>3425</v>
      </c>
      <c r="E2584" s="1"/>
      <c r="F2584">
        <v>6</v>
      </c>
      <c r="G2584">
        <v>0</v>
      </c>
      <c r="H2584">
        <v>250</v>
      </c>
      <c r="I2584">
        <v>0</v>
      </c>
      <c r="J2584">
        <v>0</v>
      </c>
      <c r="K2584" s="2">
        <v>45777</v>
      </c>
    </row>
    <row r="2585" spans="1:11" x14ac:dyDescent="0.25">
      <c r="A2585" s="1" t="s">
        <v>695</v>
      </c>
      <c r="B2585" s="1"/>
      <c r="C2585" s="1" t="s">
        <v>2924</v>
      </c>
      <c r="D2585" s="1" t="s">
        <v>3372</v>
      </c>
      <c r="E2585" s="1"/>
      <c r="F2585">
        <v>1</v>
      </c>
      <c r="G2585">
        <v>0</v>
      </c>
      <c r="H2585">
        <v>55</v>
      </c>
      <c r="I2585">
        <v>0</v>
      </c>
      <c r="J2585">
        <v>2</v>
      </c>
      <c r="K2585" s="2">
        <v>45778</v>
      </c>
    </row>
    <row r="2586" spans="1:11" x14ac:dyDescent="0.25">
      <c r="A2586" s="1" t="s">
        <v>696</v>
      </c>
      <c r="B2586" s="1"/>
      <c r="C2586" s="1" t="s">
        <v>2808</v>
      </c>
      <c r="D2586" s="1" t="s">
        <v>3370</v>
      </c>
      <c r="E2586" s="1"/>
      <c r="F2586">
        <v>0</v>
      </c>
      <c r="G2586">
        <v>0</v>
      </c>
      <c r="H2586">
        <v>0</v>
      </c>
      <c r="I2586">
        <v>0</v>
      </c>
      <c r="J2586">
        <v>7</v>
      </c>
      <c r="K2586" s="2">
        <v>45765</v>
      </c>
    </row>
    <row r="2587" spans="1:11" x14ac:dyDescent="0.25">
      <c r="A2587" s="1" t="s">
        <v>696</v>
      </c>
      <c r="B2587" s="1"/>
      <c r="C2587" s="1" t="s">
        <v>2963</v>
      </c>
      <c r="D2587" s="1" t="s">
        <v>3404</v>
      </c>
      <c r="E2587" s="1"/>
      <c r="F2587">
        <v>0.6</v>
      </c>
      <c r="G2587">
        <v>0</v>
      </c>
      <c r="H2587">
        <v>45</v>
      </c>
      <c r="I2587">
        <v>0</v>
      </c>
      <c r="J2587">
        <v>7</v>
      </c>
      <c r="K2587" s="2">
        <v>45768</v>
      </c>
    </row>
    <row r="2588" spans="1:11" x14ac:dyDescent="0.25">
      <c r="A2588" s="1" t="s">
        <v>696</v>
      </c>
      <c r="B2588" s="1"/>
      <c r="C2588" s="1" t="s">
        <v>2872</v>
      </c>
      <c r="D2588" s="1" t="s">
        <v>3371</v>
      </c>
      <c r="E2588" s="1"/>
      <c r="F2588">
        <v>0.1</v>
      </c>
      <c r="G2588">
        <v>0</v>
      </c>
      <c r="H2588">
        <v>10</v>
      </c>
      <c r="I2588">
        <v>0</v>
      </c>
      <c r="J2588">
        <v>7</v>
      </c>
      <c r="K2588" s="2">
        <v>45768</v>
      </c>
    </row>
    <row r="2589" spans="1:11" x14ac:dyDescent="0.25">
      <c r="A2589" s="1" t="s">
        <v>696</v>
      </c>
      <c r="B2589" s="1"/>
      <c r="C2589" s="1" t="s">
        <v>3096</v>
      </c>
      <c r="D2589" s="1" t="s">
        <v>3469</v>
      </c>
      <c r="E2589" s="1"/>
      <c r="F2589">
        <v>1</v>
      </c>
      <c r="G2589">
        <v>0</v>
      </c>
      <c r="H2589">
        <v>60</v>
      </c>
      <c r="I2589">
        <v>0</v>
      </c>
      <c r="J2589">
        <v>7</v>
      </c>
      <c r="K2589" s="2">
        <v>45768</v>
      </c>
    </row>
    <row r="2590" spans="1:11" x14ac:dyDescent="0.25">
      <c r="A2590" s="1" t="s">
        <v>696</v>
      </c>
      <c r="B2590" s="1"/>
      <c r="C2590" s="1" t="s">
        <v>2869</v>
      </c>
      <c r="D2590" s="1" t="s">
        <v>3455</v>
      </c>
      <c r="E2590" s="1"/>
      <c r="F2590">
        <v>4.2</v>
      </c>
      <c r="G2590">
        <v>0</v>
      </c>
      <c r="H2590">
        <v>315</v>
      </c>
      <c r="I2590">
        <v>0</v>
      </c>
      <c r="J2590">
        <v>7</v>
      </c>
      <c r="K2590" s="2">
        <v>45768</v>
      </c>
    </row>
    <row r="2591" spans="1:11" x14ac:dyDescent="0.25">
      <c r="A2591" s="1" t="s">
        <v>696</v>
      </c>
      <c r="B2591" s="1"/>
      <c r="C2591" s="1" t="s">
        <v>2812</v>
      </c>
      <c r="D2591" s="1" t="s">
        <v>3374</v>
      </c>
      <c r="E2591" s="1"/>
      <c r="F2591">
        <v>0.3</v>
      </c>
      <c r="G2591">
        <v>0</v>
      </c>
      <c r="H2591">
        <v>20</v>
      </c>
      <c r="I2591">
        <v>0</v>
      </c>
      <c r="J2591">
        <v>7</v>
      </c>
      <c r="K2591" s="2">
        <v>45777</v>
      </c>
    </row>
    <row r="2592" spans="1:11" x14ac:dyDescent="0.25">
      <c r="A2592" s="1" t="s">
        <v>696</v>
      </c>
      <c r="B2592" s="1"/>
      <c r="C2592" s="1" t="s">
        <v>2870</v>
      </c>
      <c r="D2592" s="1" t="s">
        <v>3375</v>
      </c>
      <c r="E2592" s="1"/>
      <c r="F2592">
        <v>0.4</v>
      </c>
      <c r="G2592">
        <v>0</v>
      </c>
      <c r="H2592">
        <v>20</v>
      </c>
      <c r="I2592">
        <v>5</v>
      </c>
      <c r="J2592">
        <v>2</v>
      </c>
      <c r="K2592" s="2">
        <v>45777</v>
      </c>
    </row>
    <row r="2593" spans="1:11" x14ac:dyDescent="0.25">
      <c r="A2593" s="1" t="s">
        <v>696</v>
      </c>
      <c r="B2593" s="1"/>
      <c r="C2593" s="1" t="s">
        <v>2987</v>
      </c>
      <c r="D2593" s="1" t="s">
        <v>3425</v>
      </c>
      <c r="E2593" s="1"/>
      <c r="F2593">
        <v>6</v>
      </c>
      <c r="G2593">
        <v>0</v>
      </c>
      <c r="H2593">
        <v>250</v>
      </c>
      <c r="I2593">
        <v>0</v>
      </c>
      <c r="J2593">
        <v>0</v>
      </c>
      <c r="K2593" s="2">
        <v>45777</v>
      </c>
    </row>
    <row r="2594" spans="1:11" x14ac:dyDescent="0.25">
      <c r="A2594" s="1" t="s">
        <v>696</v>
      </c>
      <c r="B2594" s="1"/>
      <c r="C2594" s="1" t="s">
        <v>2924</v>
      </c>
      <c r="D2594" s="1" t="s">
        <v>3372</v>
      </c>
      <c r="E2594" s="1"/>
      <c r="F2594">
        <v>1</v>
      </c>
      <c r="G2594">
        <v>0</v>
      </c>
      <c r="H2594">
        <v>55</v>
      </c>
      <c r="I2594">
        <v>0</v>
      </c>
      <c r="J2594">
        <v>2</v>
      </c>
      <c r="K2594" s="2">
        <v>45778</v>
      </c>
    </row>
    <row r="2595" spans="1:11" x14ac:dyDescent="0.25">
      <c r="A2595" s="1" t="s">
        <v>697</v>
      </c>
      <c r="B2595" s="1"/>
      <c r="C2595" s="1" t="s">
        <v>2808</v>
      </c>
      <c r="D2595" s="1" t="s">
        <v>3370</v>
      </c>
      <c r="E2595" s="1"/>
      <c r="F2595">
        <v>0</v>
      </c>
      <c r="G2595">
        <v>0</v>
      </c>
      <c r="H2595">
        <v>0</v>
      </c>
      <c r="I2595">
        <v>0</v>
      </c>
      <c r="J2595">
        <v>7</v>
      </c>
      <c r="K2595" s="2">
        <v>45765</v>
      </c>
    </row>
    <row r="2596" spans="1:11" x14ac:dyDescent="0.25">
      <c r="A2596" s="1" t="s">
        <v>697</v>
      </c>
      <c r="B2596" s="1"/>
      <c r="C2596" s="1" t="s">
        <v>2963</v>
      </c>
      <c r="D2596" s="1" t="s">
        <v>3404</v>
      </c>
      <c r="E2596" s="1"/>
      <c r="F2596">
        <v>0.6</v>
      </c>
      <c r="G2596">
        <v>0</v>
      </c>
      <c r="H2596">
        <v>45</v>
      </c>
      <c r="I2596">
        <v>0</v>
      </c>
      <c r="J2596">
        <v>7</v>
      </c>
      <c r="K2596" s="2">
        <v>45768</v>
      </c>
    </row>
    <row r="2597" spans="1:11" x14ac:dyDescent="0.25">
      <c r="A2597" s="1" t="s">
        <v>697</v>
      </c>
      <c r="B2597" s="1"/>
      <c r="C2597" s="1" t="s">
        <v>2872</v>
      </c>
      <c r="D2597" s="1" t="s">
        <v>3371</v>
      </c>
      <c r="E2597" s="1"/>
      <c r="F2597">
        <v>0.1</v>
      </c>
      <c r="G2597">
        <v>0</v>
      </c>
      <c r="H2597">
        <v>10</v>
      </c>
      <c r="I2597">
        <v>0</v>
      </c>
      <c r="J2597">
        <v>7</v>
      </c>
      <c r="K2597" s="2">
        <v>45768</v>
      </c>
    </row>
    <row r="2598" spans="1:11" x14ac:dyDescent="0.25">
      <c r="A2598" s="1" t="s">
        <v>697</v>
      </c>
      <c r="B2598" s="1"/>
      <c r="C2598" s="1" t="s">
        <v>3096</v>
      </c>
      <c r="D2598" s="1" t="s">
        <v>3469</v>
      </c>
      <c r="E2598" s="1"/>
      <c r="F2598">
        <v>1</v>
      </c>
      <c r="G2598">
        <v>0</v>
      </c>
      <c r="H2598">
        <v>60</v>
      </c>
      <c r="I2598">
        <v>0</v>
      </c>
      <c r="J2598">
        <v>7</v>
      </c>
      <c r="K2598" s="2">
        <v>45768</v>
      </c>
    </row>
    <row r="2599" spans="1:11" x14ac:dyDescent="0.25">
      <c r="A2599" s="1" t="s">
        <v>697</v>
      </c>
      <c r="B2599" s="1"/>
      <c r="C2599" s="1" t="s">
        <v>2869</v>
      </c>
      <c r="D2599" s="1" t="s">
        <v>3455</v>
      </c>
      <c r="E2599" s="1"/>
      <c r="F2599">
        <v>4.2</v>
      </c>
      <c r="G2599">
        <v>0</v>
      </c>
      <c r="H2599">
        <v>315</v>
      </c>
      <c r="I2599">
        <v>0</v>
      </c>
      <c r="J2599">
        <v>7</v>
      </c>
      <c r="K2599" s="2">
        <v>45768</v>
      </c>
    </row>
    <row r="2600" spans="1:11" x14ac:dyDescent="0.25">
      <c r="A2600" s="1" t="s">
        <v>697</v>
      </c>
      <c r="B2600" s="1"/>
      <c r="C2600" s="1" t="s">
        <v>2812</v>
      </c>
      <c r="D2600" s="1" t="s">
        <v>3374</v>
      </c>
      <c r="E2600" s="1"/>
      <c r="F2600">
        <v>0.3</v>
      </c>
      <c r="G2600">
        <v>0</v>
      </c>
      <c r="H2600">
        <v>20</v>
      </c>
      <c r="I2600">
        <v>0</v>
      </c>
      <c r="J2600">
        <v>7</v>
      </c>
      <c r="K2600" s="2">
        <v>45777</v>
      </c>
    </row>
    <row r="2601" spans="1:11" x14ac:dyDescent="0.25">
      <c r="A2601" s="1" t="s">
        <v>697</v>
      </c>
      <c r="B2601" s="1"/>
      <c r="C2601" s="1" t="s">
        <v>2870</v>
      </c>
      <c r="D2601" s="1" t="s">
        <v>3375</v>
      </c>
      <c r="E2601" s="1"/>
      <c r="F2601">
        <v>0.4</v>
      </c>
      <c r="G2601">
        <v>0</v>
      </c>
      <c r="H2601">
        <v>20</v>
      </c>
      <c r="I2601">
        <v>4</v>
      </c>
      <c r="J2601">
        <v>3</v>
      </c>
      <c r="K2601" s="2">
        <v>45777</v>
      </c>
    </row>
    <row r="2602" spans="1:11" x14ac:dyDescent="0.25">
      <c r="A2602" s="1" t="s">
        <v>697</v>
      </c>
      <c r="B2602" s="1"/>
      <c r="C2602" s="1" t="s">
        <v>2987</v>
      </c>
      <c r="D2602" s="1" t="s">
        <v>3425</v>
      </c>
      <c r="E2602" s="1"/>
      <c r="F2602">
        <v>6</v>
      </c>
      <c r="G2602">
        <v>0.1</v>
      </c>
      <c r="H2602">
        <v>250</v>
      </c>
      <c r="I2602">
        <v>0</v>
      </c>
      <c r="J2602">
        <v>0</v>
      </c>
      <c r="K2602" s="2">
        <v>45777</v>
      </c>
    </row>
    <row r="2603" spans="1:11" x14ac:dyDescent="0.25">
      <c r="A2603" s="1" t="s">
        <v>697</v>
      </c>
      <c r="B2603" s="1"/>
      <c r="C2603" s="1" t="s">
        <v>2924</v>
      </c>
      <c r="D2603" s="1" t="s">
        <v>3372</v>
      </c>
      <c r="E2603" s="1"/>
      <c r="F2603">
        <v>1</v>
      </c>
      <c r="G2603">
        <v>0.2</v>
      </c>
      <c r="H2603">
        <v>40</v>
      </c>
      <c r="I2603">
        <v>0</v>
      </c>
      <c r="J2603">
        <v>3</v>
      </c>
      <c r="K2603" s="2">
        <v>45777</v>
      </c>
    </row>
    <row r="2604" spans="1:11" x14ac:dyDescent="0.25">
      <c r="A2604" s="1" t="s">
        <v>697</v>
      </c>
      <c r="B2604" s="1"/>
      <c r="C2604" s="1" t="s">
        <v>3216</v>
      </c>
      <c r="D2604" s="1" t="s">
        <v>3417</v>
      </c>
      <c r="E2604" s="1"/>
      <c r="F2604">
        <v>0.1</v>
      </c>
      <c r="G2604">
        <v>0</v>
      </c>
      <c r="H2604">
        <v>5</v>
      </c>
      <c r="I2604">
        <v>0</v>
      </c>
      <c r="J2604">
        <v>3</v>
      </c>
      <c r="K2604" s="2">
        <v>45777</v>
      </c>
    </row>
    <row r="2605" spans="1:11" x14ac:dyDescent="0.25">
      <c r="A2605" s="1" t="s">
        <v>585</v>
      </c>
      <c r="B2605" s="1"/>
      <c r="C2605" s="1" t="s">
        <v>2808</v>
      </c>
      <c r="D2605" s="1" t="s">
        <v>3370</v>
      </c>
      <c r="E2605" s="1"/>
      <c r="F2605">
        <v>0</v>
      </c>
      <c r="G2605">
        <v>0</v>
      </c>
      <c r="H2605">
        <v>0</v>
      </c>
      <c r="I2605">
        <v>0</v>
      </c>
      <c r="J2605">
        <v>602</v>
      </c>
      <c r="K2605" s="2">
        <v>45764</v>
      </c>
    </row>
    <row r="2606" spans="1:11" x14ac:dyDescent="0.25">
      <c r="A2606" s="1" t="s">
        <v>585</v>
      </c>
      <c r="B2606" s="1"/>
      <c r="C2606" s="1" t="s">
        <v>2963</v>
      </c>
      <c r="D2606" s="1" t="s">
        <v>3404</v>
      </c>
      <c r="E2606" s="1"/>
      <c r="F2606">
        <v>5.5</v>
      </c>
      <c r="G2606">
        <v>1.4</v>
      </c>
      <c r="H2606">
        <v>225</v>
      </c>
      <c r="I2606">
        <v>0</v>
      </c>
      <c r="J2606">
        <v>602</v>
      </c>
      <c r="K2606" s="2">
        <v>45775</v>
      </c>
    </row>
    <row r="2607" spans="1:11" x14ac:dyDescent="0.25">
      <c r="A2607" s="1" t="s">
        <v>585</v>
      </c>
      <c r="B2607" s="1"/>
      <c r="C2607" s="1" t="s">
        <v>2872</v>
      </c>
      <c r="D2607" s="1" t="s">
        <v>3371</v>
      </c>
      <c r="E2607" s="1"/>
      <c r="F2607">
        <v>10.1</v>
      </c>
      <c r="G2607">
        <v>15.1</v>
      </c>
      <c r="H2607">
        <v>-260</v>
      </c>
      <c r="I2607">
        <v>0</v>
      </c>
      <c r="J2607">
        <v>602</v>
      </c>
      <c r="K2607" s="2">
        <v>45776</v>
      </c>
    </row>
    <row r="2608" spans="1:11" x14ac:dyDescent="0.25">
      <c r="A2608" s="1" t="s">
        <v>585</v>
      </c>
      <c r="B2608" s="1"/>
      <c r="C2608" s="1" t="s">
        <v>3096</v>
      </c>
      <c r="D2608" s="1" t="s">
        <v>3469</v>
      </c>
      <c r="E2608" s="1"/>
      <c r="F2608">
        <v>1</v>
      </c>
      <c r="G2608">
        <v>0</v>
      </c>
      <c r="H2608">
        <v>60</v>
      </c>
      <c r="I2608">
        <v>0</v>
      </c>
      <c r="J2608">
        <v>602</v>
      </c>
      <c r="K2608" s="2">
        <v>45776</v>
      </c>
    </row>
    <row r="2609" spans="1:11" x14ac:dyDescent="0.25">
      <c r="A2609" s="1" t="s">
        <v>585</v>
      </c>
      <c r="B2609" s="1"/>
      <c r="C2609" s="1" t="s">
        <v>2869</v>
      </c>
      <c r="D2609" s="1" t="s">
        <v>3455</v>
      </c>
      <c r="E2609" s="1"/>
      <c r="F2609">
        <v>22.8</v>
      </c>
      <c r="G2609">
        <v>21</v>
      </c>
      <c r="H2609">
        <v>160</v>
      </c>
      <c r="I2609">
        <v>0</v>
      </c>
      <c r="J2609">
        <v>602</v>
      </c>
      <c r="K2609" s="2">
        <v>45775</v>
      </c>
    </row>
    <row r="2610" spans="1:11" x14ac:dyDescent="0.25">
      <c r="A2610" s="1" t="s">
        <v>585</v>
      </c>
      <c r="B2610" s="1"/>
      <c r="C2610" s="1" t="s">
        <v>2812</v>
      </c>
      <c r="D2610" s="1" t="s">
        <v>3374</v>
      </c>
      <c r="E2610" s="1"/>
      <c r="F2610">
        <v>0.3</v>
      </c>
      <c r="G2610">
        <v>0</v>
      </c>
      <c r="H2610">
        <v>20</v>
      </c>
      <c r="I2610">
        <v>0</v>
      </c>
      <c r="J2610">
        <v>602</v>
      </c>
      <c r="K2610" s="2">
        <v>45775</v>
      </c>
    </row>
    <row r="2611" spans="1:11" x14ac:dyDescent="0.25">
      <c r="A2611" s="1" t="s">
        <v>585</v>
      </c>
      <c r="B2611" s="1"/>
      <c r="C2611" s="1" t="s">
        <v>2924</v>
      </c>
      <c r="D2611" s="1" t="s">
        <v>3372</v>
      </c>
      <c r="E2611" s="1"/>
      <c r="F2611">
        <v>1</v>
      </c>
      <c r="G2611">
        <v>0</v>
      </c>
      <c r="H2611">
        <v>55</v>
      </c>
      <c r="I2611">
        <v>0</v>
      </c>
      <c r="J2611">
        <v>370</v>
      </c>
      <c r="K2611" s="2">
        <v>45776</v>
      </c>
    </row>
    <row r="2612" spans="1:11" x14ac:dyDescent="0.25">
      <c r="A2612" s="1" t="s">
        <v>137</v>
      </c>
      <c r="B2612" s="1"/>
      <c r="C2612" s="1" t="s">
        <v>2808</v>
      </c>
      <c r="D2612" s="1" t="s">
        <v>3370</v>
      </c>
      <c r="E2612" s="1"/>
      <c r="F2612">
        <v>0</v>
      </c>
      <c r="G2612">
        <v>0</v>
      </c>
      <c r="H2612">
        <v>0</v>
      </c>
      <c r="I2612">
        <v>0</v>
      </c>
      <c r="J2612">
        <v>140</v>
      </c>
      <c r="K2612" s="2">
        <v>45770</v>
      </c>
    </row>
    <row r="2613" spans="1:11" x14ac:dyDescent="0.25">
      <c r="A2613" s="1" t="s">
        <v>137</v>
      </c>
      <c r="B2613" s="1"/>
      <c r="C2613" s="1" t="s">
        <v>2963</v>
      </c>
      <c r="D2613" s="1" t="s">
        <v>3404</v>
      </c>
      <c r="E2613" s="1"/>
      <c r="F2613">
        <v>1.7</v>
      </c>
      <c r="G2613">
        <v>0</v>
      </c>
      <c r="H2613">
        <v>100</v>
      </c>
      <c r="I2613">
        <v>0</v>
      </c>
      <c r="J2613">
        <v>140</v>
      </c>
      <c r="K2613" s="2">
        <v>45770</v>
      </c>
    </row>
    <row r="2614" spans="1:11" x14ac:dyDescent="0.25">
      <c r="A2614" s="1" t="s">
        <v>137</v>
      </c>
      <c r="B2614" s="1"/>
      <c r="C2614" s="1" t="s">
        <v>2872</v>
      </c>
      <c r="D2614" s="1" t="s">
        <v>3371</v>
      </c>
      <c r="E2614" s="1"/>
      <c r="F2614">
        <v>2.4</v>
      </c>
      <c r="G2614">
        <v>0.5</v>
      </c>
      <c r="H2614">
        <v>100</v>
      </c>
      <c r="I2614">
        <v>0</v>
      </c>
      <c r="J2614">
        <v>140</v>
      </c>
      <c r="K2614" s="2">
        <v>45770</v>
      </c>
    </row>
    <row r="2615" spans="1:11" x14ac:dyDescent="0.25">
      <c r="A2615" s="1" t="s">
        <v>137</v>
      </c>
      <c r="B2615" s="1"/>
      <c r="C2615" s="1" t="s">
        <v>3096</v>
      </c>
      <c r="D2615" s="1" t="s">
        <v>3469</v>
      </c>
      <c r="E2615" s="1"/>
      <c r="F2615">
        <v>1</v>
      </c>
      <c r="G2615">
        <v>0</v>
      </c>
      <c r="H2615">
        <v>60</v>
      </c>
      <c r="I2615">
        <v>0</v>
      </c>
      <c r="J2615">
        <v>98</v>
      </c>
      <c r="K2615" s="2">
        <v>45776</v>
      </c>
    </row>
    <row r="2616" spans="1:11" x14ac:dyDescent="0.25">
      <c r="A2616" s="1" t="s">
        <v>137</v>
      </c>
      <c r="B2616" s="1"/>
      <c r="C2616" s="1" t="s">
        <v>2869</v>
      </c>
      <c r="D2616" s="1" t="s">
        <v>3455</v>
      </c>
      <c r="E2616" s="1"/>
      <c r="F2616">
        <v>8.4</v>
      </c>
      <c r="G2616">
        <v>7.1</v>
      </c>
      <c r="H2616">
        <v>120</v>
      </c>
      <c r="I2616">
        <v>21</v>
      </c>
      <c r="J2616">
        <v>119</v>
      </c>
      <c r="K2616" s="2">
        <v>45772</v>
      </c>
    </row>
    <row r="2617" spans="1:11" x14ac:dyDescent="0.25">
      <c r="A2617" s="1" t="s">
        <v>137</v>
      </c>
      <c r="B2617" s="1"/>
      <c r="C2617" s="1" t="s">
        <v>2924</v>
      </c>
      <c r="D2617" s="1" t="s">
        <v>3372</v>
      </c>
      <c r="E2617" s="1"/>
      <c r="F2617">
        <v>1</v>
      </c>
      <c r="G2617">
        <v>0</v>
      </c>
      <c r="H2617">
        <v>55</v>
      </c>
      <c r="I2617">
        <v>0</v>
      </c>
      <c r="J2617">
        <v>98</v>
      </c>
      <c r="K2617" s="2">
        <v>45775</v>
      </c>
    </row>
    <row r="2618" spans="1:11" x14ac:dyDescent="0.25">
      <c r="A2618" s="1" t="s">
        <v>162</v>
      </c>
      <c r="B2618" s="1"/>
      <c r="C2618" s="1" t="s">
        <v>2808</v>
      </c>
      <c r="D2618" s="1" t="s">
        <v>3370</v>
      </c>
      <c r="E2618" s="1"/>
      <c r="F2618">
        <v>0</v>
      </c>
      <c r="G2618">
        <v>0</v>
      </c>
      <c r="H2618">
        <v>0</v>
      </c>
      <c r="I2618">
        <v>0</v>
      </c>
      <c r="J2618">
        <v>8</v>
      </c>
      <c r="K2618" s="2">
        <v>45772</v>
      </c>
    </row>
    <row r="2619" spans="1:11" x14ac:dyDescent="0.25">
      <c r="A2619" s="1" t="s">
        <v>586</v>
      </c>
      <c r="B2619" s="1"/>
      <c r="C2619" s="1" t="s">
        <v>2808</v>
      </c>
      <c r="D2619" s="1" t="s">
        <v>3370</v>
      </c>
      <c r="E2619" s="1"/>
      <c r="F2619">
        <v>0</v>
      </c>
      <c r="G2619">
        <v>0</v>
      </c>
      <c r="H2619">
        <v>0</v>
      </c>
      <c r="I2619">
        <v>0</v>
      </c>
      <c r="J2619">
        <v>602</v>
      </c>
      <c r="K2619" s="2">
        <v>45772</v>
      </c>
    </row>
    <row r="2620" spans="1:11" x14ac:dyDescent="0.25">
      <c r="A2620" s="1" t="s">
        <v>586</v>
      </c>
      <c r="B2620" s="1"/>
      <c r="C2620" s="1" t="s">
        <v>2963</v>
      </c>
      <c r="D2620" s="1" t="s">
        <v>3404</v>
      </c>
      <c r="E2620" s="1"/>
      <c r="F2620">
        <v>5.5</v>
      </c>
      <c r="G2620">
        <v>3.2</v>
      </c>
      <c r="H2620">
        <v>135</v>
      </c>
      <c r="I2620">
        <v>0</v>
      </c>
      <c r="J2620">
        <v>563</v>
      </c>
      <c r="K2620" s="2">
        <v>45779</v>
      </c>
    </row>
    <row r="2621" spans="1:11" x14ac:dyDescent="0.25">
      <c r="A2621" s="1" t="s">
        <v>586</v>
      </c>
      <c r="B2621" s="1"/>
      <c r="C2621" s="1" t="s">
        <v>2872</v>
      </c>
      <c r="D2621" s="1" t="s">
        <v>3371</v>
      </c>
      <c r="E2621" s="1"/>
      <c r="F2621">
        <v>10.1</v>
      </c>
      <c r="G2621">
        <v>14.7</v>
      </c>
      <c r="H2621">
        <v>-235</v>
      </c>
      <c r="I2621">
        <v>0</v>
      </c>
      <c r="J2621">
        <v>609</v>
      </c>
      <c r="K2621" s="2">
        <v>45779</v>
      </c>
    </row>
    <row r="2622" spans="1:11" x14ac:dyDescent="0.25">
      <c r="A2622" s="1" t="s">
        <v>586</v>
      </c>
      <c r="B2622" s="1"/>
      <c r="C2622" s="1" t="s">
        <v>3096</v>
      </c>
      <c r="D2622" s="1" t="s">
        <v>3469</v>
      </c>
      <c r="E2622" s="1"/>
      <c r="F2622">
        <v>1</v>
      </c>
      <c r="G2622">
        <v>0</v>
      </c>
      <c r="H2622">
        <v>60</v>
      </c>
      <c r="I2622">
        <v>0</v>
      </c>
      <c r="J2622">
        <v>602</v>
      </c>
      <c r="K2622" s="2">
        <v>45779</v>
      </c>
    </row>
    <row r="2623" spans="1:11" x14ac:dyDescent="0.25">
      <c r="A2623" s="1" t="s">
        <v>586</v>
      </c>
      <c r="B2623" s="1"/>
      <c r="C2623" s="1" t="s">
        <v>2869</v>
      </c>
      <c r="D2623" s="1" t="s">
        <v>3455</v>
      </c>
      <c r="E2623" s="1"/>
      <c r="F2623">
        <v>22.8</v>
      </c>
      <c r="G2623">
        <v>24.7</v>
      </c>
      <c r="H2623">
        <v>-5</v>
      </c>
      <c r="I2623">
        <v>12</v>
      </c>
      <c r="J2623">
        <v>590</v>
      </c>
      <c r="K2623" s="2">
        <v>45779</v>
      </c>
    </row>
    <row r="2624" spans="1:11" x14ac:dyDescent="0.25">
      <c r="A2624" s="1" t="s">
        <v>586</v>
      </c>
      <c r="B2624" s="1"/>
      <c r="C2624" s="1" t="s">
        <v>2812</v>
      </c>
      <c r="D2624" s="1" t="s">
        <v>3374</v>
      </c>
      <c r="E2624" s="1"/>
      <c r="F2624">
        <v>0.3</v>
      </c>
      <c r="G2624">
        <v>0</v>
      </c>
      <c r="H2624">
        <v>20</v>
      </c>
      <c r="I2624">
        <v>0</v>
      </c>
      <c r="J2624">
        <v>590</v>
      </c>
      <c r="K2624" s="2">
        <v>45779</v>
      </c>
    </row>
    <row r="2625" spans="1:11" x14ac:dyDescent="0.25">
      <c r="A2625" s="1" t="s">
        <v>586</v>
      </c>
      <c r="B2625" s="1"/>
      <c r="C2625" s="1" t="s">
        <v>2870</v>
      </c>
      <c r="D2625" s="1" t="s">
        <v>3375</v>
      </c>
      <c r="E2625" s="1"/>
      <c r="F2625">
        <v>30.1</v>
      </c>
      <c r="G2625">
        <v>28</v>
      </c>
      <c r="H2625">
        <v>115</v>
      </c>
      <c r="I2625">
        <v>0</v>
      </c>
      <c r="J2625">
        <v>458</v>
      </c>
      <c r="K2625" s="2">
        <v>45779</v>
      </c>
    </row>
    <row r="2626" spans="1:11" x14ac:dyDescent="0.25">
      <c r="A2626" s="1" t="s">
        <v>586</v>
      </c>
      <c r="B2626" s="1"/>
      <c r="C2626" s="1" t="s">
        <v>2987</v>
      </c>
      <c r="D2626" s="1" t="s">
        <v>3425</v>
      </c>
      <c r="E2626" s="1"/>
      <c r="F2626">
        <v>6</v>
      </c>
      <c r="G2626">
        <v>10.7</v>
      </c>
      <c r="H2626">
        <v>-195</v>
      </c>
      <c r="I2626">
        <v>0</v>
      </c>
      <c r="J2626">
        <v>63</v>
      </c>
      <c r="K2626" s="2">
        <v>45779</v>
      </c>
    </row>
    <row r="2627" spans="1:11" x14ac:dyDescent="0.25">
      <c r="A2627" s="1" t="s">
        <v>634</v>
      </c>
      <c r="B2627" s="1"/>
      <c r="C2627" s="1" t="s">
        <v>2808</v>
      </c>
      <c r="D2627" s="1" t="s">
        <v>3370</v>
      </c>
      <c r="E2627" s="1"/>
      <c r="F2627">
        <v>0</v>
      </c>
      <c r="G2627">
        <v>0</v>
      </c>
      <c r="H2627">
        <v>0</v>
      </c>
      <c r="I2627">
        <v>0</v>
      </c>
      <c r="J2627">
        <v>602</v>
      </c>
      <c r="K2627" s="2">
        <v>45772</v>
      </c>
    </row>
    <row r="2628" spans="1:11" x14ac:dyDescent="0.25">
      <c r="A2628" s="1" t="s">
        <v>634</v>
      </c>
      <c r="B2628" s="1"/>
      <c r="C2628" s="1" t="s">
        <v>2963</v>
      </c>
      <c r="D2628" s="1" t="s">
        <v>3404</v>
      </c>
      <c r="E2628" s="1"/>
      <c r="F2628">
        <v>5.5</v>
      </c>
      <c r="G2628">
        <v>1.4</v>
      </c>
      <c r="H2628">
        <v>230</v>
      </c>
      <c r="I2628">
        <v>0</v>
      </c>
      <c r="J2628">
        <v>602</v>
      </c>
      <c r="K2628" s="2">
        <v>45782</v>
      </c>
    </row>
    <row r="2629" spans="1:11" x14ac:dyDescent="0.25">
      <c r="A2629" s="1" t="s">
        <v>634</v>
      </c>
      <c r="B2629" s="1"/>
      <c r="C2629" s="1" t="s">
        <v>2872</v>
      </c>
      <c r="D2629" s="1" t="s">
        <v>3371</v>
      </c>
      <c r="E2629" s="1"/>
      <c r="F2629">
        <v>10.1</v>
      </c>
      <c r="G2629">
        <v>10.199999999999999</v>
      </c>
      <c r="H2629">
        <v>-5</v>
      </c>
      <c r="I2629">
        <v>0</v>
      </c>
      <c r="J2629">
        <v>602</v>
      </c>
      <c r="K2629" s="2">
        <v>45782</v>
      </c>
    </row>
    <row r="2630" spans="1:11" x14ac:dyDescent="0.25">
      <c r="A2630" s="1" t="s">
        <v>634</v>
      </c>
      <c r="B2630" s="1"/>
      <c r="C2630" s="1" t="s">
        <v>3096</v>
      </c>
      <c r="D2630" s="1" t="s">
        <v>3469</v>
      </c>
      <c r="E2630" s="1"/>
      <c r="F2630">
        <v>1</v>
      </c>
      <c r="G2630">
        <v>0.2</v>
      </c>
      <c r="H2630">
        <v>50</v>
      </c>
      <c r="I2630">
        <v>0</v>
      </c>
      <c r="J2630">
        <v>602</v>
      </c>
      <c r="K2630" s="2">
        <v>45776</v>
      </c>
    </row>
    <row r="2631" spans="1:11" x14ac:dyDescent="0.25">
      <c r="A2631" s="1" t="s">
        <v>634</v>
      </c>
      <c r="B2631" s="1"/>
      <c r="C2631" s="1" t="s">
        <v>2869</v>
      </c>
      <c r="D2631" s="1" t="s">
        <v>3455</v>
      </c>
      <c r="E2631" s="1"/>
      <c r="F2631">
        <v>22.8</v>
      </c>
      <c r="G2631">
        <v>22.8</v>
      </c>
      <c r="H2631">
        <v>85</v>
      </c>
      <c r="I2631">
        <v>12</v>
      </c>
      <c r="J2631">
        <v>590</v>
      </c>
      <c r="K2631" s="2">
        <v>45782</v>
      </c>
    </row>
    <row r="2632" spans="1:11" x14ac:dyDescent="0.25">
      <c r="A2632" s="1" t="s">
        <v>634</v>
      </c>
      <c r="B2632" s="1"/>
      <c r="C2632" s="1" t="s">
        <v>2812</v>
      </c>
      <c r="D2632" s="1" t="s">
        <v>3374</v>
      </c>
      <c r="E2632" s="1"/>
      <c r="F2632">
        <v>0.3</v>
      </c>
      <c r="G2632">
        <v>0</v>
      </c>
      <c r="H2632">
        <v>20</v>
      </c>
      <c r="I2632">
        <v>0</v>
      </c>
      <c r="J2632">
        <v>590</v>
      </c>
      <c r="K2632" s="2">
        <v>45782</v>
      </c>
    </row>
    <row r="2633" spans="1:11" x14ac:dyDescent="0.25">
      <c r="A2633" s="1" t="s">
        <v>634</v>
      </c>
      <c r="B2633" s="1"/>
      <c r="C2633" s="1" t="s">
        <v>2870</v>
      </c>
      <c r="D2633" s="1" t="s">
        <v>3375</v>
      </c>
      <c r="E2633" s="1"/>
      <c r="F2633">
        <v>30.1</v>
      </c>
      <c r="G2633">
        <v>37.200000000000003</v>
      </c>
      <c r="H2633">
        <v>-360</v>
      </c>
      <c r="I2633">
        <v>46</v>
      </c>
      <c r="J2633">
        <v>544</v>
      </c>
      <c r="K2633" s="2">
        <v>45782</v>
      </c>
    </row>
    <row r="2634" spans="1:11" x14ac:dyDescent="0.25">
      <c r="A2634" s="1" t="s">
        <v>634</v>
      </c>
      <c r="B2634" s="1"/>
      <c r="C2634" s="1" t="s">
        <v>2987</v>
      </c>
      <c r="D2634" s="1" t="s">
        <v>3425</v>
      </c>
      <c r="E2634" s="1"/>
      <c r="F2634">
        <v>6</v>
      </c>
      <c r="G2634">
        <v>6.3</v>
      </c>
      <c r="H2634">
        <v>-10</v>
      </c>
      <c r="I2634">
        <v>0</v>
      </c>
      <c r="J2634">
        <v>49</v>
      </c>
      <c r="K2634" s="2">
        <v>45782</v>
      </c>
    </row>
    <row r="2635" spans="1:11" x14ac:dyDescent="0.25">
      <c r="A2635" s="1" t="s">
        <v>634</v>
      </c>
      <c r="B2635" s="1"/>
      <c r="C2635" s="1" t="s">
        <v>2924</v>
      </c>
      <c r="D2635" s="1" t="s">
        <v>3372</v>
      </c>
      <c r="E2635" s="1"/>
      <c r="F2635">
        <v>1</v>
      </c>
      <c r="G2635">
        <v>0.3</v>
      </c>
      <c r="H2635">
        <v>40</v>
      </c>
      <c r="I2635">
        <v>0</v>
      </c>
      <c r="J2635">
        <v>544</v>
      </c>
      <c r="K2635" s="2">
        <v>45782</v>
      </c>
    </row>
    <row r="2636" spans="1:11" x14ac:dyDescent="0.25">
      <c r="A2636" s="1" t="s">
        <v>634</v>
      </c>
      <c r="B2636" s="1"/>
      <c r="C2636" s="1" t="s">
        <v>3216</v>
      </c>
      <c r="D2636" s="1" t="s">
        <v>3417</v>
      </c>
      <c r="E2636" s="1"/>
      <c r="F2636">
        <v>4.8</v>
      </c>
      <c r="G2636">
        <v>0</v>
      </c>
      <c r="H2636">
        <v>250</v>
      </c>
      <c r="I2636">
        <v>0</v>
      </c>
      <c r="J2636">
        <v>544</v>
      </c>
      <c r="K2636" s="2">
        <v>45782</v>
      </c>
    </row>
    <row r="2637" spans="1:11" x14ac:dyDescent="0.25">
      <c r="A2637" s="1" t="s">
        <v>785</v>
      </c>
      <c r="B2637" s="1"/>
      <c r="C2637" s="1" t="s">
        <v>2808</v>
      </c>
      <c r="D2637" s="1" t="s">
        <v>3370</v>
      </c>
      <c r="E2637" s="1"/>
      <c r="F2637">
        <v>0</v>
      </c>
      <c r="G2637">
        <v>0</v>
      </c>
      <c r="H2637">
        <v>0</v>
      </c>
      <c r="I2637">
        <v>0</v>
      </c>
      <c r="J2637">
        <v>602</v>
      </c>
      <c r="K2637" s="2">
        <v>45777</v>
      </c>
    </row>
    <row r="2638" spans="1:11" x14ac:dyDescent="0.25">
      <c r="A2638" s="1" t="s">
        <v>785</v>
      </c>
      <c r="B2638" s="1"/>
      <c r="C2638" s="1" t="s">
        <v>2963</v>
      </c>
      <c r="D2638" s="1" t="s">
        <v>3404</v>
      </c>
      <c r="E2638" s="1"/>
      <c r="F2638">
        <v>5.5</v>
      </c>
      <c r="G2638">
        <v>0</v>
      </c>
      <c r="H2638">
        <v>300</v>
      </c>
      <c r="I2638">
        <v>0</v>
      </c>
      <c r="J2638">
        <v>602</v>
      </c>
      <c r="K2638" s="2">
        <v>45779</v>
      </c>
    </row>
    <row r="2639" spans="1:11" x14ac:dyDescent="0.25">
      <c r="A2639" s="1" t="s">
        <v>785</v>
      </c>
      <c r="B2639" s="1"/>
      <c r="C2639" s="1" t="s">
        <v>2872</v>
      </c>
      <c r="D2639" s="1" t="s">
        <v>3371</v>
      </c>
      <c r="E2639" s="1"/>
      <c r="F2639">
        <v>10.1</v>
      </c>
      <c r="G2639">
        <v>11.4</v>
      </c>
      <c r="H2639">
        <v>-70</v>
      </c>
      <c r="I2639">
        <v>0</v>
      </c>
      <c r="J2639">
        <v>603</v>
      </c>
      <c r="K2639" s="2">
        <v>45779</v>
      </c>
    </row>
    <row r="2640" spans="1:11" x14ac:dyDescent="0.25">
      <c r="A2640" s="1" t="s">
        <v>785</v>
      </c>
      <c r="B2640" s="1"/>
      <c r="C2640" s="1" t="s">
        <v>3096</v>
      </c>
      <c r="D2640" s="1" t="s">
        <v>3469</v>
      </c>
      <c r="E2640" s="1"/>
      <c r="F2640">
        <v>1</v>
      </c>
      <c r="G2640">
        <v>0</v>
      </c>
      <c r="H2640">
        <v>60</v>
      </c>
      <c r="I2640">
        <v>0</v>
      </c>
      <c r="J2640">
        <v>592</v>
      </c>
      <c r="K2640" s="2">
        <v>45783</v>
      </c>
    </row>
    <row r="2641" spans="1:11" x14ac:dyDescent="0.25">
      <c r="A2641" s="1" t="s">
        <v>785</v>
      </c>
      <c r="B2641" s="1"/>
      <c r="C2641" s="1" t="s">
        <v>2869</v>
      </c>
      <c r="D2641" s="1" t="s">
        <v>3455</v>
      </c>
      <c r="E2641" s="1"/>
      <c r="F2641">
        <v>22.8</v>
      </c>
      <c r="G2641">
        <v>24</v>
      </c>
      <c r="H2641">
        <v>25</v>
      </c>
      <c r="I2641">
        <v>10</v>
      </c>
      <c r="J2641">
        <v>592</v>
      </c>
      <c r="K2641" s="2">
        <v>45782</v>
      </c>
    </row>
    <row r="2642" spans="1:11" x14ac:dyDescent="0.25">
      <c r="A2642" s="1" t="s">
        <v>785</v>
      </c>
      <c r="B2642" s="1"/>
      <c r="C2642" s="1" t="s">
        <v>2812</v>
      </c>
      <c r="D2642" s="1" t="s">
        <v>3374</v>
      </c>
      <c r="E2642" s="1"/>
      <c r="F2642">
        <v>0.3</v>
      </c>
      <c r="G2642">
        <v>0</v>
      </c>
      <c r="H2642">
        <v>20</v>
      </c>
      <c r="I2642">
        <v>0</v>
      </c>
      <c r="J2642">
        <v>592</v>
      </c>
      <c r="K2642" s="2">
        <v>45783</v>
      </c>
    </row>
    <row r="2643" spans="1:11" x14ac:dyDescent="0.25">
      <c r="A2643" s="1" t="s">
        <v>805</v>
      </c>
      <c r="B2643" s="1"/>
      <c r="C2643" s="1" t="s">
        <v>2808</v>
      </c>
      <c r="D2643" s="1" t="s">
        <v>3370</v>
      </c>
      <c r="E2643" s="1"/>
      <c r="F2643">
        <v>0</v>
      </c>
      <c r="G2643">
        <v>0</v>
      </c>
      <c r="H2643">
        <v>0</v>
      </c>
      <c r="I2643">
        <v>0</v>
      </c>
      <c r="J2643">
        <v>602</v>
      </c>
      <c r="K2643" s="2">
        <v>45778</v>
      </c>
    </row>
    <row r="2644" spans="1:11" x14ac:dyDescent="0.25">
      <c r="A2644" s="1" t="s">
        <v>805</v>
      </c>
      <c r="B2644" s="1"/>
      <c r="C2644" s="1" t="s">
        <v>2963</v>
      </c>
      <c r="D2644" s="1" t="s">
        <v>3404</v>
      </c>
      <c r="E2644" s="1"/>
      <c r="F2644">
        <v>5.5</v>
      </c>
      <c r="G2644">
        <v>0</v>
      </c>
      <c r="H2644">
        <v>300</v>
      </c>
      <c r="I2644">
        <v>0</v>
      </c>
      <c r="J2644">
        <v>602</v>
      </c>
      <c r="K2644" s="2">
        <v>45785</v>
      </c>
    </row>
    <row r="2645" spans="1:11" x14ac:dyDescent="0.25">
      <c r="A2645" s="1" t="s">
        <v>805</v>
      </c>
      <c r="B2645" s="1"/>
      <c r="C2645" s="1" t="s">
        <v>2872</v>
      </c>
      <c r="D2645" s="1" t="s">
        <v>3371</v>
      </c>
      <c r="E2645" s="1"/>
      <c r="F2645">
        <v>10.1</v>
      </c>
      <c r="G2645">
        <v>11.7</v>
      </c>
      <c r="H2645">
        <v>-80</v>
      </c>
      <c r="I2645">
        <v>0</v>
      </c>
      <c r="J2645">
        <v>602</v>
      </c>
      <c r="K2645" s="2">
        <v>45785</v>
      </c>
    </row>
    <row r="2646" spans="1:11" x14ac:dyDescent="0.25">
      <c r="A2646" s="1" t="s">
        <v>805</v>
      </c>
      <c r="B2646" s="1"/>
      <c r="C2646" s="1" t="s">
        <v>3096</v>
      </c>
      <c r="D2646" s="1" t="s">
        <v>3469</v>
      </c>
      <c r="E2646" s="1"/>
      <c r="F2646">
        <v>1</v>
      </c>
      <c r="G2646">
        <v>0.3</v>
      </c>
      <c r="H2646">
        <v>45</v>
      </c>
      <c r="I2646">
        <v>0</v>
      </c>
      <c r="J2646">
        <v>602</v>
      </c>
      <c r="K2646" s="2">
        <v>45783</v>
      </c>
    </row>
    <row r="2647" spans="1:11" x14ac:dyDescent="0.25">
      <c r="A2647" s="1" t="s">
        <v>805</v>
      </c>
      <c r="B2647" s="1"/>
      <c r="C2647" s="1" t="s">
        <v>2869</v>
      </c>
      <c r="D2647" s="1" t="s">
        <v>3455</v>
      </c>
      <c r="E2647" s="1"/>
      <c r="F2647">
        <v>22.8</v>
      </c>
      <c r="G2647">
        <v>26.2</v>
      </c>
      <c r="H2647">
        <v>-100</v>
      </c>
      <c r="I2647">
        <v>6</v>
      </c>
      <c r="J2647">
        <v>596</v>
      </c>
      <c r="K2647" s="2">
        <v>45786</v>
      </c>
    </row>
    <row r="2648" spans="1:11" x14ac:dyDescent="0.25">
      <c r="A2648" s="1" t="s">
        <v>805</v>
      </c>
      <c r="B2648" s="1"/>
      <c r="C2648" s="1" t="s">
        <v>2812</v>
      </c>
      <c r="D2648" s="1" t="s">
        <v>3374</v>
      </c>
      <c r="E2648" s="1"/>
      <c r="F2648">
        <v>0.3</v>
      </c>
      <c r="G2648">
        <v>0</v>
      </c>
      <c r="H2648">
        <v>20</v>
      </c>
      <c r="I2648">
        <v>0</v>
      </c>
      <c r="J2648">
        <v>596</v>
      </c>
      <c r="K2648" s="2">
        <v>45786</v>
      </c>
    </row>
    <row r="2649" spans="1:11" x14ac:dyDescent="0.25">
      <c r="A2649" s="1" t="s">
        <v>806</v>
      </c>
      <c r="B2649" s="1"/>
      <c r="C2649" s="1" t="s">
        <v>2808</v>
      </c>
      <c r="D2649" s="1" t="s">
        <v>3370</v>
      </c>
      <c r="E2649" s="1"/>
      <c r="F2649">
        <v>0</v>
      </c>
      <c r="G2649">
        <v>0</v>
      </c>
      <c r="H2649">
        <v>0</v>
      </c>
      <c r="I2649">
        <v>0</v>
      </c>
      <c r="J2649">
        <v>602</v>
      </c>
      <c r="K2649" s="2">
        <v>45778</v>
      </c>
    </row>
    <row r="2650" spans="1:11" x14ac:dyDescent="0.25">
      <c r="A2650" s="1" t="s">
        <v>806</v>
      </c>
      <c r="B2650" s="1"/>
      <c r="C2650" s="1" t="s">
        <v>2963</v>
      </c>
      <c r="D2650" s="1" t="s">
        <v>3404</v>
      </c>
      <c r="E2650" s="1"/>
      <c r="F2650">
        <v>5.5</v>
      </c>
      <c r="G2650">
        <v>0</v>
      </c>
      <c r="H2650">
        <v>300</v>
      </c>
      <c r="I2650">
        <v>0</v>
      </c>
      <c r="J2650">
        <v>602</v>
      </c>
      <c r="K2650" s="2">
        <v>45789</v>
      </c>
    </row>
    <row r="2651" spans="1:11" x14ac:dyDescent="0.25">
      <c r="A2651" s="1" t="s">
        <v>806</v>
      </c>
      <c r="B2651" s="1"/>
      <c r="C2651" s="1" t="s">
        <v>2872</v>
      </c>
      <c r="D2651" s="1" t="s">
        <v>3371</v>
      </c>
      <c r="E2651" s="1"/>
      <c r="F2651">
        <v>10.1</v>
      </c>
      <c r="G2651">
        <v>0</v>
      </c>
      <c r="H2651">
        <v>525</v>
      </c>
      <c r="I2651">
        <v>0</v>
      </c>
      <c r="J2651">
        <v>602</v>
      </c>
      <c r="K2651" s="2">
        <v>45789</v>
      </c>
    </row>
    <row r="2652" spans="1:11" x14ac:dyDescent="0.25">
      <c r="A2652" s="1" t="s">
        <v>806</v>
      </c>
      <c r="B2652" s="1"/>
      <c r="C2652" s="1" t="s">
        <v>3096</v>
      </c>
      <c r="D2652" s="1" t="s">
        <v>3469</v>
      </c>
      <c r="E2652" s="1"/>
      <c r="F2652">
        <v>1</v>
      </c>
      <c r="G2652">
        <v>0</v>
      </c>
      <c r="H2652">
        <v>60</v>
      </c>
      <c r="I2652">
        <v>0</v>
      </c>
      <c r="J2652">
        <v>602</v>
      </c>
      <c r="K2652" s="2">
        <v>45789</v>
      </c>
    </row>
    <row r="2653" spans="1:11" x14ac:dyDescent="0.25">
      <c r="A2653" s="1" t="s">
        <v>806</v>
      </c>
      <c r="B2653" s="1"/>
      <c r="C2653" s="1" t="s">
        <v>2869</v>
      </c>
      <c r="D2653" s="1" t="s">
        <v>3455</v>
      </c>
      <c r="E2653" s="1"/>
      <c r="F2653">
        <v>22.8</v>
      </c>
      <c r="G2653">
        <v>3.9</v>
      </c>
      <c r="H2653">
        <v>1065</v>
      </c>
      <c r="I2653">
        <v>5</v>
      </c>
      <c r="J2653">
        <v>597</v>
      </c>
      <c r="K2653" s="2">
        <v>45789</v>
      </c>
    </row>
    <row r="2654" spans="1:11" x14ac:dyDescent="0.25">
      <c r="A2654" s="1" t="s">
        <v>806</v>
      </c>
      <c r="B2654" s="1"/>
      <c r="C2654" s="1" t="s">
        <v>2812</v>
      </c>
      <c r="D2654" s="1" t="s">
        <v>3374</v>
      </c>
      <c r="E2654" s="1"/>
      <c r="F2654">
        <v>0.3</v>
      </c>
      <c r="G2654">
        <v>0</v>
      </c>
      <c r="H2654">
        <v>20</v>
      </c>
      <c r="I2654">
        <v>0</v>
      </c>
      <c r="J2654">
        <v>597</v>
      </c>
      <c r="K2654" s="2">
        <v>45789</v>
      </c>
    </row>
    <row r="2655" spans="1:11" x14ac:dyDescent="0.25">
      <c r="A2655" s="1" t="s">
        <v>960</v>
      </c>
      <c r="B2655" s="1"/>
      <c r="C2655" s="1" t="s">
        <v>2808</v>
      </c>
      <c r="D2655" s="1" t="s">
        <v>3370</v>
      </c>
      <c r="E2655" s="1"/>
      <c r="F2655">
        <v>0</v>
      </c>
      <c r="G2655">
        <v>0</v>
      </c>
      <c r="H2655">
        <v>0</v>
      </c>
      <c r="I2655">
        <v>0</v>
      </c>
      <c r="J2655">
        <v>602</v>
      </c>
      <c r="K2655" s="2">
        <v>45789</v>
      </c>
    </row>
    <row r="2656" spans="1:11" x14ac:dyDescent="0.25">
      <c r="A2656" s="1" t="s">
        <v>960</v>
      </c>
      <c r="B2656" s="1"/>
      <c r="C2656" s="1" t="s">
        <v>3096</v>
      </c>
      <c r="D2656" s="1" t="s">
        <v>3469</v>
      </c>
      <c r="E2656" s="1"/>
      <c r="F2656">
        <v>1</v>
      </c>
      <c r="G2656">
        <v>0</v>
      </c>
      <c r="H2656">
        <v>60</v>
      </c>
      <c r="I2656">
        <v>0</v>
      </c>
      <c r="J2656">
        <v>602</v>
      </c>
      <c r="K2656" s="2">
        <v>45789</v>
      </c>
    </row>
    <row r="2657" spans="1:11" x14ac:dyDescent="0.25">
      <c r="A2657" s="1" t="s">
        <v>979</v>
      </c>
      <c r="B2657" s="1"/>
      <c r="C2657" s="1" t="s">
        <v>2808</v>
      </c>
      <c r="D2657" s="1" t="s">
        <v>3370</v>
      </c>
      <c r="E2657" s="1"/>
      <c r="F2657">
        <v>0</v>
      </c>
      <c r="G2657">
        <v>0</v>
      </c>
      <c r="H2657">
        <v>0</v>
      </c>
      <c r="I2657">
        <v>0</v>
      </c>
      <c r="J2657">
        <v>602</v>
      </c>
      <c r="K2657" s="2">
        <v>45789</v>
      </c>
    </row>
    <row r="2658" spans="1:11" x14ac:dyDescent="0.25">
      <c r="A2658" s="1" t="s">
        <v>230</v>
      </c>
      <c r="B2658" s="1"/>
      <c r="C2658" s="1" t="s">
        <v>3218</v>
      </c>
      <c r="D2658" s="1" t="s">
        <v>3386</v>
      </c>
      <c r="E2658" s="1"/>
      <c r="F2658">
        <v>9.3000000000000007</v>
      </c>
      <c r="G2658">
        <v>19.600000000000001</v>
      </c>
      <c r="H2658">
        <v>-550</v>
      </c>
      <c r="I2658">
        <v>0</v>
      </c>
      <c r="J2658">
        <v>400</v>
      </c>
      <c r="K2658" s="2">
        <v>45769</v>
      </c>
    </row>
    <row r="2659" spans="1:11" x14ac:dyDescent="0.25">
      <c r="A2659" s="1" t="s">
        <v>230</v>
      </c>
      <c r="B2659" s="1"/>
      <c r="C2659" s="1" t="s">
        <v>3112</v>
      </c>
      <c r="D2659" s="1" t="s">
        <v>3485</v>
      </c>
      <c r="E2659" s="1"/>
      <c r="F2659">
        <v>1</v>
      </c>
      <c r="G2659">
        <v>3</v>
      </c>
      <c r="H2659">
        <v>-80</v>
      </c>
      <c r="I2659">
        <v>0</v>
      </c>
      <c r="J2659">
        <v>2</v>
      </c>
      <c r="K2659" s="2">
        <v>45768</v>
      </c>
    </row>
    <row r="2660" spans="1:11" x14ac:dyDescent="0.25">
      <c r="A2660" s="1" t="s">
        <v>230</v>
      </c>
      <c r="B2660" s="1"/>
      <c r="C2660" s="1" t="s">
        <v>3120</v>
      </c>
      <c r="D2660" s="1" t="s">
        <v>3417</v>
      </c>
      <c r="E2660" s="1"/>
      <c r="F2660">
        <v>6.7</v>
      </c>
      <c r="G2660">
        <v>8.6</v>
      </c>
      <c r="H2660">
        <v>-90</v>
      </c>
      <c r="I2660">
        <v>0</v>
      </c>
      <c r="J2660">
        <v>400</v>
      </c>
      <c r="K2660" s="2">
        <v>45769</v>
      </c>
    </row>
    <row r="2661" spans="1:11" x14ac:dyDescent="0.25">
      <c r="A2661" s="1" t="s">
        <v>401</v>
      </c>
      <c r="B2661" s="1"/>
      <c r="C2661" s="1" t="s">
        <v>2808</v>
      </c>
      <c r="D2661" s="1" t="s">
        <v>3370</v>
      </c>
      <c r="E2661" s="1"/>
      <c r="F2661">
        <v>0</v>
      </c>
      <c r="G2661">
        <v>0</v>
      </c>
      <c r="H2661">
        <v>0</v>
      </c>
      <c r="I2661">
        <v>0</v>
      </c>
      <c r="J2661">
        <v>400</v>
      </c>
      <c r="K2661" s="2">
        <v>45749</v>
      </c>
    </row>
    <row r="2662" spans="1:11" x14ac:dyDescent="0.25">
      <c r="A2662" s="1" t="s">
        <v>401</v>
      </c>
      <c r="B2662" s="1"/>
      <c r="C2662" s="1" t="s">
        <v>2918</v>
      </c>
      <c r="D2662" s="1" t="s">
        <v>3412</v>
      </c>
      <c r="E2662" s="1"/>
      <c r="F2662">
        <v>0.5</v>
      </c>
      <c r="G2662">
        <v>7.9</v>
      </c>
      <c r="H2662">
        <v>-465</v>
      </c>
      <c r="I2662">
        <v>0</v>
      </c>
      <c r="J2662">
        <v>400</v>
      </c>
      <c r="K2662" s="2">
        <v>45758</v>
      </c>
    </row>
    <row r="2663" spans="1:11" x14ac:dyDescent="0.25">
      <c r="A2663" s="1" t="s">
        <v>401</v>
      </c>
      <c r="B2663" s="1"/>
      <c r="C2663" s="1" t="s">
        <v>3019</v>
      </c>
      <c r="D2663" s="1" t="s">
        <v>3486</v>
      </c>
      <c r="E2663" s="1"/>
      <c r="F2663">
        <v>1</v>
      </c>
      <c r="G2663">
        <v>8</v>
      </c>
      <c r="H2663">
        <v>-430</v>
      </c>
      <c r="I2663">
        <v>0</v>
      </c>
      <c r="J2663">
        <v>400</v>
      </c>
      <c r="K2663" s="2">
        <v>45758</v>
      </c>
    </row>
    <row r="2664" spans="1:11" x14ac:dyDescent="0.25">
      <c r="A2664" s="1" t="s">
        <v>401</v>
      </c>
      <c r="B2664" s="1"/>
      <c r="C2664" s="1" t="s">
        <v>2918</v>
      </c>
      <c r="D2664" s="1" t="s">
        <v>3412</v>
      </c>
      <c r="E2664" s="1"/>
      <c r="F2664">
        <v>0.5</v>
      </c>
      <c r="G2664">
        <v>8</v>
      </c>
      <c r="H2664">
        <v>-465</v>
      </c>
      <c r="I2664">
        <v>0</v>
      </c>
      <c r="J2664">
        <v>400</v>
      </c>
      <c r="K2664" s="2">
        <v>45758</v>
      </c>
    </row>
    <row r="2665" spans="1:11" x14ac:dyDescent="0.25">
      <c r="A2665" s="1" t="s">
        <v>401</v>
      </c>
      <c r="B2665" s="1"/>
      <c r="C2665" s="1" t="s">
        <v>2872</v>
      </c>
      <c r="D2665" s="1" t="s">
        <v>3388</v>
      </c>
      <c r="E2665" s="1"/>
      <c r="F2665">
        <v>3.8</v>
      </c>
      <c r="G2665">
        <v>1.2</v>
      </c>
      <c r="H2665">
        <v>170</v>
      </c>
      <c r="I2665">
        <v>0</v>
      </c>
      <c r="J2665">
        <v>400</v>
      </c>
      <c r="K2665" s="2">
        <v>45758</v>
      </c>
    </row>
    <row r="2666" spans="1:11" x14ac:dyDescent="0.25">
      <c r="A2666" s="1" t="s">
        <v>401</v>
      </c>
      <c r="B2666" s="1"/>
      <c r="C2666" s="1" t="s">
        <v>3218</v>
      </c>
      <c r="D2666" s="1" t="s">
        <v>3386</v>
      </c>
      <c r="E2666" s="1"/>
      <c r="F2666">
        <v>9.3000000000000007</v>
      </c>
      <c r="G2666">
        <v>17.2</v>
      </c>
      <c r="H2666">
        <v>-390</v>
      </c>
      <c r="I2666">
        <v>0</v>
      </c>
      <c r="J2666">
        <v>400</v>
      </c>
      <c r="K2666" s="2">
        <v>45763</v>
      </c>
    </row>
    <row r="2667" spans="1:11" x14ac:dyDescent="0.25">
      <c r="A2667" s="1" t="s">
        <v>401</v>
      </c>
      <c r="B2667" s="1"/>
      <c r="C2667" s="1" t="s">
        <v>3112</v>
      </c>
      <c r="D2667" s="1" t="s">
        <v>3485</v>
      </c>
      <c r="E2667" s="1"/>
      <c r="F2667">
        <v>1</v>
      </c>
      <c r="G2667">
        <v>0</v>
      </c>
      <c r="H2667">
        <v>45</v>
      </c>
      <c r="I2667">
        <v>0</v>
      </c>
      <c r="J2667">
        <v>0</v>
      </c>
      <c r="K2667" s="2">
        <v>45770</v>
      </c>
    </row>
    <row r="2668" spans="1:11" x14ac:dyDescent="0.25">
      <c r="A2668" s="1" t="s">
        <v>371</v>
      </c>
      <c r="B2668" s="1"/>
      <c r="C2668" s="1" t="s">
        <v>2808</v>
      </c>
      <c r="D2668" s="1" t="s">
        <v>3370</v>
      </c>
      <c r="E2668" s="1"/>
      <c r="F2668">
        <v>0</v>
      </c>
      <c r="G2668">
        <v>0</v>
      </c>
      <c r="H2668">
        <v>0</v>
      </c>
      <c r="I2668">
        <v>0</v>
      </c>
      <c r="J2668">
        <v>400</v>
      </c>
      <c r="K2668" s="2">
        <v>45736</v>
      </c>
    </row>
    <row r="2669" spans="1:11" x14ac:dyDescent="0.25">
      <c r="A2669" s="1" t="s">
        <v>371</v>
      </c>
      <c r="B2669" s="1"/>
      <c r="C2669" s="1" t="s">
        <v>2918</v>
      </c>
      <c r="D2669" s="1" t="s">
        <v>3412</v>
      </c>
      <c r="E2669" s="1"/>
      <c r="F2669">
        <v>0.5</v>
      </c>
      <c r="G2669">
        <v>0.3</v>
      </c>
      <c r="H2669">
        <v>15</v>
      </c>
      <c r="I2669">
        <v>0</v>
      </c>
      <c r="J2669">
        <v>400</v>
      </c>
      <c r="K2669" s="2">
        <v>45770</v>
      </c>
    </row>
    <row r="2670" spans="1:11" x14ac:dyDescent="0.25">
      <c r="A2670" s="1" t="s">
        <v>371</v>
      </c>
      <c r="B2670" s="1"/>
      <c r="C2670" s="1" t="s">
        <v>3019</v>
      </c>
      <c r="D2670" s="1" t="s">
        <v>3486</v>
      </c>
      <c r="E2670" s="1"/>
      <c r="F2670">
        <v>1</v>
      </c>
      <c r="G2670">
        <v>1.2</v>
      </c>
      <c r="H2670">
        <v>-5</v>
      </c>
      <c r="I2670">
        <v>0</v>
      </c>
      <c r="J2670">
        <v>400</v>
      </c>
      <c r="K2670" s="2">
        <v>45770</v>
      </c>
    </row>
    <row r="2671" spans="1:11" x14ac:dyDescent="0.25">
      <c r="A2671" s="1" t="s">
        <v>371</v>
      </c>
      <c r="B2671" s="1"/>
      <c r="C2671" s="1" t="s">
        <v>2918</v>
      </c>
      <c r="D2671" s="1" t="s">
        <v>3412</v>
      </c>
      <c r="E2671" s="1"/>
      <c r="F2671">
        <v>0.5</v>
      </c>
      <c r="G2671">
        <v>0.3</v>
      </c>
      <c r="H2671">
        <v>15</v>
      </c>
      <c r="I2671">
        <v>0</v>
      </c>
      <c r="J2671">
        <v>400</v>
      </c>
      <c r="K2671" s="2">
        <v>45770</v>
      </c>
    </row>
    <row r="2672" spans="1:11" x14ac:dyDescent="0.25">
      <c r="A2672" s="1" t="s">
        <v>371</v>
      </c>
      <c r="B2672" s="1"/>
      <c r="C2672" s="1" t="s">
        <v>2872</v>
      </c>
      <c r="D2672" s="1" t="s">
        <v>3388</v>
      </c>
      <c r="E2672" s="1"/>
      <c r="F2672">
        <v>3.8</v>
      </c>
      <c r="G2672">
        <v>0.6</v>
      </c>
      <c r="H2672">
        <v>205</v>
      </c>
      <c r="I2672">
        <v>0</v>
      </c>
      <c r="J2672">
        <v>400</v>
      </c>
      <c r="K2672" s="2">
        <v>45776</v>
      </c>
    </row>
    <row r="2673" spans="1:11" x14ac:dyDescent="0.25">
      <c r="A2673" s="1" t="s">
        <v>371</v>
      </c>
      <c r="B2673" s="1"/>
      <c r="C2673" s="1" t="s">
        <v>3218</v>
      </c>
      <c r="D2673" s="1" t="s">
        <v>3386</v>
      </c>
      <c r="E2673" s="1"/>
      <c r="F2673">
        <v>9.3000000000000007</v>
      </c>
      <c r="G2673">
        <v>17.2</v>
      </c>
      <c r="H2673">
        <v>-425</v>
      </c>
      <c r="I2673">
        <v>0</v>
      </c>
      <c r="J2673">
        <v>400</v>
      </c>
      <c r="K2673" s="2">
        <v>45776</v>
      </c>
    </row>
    <row r="2674" spans="1:11" x14ac:dyDescent="0.25">
      <c r="A2674" s="1" t="s">
        <v>371</v>
      </c>
      <c r="B2674" s="1"/>
      <c r="C2674" s="1" t="s">
        <v>3112</v>
      </c>
      <c r="D2674" s="1" t="s">
        <v>3485</v>
      </c>
      <c r="E2674" s="1"/>
      <c r="F2674">
        <v>1</v>
      </c>
      <c r="G2674">
        <v>0</v>
      </c>
      <c r="H2674">
        <v>45</v>
      </c>
      <c r="I2674">
        <v>0</v>
      </c>
      <c r="J2674">
        <v>0</v>
      </c>
      <c r="K2674" s="2">
        <v>45776</v>
      </c>
    </row>
    <row r="2675" spans="1:11" x14ac:dyDescent="0.25">
      <c r="A2675" s="1" t="s">
        <v>371</v>
      </c>
      <c r="B2675" s="1"/>
      <c r="C2675" s="1" t="s">
        <v>3120</v>
      </c>
      <c r="D2675" s="1" t="s">
        <v>3417</v>
      </c>
      <c r="E2675" s="1"/>
      <c r="F2675">
        <v>6.7</v>
      </c>
      <c r="G2675">
        <v>3.1</v>
      </c>
      <c r="H2675">
        <v>190</v>
      </c>
      <c r="I2675">
        <v>0</v>
      </c>
      <c r="J2675">
        <v>400</v>
      </c>
      <c r="K2675" s="2">
        <v>45789</v>
      </c>
    </row>
    <row r="2676" spans="1:11" x14ac:dyDescent="0.25">
      <c r="A2676" s="1" t="s">
        <v>371</v>
      </c>
      <c r="B2676" s="1"/>
      <c r="C2676" s="1" t="s">
        <v>2924</v>
      </c>
      <c r="D2676" s="1" t="s">
        <v>3372</v>
      </c>
      <c r="E2676" s="1"/>
      <c r="F2676">
        <v>1</v>
      </c>
      <c r="G2676">
        <v>0</v>
      </c>
      <c r="H2676">
        <v>55</v>
      </c>
      <c r="I2676">
        <v>0</v>
      </c>
      <c r="J2676">
        <v>400</v>
      </c>
      <c r="K2676" s="2">
        <v>45789</v>
      </c>
    </row>
    <row r="2677" spans="1:11" x14ac:dyDescent="0.25">
      <c r="A2677" s="1" t="s">
        <v>348</v>
      </c>
      <c r="B2677" s="1"/>
      <c r="C2677" s="1" t="s">
        <v>2808</v>
      </c>
      <c r="D2677" s="1" t="s">
        <v>3370</v>
      </c>
      <c r="E2677" s="1"/>
      <c r="F2677">
        <v>0</v>
      </c>
      <c r="G2677">
        <v>0</v>
      </c>
      <c r="H2677">
        <v>0</v>
      </c>
      <c r="I2677">
        <v>0</v>
      </c>
      <c r="J2677">
        <v>400</v>
      </c>
      <c r="K2677" s="2">
        <v>45729</v>
      </c>
    </row>
    <row r="2678" spans="1:11" x14ac:dyDescent="0.25">
      <c r="A2678" s="1" t="s">
        <v>348</v>
      </c>
      <c r="B2678" s="1"/>
      <c r="C2678" s="1" t="s">
        <v>2918</v>
      </c>
      <c r="D2678" s="1" t="s">
        <v>3412</v>
      </c>
      <c r="E2678" s="1"/>
      <c r="F2678">
        <v>0.5</v>
      </c>
      <c r="G2678">
        <v>0.7</v>
      </c>
      <c r="H2678">
        <v>-10</v>
      </c>
      <c r="I2678">
        <v>0</v>
      </c>
      <c r="J2678">
        <v>400</v>
      </c>
      <c r="K2678" s="2">
        <v>45776</v>
      </c>
    </row>
    <row r="2679" spans="1:11" x14ac:dyDescent="0.25">
      <c r="A2679" s="1" t="s">
        <v>348</v>
      </c>
      <c r="B2679" s="1"/>
      <c r="C2679" s="1" t="s">
        <v>3019</v>
      </c>
      <c r="D2679" s="1" t="s">
        <v>3486</v>
      </c>
      <c r="E2679" s="1"/>
      <c r="F2679">
        <v>1</v>
      </c>
      <c r="G2679">
        <v>1.5</v>
      </c>
      <c r="H2679">
        <v>-25</v>
      </c>
      <c r="I2679">
        <v>0</v>
      </c>
      <c r="J2679">
        <v>400</v>
      </c>
      <c r="K2679" s="2">
        <v>45777</v>
      </c>
    </row>
    <row r="2680" spans="1:11" x14ac:dyDescent="0.25">
      <c r="A2680" s="1" t="s">
        <v>348</v>
      </c>
      <c r="B2680" s="1"/>
      <c r="C2680" s="1" t="s">
        <v>2918</v>
      </c>
      <c r="D2680" s="1" t="s">
        <v>3412</v>
      </c>
      <c r="E2680" s="1"/>
      <c r="F2680">
        <v>0.5</v>
      </c>
      <c r="G2680">
        <v>1.5</v>
      </c>
      <c r="H2680">
        <v>-60</v>
      </c>
      <c r="I2680">
        <v>0</v>
      </c>
      <c r="J2680">
        <v>400</v>
      </c>
      <c r="K2680" s="2">
        <v>45777</v>
      </c>
    </row>
    <row r="2681" spans="1:11" x14ac:dyDescent="0.25">
      <c r="A2681" s="1" t="s">
        <v>348</v>
      </c>
      <c r="B2681" s="1"/>
      <c r="C2681" s="1" t="s">
        <v>2872</v>
      </c>
      <c r="D2681" s="1" t="s">
        <v>3388</v>
      </c>
      <c r="E2681" s="1"/>
      <c r="F2681">
        <v>3.8</v>
      </c>
      <c r="G2681">
        <v>1.8</v>
      </c>
      <c r="H2681">
        <v>125</v>
      </c>
      <c r="I2681">
        <v>0</v>
      </c>
      <c r="J2681">
        <v>400</v>
      </c>
      <c r="K2681" s="2">
        <v>45785</v>
      </c>
    </row>
    <row r="2682" spans="1:11" x14ac:dyDescent="0.25">
      <c r="A2682" s="1" t="s">
        <v>348</v>
      </c>
      <c r="B2682" s="1"/>
      <c r="C2682" s="1" t="s">
        <v>3218</v>
      </c>
      <c r="D2682" s="1" t="s">
        <v>3386</v>
      </c>
      <c r="E2682" s="1"/>
      <c r="F2682">
        <v>9.3000000000000007</v>
      </c>
      <c r="G2682">
        <v>20.399999999999999</v>
      </c>
      <c r="H2682">
        <v>-565</v>
      </c>
      <c r="I2682">
        <v>0</v>
      </c>
      <c r="J2682">
        <v>400</v>
      </c>
      <c r="K2682" s="2">
        <v>45785</v>
      </c>
    </row>
    <row r="2683" spans="1:11" x14ac:dyDescent="0.25">
      <c r="A2683" s="1" t="s">
        <v>348</v>
      </c>
      <c r="B2683" s="1"/>
      <c r="C2683" s="1" t="s">
        <v>3112</v>
      </c>
      <c r="D2683" s="1" t="s">
        <v>3485</v>
      </c>
      <c r="E2683" s="1"/>
      <c r="F2683">
        <v>1</v>
      </c>
      <c r="G2683">
        <v>3.9</v>
      </c>
      <c r="H2683">
        <v>-120</v>
      </c>
      <c r="I2683">
        <v>0</v>
      </c>
      <c r="J2683">
        <v>2</v>
      </c>
      <c r="K2683" s="2">
        <v>45785</v>
      </c>
    </row>
    <row r="2684" spans="1:11" x14ac:dyDescent="0.25">
      <c r="A2684" s="1" t="s">
        <v>348</v>
      </c>
      <c r="B2684" s="1"/>
      <c r="C2684" s="1" t="s">
        <v>3120</v>
      </c>
      <c r="D2684" s="1" t="s">
        <v>3417</v>
      </c>
      <c r="E2684" s="1"/>
      <c r="F2684">
        <v>6.7</v>
      </c>
      <c r="G2684">
        <v>6.4</v>
      </c>
      <c r="H2684">
        <v>20</v>
      </c>
      <c r="I2684">
        <v>0</v>
      </c>
      <c r="J2684">
        <v>400</v>
      </c>
      <c r="K2684" s="2">
        <v>45785</v>
      </c>
    </row>
    <row r="2685" spans="1:11" x14ac:dyDescent="0.25">
      <c r="A2685" s="1" t="s">
        <v>348</v>
      </c>
      <c r="B2685" s="1"/>
      <c r="C2685" s="1" t="s">
        <v>2924</v>
      </c>
      <c r="D2685" s="1" t="s">
        <v>3372</v>
      </c>
      <c r="E2685" s="1"/>
      <c r="F2685">
        <v>1</v>
      </c>
      <c r="G2685">
        <v>0</v>
      </c>
      <c r="H2685">
        <v>55</v>
      </c>
      <c r="I2685">
        <v>0</v>
      </c>
      <c r="J2685">
        <v>400</v>
      </c>
      <c r="K2685" s="2">
        <v>45789</v>
      </c>
    </row>
    <row r="2686" spans="1:11" x14ac:dyDescent="0.25">
      <c r="A2686" s="1" t="s">
        <v>604</v>
      </c>
      <c r="B2686" s="1"/>
      <c r="C2686" s="1" t="s">
        <v>2808</v>
      </c>
      <c r="D2686" s="1" t="s">
        <v>3370</v>
      </c>
      <c r="E2686" s="1"/>
      <c r="F2686">
        <v>0</v>
      </c>
      <c r="G2686">
        <v>0</v>
      </c>
      <c r="H2686">
        <v>0</v>
      </c>
      <c r="I2686">
        <v>0</v>
      </c>
      <c r="J2686">
        <v>400</v>
      </c>
      <c r="K2686" s="2">
        <v>45784</v>
      </c>
    </row>
    <row r="2687" spans="1:11" x14ac:dyDescent="0.25">
      <c r="A2687" s="1" t="s">
        <v>604</v>
      </c>
      <c r="B2687" s="1"/>
      <c r="C2687" s="1" t="s">
        <v>2918</v>
      </c>
      <c r="D2687" s="1" t="s">
        <v>3412</v>
      </c>
      <c r="E2687" s="1"/>
      <c r="F2687">
        <v>0.5</v>
      </c>
      <c r="G2687">
        <v>0</v>
      </c>
      <c r="H2687">
        <v>35</v>
      </c>
      <c r="I2687">
        <v>0</v>
      </c>
      <c r="J2687">
        <v>400</v>
      </c>
      <c r="K2687" s="2">
        <v>45784</v>
      </c>
    </row>
    <row r="2688" spans="1:11" x14ac:dyDescent="0.25">
      <c r="A2688" s="1" t="s">
        <v>604</v>
      </c>
      <c r="B2688" s="1"/>
      <c r="C2688" s="1" t="s">
        <v>3019</v>
      </c>
      <c r="D2688" s="1" t="s">
        <v>3486</v>
      </c>
      <c r="E2688" s="1"/>
      <c r="F2688">
        <v>1</v>
      </c>
      <c r="G2688">
        <v>0</v>
      </c>
      <c r="H2688">
        <v>65</v>
      </c>
      <c r="I2688">
        <v>0</v>
      </c>
      <c r="J2688">
        <v>400</v>
      </c>
      <c r="K2688" s="2">
        <v>45784</v>
      </c>
    </row>
    <row r="2689" spans="1:11" x14ac:dyDescent="0.25">
      <c r="A2689" s="1" t="s">
        <v>604</v>
      </c>
      <c r="B2689" s="1"/>
      <c r="C2689" s="1" t="s">
        <v>2918</v>
      </c>
      <c r="D2689" s="1" t="s">
        <v>3412</v>
      </c>
      <c r="E2689" s="1"/>
      <c r="F2689">
        <v>0.5</v>
      </c>
      <c r="G2689">
        <v>0</v>
      </c>
      <c r="H2689">
        <v>35</v>
      </c>
      <c r="I2689">
        <v>0</v>
      </c>
      <c r="J2689">
        <v>400</v>
      </c>
      <c r="K2689" s="2">
        <v>45784</v>
      </c>
    </row>
    <row r="2690" spans="1:11" x14ac:dyDescent="0.25">
      <c r="A2690" s="1" t="s">
        <v>604</v>
      </c>
      <c r="B2690" s="1"/>
      <c r="C2690" s="1" t="s">
        <v>2872</v>
      </c>
      <c r="D2690" s="1" t="s">
        <v>3388</v>
      </c>
      <c r="E2690" s="1"/>
      <c r="F2690">
        <v>3.8</v>
      </c>
      <c r="G2690">
        <v>1.4</v>
      </c>
      <c r="H2690">
        <v>155</v>
      </c>
      <c r="I2690">
        <v>0</v>
      </c>
      <c r="J2690">
        <v>400</v>
      </c>
      <c r="K2690" s="2">
        <v>45784</v>
      </c>
    </row>
    <row r="2691" spans="1:11" x14ac:dyDescent="0.25">
      <c r="A2691" s="1" t="s">
        <v>605</v>
      </c>
      <c r="B2691" s="1"/>
      <c r="C2691" s="1" t="s">
        <v>2808</v>
      </c>
      <c r="D2691" s="1" t="s">
        <v>3370</v>
      </c>
      <c r="E2691" s="1"/>
      <c r="F2691">
        <v>0</v>
      </c>
      <c r="G2691">
        <v>0</v>
      </c>
      <c r="H2691">
        <v>0</v>
      </c>
      <c r="I2691">
        <v>0</v>
      </c>
      <c r="J2691">
        <v>400</v>
      </c>
      <c r="K2691" s="2">
        <v>45784</v>
      </c>
    </row>
    <row r="2692" spans="1:11" x14ac:dyDescent="0.25">
      <c r="A2692" s="1" t="s">
        <v>605</v>
      </c>
      <c r="B2692" s="1"/>
      <c r="C2692" s="1" t="s">
        <v>2918</v>
      </c>
      <c r="D2692" s="1" t="s">
        <v>3412</v>
      </c>
      <c r="E2692" s="1"/>
      <c r="F2692">
        <v>0.5</v>
      </c>
      <c r="G2692">
        <v>0</v>
      </c>
      <c r="H2692">
        <v>35</v>
      </c>
      <c r="I2692">
        <v>0</v>
      </c>
      <c r="J2692">
        <v>400</v>
      </c>
      <c r="K2692" s="2">
        <v>45784</v>
      </c>
    </row>
    <row r="2693" spans="1:11" x14ac:dyDescent="0.25">
      <c r="A2693" s="1" t="s">
        <v>605</v>
      </c>
      <c r="B2693" s="1"/>
      <c r="C2693" s="1" t="s">
        <v>3019</v>
      </c>
      <c r="D2693" s="1" t="s">
        <v>3486</v>
      </c>
      <c r="E2693" s="1"/>
      <c r="F2693">
        <v>1</v>
      </c>
      <c r="G2693">
        <v>0</v>
      </c>
      <c r="H2693">
        <v>65</v>
      </c>
      <c r="I2693">
        <v>0</v>
      </c>
      <c r="J2693">
        <v>400</v>
      </c>
      <c r="K2693" s="2">
        <v>45784</v>
      </c>
    </row>
    <row r="2694" spans="1:11" x14ac:dyDescent="0.25">
      <c r="A2694" s="1" t="s">
        <v>605</v>
      </c>
      <c r="B2694" s="1"/>
      <c r="C2694" s="1" t="s">
        <v>2918</v>
      </c>
      <c r="D2694" s="1" t="s">
        <v>3412</v>
      </c>
      <c r="E2694" s="1"/>
      <c r="F2694">
        <v>0.5</v>
      </c>
      <c r="G2694">
        <v>0</v>
      </c>
      <c r="H2694">
        <v>35</v>
      </c>
      <c r="I2694">
        <v>0</v>
      </c>
      <c r="J2694">
        <v>400</v>
      </c>
      <c r="K2694" s="2">
        <v>45784</v>
      </c>
    </row>
    <row r="2695" spans="1:11" x14ac:dyDescent="0.25">
      <c r="A2695" s="1" t="s">
        <v>605</v>
      </c>
      <c r="B2695" s="1"/>
      <c r="C2695" s="1" t="s">
        <v>2872</v>
      </c>
      <c r="D2695" s="1" t="s">
        <v>3388</v>
      </c>
      <c r="E2695" s="1"/>
      <c r="F2695">
        <v>3.8</v>
      </c>
      <c r="G2695">
        <v>0</v>
      </c>
      <c r="H2695">
        <v>240</v>
      </c>
      <c r="I2695">
        <v>0</v>
      </c>
      <c r="J2695">
        <v>400</v>
      </c>
      <c r="K2695" s="2">
        <v>45786</v>
      </c>
    </row>
    <row r="2696" spans="1:11" x14ac:dyDescent="0.25">
      <c r="A2696" s="1" t="s">
        <v>402</v>
      </c>
      <c r="B2696" s="1"/>
      <c r="C2696" s="1" t="s">
        <v>2808</v>
      </c>
      <c r="D2696" s="1" t="s">
        <v>3370</v>
      </c>
      <c r="E2696" s="1"/>
      <c r="F2696">
        <v>0</v>
      </c>
      <c r="G2696">
        <v>0</v>
      </c>
      <c r="H2696">
        <v>0</v>
      </c>
      <c r="I2696">
        <v>0</v>
      </c>
      <c r="J2696">
        <v>400</v>
      </c>
      <c r="K2696" s="2">
        <v>45784</v>
      </c>
    </row>
    <row r="2697" spans="1:11" x14ac:dyDescent="0.25">
      <c r="A2697" s="1" t="s">
        <v>402</v>
      </c>
      <c r="B2697" s="1"/>
      <c r="C2697" s="1" t="s">
        <v>2918</v>
      </c>
      <c r="D2697" s="1" t="s">
        <v>3412</v>
      </c>
      <c r="E2697" s="1"/>
      <c r="F2697">
        <v>0.5</v>
      </c>
      <c r="G2697">
        <v>1.3</v>
      </c>
      <c r="H2697">
        <v>-45</v>
      </c>
      <c r="I2697">
        <v>0</v>
      </c>
      <c r="J2697">
        <v>400</v>
      </c>
      <c r="K2697" s="2">
        <v>45784</v>
      </c>
    </row>
    <row r="2698" spans="1:11" x14ac:dyDescent="0.25">
      <c r="A2698" s="1" t="s">
        <v>402</v>
      </c>
      <c r="B2698" s="1"/>
      <c r="C2698" s="1" t="s">
        <v>3019</v>
      </c>
      <c r="D2698" s="1" t="s">
        <v>3486</v>
      </c>
      <c r="E2698" s="1"/>
      <c r="F2698">
        <v>1</v>
      </c>
      <c r="G2698">
        <v>1.6</v>
      </c>
      <c r="H2698">
        <v>-35</v>
      </c>
      <c r="I2698">
        <v>0</v>
      </c>
      <c r="J2698">
        <v>400</v>
      </c>
      <c r="K2698" s="2">
        <v>45785</v>
      </c>
    </row>
    <row r="2699" spans="1:11" x14ac:dyDescent="0.25">
      <c r="A2699" s="1" t="s">
        <v>402</v>
      </c>
      <c r="B2699" s="1"/>
      <c r="C2699" s="1" t="s">
        <v>2918</v>
      </c>
      <c r="D2699" s="1" t="s">
        <v>3412</v>
      </c>
      <c r="E2699" s="1"/>
      <c r="F2699">
        <v>0.5</v>
      </c>
      <c r="G2699">
        <v>1.6</v>
      </c>
      <c r="H2699">
        <v>-65</v>
      </c>
      <c r="I2699">
        <v>0</v>
      </c>
      <c r="J2699">
        <v>400</v>
      </c>
      <c r="K2699" s="2">
        <v>45785</v>
      </c>
    </row>
    <row r="2700" spans="1:11" x14ac:dyDescent="0.25">
      <c r="A2700" s="1" t="s">
        <v>402</v>
      </c>
      <c r="B2700" s="1"/>
      <c r="C2700" s="1" t="s">
        <v>2872</v>
      </c>
      <c r="D2700" s="1" t="s">
        <v>3388</v>
      </c>
      <c r="E2700" s="1"/>
      <c r="F2700">
        <v>3.8</v>
      </c>
      <c r="G2700">
        <v>1.7</v>
      </c>
      <c r="H2700">
        <v>140</v>
      </c>
      <c r="I2700">
        <v>0</v>
      </c>
      <c r="J2700">
        <v>400</v>
      </c>
      <c r="K2700" s="2">
        <v>45785</v>
      </c>
    </row>
    <row r="2701" spans="1:11" x14ac:dyDescent="0.25">
      <c r="A2701" s="1" t="s">
        <v>402</v>
      </c>
      <c r="B2701" s="1"/>
      <c r="C2701" s="1" t="s">
        <v>3218</v>
      </c>
      <c r="D2701" s="1" t="s">
        <v>3386</v>
      </c>
      <c r="E2701" s="1"/>
      <c r="F2701">
        <v>9.3000000000000007</v>
      </c>
      <c r="G2701">
        <v>14.2</v>
      </c>
      <c r="H2701">
        <v>-280</v>
      </c>
      <c r="I2701">
        <v>0</v>
      </c>
      <c r="J2701">
        <v>400</v>
      </c>
      <c r="K2701" s="2">
        <v>45789</v>
      </c>
    </row>
    <row r="2702" spans="1:11" x14ac:dyDescent="0.25">
      <c r="A2702" s="1" t="s">
        <v>402</v>
      </c>
      <c r="B2702" s="1"/>
      <c r="C2702" s="1" t="s">
        <v>3112</v>
      </c>
      <c r="D2702" s="1" t="s">
        <v>3485</v>
      </c>
      <c r="E2702" s="1"/>
      <c r="F2702">
        <v>1</v>
      </c>
      <c r="G2702">
        <v>0</v>
      </c>
      <c r="H2702">
        <v>45</v>
      </c>
      <c r="I2702">
        <v>0</v>
      </c>
      <c r="J2702">
        <v>0</v>
      </c>
      <c r="K2702" s="2">
        <v>45789</v>
      </c>
    </row>
    <row r="2703" spans="1:11" x14ac:dyDescent="0.25">
      <c r="A2703" s="1" t="s">
        <v>928</v>
      </c>
      <c r="B2703" s="1"/>
      <c r="C2703" s="1" t="s">
        <v>2808</v>
      </c>
      <c r="D2703" s="1" t="s">
        <v>3370</v>
      </c>
      <c r="E2703" s="1"/>
      <c r="F2703">
        <v>0</v>
      </c>
      <c r="G2703">
        <v>0</v>
      </c>
      <c r="H2703">
        <v>0</v>
      </c>
      <c r="I2703">
        <v>0</v>
      </c>
      <c r="J2703">
        <v>400</v>
      </c>
      <c r="K2703" s="2">
        <v>45784</v>
      </c>
    </row>
    <row r="2704" spans="1:11" x14ac:dyDescent="0.25">
      <c r="A2704" s="1" t="s">
        <v>928</v>
      </c>
      <c r="B2704" s="1"/>
      <c r="C2704" s="1" t="s">
        <v>2918</v>
      </c>
      <c r="D2704" s="1" t="s">
        <v>3412</v>
      </c>
      <c r="E2704" s="1"/>
      <c r="F2704">
        <v>0.5</v>
      </c>
      <c r="G2704">
        <v>0</v>
      </c>
      <c r="H2704">
        <v>35</v>
      </c>
      <c r="I2704">
        <v>0</v>
      </c>
      <c r="J2704">
        <v>400</v>
      </c>
      <c r="K2704" s="2">
        <v>45784</v>
      </c>
    </row>
    <row r="2705" spans="1:11" x14ac:dyDescent="0.25">
      <c r="A2705" s="1" t="s">
        <v>928</v>
      </c>
      <c r="B2705" s="1"/>
      <c r="C2705" s="1" t="s">
        <v>3019</v>
      </c>
      <c r="D2705" s="1" t="s">
        <v>3486</v>
      </c>
      <c r="E2705" s="1"/>
      <c r="F2705">
        <v>1</v>
      </c>
      <c r="G2705">
        <v>0</v>
      </c>
      <c r="H2705">
        <v>65</v>
      </c>
      <c r="I2705">
        <v>0</v>
      </c>
      <c r="J2705">
        <v>400</v>
      </c>
      <c r="K2705" s="2">
        <v>45784</v>
      </c>
    </row>
    <row r="2706" spans="1:11" x14ac:dyDescent="0.25">
      <c r="A2706" s="1" t="s">
        <v>928</v>
      </c>
      <c r="B2706" s="1"/>
      <c r="C2706" s="1" t="s">
        <v>2918</v>
      </c>
      <c r="D2706" s="1" t="s">
        <v>3412</v>
      </c>
      <c r="E2706" s="1"/>
      <c r="F2706">
        <v>0.5</v>
      </c>
      <c r="G2706">
        <v>0</v>
      </c>
      <c r="H2706">
        <v>35</v>
      </c>
      <c r="I2706">
        <v>0</v>
      </c>
      <c r="J2706">
        <v>400</v>
      </c>
      <c r="K2706" s="2">
        <v>45784</v>
      </c>
    </row>
    <row r="2707" spans="1:11" x14ac:dyDescent="0.25">
      <c r="A2707" s="1" t="s">
        <v>928</v>
      </c>
      <c r="B2707" s="1"/>
      <c r="C2707" s="1" t="s">
        <v>2872</v>
      </c>
      <c r="D2707" s="1" t="s">
        <v>3388</v>
      </c>
      <c r="E2707" s="1"/>
      <c r="F2707">
        <v>3.8</v>
      </c>
      <c r="G2707">
        <v>0.2</v>
      </c>
      <c r="H2707">
        <v>225</v>
      </c>
      <c r="I2707">
        <v>0</v>
      </c>
      <c r="J2707">
        <v>400</v>
      </c>
      <c r="K2707" s="2">
        <v>45786</v>
      </c>
    </row>
    <row r="2708" spans="1:11" x14ac:dyDescent="0.25">
      <c r="A2708" s="1" t="s">
        <v>929</v>
      </c>
      <c r="B2708" s="1"/>
      <c r="C2708" s="1" t="s">
        <v>2808</v>
      </c>
      <c r="D2708" s="1" t="s">
        <v>3370</v>
      </c>
      <c r="E2708" s="1"/>
      <c r="F2708">
        <v>0</v>
      </c>
      <c r="G2708">
        <v>0</v>
      </c>
      <c r="H2708">
        <v>0</v>
      </c>
      <c r="I2708">
        <v>0</v>
      </c>
      <c r="J2708">
        <v>400</v>
      </c>
      <c r="K2708" s="2">
        <v>45784</v>
      </c>
    </row>
    <row r="2709" spans="1:11" x14ac:dyDescent="0.25">
      <c r="A2709" s="1" t="s">
        <v>929</v>
      </c>
      <c r="B2709" s="1"/>
      <c r="C2709" s="1" t="s">
        <v>2918</v>
      </c>
      <c r="D2709" s="1" t="s">
        <v>3412</v>
      </c>
      <c r="E2709" s="1"/>
      <c r="F2709">
        <v>0.5</v>
      </c>
      <c r="G2709">
        <v>0</v>
      </c>
      <c r="H2709">
        <v>35</v>
      </c>
      <c r="I2709">
        <v>0</v>
      </c>
      <c r="J2709">
        <v>400</v>
      </c>
      <c r="K2709" s="2">
        <v>45784</v>
      </c>
    </row>
    <row r="2710" spans="1:11" x14ac:dyDescent="0.25">
      <c r="A2710" s="1" t="s">
        <v>929</v>
      </c>
      <c r="B2710" s="1"/>
      <c r="C2710" s="1" t="s">
        <v>3019</v>
      </c>
      <c r="D2710" s="1" t="s">
        <v>3486</v>
      </c>
      <c r="E2710" s="1"/>
      <c r="F2710">
        <v>1</v>
      </c>
      <c r="G2710">
        <v>0</v>
      </c>
      <c r="H2710">
        <v>65</v>
      </c>
      <c r="I2710">
        <v>0</v>
      </c>
      <c r="J2710">
        <v>400</v>
      </c>
      <c r="K2710" s="2">
        <v>45784</v>
      </c>
    </row>
    <row r="2711" spans="1:11" x14ac:dyDescent="0.25">
      <c r="A2711" s="1" t="s">
        <v>929</v>
      </c>
      <c r="B2711" s="1"/>
      <c r="C2711" s="1" t="s">
        <v>2918</v>
      </c>
      <c r="D2711" s="1" t="s">
        <v>3412</v>
      </c>
      <c r="E2711" s="1"/>
      <c r="F2711">
        <v>0.5</v>
      </c>
      <c r="G2711">
        <v>0</v>
      </c>
      <c r="H2711">
        <v>30</v>
      </c>
      <c r="I2711">
        <v>0</v>
      </c>
      <c r="J2711">
        <v>400</v>
      </c>
      <c r="K2711" s="2">
        <v>45784</v>
      </c>
    </row>
    <row r="2712" spans="1:11" x14ac:dyDescent="0.25">
      <c r="A2712" s="1" t="s">
        <v>180</v>
      </c>
      <c r="B2712" s="1"/>
      <c r="C2712" s="1" t="s">
        <v>2869</v>
      </c>
      <c r="D2712" s="1" t="s">
        <v>3455</v>
      </c>
      <c r="E2712" s="1"/>
      <c r="F2712">
        <v>9.3000000000000007</v>
      </c>
      <c r="G2712">
        <v>23.3</v>
      </c>
      <c r="H2712">
        <v>-725</v>
      </c>
      <c r="I2712">
        <v>36</v>
      </c>
      <c r="J2712">
        <v>445</v>
      </c>
      <c r="K2712" s="2">
        <v>45736</v>
      </c>
    </row>
    <row r="2713" spans="1:11" x14ac:dyDescent="0.25">
      <c r="A2713" s="1" t="s">
        <v>397</v>
      </c>
      <c r="B2713" s="1"/>
      <c r="C2713" s="1" t="s">
        <v>2808</v>
      </c>
      <c r="D2713" s="1" t="s">
        <v>3370</v>
      </c>
      <c r="E2713" s="1"/>
      <c r="F2713">
        <v>0</v>
      </c>
      <c r="G2713">
        <v>0</v>
      </c>
      <c r="H2713">
        <v>0</v>
      </c>
      <c r="I2713">
        <v>0</v>
      </c>
      <c r="J2713">
        <v>56</v>
      </c>
      <c r="K2713" s="2">
        <v>45736</v>
      </c>
    </row>
    <row r="2714" spans="1:11" x14ac:dyDescent="0.25">
      <c r="A2714" s="1" t="s">
        <v>397</v>
      </c>
      <c r="B2714" s="1"/>
      <c r="C2714" s="1" t="s">
        <v>2926</v>
      </c>
      <c r="D2714" s="1" t="s">
        <v>3371</v>
      </c>
      <c r="E2714" s="1"/>
      <c r="F2714">
        <v>1.2</v>
      </c>
      <c r="G2714">
        <v>0.6</v>
      </c>
      <c r="H2714">
        <v>40</v>
      </c>
      <c r="I2714">
        <v>0</v>
      </c>
      <c r="J2714">
        <v>56</v>
      </c>
      <c r="K2714" s="2">
        <v>45736</v>
      </c>
    </row>
    <row r="2715" spans="1:11" x14ac:dyDescent="0.25">
      <c r="A2715" s="1" t="s">
        <v>397</v>
      </c>
      <c r="B2715" s="1"/>
      <c r="C2715" s="1" t="s">
        <v>2926</v>
      </c>
      <c r="D2715" s="1" t="s">
        <v>3371</v>
      </c>
      <c r="E2715" s="1"/>
      <c r="F2715">
        <v>1.2</v>
      </c>
      <c r="G2715">
        <v>6</v>
      </c>
      <c r="H2715">
        <v>-240</v>
      </c>
      <c r="I2715">
        <v>0</v>
      </c>
      <c r="J2715">
        <v>56</v>
      </c>
      <c r="K2715" s="2">
        <v>45736</v>
      </c>
    </row>
    <row r="2716" spans="1:11" x14ac:dyDescent="0.25">
      <c r="A2716" s="1" t="s">
        <v>397</v>
      </c>
      <c r="B2716" s="1"/>
      <c r="C2716" s="1" t="s">
        <v>3096</v>
      </c>
      <c r="D2716" s="1" t="s">
        <v>3469</v>
      </c>
      <c r="E2716" s="1"/>
      <c r="F2716">
        <v>1</v>
      </c>
      <c r="G2716">
        <v>0</v>
      </c>
      <c r="H2716">
        <v>60</v>
      </c>
      <c r="I2716">
        <v>0</v>
      </c>
      <c r="J2716">
        <v>56</v>
      </c>
      <c r="K2716" s="2">
        <v>45737</v>
      </c>
    </row>
    <row r="2717" spans="1:11" x14ac:dyDescent="0.25">
      <c r="A2717" s="1" t="s">
        <v>397</v>
      </c>
      <c r="B2717" s="1"/>
      <c r="C2717" s="1" t="s">
        <v>2869</v>
      </c>
      <c r="D2717" s="1" t="s">
        <v>3455</v>
      </c>
      <c r="E2717" s="1"/>
      <c r="F2717">
        <v>1.9</v>
      </c>
      <c r="G2717">
        <v>3.3</v>
      </c>
      <c r="H2717">
        <v>-55</v>
      </c>
      <c r="I2717">
        <v>0</v>
      </c>
      <c r="J2717">
        <v>47</v>
      </c>
      <c r="K2717" s="2">
        <v>45737</v>
      </c>
    </row>
    <row r="2718" spans="1:11" x14ac:dyDescent="0.25">
      <c r="A2718" s="1" t="s">
        <v>397</v>
      </c>
      <c r="B2718" s="1"/>
      <c r="C2718" s="1" t="s">
        <v>2812</v>
      </c>
      <c r="D2718" s="1" t="s">
        <v>3374</v>
      </c>
      <c r="E2718" s="1"/>
      <c r="F2718">
        <v>0.3</v>
      </c>
      <c r="G2718">
        <v>0</v>
      </c>
      <c r="H2718">
        <v>20</v>
      </c>
      <c r="I2718">
        <v>0</v>
      </c>
      <c r="J2718">
        <v>56</v>
      </c>
      <c r="K2718" s="2">
        <v>45743</v>
      </c>
    </row>
    <row r="2719" spans="1:11" x14ac:dyDescent="0.25">
      <c r="A2719" s="1" t="s">
        <v>397</v>
      </c>
      <c r="B2719" s="1"/>
      <c r="C2719" s="1" t="s">
        <v>3219</v>
      </c>
      <c r="D2719" s="1" t="s">
        <v>3375</v>
      </c>
      <c r="E2719" s="1"/>
      <c r="F2719">
        <v>4.9000000000000004</v>
      </c>
      <c r="G2719">
        <v>6.6</v>
      </c>
      <c r="H2719">
        <v>-80</v>
      </c>
      <c r="I2719">
        <v>0</v>
      </c>
      <c r="J2719">
        <v>56</v>
      </c>
      <c r="K2719" s="2">
        <v>45744</v>
      </c>
    </row>
    <row r="2720" spans="1:11" x14ac:dyDescent="0.25">
      <c r="A2720" s="1" t="s">
        <v>397</v>
      </c>
      <c r="B2720" s="1"/>
      <c r="C2720" s="1" t="s">
        <v>3220</v>
      </c>
      <c r="D2720" s="1" t="s">
        <v>3461</v>
      </c>
      <c r="E2720" s="1"/>
      <c r="F2720">
        <v>3</v>
      </c>
      <c r="G2720">
        <v>1.9</v>
      </c>
      <c r="H2720">
        <v>50</v>
      </c>
      <c r="I2720">
        <v>0</v>
      </c>
      <c r="J2720">
        <v>14</v>
      </c>
      <c r="K2720" s="2">
        <v>45743</v>
      </c>
    </row>
    <row r="2721" spans="1:11" x14ac:dyDescent="0.25">
      <c r="A2721" s="1" t="s">
        <v>397</v>
      </c>
      <c r="B2721" s="1"/>
      <c r="C2721" s="1" t="s">
        <v>2848</v>
      </c>
      <c r="D2721" s="1" t="s">
        <v>3372</v>
      </c>
      <c r="E2721" s="1"/>
      <c r="F2721">
        <v>1</v>
      </c>
      <c r="G2721">
        <v>0.1</v>
      </c>
      <c r="H2721">
        <v>45</v>
      </c>
      <c r="I2721">
        <v>0</v>
      </c>
      <c r="J2721">
        <v>56</v>
      </c>
      <c r="K2721" s="2">
        <v>45743</v>
      </c>
    </row>
    <row r="2722" spans="1:11" x14ac:dyDescent="0.25">
      <c r="A2722" s="1" t="s">
        <v>432</v>
      </c>
      <c r="B2722" s="1"/>
      <c r="C2722" s="1" t="s">
        <v>2808</v>
      </c>
      <c r="D2722" s="1" t="s">
        <v>3370</v>
      </c>
      <c r="E2722" s="1"/>
      <c r="F2722">
        <v>0</v>
      </c>
      <c r="G2722">
        <v>0</v>
      </c>
      <c r="H2722">
        <v>0</v>
      </c>
      <c r="I2722">
        <v>0</v>
      </c>
      <c r="J2722">
        <v>119</v>
      </c>
      <c r="K2722" s="2">
        <v>45741</v>
      </c>
    </row>
    <row r="2723" spans="1:11" x14ac:dyDescent="0.25">
      <c r="A2723" s="1" t="s">
        <v>432</v>
      </c>
      <c r="B2723" s="1"/>
      <c r="C2723" s="1" t="s">
        <v>2926</v>
      </c>
      <c r="D2723" s="1" t="s">
        <v>3371</v>
      </c>
      <c r="E2723" s="1"/>
      <c r="F2723">
        <v>2.2000000000000002</v>
      </c>
      <c r="G2723">
        <v>3.6</v>
      </c>
      <c r="H2723">
        <v>-60</v>
      </c>
      <c r="I2723">
        <v>0</v>
      </c>
      <c r="J2723">
        <v>119</v>
      </c>
      <c r="K2723" s="2">
        <v>45749</v>
      </c>
    </row>
    <row r="2724" spans="1:11" x14ac:dyDescent="0.25">
      <c r="A2724" s="1" t="s">
        <v>432</v>
      </c>
      <c r="B2724" s="1"/>
      <c r="C2724" s="1" t="s">
        <v>2926</v>
      </c>
      <c r="D2724" s="1" t="s">
        <v>3371</v>
      </c>
      <c r="E2724" s="1"/>
      <c r="F2724">
        <v>2.2000000000000002</v>
      </c>
      <c r="G2724">
        <v>2.4</v>
      </c>
      <c r="H2724">
        <v>0</v>
      </c>
      <c r="I2724">
        <v>0</v>
      </c>
      <c r="J2724">
        <v>119</v>
      </c>
      <c r="K2724" s="2">
        <v>45742</v>
      </c>
    </row>
    <row r="2725" spans="1:11" x14ac:dyDescent="0.25">
      <c r="A2725" s="1" t="s">
        <v>432</v>
      </c>
      <c r="B2725" s="1"/>
      <c r="C2725" s="1" t="s">
        <v>3096</v>
      </c>
      <c r="D2725" s="1" t="s">
        <v>3469</v>
      </c>
      <c r="E2725" s="1"/>
      <c r="F2725">
        <v>1</v>
      </c>
      <c r="G2725">
        <v>0</v>
      </c>
      <c r="H2725">
        <v>60</v>
      </c>
      <c r="I2725">
        <v>0</v>
      </c>
      <c r="J2725">
        <v>115</v>
      </c>
      <c r="K2725" s="2">
        <v>45751</v>
      </c>
    </row>
    <row r="2726" spans="1:11" x14ac:dyDescent="0.25">
      <c r="A2726" s="1" t="s">
        <v>432</v>
      </c>
      <c r="B2726" s="1"/>
      <c r="C2726" s="1" t="s">
        <v>2869</v>
      </c>
      <c r="D2726" s="1" t="s">
        <v>3455</v>
      </c>
      <c r="E2726" s="1"/>
      <c r="F2726">
        <v>3</v>
      </c>
      <c r="G2726">
        <v>4.8</v>
      </c>
      <c r="H2726">
        <v>-70</v>
      </c>
      <c r="I2726">
        <v>4</v>
      </c>
      <c r="J2726">
        <v>110</v>
      </c>
      <c r="K2726" s="2">
        <v>45743</v>
      </c>
    </row>
    <row r="2727" spans="1:11" x14ac:dyDescent="0.25">
      <c r="A2727" s="1" t="s">
        <v>432</v>
      </c>
      <c r="B2727" s="1"/>
      <c r="C2727" s="1" t="s">
        <v>2812</v>
      </c>
      <c r="D2727" s="1" t="s">
        <v>3374</v>
      </c>
      <c r="E2727" s="1"/>
      <c r="F2727">
        <v>0.3</v>
      </c>
      <c r="G2727">
        <v>0</v>
      </c>
      <c r="H2727">
        <v>20</v>
      </c>
      <c r="I2727">
        <v>0</v>
      </c>
      <c r="J2727">
        <v>110</v>
      </c>
      <c r="K2727" s="2">
        <v>45749</v>
      </c>
    </row>
    <row r="2728" spans="1:11" x14ac:dyDescent="0.25">
      <c r="A2728" s="1" t="s">
        <v>494</v>
      </c>
      <c r="B2728" s="1"/>
      <c r="C2728" s="1" t="s">
        <v>2808</v>
      </c>
      <c r="D2728" s="1" t="s">
        <v>3370</v>
      </c>
      <c r="E2728" s="1"/>
      <c r="F2728">
        <v>0</v>
      </c>
      <c r="G2728">
        <v>0</v>
      </c>
      <c r="H2728">
        <v>0</v>
      </c>
      <c r="I2728">
        <v>0</v>
      </c>
      <c r="J2728">
        <v>160</v>
      </c>
      <c r="K2728" s="2">
        <v>45749</v>
      </c>
    </row>
    <row r="2729" spans="1:11" x14ac:dyDescent="0.25">
      <c r="A2729" s="1" t="s">
        <v>494</v>
      </c>
      <c r="B2729" s="1"/>
      <c r="C2729" s="1" t="s">
        <v>2926</v>
      </c>
      <c r="D2729" s="1" t="s">
        <v>3371</v>
      </c>
      <c r="E2729" s="1"/>
      <c r="F2729">
        <v>2.8</v>
      </c>
      <c r="G2729">
        <v>2</v>
      </c>
      <c r="H2729">
        <v>50</v>
      </c>
      <c r="I2729">
        <v>0</v>
      </c>
      <c r="J2729">
        <v>160</v>
      </c>
      <c r="K2729" s="2">
        <v>45756</v>
      </c>
    </row>
    <row r="2730" spans="1:11" x14ac:dyDescent="0.25">
      <c r="A2730" s="1" t="s">
        <v>494</v>
      </c>
      <c r="B2730" s="1"/>
      <c r="C2730" s="1" t="s">
        <v>2926</v>
      </c>
      <c r="D2730" s="1" t="s">
        <v>3371</v>
      </c>
      <c r="E2730" s="1"/>
      <c r="F2730">
        <v>2.8</v>
      </c>
      <c r="G2730">
        <v>2.9</v>
      </c>
      <c r="H2730">
        <v>5</v>
      </c>
      <c r="I2730">
        <v>0</v>
      </c>
      <c r="J2730">
        <v>154</v>
      </c>
      <c r="K2730" s="2">
        <v>45762</v>
      </c>
    </row>
    <row r="2731" spans="1:11" x14ac:dyDescent="0.25">
      <c r="A2731" s="1" t="s">
        <v>494</v>
      </c>
      <c r="B2731" s="1"/>
      <c r="C2731" s="1" t="s">
        <v>3096</v>
      </c>
      <c r="D2731" s="1" t="s">
        <v>3469</v>
      </c>
      <c r="E2731" s="1"/>
      <c r="F2731">
        <v>1</v>
      </c>
      <c r="G2731">
        <v>1.6</v>
      </c>
      <c r="H2731">
        <v>-35</v>
      </c>
      <c r="I2731">
        <v>0</v>
      </c>
      <c r="J2731">
        <v>154</v>
      </c>
      <c r="K2731" s="2">
        <v>45762</v>
      </c>
    </row>
    <row r="2732" spans="1:11" x14ac:dyDescent="0.25">
      <c r="A2732" s="1" t="s">
        <v>494</v>
      </c>
      <c r="B2732" s="1"/>
      <c r="C2732" s="1" t="s">
        <v>2869</v>
      </c>
      <c r="D2732" s="1" t="s">
        <v>3455</v>
      </c>
      <c r="E2732" s="1"/>
      <c r="F2732">
        <v>3.6</v>
      </c>
      <c r="G2732">
        <v>13.6</v>
      </c>
      <c r="H2732">
        <v>-635</v>
      </c>
      <c r="I2732">
        <v>0</v>
      </c>
      <c r="J2732">
        <v>151</v>
      </c>
      <c r="K2732" s="2">
        <v>45758</v>
      </c>
    </row>
    <row r="2733" spans="1:11" x14ac:dyDescent="0.25">
      <c r="A2733" s="1" t="s">
        <v>494</v>
      </c>
      <c r="B2733" s="1"/>
      <c r="C2733" s="1" t="s">
        <v>2812</v>
      </c>
      <c r="D2733" s="1" t="s">
        <v>3374</v>
      </c>
      <c r="E2733" s="1"/>
      <c r="F2733">
        <v>0.3</v>
      </c>
      <c r="G2733">
        <v>0</v>
      </c>
      <c r="H2733">
        <v>20</v>
      </c>
      <c r="I2733">
        <v>0</v>
      </c>
      <c r="J2733">
        <v>154</v>
      </c>
      <c r="K2733" s="2">
        <v>45762</v>
      </c>
    </row>
    <row r="2734" spans="1:11" x14ac:dyDescent="0.25">
      <c r="A2734" s="1" t="s">
        <v>494</v>
      </c>
      <c r="B2734" s="1"/>
      <c r="C2734" s="1" t="s">
        <v>3219</v>
      </c>
      <c r="D2734" s="1" t="s">
        <v>3375</v>
      </c>
      <c r="E2734" s="1"/>
      <c r="F2734">
        <v>13.1</v>
      </c>
      <c r="G2734">
        <v>22.4</v>
      </c>
      <c r="H2734">
        <v>-475</v>
      </c>
      <c r="I2734">
        <v>10</v>
      </c>
      <c r="J2734">
        <v>144</v>
      </c>
      <c r="K2734" s="2">
        <v>45770</v>
      </c>
    </row>
    <row r="2735" spans="1:11" x14ac:dyDescent="0.25">
      <c r="A2735" s="1" t="s">
        <v>494</v>
      </c>
      <c r="B2735" s="1"/>
      <c r="C2735" s="1" t="s">
        <v>3220</v>
      </c>
      <c r="D2735" s="1" t="s">
        <v>3461</v>
      </c>
      <c r="E2735" s="1"/>
      <c r="F2735">
        <v>3</v>
      </c>
      <c r="G2735">
        <v>3.6</v>
      </c>
      <c r="H2735">
        <v>-25</v>
      </c>
      <c r="I2735">
        <v>0</v>
      </c>
      <c r="J2735">
        <v>13</v>
      </c>
      <c r="K2735" s="2">
        <v>45762</v>
      </c>
    </row>
    <row r="2736" spans="1:11" x14ac:dyDescent="0.25">
      <c r="A2736" s="1" t="s">
        <v>494</v>
      </c>
      <c r="B2736" s="1"/>
      <c r="C2736" s="1" t="s">
        <v>2848</v>
      </c>
      <c r="D2736" s="1" t="s">
        <v>3372</v>
      </c>
      <c r="E2736" s="1"/>
      <c r="F2736">
        <v>1</v>
      </c>
      <c r="G2736">
        <v>0</v>
      </c>
      <c r="H2736">
        <v>55</v>
      </c>
      <c r="I2736">
        <v>0</v>
      </c>
      <c r="J2736">
        <v>144</v>
      </c>
      <c r="K2736" s="2">
        <v>45771</v>
      </c>
    </row>
    <row r="2737" spans="1:11" x14ac:dyDescent="0.25">
      <c r="A2737" s="1" t="s">
        <v>116</v>
      </c>
      <c r="B2737" s="1"/>
      <c r="C2737" s="1" t="s">
        <v>2808</v>
      </c>
      <c r="D2737" s="1" t="s">
        <v>3370</v>
      </c>
      <c r="E2737" s="1"/>
      <c r="F2737">
        <v>0</v>
      </c>
      <c r="G2737">
        <v>0</v>
      </c>
      <c r="H2737">
        <v>0</v>
      </c>
      <c r="I2737">
        <v>0</v>
      </c>
      <c r="J2737">
        <v>7</v>
      </c>
      <c r="K2737" s="2">
        <v>45763</v>
      </c>
    </row>
    <row r="2738" spans="1:11" x14ac:dyDescent="0.25">
      <c r="A2738" s="1" t="s">
        <v>116</v>
      </c>
      <c r="B2738" s="1"/>
      <c r="C2738" s="1" t="s">
        <v>2926</v>
      </c>
      <c r="D2738" s="1" t="s">
        <v>3371</v>
      </c>
      <c r="E2738" s="1"/>
      <c r="F2738">
        <v>0.4</v>
      </c>
      <c r="G2738">
        <v>0</v>
      </c>
      <c r="H2738">
        <v>25</v>
      </c>
      <c r="I2738">
        <v>0</v>
      </c>
      <c r="J2738">
        <v>7</v>
      </c>
      <c r="K2738" s="2">
        <v>45758</v>
      </c>
    </row>
    <row r="2739" spans="1:11" x14ac:dyDescent="0.25">
      <c r="A2739" s="1" t="s">
        <v>116</v>
      </c>
      <c r="B2739" s="1"/>
      <c r="C2739" s="1" t="s">
        <v>2926</v>
      </c>
      <c r="D2739" s="1" t="s">
        <v>3371</v>
      </c>
      <c r="E2739" s="1"/>
      <c r="F2739">
        <v>0.4</v>
      </c>
      <c r="G2739">
        <v>0</v>
      </c>
      <c r="H2739">
        <v>25</v>
      </c>
      <c r="I2739">
        <v>0</v>
      </c>
      <c r="J2739">
        <v>7</v>
      </c>
      <c r="K2739" s="2">
        <v>45758</v>
      </c>
    </row>
    <row r="2740" spans="1:11" x14ac:dyDescent="0.25">
      <c r="A2740" s="1" t="s">
        <v>116</v>
      </c>
      <c r="B2740" s="1"/>
      <c r="C2740" s="1" t="s">
        <v>3096</v>
      </c>
      <c r="D2740" s="1" t="s">
        <v>3469</v>
      </c>
      <c r="E2740" s="1"/>
      <c r="F2740">
        <v>1</v>
      </c>
      <c r="G2740">
        <v>0</v>
      </c>
      <c r="H2740">
        <v>60</v>
      </c>
      <c r="I2740">
        <v>0</v>
      </c>
      <c r="J2740">
        <v>7</v>
      </c>
      <c r="K2740" s="2">
        <v>45764</v>
      </c>
    </row>
    <row r="2741" spans="1:11" x14ac:dyDescent="0.25">
      <c r="A2741" s="1" t="s">
        <v>116</v>
      </c>
      <c r="B2741" s="1"/>
      <c r="C2741" s="1" t="s">
        <v>2869</v>
      </c>
      <c r="D2741" s="1" t="s">
        <v>3455</v>
      </c>
      <c r="E2741" s="1"/>
      <c r="F2741">
        <v>1.1000000000000001</v>
      </c>
      <c r="G2741">
        <v>0</v>
      </c>
      <c r="H2741">
        <v>85</v>
      </c>
      <c r="I2741">
        <v>0</v>
      </c>
      <c r="J2741">
        <v>7</v>
      </c>
      <c r="K2741" s="2">
        <v>45762</v>
      </c>
    </row>
    <row r="2742" spans="1:11" x14ac:dyDescent="0.25">
      <c r="A2742" s="1" t="s">
        <v>698</v>
      </c>
      <c r="B2742" s="1"/>
      <c r="C2742" s="1" t="s">
        <v>2808</v>
      </c>
      <c r="D2742" s="1" t="s">
        <v>3370</v>
      </c>
      <c r="E2742" s="1"/>
      <c r="F2742">
        <v>0</v>
      </c>
      <c r="G2742">
        <v>0</v>
      </c>
      <c r="H2742">
        <v>0</v>
      </c>
      <c r="I2742">
        <v>0</v>
      </c>
      <c r="J2742">
        <v>242</v>
      </c>
      <c r="K2742" s="2">
        <v>45768</v>
      </c>
    </row>
    <row r="2743" spans="1:11" x14ac:dyDescent="0.25">
      <c r="A2743" s="1" t="s">
        <v>698</v>
      </c>
      <c r="B2743" s="1"/>
      <c r="C2743" s="1" t="s">
        <v>2926</v>
      </c>
      <c r="D2743" s="1" t="s">
        <v>3371</v>
      </c>
      <c r="E2743" s="1"/>
      <c r="F2743">
        <v>4.3</v>
      </c>
      <c r="G2743">
        <v>1.3</v>
      </c>
      <c r="H2743">
        <v>165</v>
      </c>
      <c r="I2743">
        <v>0</v>
      </c>
      <c r="J2743">
        <v>242</v>
      </c>
      <c r="K2743" s="2">
        <v>45768</v>
      </c>
    </row>
    <row r="2744" spans="1:11" x14ac:dyDescent="0.25">
      <c r="A2744" s="1" t="s">
        <v>698</v>
      </c>
      <c r="B2744" s="1"/>
      <c r="C2744" s="1" t="s">
        <v>3096</v>
      </c>
      <c r="D2744" s="1" t="s">
        <v>3469</v>
      </c>
      <c r="E2744" s="1"/>
      <c r="F2744">
        <v>1</v>
      </c>
      <c r="G2744">
        <v>0</v>
      </c>
      <c r="H2744">
        <v>60</v>
      </c>
      <c r="I2744">
        <v>0</v>
      </c>
      <c r="J2744">
        <v>242</v>
      </c>
      <c r="K2744" s="2">
        <v>45770</v>
      </c>
    </row>
    <row r="2745" spans="1:11" x14ac:dyDescent="0.25">
      <c r="A2745" s="1" t="s">
        <v>698</v>
      </c>
      <c r="B2745" s="1"/>
      <c r="C2745" s="1" t="s">
        <v>2869</v>
      </c>
      <c r="D2745" s="1" t="s">
        <v>3455</v>
      </c>
      <c r="E2745" s="1"/>
      <c r="F2745">
        <v>5</v>
      </c>
      <c r="G2745">
        <v>12.1</v>
      </c>
      <c r="H2745">
        <v>-355</v>
      </c>
      <c r="I2745">
        <v>0</v>
      </c>
      <c r="J2745">
        <v>245</v>
      </c>
      <c r="K2745" s="2">
        <v>45769</v>
      </c>
    </row>
    <row r="2746" spans="1:11" x14ac:dyDescent="0.25">
      <c r="A2746" s="1" t="s">
        <v>757</v>
      </c>
      <c r="B2746" s="1"/>
      <c r="C2746" s="1" t="s">
        <v>2808</v>
      </c>
      <c r="D2746" s="1" t="s">
        <v>3370</v>
      </c>
      <c r="E2746" s="1"/>
      <c r="F2746">
        <v>0</v>
      </c>
      <c r="G2746">
        <v>0</v>
      </c>
      <c r="H2746">
        <v>0</v>
      </c>
      <c r="I2746">
        <v>0</v>
      </c>
      <c r="J2746">
        <v>217</v>
      </c>
      <c r="K2746" s="2">
        <v>45775</v>
      </c>
    </row>
    <row r="2747" spans="1:11" x14ac:dyDescent="0.25">
      <c r="A2747" s="1" t="s">
        <v>757</v>
      </c>
      <c r="B2747" s="1"/>
      <c r="C2747" s="1" t="s">
        <v>2926</v>
      </c>
      <c r="D2747" s="1" t="s">
        <v>3371</v>
      </c>
      <c r="E2747" s="1"/>
      <c r="F2747">
        <v>3.9</v>
      </c>
      <c r="G2747">
        <v>1.6</v>
      </c>
      <c r="H2747">
        <v>125</v>
      </c>
      <c r="I2747">
        <v>0</v>
      </c>
      <c r="J2747">
        <v>217</v>
      </c>
      <c r="K2747" s="2">
        <v>45782</v>
      </c>
    </row>
    <row r="2748" spans="1:11" x14ac:dyDescent="0.25">
      <c r="A2748" s="1" t="s">
        <v>757</v>
      </c>
      <c r="B2748" s="1"/>
      <c r="C2748" s="1" t="s">
        <v>2926</v>
      </c>
      <c r="D2748" s="1" t="s">
        <v>3371</v>
      </c>
      <c r="E2748" s="1"/>
      <c r="F2748">
        <v>3.9</v>
      </c>
      <c r="G2748">
        <v>0</v>
      </c>
      <c r="H2748">
        <v>210</v>
      </c>
      <c r="I2748">
        <v>0</v>
      </c>
      <c r="J2748">
        <v>217</v>
      </c>
      <c r="K2748" s="2">
        <v>45785</v>
      </c>
    </row>
    <row r="2749" spans="1:11" x14ac:dyDescent="0.25">
      <c r="A2749" s="1" t="s">
        <v>757</v>
      </c>
      <c r="B2749" s="1"/>
      <c r="C2749" s="1" t="s">
        <v>2869</v>
      </c>
      <c r="D2749" s="1" t="s">
        <v>3455</v>
      </c>
      <c r="E2749" s="1"/>
      <c r="F2749">
        <v>4.5999999999999996</v>
      </c>
      <c r="G2749">
        <v>10</v>
      </c>
      <c r="H2749">
        <v>-290</v>
      </c>
      <c r="I2749">
        <v>0</v>
      </c>
      <c r="J2749">
        <v>217</v>
      </c>
      <c r="K2749" s="2">
        <v>45785</v>
      </c>
    </row>
    <row r="2750" spans="1:11" x14ac:dyDescent="0.25">
      <c r="A2750" s="1" t="s">
        <v>895</v>
      </c>
      <c r="B2750" s="1"/>
      <c r="C2750" s="1" t="s">
        <v>2808</v>
      </c>
      <c r="D2750" s="1" t="s">
        <v>3370</v>
      </c>
      <c r="E2750" s="1"/>
      <c r="F2750">
        <v>0</v>
      </c>
      <c r="G2750">
        <v>0</v>
      </c>
      <c r="H2750">
        <v>0</v>
      </c>
      <c r="I2750">
        <v>0</v>
      </c>
      <c r="J2750">
        <v>215</v>
      </c>
      <c r="K2750" s="2">
        <v>45783</v>
      </c>
    </row>
    <row r="2751" spans="1:11" x14ac:dyDescent="0.25">
      <c r="A2751" s="1" t="s">
        <v>895</v>
      </c>
      <c r="B2751" s="1"/>
      <c r="C2751" s="1" t="s">
        <v>2926</v>
      </c>
      <c r="D2751" s="1" t="s">
        <v>3371</v>
      </c>
      <c r="E2751" s="1"/>
      <c r="F2751">
        <v>3.8</v>
      </c>
      <c r="G2751">
        <v>1</v>
      </c>
      <c r="H2751">
        <v>155</v>
      </c>
      <c r="I2751">
        <v>0</v>
      </c>
      <c r="J2751">
        <v>215</v>
      </c>
      <c r="K2751" s="2">
        <v>45789</v>
      </c>
    </row>
    <row r="2752" spans="1:11" x14ac:dyDescent="0.25">
      <c r="A2752" s="1" t="s">
        <v>895</v>
      </c>
      <c r="B2752" s="1"/>
      <c r="C2752" s="1" t="s">
        <v>2926</v>
      </c>
      <c r="D2752" s="1" t="s">
        <v>3371</v>
      </c>
      <c r="E2752" s="1"/>
      <c r="F2752">
        <v>3.8</v>
      </c>
      <c r="G2752">
        <v>8.4</v>
      </c>
      <c r="H2752">
        <v>-225</v>
      </c>
      <c r="I2752">
        <v>0</v>
      </c>
      <c r="J2752">
        <v>220</v>
      </c>
      <c r="K2752" s="2">
        <v>45789</v>
      </c>
    </row>
    <row r="2753" spans="1:11" x14ac:dyDescent="0.25">
      <c r="A2753" s="1" t="s">
        <v>895</v>
      </c>
      <c r="B2753" s="1"/>
      <c r="C2753" s="1" t="s">
        <v>2869</v>
      </c>
      <c r="D2753" s="1" t="s">
        <v>3455</v>
      </c>
      <c r="E2753" s="1"/>
      <c r="F2753">
        <v>4.5999999999999996</v>
      </c>
      <c r="G2753">
        <v>6.1</v>
      </c>
      <c r="H2753">
        <v>-60</v>
      </c>
      <c r="I2753">
        <v>0</v>
      </c>
      <c r="J2753">
        <v>202</v>
      </c>
      <c r="K2753" s="2">
        <v>45787</v>
      </c>
    </row>
    <row r="2754" spans="1:11" x14ac:dyDescent="0.25">
      <c r="A2754" s="1" t="s">
        <v>980</v>
      </c>
      <c r="B2754" s="1"/>
      <c r="C2754" s="1" t="s">
        <v>2808</v>
      </c>
      <c r="D2754" s="1" t="s">
        <v>3370</v>
      </c>
      <c r="E2754" s="1"/>
      <c r="F2754">
        <v>0</v>
      </c>
      <c r="G2754">
        <v>0</v>
      </c>
      <c r="H2754">
        <v>0</v>
      </c>
      <c r="I2754">
        <v>0</v>
      </c>
      <c r="J2754">
        <v>226</v>
      </c>
      <c r="K2754" s="2">
        <v>45789</v>
      </c>
    </row>
    <row r="2755" spans="1:11" x14ac:dyDescent="0.25">
      <c r="A2755" s="1" t="s">
        <v>595</v>
      </c>
      <c r="B2755" s="1"/>
      <c r="C2755" s="1" t="s">
        <v>3211</v>
      </c>
      <c r="D2755" s="1" t="s">
        <v>3370</v>
      </c>
      <c r="E2755" s="1"/>
      <c r="F2755">
        <v>0</v>
      </c>
      <c r="G2755">
        <v>0</v>
      </c>
      <c r="H2755">
        <v>0</v>
      </c>
      <c r="I2755">
        <v>0</v>
      </c>
      <c r="J2755">
        <v>1</v>
      </c>
      <c r="K2755" s="2">
        <v>45783</v>
      </c>
    </row>
    <row r="2756" spans="1:11" x14ac:dyDescent="0.25">
      <c r="A2756" s="1" t="s">
        <v>595</v>
      </c>
      <c r="B2756" s="1"/>
      <c r="C2756" s="1" t="s">
        <v>3221</v>
      </c>
      <c r="D2756" s="1" t="s">
        <v>3372</v>
      </c>
      <c r="E2756" s="1"/>
      <c r="F2756">
        <v>0.5</v>
      </c>
      <c r="G2756">
        <v>0.1</v>
      </c>
      <c r="H2756">
        <v>25</v>
      </c>
      <c r="I2756">
        <v>0</v>
      </c>
      <c r="J2756">
        <v>1</v>
      </c>
      <c r="K2756" s="2">
        <v>45779</v>
      </c>
    </row>
    <row r="2757" spans="1:11" x14ac:dyDescent="0.25">
      <c r="A2757" s="1" t="s">
        <v>595</v>
      </c>
      <c r="B2757" s="1"/>
      <c r="C2757" s="1" t="s">
        <v>2923</v>
      </c>
      <c r="D2757" s="1" t="s">
        <v>3424</v>
      </c>
      <c r="E2757" s="1"/>
      <c r="F2757">
        <v>4</v>
      </c>
      <c r="G2757">
        <v>0</v>
      </c>
      <c r="H2757">
        <v>220</v>
      </c>
      <c r="I2757">
        <v>0</v>
      </c>
      <c r="J2757">
        <v>1</v>
      </c>
      <c r="K2757" s="2">
        <v>45783</v>
      </c>
    </row>
    <row r="2758" spans="1:11" x14ac:dyDescent="0.25">
      <c r="A2758" s="1" t="s">
        <v>829</v>
      </c>
      <c r="B2758" s="1"/>
      <c r="C2758" s="1" t="s">
        <v>3211</v>
      </c>
      <c r="D2758" s="1" t="s">
        <v>3370</v>
      </c>
      <c r="E2758" s="1"/>
      <c r="F2758">
        <v>0</v>
      </c>
      <c r="G2758">
        <v>0</v>
      </c>
      <c r="H2758">
        <v>0</v>
      </c>
      <c r="I2758">
        <v>0</v>
      </c>
      <c r="J2758">
        <v>1</v>
      </c>
      <c r="K2758" s="2">
        <v>45779</v>
      </c>
    </row>
    <row r="2759" spans="1:11" x14ac:dyDescent="0.25">
      <c r="A2759" s="1" t="s">
        <v>829</v>
      </c>
      <c r="B2759" s="1"/>
      <c r="C2759" s="1" t="s">
        <v>3221</v>
      </c>
      <c r="D2759" s="1" t="s">
        <v>3372</v>
      </c>
      <c r="E2759" s="1"/>
      <c r="F2759">
        <v>0.5</v>
      </c>
      <c r="G2759">
        <v>0</v>
      </c>
      <c r="H2759">
        <v>25</v>
      </c>
      <c r="I2759">
        <v>0</v>
      </c>
      <c r="J2759">
        <v>1</v>
      </c>
      <c r="K2759" s="2">
        <v>45779</v>
      </c>
    </row>
    <row r="2760" spans="1:11" x14ac:dyDescent="0.25">
      <c r="A2760" s="1" t="s">
        <v>829</v>
      </c>
      <c r="B2760" s="1"/>
      <c r="C2760" s="1" t="s">
        <v>2923</v>
      </c>
      <c r="D2760" s="1" t="s">
        <v>3424</v>
      </c>
      <c r="E2760" s="1"/>
      <c r="F2760">
        <v>4</v>
      </c>
      <c r="G2760">
        <v>0</v>
      </c>
      <c r="H2760">
        <v>220</v>
      </c>
      <c r="I2760">
        <v>0</v>
      </c>
      <c r="J2760">
        <v>1</v>
      </c>
      <c r="K2760" s="2">
        <v>45783</v>
      </c>
    </row>
    <row r="2761" spans="1:11" x14ac:dyDescent="0.25">
      <c r="A2761" s="1" t="s">
        <v>830</v>
      </c>
      <c r="B2761" s="1"/>
      <c r="C2761" s="1" t="s">
        <v>3211</v>
      </c>
      <c r="D2761" s="1" t="s">
        <v>3370</v>
      </c>
      <c r="E2761" s="1"/>
      <c r="F2761">
        <v>0</v>
      </c>
      <c r="G2761">
        <v>0</v>
      </c>
      <c r="H2761">
        <v>0</v>
      </c>
      <c r="I2761">
        <v>0</v>
      </c>
      <c r="J2761">
        <v>1</v>
      </c>
      <c r="K2761" s="2">
        <v>45783</v>
      </c>
    </row>
    <row r="2762" spans="1:11" x14ac:dyDescent="0.25">
      <c r="A2762" s="1" t="s">
        <v>830</v>
      </c>
      <c r="B2762" s="1"/>
      <c r="C2762" s="1" t="s">
        <v>3221</v>
      </c>
      <c r="D2762" s="1" t="s">
        <v>3372</v>
      </c>
      <c r="E2762" s="1"/>
      <c r="F2762">
        <v>0.5</v>
      </c>
      <c r="G2762">
        <v>0</v>
      </c>
      <c r="H2762">
        <v>25</v>
      </c>
      <c r="I2762">
        <v>0</v>
      </c>
      <c r="J2762">
        <v>1</v>
      </c>
      <c r="K2762" s="2">
        <v>45779</v>
      </c>
    </row>
    <row r="2763" spans="1:11" x14ac:dyDescent="0.25">
      <c r="A2763" s="1" t="s">
        <v>830</v>
      </c>
      <c r="B2763" s="1"/>
      <c r="C2763" s="1" t="s">
        <v>2923</v>
      </c>
      <c r="D2763" s="1" t="s">
        <v>3424</v>
      </c>
      <c r="E2763" s="1"/>
      <c r="F2763">
        <v>4</v>
      </c>
      <c r="G2763">
        <v>0</v>
      </c>
      <c r="H2763">
        <v>220</v>
      </c>
      <c r="I2763">
        <v>0</v>
      </c>
      <c r="J2763">
        <v>1</v>
      </c>
      <c r="K2763" s="2">
        <v>45783</v>
      </c>
    </row>
    <row r="2764" spans="1:11" x14ac:dyDescent="0.25">
      <c r="A2764" s="1" t="s">
        <v>349</v>
      </c>
      <c r="B2764" s="1"/>
      <c r="C2764" s="1" t="s">
        <v>3025</v>
      </c>
      <c r="D2764" s="1" t="s">
        <v>3388</v>
      </c>
      <c r="E2764" s="1"/>
      <c r="F2764">
        <v>0.6</v>
      </c>
      <c r="G2764">
        <v>0.8</v>
      </c>
      <c r="H2764">
        <v>-10</v>
      </c>
      <c r="I2764">
        <v>0</v>
      </c>
      <c r="J2764">
        <v>22</v>
      </c>
      <c r="K2764" s="2">
        <v>45741</v>
      </c>
    </row>
    <row r="2765" spans="1:11" x14ac:dyDescent="0.25">
      <c r="A2765" s="1" t="s">
        <v>480</v>
      </c>
      <c r="B2765" s="1"/>
      <c r="C2765" s="1" t="s">
        <v>2808</v>
      </c>
      <c r="D2765" s="1" t="s">
        <v>3370</v>
      </c>
      <c r="E2765" s="1"/>
      <c r="F2765">
        <v>0</v>
      </c>
      <c r="G2765">
        <v>0</v>
      </c>
      <c r="H2765">
        <v>0</v>
      </c>
      <c r="I2765">
        <v>0</v>
      </c>
      <c r="J2765">
        <v>8</v>
      </c>
      <c r="K2765" s="2">
        <v>45775</v>
      </c>
    </row>
    <row r="2766" spans="1:11" x14ac:dyDescent="0.25">
      <c r="A2766" s="1" t="s">
        <v>480</v>
      </c>
      <c r="B2766" s="1"/>
      <c r="C2766" s="1" t="s">
        <v>3222</v>
      </c>
      <c r="D2766" s="1" t="s">
        <v>3388</v>
      </c>
      <c r="E2766" s="1"/>
      <c r="F2766">
        <v>0.5</v>
      </c>
      <c r="G2766">
        <v>1.3</v>
      </c>
      <c r="H2766">
        <v>-45</v>
      </c>
      <c r="I2766">
        <v>0</v>
      </c>
      <c r="J2766">
        <v>8</v>
      </c>
      <c r="K2766" s="2">
        <v>45776</v>
      </c>
    </row>
    <row r="2767" spans="1:11" x14ac:dyDescent="0.25">
      <c r="A2767" s="1" t="s">
        <v>480</v>
      </c>
      <c r="B2767" s="1"/>
      <c r="C2767" s="1" t="s">
        <v>3223</v>
      </c>
      <c r="D2767" s="1" t="s">
        <v>3388</v>
      </c>
      <c r="E2767" s="1"/>
      <c r="F2767">
        <v>4</v>
      </c>
      <c r="G2767">
        <v>0</v>
      </c>
      <c r="H2767">
        <v>255</v>
      </c>
      <c r="I2767">
        <v>0</v>
      </c>
      <c r="J2767">
        <v>8</v>
      </c>
      <c r="K2767" s="2">
        <v>45779</v>
      </c>
    </row>
    <row r="2768" spans="1:11" x14ac:dyDescent="0.25">
      <c r="A2768" s="1" t="s">
        <v>480</v>
      </c>
      <c r="B2768" s="1"/>
      <c r="C2768" s="1" t="s">
        <v>3224</v>
      </c>
      <c r="D2768" s="1" t="s">
        <v>3403</v>
      </c>
      <c r="E2768" s="1"/>
      <c r="F2768">
        <v>1.1000000000000001</v>
      </c>
      <c r="G2768">
        <v>0</v>
      </c>
      <c r="H2768">
        <v>65</v>
      </c>
      <c r="I2768">
        <v>0</v>
      </c>
      <c r="J2768">
        <v>8</v>
      </c>
      <c r="K2768" s="2">
        <v>45782</v>
      </c>
    </row>
    <row r="2769" spans="1:11" x14ac:dyDescent="0.25">
      <c r="A2769" s="1" t="s">
        <v>480</v>
      </c>
      <c r="B2769" s="1"/>
      <c r="C2769" s="1" t="s">
        <v>2827</v>
      </c>
      <c r="D2769" s="1" t="s">
        <v>3487</v>
      </c>
      <c r="E2769" s="1"/>
      <c r="F2769">
        <v>4</v>
      </c>
      <c r="G2769">
        <v>2.2000000000000002</v>
      </c>
      <c r="H2769">
        <v>95</v>
      </c>
      <c r="I2769">
        <v>0</v>
      </c>
      <c r="J2769">
        <v>8</v>
      </c>
      <c r="K2769" s="2">
        <v>45785</v>
      </c>
    </row>
    <row r="2770" spans="1:11" x14ac:dyDescent="0.25">
      <c r="A2770" s="1" t="s">
        <v>480</v>
      </c>
      <c r="B2770" s="1"/>
      <c r="C2770" s="1" t="s">
        <v>2848</v>
      </c>
      <c r="D2770" s="1" t="s">
        <v>3372</v>
      </c>
      <c r="E2770" s="1"/>
      <c r="F2770">
        <v>1</v>
      </c>
      <c r="G2770">
        <v>0.3</v>
      </c>
      <c r="H2770">
        <v>40</v>
      </c>
      <c r="I2770">
        <v>0</v>
      </c>
      <c r="J2770">
        <v>8</v>
      </c>
      <c r="K2770" s="2">
        <v>45782</v>
      </c>
    </row>
    <row r="2771" spans="1:11" x14ac:dyDescent="0.25">
      <c r="A2771" s="1" t="s">
        <v>720</v>
      </c>
      <c r="B2771" s="1"/>
      <c r="C2771" s="1" t="s">
        <v>2808</v>
      </c>
      <c r="D2771" s="1" t="s">
        <v>3370</v>
      </c>
      <c r="E2771" s="1"/>
      <c r="F2771">
        <v>0</v>
      </c>
      <c r="G2771">
        <v>0</v>
      </c>
      <c r="H2771">
        <v>0</v>
      </c>
      <c r="I2771">
        <v>0</v>
      </c>
      <c r="J2771">
        <v>400</v>
      </c>
      <c r="K2771" s="2">
        <v>45771</v>
      </c>
    </row>
    <row r="2772" spans="1:11" x14ac:dyDescent="0.25">
      <c r="A2772" s="1" t="s">
        <v>720</v>
      </c>
      <c r="B2772" s="1"/>
      <c r="C2772" s="1" t="s">
        <v>2864</v>
      </c>
      <c r="D2772" s="1" t="s">
        <v>3402</v>
      </c>
      <c r="E2772" s="1"/>
      <c r="F2772">
        <v>33.6</v>
      </c>
      <c r="G2772">
        <v>0</v>
      </c>
      <c r="H2772">
        <v>1405</v>
      </c>
      <c r="I2772">
        <v>0</v>
      </c>
      <c r="J2772">
        <v>400</v>
      </c>
      <c r="K2772" s="2">
        <v>45777</v>
      </c>
    </row>
    <row r="2773" spans="1:11" x14ac:dyDescent="0.25">
      <c r="A2773" s="1" t="s">
        <v>720</v>
      </c>
      <c r="B2773" s="1"/>
      <c r="C2773" s="1" t="s">
        <v>3225</v>
      </c>
      <c r="D2773" s="1" t="s">
        <v>3435</v>
      </c>
      <c r="E2773" s="1"/>
      <c r="F2773">
        <v>16.5</v>
      </c>
      <c r="G2773">
        <v>20</v>
      </c>
      <c r="H2773">
        <v>-190</v>
      </c>
      <c r="I2773">
        <v>0</v>
      </c>
      <c r="J2773">
        <v>400</v>
      </c>
      <c r="K2773" s="2">
        <v>45777</v>
      </c>
    </row>
    <row r="2774" spans="1:11" x14ac:dyDescent="0.25">
      <c r="A2774" s="1" t="s">
        <v>720</v>
      </c>
      <c r="B2774" s="1"/>
      <c r="C2774" s="1" t="s">
        <v>3084</v>
      </c>
      <c r="D2774" s="1" t="s">
        <v>3456</v>
      </c>
      <c r="E2774" s="1"/>
      <c r="F2774">
        <v>6.7</v>
      </c>
      <c r="G2774">
        <v>16.100000000000001</v>
      </c>
      <c r="H2774">
        <v>-515</v>
      </c>
      <c r="I2774">
        <v>0</v>
      </c>
      <c r="J2774">
        <v>400</v>
      </c>
      <c r="K2774" s="2">
        <v>45777</v>
      </c>
    </row>
    <row r="2775" spans="1:11" x14ac:dyDescent="0.25">
      <c r="A2775" s="1" t="s">
        <v>720</v>
      </c>
      <c r="B2775" s="1"/>
      <c r="C2775" s="1" t="s">
        <v>3063</v>
      </c>
      <c r="D2775" s="1" t="s">
        <v>3424</v>
      </c>
      <c r="E2775" s="1"/>
      <c r="F2775">
        <v>5</v>
      </c>
      <c r="G2775">
        <v>8.6999999999999993</v>
      </c>
      <c r="H2775">
        <v>-200</v>
      </c>
      <c r="I2775">
        <v>0</v>
      </c>
      <c r="J2775">
        <v>400</v>
      </c>
      <c r="K2775" s="2">
        <v>45778</v>
      </c>
    </row>
    <row r="2776" spans="1:11" x14ac:dyDescent="0.25">
      <c r="A2776" s="1" t="s">
        <v>720</v>
      </c>
      <c r="B2776" s="1"/>
      <c r="C2776" s="1" t="s">
        <v>2848</v>
      </c>
      <c r="D2776" s="1" t="s">
        <v>3372</v>
      </c>
      <c r="E2776" s="1"/>
      <c r="F2776">
        <v>1</v>
      </c>
      <c r="G2776">
        <v>0.6</v>
      </c>
      <c r="H2776">
        <v>25</v>
      </c>
      <c r="I2776">
        <v>0</v>
      </c>
      <c r="J2776">
        <v>400</v>
      </c>
      <c r="K2776" s="2">
        <v>45783</v>
      </c>
    </row>
    <row r="2777" spans="1:11" x14ac:dyDescent="0.25">
      <c r="A2777" s="1" t="s">
        <v>143</v>
      </c>
      <c r="B2777" s="1"/>
      <c r="C2777" s="1" t="s">
        <v>2808</v>
      </c>
      <c r="D2777" s="1" t="s">
        <v>3370</v>
      </c>
      <c r="E2777" s="1"/>
      <c r="F2777">
        <v>0</v>
      </c>
      <c r="G2777">
        <v>0</v>
      </c>
      <c r="H2777">
        <v>0</v>
      </c>
      <c r="I2777">
        <v>0</v>
      </c>
      <c r="J2777">
        <v>1</v>
      </c>
      <c r="K2777" s="2">
        <v>45751</v>
      </c>
    </row>
    <row r="2778" spans="1:11" x14ac:dyDescent="0.25">
      <c r="A2778" s="1" t="s">
        <v>143</v>
      </c>
      <c r="B2778" s="1"/>
      <c r="C2778" s="1" t="s">
        <v>3169</v>
      </c>
      <c r="D2778" s="1" t="s">
        <v>3483</v>
      </c>
      <c r="E2778" s="1"/>
      <c r="F2778">
        <v>0.5</v>
      </c>
      <c r="G2778">
        <v>0</v>
      </c>
      <c r="H2778">
        <v>40</v>
      </c>
      <c r="I2778">
        <v>0</v>
      </c>
      <c r="J2778">
        <v>1</v>
      </c>
      <c r="K2778" s="2">
        <v>45751</v>
      </c>
    </row>
    <row r="2779" spans="1:11" x14ac:dyDescent="0.25">
      <c r="A2779" s="1" t="s">
        <v>143</v>
      </c>
      <c r="B2779" s="1"/>
      <c r="C2779" s="1" t="s">
        <v>3226</v>
      </c>
      <c r="D2779" s="1" t="s">
        <v>3431</v>
      </c>
      <c r="E2779" s="1"/>
      <c r="F2779">
        <v>1</v>
      </c>
      <c r="G2779">
        <v>0</v>
      </c>
      <c r="H2779">
        <v>75</v>
      </c>
      <c r="I2779">
        <v>0</v>
      </c>
      <c r="J2779">
        <v>0</v>
      </c>
      <c r="K2779" s="2">
        <v>45751</v>
      </c>
    </row>
    <row r="2780" spans="1:11" x14ac:dyDescent="0.25">
      <c r="A2780" s="1" t="s">
        <v>143</v>
      </c>
      <c r="B2780" s="1"/>
      <c r="C2780" s="1" t="s">
        <v>3006</v>
      </c>
      <c r="D2780" s="1" t="s">
        <v>3372</v>
      </c>
      <c r="E2780" s="1"/>
      <c r="F2780">
        <v>0.5</v>
      </c>
      <c r="G2780">
        <v>0</v>
      </c>
      <c r="H2780">
        <v>30</v>
      </c>
      <c r="I2780">
        <v>0</v>
      </c>
      <c r="J2780">
        <v>1</v>
      </c>
      <c r="K2780" s="2">
        <v>45755</v>
      </c>
    </row>
    <row r="2781" spans="1:11" x14ac:dyDescent="0.25">
      <c r="A2781" s="1" t="s">
        <v>143</v>
      </c>
      <c r="B2781" s="1"/>
      <c r="C2781" s="1" t="s">
        <v>3227</v>
      </c>
      <c r="D2781" s="1" t="s">
        <v>3388</v>
      </c>
      <c r="E2781" s="1"/>
      <c r="F2781">
        <v>0</v>
      </c>
      <c r="G2781">
        <v>1.5</v>
      </c>
      <c r="H2781">
        <v>-90</v>
      </c>
      <c r="I2781">
        <v>0</v>
      </c>
      <c r="J2781">
        <v>1</v>
      </c>
      <c r="K2781" s="2">
        <v>45756</v>
      </c>
    </row>
    <row r="2782" spans="1:11" x14ac:dyDescent="0.25">
      <c r="A2782" s="1" t="s">
        <v>143</v>
      </c>
      <c r="B2782" s="1"/>
      <c r="C2782" s="1" t="s">
        <v>3228</v>
      </c>
      <c r="D2782" s="1" t="s">
        <v>3372</v>
      </c>
      <c r="E2782" s="1"/>
      <c r="F2782">
        <v>0.5</v>
      </c>
      <c r="G2782">
        <v>0</v>
      </c>
      <c r="H2782">
        <v>30</v>
      </c>
      <c r="I2782">
        <v>0</v>
      </c>
      <c r="J2782">
        <v>1</v>
      </c>
      <c r="K2782" s="2">
        <v>45757</v>
      </c>
    </row>
    <row r="2783" spans="1:11" x14ac:dyDescent="0.25">
      <c r="A2783" s="1" t="s">
        <v>143</v>
      </c>
      <c r="B2783" s="1"/>
      <c r="C2783" s="1" t="s">
        <v>3189</v>
      </c>
      <c r="D2783" s="1" t="s">
        <v>3449</v>
      </c>
      <c r="E2783" s="1"/>
      <c r="F2783">
        <v>0.3</v>
      </c>
      <c r="G2783">
        <v>0</v>
      </c>
      <c r="H2783">
        <v>20</v>
      </c>
      <c r="I2783">
        <v>0</v>
      </c>
      <c r="J2783">
        <v>1</v>
      </c>
      <c r="K2783" s="2">
        <v>45757</v>
      </c>
    </row>
    <row r="2784" spans="1:11" x14ac:dyDescent="0.25">
      <c r="A2784" s="1" t="s">
        <v>174</v>
      </c>
      <c r="B2784" s="1"/>
      <c r="C2784" s="1" t="s">
        <v>2961</v>
      </c>
      <c r="D2784" s="1" t="s">
        <v>3462</v>
      </c>
      <c r="E2784" s="1"/>
      <c r="F2784">
        <v>0</v>
      </c>
      <c r="G2784">
        <v>1.2</v>
      </c>
      <c r="H2784">
        <v>-60</v>
      </c>
      <c r="I2784">
        <v>3</v>
      </c>
      <c r="J2784">
        <v>0</v>
      </c>
      <c r="K2784" s="2">
        <v>45745</v>
      </c>
    </row>
    <row r="2785" spans="1:11" x14ac:dyDescent="0.25">
      <c r="A2785" s="1" t="s">
        <v>174</v>
      </c>
      <c r="B2785" s="1"/>
      <c r="C2785" s="1" t="s">
        <v>3229</v>
      </c>
      <c r="D2785" s="1" t="s">
        <v>3390</v>
      </c>
      <c r="E2785" s="1"/>
      <c r="F2785">
        <v>6.3</v>
      </c>
      <c r="G2785">
        <v>24.9</v>
      </c>
      <c r="H2785">
        <v>-1095</v>
      </c>
      <c r="I2785">
        <v>0</v>
      </c>
      <c r="J2785">
        <v>10</v>
      </c>
      <c r="K2785" s="2">
        <v>45745</v>
      </c>
    </row>
    <row r="2786" spans="1:11" x14ac:dyDescent="0.25">
      <c r="A2786" s="1" t="s">
        <v>117</v>
      </c>
      <c r="B2786" s="1"/>
      <c r="C2786" s="1" t="s">
        <v>2868</v>
      </c>
      <c r="D2786" s="1" t="s">
        <v>3388</v>
      </c>
      <c r="E2786" s="1"/>
      <c r="F2786">
        <v>0.7</v>
      </c>
      <c r="G2786">
        <v>0</v>
      </c>
      <c r="H2786">
        <v>50</v>
      </c>
      <c r="I2786">
        <v>0</v>
      </c>
      <c r="J2786">
        <v>6</v>
      </c>
      <c r="K2786" s="2">
        <v>45729</v>
      </c>
    </row>
    <row r="2787" spans="1:11" x14ac:dyDescent="0.25">
      <c r="A2787" s="1" t="s">
        <v>117</v>
      </c>
      <c r="B2787" s="1"/>
      <c r="C2787" s="1" t="s">
        <v>3029</v>
      </c>
      <c r="D2787" s="1" t="s">
        <v>3426</v>
      </c>
      <c r="E2787" s="1"/>
      <c r="F2787">
        <v>4.3</v>
      </c>
      <c r="G2787">
        <v>5.0999999999999996</v>
      </c>
      <c r="H2787">
        <v>-25</v>
      </c>
      <c r="I2787">
        <v>0</v>
      </c>
      <c r="J2787">
        <v>6</v>
      </c>
      <c r="K2787" s="2">
        <v>45735</v>
      </c>
    </row>
    <row r="2788" spans="1:11" x14ac:dyDescent="0.25">
      <c r="A2788" s="1" t="s">
        <v>120</v>
      </c>
      <c r="B2788" s="1"/>
      <c r="C2788" s="1" t="s">
        <v>2808</v>
      </c>
      <c r="D2788" s="1" t="s">
        <v>3370</v>
      </c>
      <c r="E2788" s="1"/>
      <c r="F2788">
        <v>0</v>
      </c>
      <c r="G2788">
        <v>0</v>
      </c>
      <c r="H2788">
        <v>0</v>
      </c>
      <c r="I2788">
        <v>0</v>
      </c>
      <c r="J2788">
        <v>3</v>
      </c>
      <c r="K2788" s="2">
        <v>45759</v>
      </c>
    </row>
    <row r="2789" spans="1:11" x14ac:dyDescent="0.25">
      <c r="A2789" s="1" t="s">
        <v>120</v>
      </c>
      <c r="B2789" s="1"/>
      <c r="C2789" s="1" t="s">
        <v>2918</v>
      </c>
      <c r="D2789" s="1" t="s">
        <v>3412</v>
      </c>
      <c r="E2789" s="1"/>
      <c r="F2789">
        <v>0.2</v>
      </c>
      <c r="G2789">
        <v>0</v>
      </c>
      <c r="H2789">
        <v>10</v>
      </c>
      <c r="I2789">
        <v>0</v>
      </c>
      <c r="J2789">
        <v>3</v>
      </c>
      <c r="K2789" s="2">
        <v>45758</v>
      </c>
    </row>
    <row r="2790" spans="1:11" x14ac:dyDescent="0.25">
      <c r="A2790" s="1" t="s">
        <v>120</v>
      </c>
      <c r="B2790" s="1"/>
      <c r="C2790" s="1" t="s">
        <v>2973</v>
      </c>
      <c r="D2790" s="1" t="s">
        <v>3413</v>
      </c>
      <c r="E2790" s="1"/>
      <c r="F2790">
        <v>0.5</v>
      </c>
      <c r="G2790">
        <v>0</v>
      </c>
      <c r="H2790">
        <v>30</v>
      </c>
      <c r="I2790">
        <v>0</v>
      </c>
      <c r="J2790">
        <v>3</v>
      </c>
      <c r="K2790" s="2">
        <v>45758</v>
      </c>
    </row>
    <row r="2791" spans="1:11" x14ac:dyDescent="0.25">
      <c r="A2791" s="1" t="s">
        <v>120</v>
      </c>
      <c r="B2791" s="1"/>
      <c r="C2791" s="1" t="s">
        <v>2918</v>
      </c>
      <c r="D2791" s="1" t="s">
        <v>3412</v>
      </c>
      <c r="E2791" s="1"/>
      <c r="F2791">
        <v>0.2</v>
      </c>
      <c r="G2791">
        <v>0</v>
      </c>
      <c r="H2791">
        <v>10</v>
      </c>
      <c r="I2791">
        <v>0</v>
      </c>
      <c r="J2791">
        <v>3</v>
      </c>
      <c r="K2791" s="2">
        <v>45758</v>
      </c>
    </row>
    <row r="2792" spans="1:11" x14ac:dyDescent="0.25">
      <c r="A2792" s="1" t="s">
        <v>120</v>
      </c>
      <c r="B2792" s="1"/>
      <c r="C2792" s="1" t="s">
        <v>2868</v>
      </c>
      <c r="D2792" s="1" t="s">
        <v>3388</v>
      </c>
      <c r="E2792" s="1"/>
      <c r="F2792">
        <v>0.5</v>
      </c>
      <c r="G2792">
        <v>0</v>
      </c>
      <c r="H2792">
        <v>35</v>
      </c>
      <c r="I2792">
        <v>0</v>
      </c>
      <c r="J2792">
        <v>3</v>
      </c>
      <c r="K2792" s="2">
        <v>45762</v>
      </c>
    </row>
    <row r="2793" spans="1:11" x14ac:dyDescent="0.25">
      <c r="A2793" s="1" t="s">
        <v>120</v>
      </c>
      <c r="B2793" s="1"/>
      <c r="C2793" s="1" t="s">
        <v>3029</v>
      </c>
      <c r="D2793" s="1" t="s">
        <v>3448</v>
      </c>
      <c r="E2793" s="1"/>
      <c r="F2793">
        <v>3.1</v>
      </c>
      <c r="G2793">
        <v>1.1000000000000001</v>
      </c>
      <c r="H2793">
        <v>145</v>
      </c>
      <c r="I2793">
        <v>3</v>
      </c>
      <c r="J2793">
        <v>0</v>
      </c>
      <c r="K2793" s="2">
        <v>45762</v>
      </c>
    </row>
    <row r="2794" spans="1:11" x14ac:dyDescent="0.25">
      <c r="A2794" s="1" t="s">
        <v>120</v>
      </c>
      <c r="B2794" s="1"/>
      <c r="C2794" s="1" t="s">
        <v>2864</v>
      </c>
      <c r="D2794" s="1" t="s">
        <v>3422</v>
      </c>
      <c r="E2794" s="1"/>
      <c r="F2794">
        <v>1.8</v>
      </c>
      <c r="G2794">
        <v>0</v>
      </c>
      <c r="H2794">
        <v>75</v>
      </c>
      <c r="I2794">
        <v>0</v>
      </c>
      <c r="J2794">
        <v>0</v>
      </c>
      <c r="K2794" s="2">
        <v>45762</v>
      </c>
    </row>
    <row r="2795" spans="1:11" x14ac:dyDescent="0.25">
      <c r="A2795" s="1" t="s">
        <v>263</v>
      </c>
      <c r="B2795" s="1"/>
      <c r="C2795" s="1" t="s">
        <v>2864</v>
      </c>
      <c r="D2795" s="1" t="s">
        <v>3422</v>
      </c>
      <c r="E2795" s="1"/>
      <c r="F2795">
        <v>16.3</v>
      </c>
      <c r="G2795">
        <v>11</v>
      </c>
      <c r="H2795">
        <v>220</v>
      </c>
      <c r="I2795">
        <v>17</v>
      </c>
      <c r="J2795">
        <v>34</v>
      </c>
      <c r="K2795" s="2">
        <v>45734</v>
      </c>
    </row>
    <row r="2796" spans="1:11" x14ac:dyDescent="0.25">
      <c r="A2796" s="1" t="s">
        <v>263</v>
      </c>
      <c r="B2796" s="1"/>
      <c r="C2796" s="1" t="s">
        <v>3207</v>
      </c>
      <c r="D2796" s="1" t="s">
        <v>3471</v>
      </c>
      <c r="E2796" s="1"/>
      <c r="F2796">
        <v>2.2999999999999998</v>
      </c>
      <c r="G2796">
        <v>1.6</v>
      </c>
      <c r="H2796">
        <v>50</v>
      </c>
      <c r="I2796">
        <v>0</v>
      </c>
      <c r="J2796">
        <v>34</v>
      </c>
      <c r="K2796" s="2">
        <v>45741</v>
      </c>
    </row>
    <row r="2797" spans="1:11" x14ac:dyDescent="0.25">
      <c r="A2797" s="1" t="s">
        <v>263</v>
      </c>
      <c r="B2797" s="1"/>
      <c r="C2797" s="1" t="s">
        <v>2848</v>
      </c>
      <c r="D2797" s="1" t="s">
        <v>3372</v>
      </c>
      <c r="E2797" s="1"/>
      <c r="F2797">
        <v>1</v>
      </c>
      <c r="G2797">
        <v>0</v>
      </c>
      <c r="H2797">
        <v>55</v>
      </c>
      <c r="I2797">
        <v>0</v>
      </c>
      <c r="J2797">
        <v>34</v>
      </c>
      <c r="K2797" s="2">
        <v>45742</v>
      </c>
    </row>
    <row r="2798" spans="1:11" x14ac:dyDescent="0.25">
      <c r="A2798" s="1" t="s">
        <v>263</v>
      </c>
      <c r="B2798" s="1"/>
      <c r="C2798" s="1" t="s">
        <v>3230</v>
      </c>
      <c r="D2798" s="1" t="s">
        <v>3388</v>
      </c>
      <c r="E2798" s="1"/>
      <c r="F2798">
        <v>3.9</v>
      </c>
      <c r="G2798">
        <v>2.5</v>
      </c>
      <c r="H2798">
        <v>90</v>
      </c>
      <c r="I2798">
        <v>0</v>
      </c>
      <c r="J2798">
        <v>34</v>
      </c>
      <c r="K2798" s="2">
        <v>45743</v>
      </c>
    </row>
    <row r="2799" spans="1:11" x14ac:dyDescent="0.25">
      <c r="A2799" s="1" t="s">
        <v>263</v>
      </c>
      <c r="B2799" s="1"/>
      <c r="C2799" s="1" t="s">
        <v>3231</v>
      </c>
      <c r="D2799" s="1" t="s">
        <v>3388</v>
      </c>
      <c r="E2799" s="1"/>
      <c r="F2799">
        <v>2.4</v>
      </c>
      <c r="G2799">
        <v>4.5</v>
      </c>
      <c r="H2799">
        <v>-130</v>
      </c>
      <c r="I2799">
        <v>0</v>
      </c>
      <c r="J2799">
        <v>34</v>
      </c>
      <c r="K2799" s="2">
        <v>45743</v>
      </c>
    </row>
    <row r="2800" spans="1:11" x14ac:dyDescent="0.25">
      <c r="A2800" s="1" t="s">
        <v>263</v>
      </c>
      <c r="B2800" s="1"/>
      <c r="C2800" s="1" t="s">
        <v>3232</v>
      </c>
      <c r="D2800" s="1" t="s">
        <v>3431</v>
      </c>
      <c r="E2800" s="1"/>
      <c r="F2800">
        <v>3.8</v>
      </c>
      <c r="G2800">
        <v>2.6</v>
      </c>
      <c r="H2800">
        <v>80</v>
      </c>
      <c r="I2800">
        <v>0</v>
      </c>
      <c r="J2800">
        <v>34</v>
      </c>
      <c r="K2800" s="2">
        <v>45748</v>
      </c>
    </row>
    <row r="2801" spans="1:11" x14ac:dyDescent="0.25">
      <c r="A2801" s="1" t="s">
        <v>263</v>
      </c>
      <c r="B2801" s="1"/>
      <c r="C2801" s="1" t="s">
        <v>3233</v>
      </c>
      <c r="D2801" s="1" t="s">
        <v>3372</v>
      </c>
      <c r="E2801" s="1"/>
      <c r="F2801">
        <v>1.3</v>
      </c>
      <c r="G2801">
        <v>0.4</v>
      </c>
      <c r="H2801">
        <v>50</v>
      </c>
      <c r="I2801">
        <v>0</v>
      </c>
      <c r="J2801">
        <v>34</v>
      </c>
      <c r="K2801" s="2">
        <v>45748</v>
      </c>
    </row>
    <row r="2802" spans="1:11" x14ac:dyDescent="0.25">
      <c r="A2802" s="1" t="s">
        <v>263</v>
      </c>
      <c r="B2802" s="1"/>
      <c r="C2802" s="1" t="s">
        <v>2923</v>
      </c>
      <c r="D2802" s="1" t="s">
        <v>3449</v>
      </c>
      <c r="E2802" s="1"/>
      <c r="F2802">
        <v>2.2999999999999998</v>
      </c>
      <c r="G2802">
        <v>4.5</v>
      </c>
      <c r="H2802">
        <v>-135</v>
      </c>
      <c r="I2802">
        <v>0</v>
      </c>
      <c r="J2802">
        <v>34</v>
      </c>
      <c r="K2802" s="2">
        <v>45748</v>
      </c>
    </row>
    <row r="2803" spans="1:11" x14ac:dyDescent="0.25">
      <c r="A2803" s="1" t="s">
        <v>368</v>
      </c>
      <c r="B2803" s="1"/>
      <c r="C2803" s="1" t="s">
        <v>2808</v>
      </c>
      <c r="D2803" s="1" t="s">
        <v>3370</v>
      </c>
      <c r="E2803" s="1"/>
      <c r="F2803">
        <v>0</v>
      </c>
      <c r="G2803">
        <v>0</v>
      </c>
      <c r="H2803">
        <v>0</v>
      </c>
      <c r="I2803">
        <v>0</v>
      </c>
      <c r="J2803">
        <v>61</v>
      </c>
      <c r="K2803" s="2">
        <v>45730</v>
      </c>
    </row>
    <row r="2804" spans="1:11" x14ac:dyDescent="0.25">
      <c r="A2804" s="1" t="s">
        <v>368</v>
      </c>
      <c r="B2804" s="1"/>
      <c r="C2804" s="1" t="s">
        <v>2918</v>
      </c>
      <c r="D2804" s="1" t="s">
        <v>3412</v>
      </c>
      <c r="E2804" s="1"/>
      <c r="F2804">
        <v>1.3</v>
      </c>
      <c r="G2804">
        <v>5.0999999999999996</v>
      </c>
      <c r="H2804">
        <v>-235</v>
      </c>
      <c r="I2804">
        <v>0</v>
      </c>
      <c r="J2804">
        <v>61</v>
      </c>
      <c r="K2804" s="2">
        <v>45734</v>
      </c>
    </row>
    <row r="2805" spans="1:11" x14ac:dyDescent="0.25">
      <c r="A2805" s="1" t="s">
        <v>368</v>
      </c>
      <c r="B2805" s="1"/>
      <c r="C2805" s="1" t="s">
        <v>2973</v>
      </c>
      <c r="D2805" s="1" t="s">
        <v>3413</v>
      </c>
      <c r="E2805" s="1"/>
      <c r="F2805">
        <v>7.3</v>
      </c>
      <c r="G2805">
        <v>3.4</v>
      </c>
      <c r="H2805">
        <v>245</v>
      </c>
      <c r="I2805">
        <v>0</v>
      </c>
      <c r="J2805">
        <v>61</v>
      </c>
      <c r="K2805" s="2">
        <v>45734</v>
      </c>
    </row>
    <row r="2806" spans="1:11" x14ac:dyDescent="0.25">
      <c r="A2806" s="1" t="s">
        <v>368</v>
      </c>
      <c r="B2806" s="1"/>
      <c r="C2806" s="1" t="s">
        <v>2918</v>
      </c>
      <c r="D2806" s="1" t="s">
        <v>3412</v>
      </c>
      <c r="E2806" s="1"/>
      <c r="F2806">
        <v>1.3</v>
      </c>
      <c r="G2806">
        <v>3.4</v>
      </c>
      <c r="H2806">
        <v>-130</v>
      </c>
      <c r="I2806">
        <v>0</v>
      </c>
      <c r="J2806">
        <v>61</v>
      </c>
      <c r="K2806" s="2">
        <v>45734</v>
      </c>
    </row>
    <row r="2807" spans="1:11" x14ac:dyDescent="0.25">
      <c r="A2807" s="1" t="s">
        <v>368</v>
      </c>
      <c r="B2807" s="1"/>
      <c r="C2807" s="1" t="s">
        <v>2868</v>
      </c>
      <c r="D2807" s="1" t="s">
        <v>3388</v>
      </c>
      <c r="E2807" s="1"/>
      <c r="F2807">
        <v>5.2</v>
      </c>
      <c r="G2807">
        <v>7.7</v>
      </c>
      <c r="H2807">
        <v>-150</v>
      </c>
      <c r="I2807">
        <v>0</v>
      </c>
      <c r="J2807">
        <v>61</v>
      </c>
      <c r="K2807" s="2">
        <v>45736</v>
      </c>
    </row>
    <row r="2808" spans="1:11" x14ac:dyDescent="0.25">
      <c r="A2808" s="1" t="s">
        <v>368</v>
      </c>
      <c r="B2808" s="1"/>
      <c r="C2808" s="1" t="s">
        <v>3030</v>
      </c>
      <c r="D2808" s="1" t="s">
        <v>3429</v>
      </c>
      <c r="E2808" s="1"/>
      <c r="F2808">
        <v>0</v>
      </c>
      <c r="G2808">
        <v>0</v>
      </c>
      <c r="H2808">
        <v>0</v>
      </c>
      <c r="I2808">
        <v>0</v>
      </c>
      <c r="J2808">
        <v>61</v>
      </c>
      <c r="K2808" s="2">
        <v>45735</v>
      </c>
    </row>
    <row r="2809" spans="1:11" x14ac:dyDescent="0.25">
      <c r="A2809" s="1" t="s">
        <v>368</v>
      </c>
      <c r="B2809" s="1"/>
      <c r="C2809" s="1" t="s">
        <v>2953</v>
      </c>
      <c r="D2809" s="1" t="s">
        <v>3448</v>
      </c>
      <c r="E2809" s="1"/>
      <c r="F2809">
        <v>3.3</v>
      </c>
      <c r="G2809">
        <v>0</v>
      </c>
      <c r="H2809">
        <v>230</v>
      </c>
      <c r="I2809">
        <v>0</v>
      </c>
      <c r="J2809">
        <v>0</v>
      </c>
      <c r="K2809" s="2">
        <v>45735</v>
      </c>
    </row>
    <row r="2810" spans="1:11" x14ac:dyDescent="0.25">
      <c r="A2810" s="1" t="s">
        <v>368</v>
      </c>
      <c r="B2810" s="1"/>
      <c r="C2810" s="1" t="s">
        <v>2961</v>
      </c>
      <c r="D2810" s="1" t="s">
        <v>3422</v>
      </c>
      <c r="E2810" s="1"/>
      <c r="F2810">
        <v>2</v>
      </c>
      <c r="G2810">
        <v>0</v>
      </c>
      <c r="H2810">
        <v>85</v>
      </c>
      <c r="I2810">
        <v>0</v>
      </c>
      <c r="J2810">
        <v>0</v>
      </c>
      <c r="K2810" s="2">
        <v>45740</v>
      </c>
    </row>
    <row r="2811" spans="1:11" x14ac:dyDescent="0.25">
      <c r="A2811" s="1" t="s">
        <v>368</v>
      </c>
      <c r="B2811" s="1"/>
      <c r="C2811" s="1" t="s">
        <v>2915</v>
      </c>
      <c r="D2811" s="1" t="s">
        <v>3448</v>
      </c>
      <c r="E2811" s="1"/>
      <c r="F2811">
        <v>24.9</v>
      </c>
      <c r="G2811">
        <v>43.3</v>
      </c>
      <c r="H2811">
        <v>-1150</v>
      </c>
      <c r="I2811">
        <v>3</v>
      </c>
      <c r="J2811">
        <v>58</v>
      </c>
      <c r="K2811" s="2">
        <v>45740</v>
      </c>
    </row>
    <row r="2812" spans="1:11" x14ac:dyDescent="0.25">
      <c r="A2812" s="1" t="s">
        <v>368</v>
      </c>
      <c r="B2812" s="1"/>
      <c r="C2812" s="1" t="s">
        <v>2864</v>
      </c>
      <c r="D2812" s="1" t="s">
        <v>3422</v>
      </c>
      <c r="E2812" s="1"/>
      <c r="F2812">
        <v>16.3</v>
      </c>
      <c r="G2812">
        <v>17.600000000000001</v>
      </c>
      <c r="H2812">
        <v>-55</v>
      </c>
      <c r="I2812">
        <v>4</v>
      </c>
      <c r="J2812">
        <v>54</v>
      </c>
      <c r="K2812" s="2">
        <v>45770</v>
      </c>
    </row>
    <row r="2813" spans="1:11" x14ac:dyDescent="0.25">
      <c r="A2813" s="1" t="s">
        <v>368</v>
      </c>
      <c r="B2813" s="1"/>
      <c r="C2813" s="1" t="s">
        <v>3207</v>
      </c>
      <c r="D2813" s="1" t="s">
        <v>3471</v>
      </c>
      <c r="E2813" s="1"/>
      <c r="F2813">
        <v>2.2999999999999998</v>
      </c>
      <c r="G2813">
        <v>4.9000000000000004</v>
      </c>
      <c r="H2813">
        <v>-165</v>
      </c>
      <c r="I2813">
        <v>0</v>
      </c>
      <c r="J2813">
        <v>54</v>
      </c>
      <c r="K2813" s="2">
        <v>45770</v>
      </c>
    </row>
    <row r="2814" spans="1:11" x14ac:dyDescent="0.25">
      <c r="A2814" s="1" t="s">
        <v>368</v>
      </c>
      <c r="B2814" s="1"/>
      <c r="C2814" s="1" t="s">
        <v>2848</v>
      </c>
      <c r="D2814" s="1" t="s">
        <v>3372</v>
      </c>
      <c r="E2814" s="1"/>
      <c r="F2814">
        <v>1</v>
      </c>
      <c r="G2814">
        <v>0.5</v>
      </c>
      <c r="H2814">
        <v>25</v>
      </c>
      <c r="I2814">
        <v>0</v>
      </c>
      <c r="J2814">
        <v>54</v>
      </c>
      <c r="K2814" s="2">
        <v>45770</v>
      </c>
    </row>
    <row r="2815" spans="1:11" x14ac:dyDescent="0.25">
      <c r="A2815" s="1" t="s">
        <v>368</v>
      </c>
      <c r="B2815" s="1"/>
      <c r="C2815" s="1" t="s">
        <v>3230</v>
      </c>
      <c r="D2815" s="1" t="s">
        <v>3388</v>
      </c>
      <c r="E2815" s="1"/>
      <c r="F2815">
        <v>3.9</v>
      </c>
      <c r="G2815">
        <v>7.4</v>
      </c>
      <c r="H2815">
        <v>-215</v>
      </c>
      <c r="I2815">
        <v>0</v>
      </c>
      <c r="J2815">
        <v>54</v>
      </c>
      <c r="K2815" s="2">
        <v>45770</v>
      </c>
    </row>
    <row r="2816" spans="1:11" x14ac:dyDescent="0.25">
      <c r="A2816" s="1" t="s">
        <v>368</v>
      </c>
      <c r="B2816" s="1"/>
      <c r="C2816" s="1" t="s">
        <v>3231</v>
      </c>
      <c r="D2816" s="1" t="s">
        <v>3388</v>
      </c>
      <c r="E2816" s="1"/>
      <c r="F2816">
        <v>2.4</v>
      </c>
      <c r="G2816">
        <v>9.9</v>
      </c>
      <c r="H2816">
        <v>-465</v>
      </c>
      <c r="I2816">
        <v>0</v>
      </c>
      <c r="J2816">
        <v>54</v>
      </c>
      <c r="K2816" s="2">
        <v>45770</v>
      </c>
    </row>
    <row r="2817" spans="1:11" x14ac:dyDescent="0.25">
      <c r="A2817" s="1" t="s">
        <v>368</v>
      </c>
      <c r="B2817" s="1"/>
      <c r="C2817" s="1" t="s">
        <v>3232</v>
      </c>
      <c r="D2817" s="1" t="s">
        <v>3431</v>
      </c>
      <c r="E2817" s="1"/>
      <c r="F2817">
        <v>3.8</v>
      </c>
      <c r="G2817">
        <v>7.4</v>
      </c>
      <c r="H2817">
        <v>-230</v>
      </c>
      <c r="I2817">
        <v>0</v>
      </c>
      <c r="J2817">
        <v>54</v>
      </c>
      <c r="K2817" s="2">
        <v>45770</v>
      </c>
    </row>
    <row r="2818" spans="1:11" x14ac:dyDescent="0.25">
      <c r="A2818" s="1" t="s">
        <v>368</v>
      </c>
      <c r="B2818" s="1"/>
      <c r="C2818" s="1" t="s">
        <v>3233</v>
      </c>
      <c r="D2818" s="1" t="s">
        <v>3372</v>
      </c>
      <c r="E2818" s="1"/>
      <c r="F2818">
        <v>1.3</v>
      </c>
      <c r="G2818">
        <v>0</v>
      </c>
      <c r="H2818">
        <v>70</v>
      </c>
      <c r="I2818">
        <v>0</v>
      </c>
      <c r="J2818">
        <v>54</v>
      </c>
      <c r="K2818" s="2">
        <v>45770</v>
      </c>
    </row>
    <row r="2819" spans="1:11" x14ac:dyDescent="0.25">
      <c r="A2819" s="1" t="s">
        <v>368</v>
      </c>
      <c r="B2819" s="1"/>
      <c r="C2819" s="1" t="s">
        <v>2923</v>
      </c>
      <c r="D2819" s="1" t="s">
        <v>3449</v>
      </c>
      <c r="E2819" s="1"/>
      <c r="F2819">
        <v>2.2999999999999998</v>
      </c>
      <c r="G2819">
        <v>4.3</v>
      </c>
      <c r="H2819">
        <v>-120</v>
      </c>
      <c r="I2819">
        <v>0</v>
      </c>
      <c r="J2819">
        <v>54</v>
      </c>
      <c r="K2819" s="2">
        <v>45770</v>
      </c>
    </row>
    <row r="2820" spans="1:11" x14ac:dyDescent="0.25">
      <c r="A2820" s="1" t="s">
        <v>933</v>
      </c>
      <c r="B2820" s="1"/>
      <c r="C2820" s="1" t="s">
        <v>2808</v>
      </c>
      <c r="D2820" s="1" t="s">
        <v>3370</v>
      </c>
      <c r="E2820" s="1"/>
      <c r="F2820">
        <v>0</v>
      </c>
      <c r="G2820">
        <v>0</v>
      </c>
      <c r="H2820">
        <v>0</v>
      </c>
      <c r="I2820">
        <v>0</v>
      </c>
      <c r="J2820">
        <v>61</v>
      </c>
      <c r="K2820" s="2">
        <v>45785</v>
      </c>
    </row>
    <row r="2821" spans="1:11" x14ac:dyDescent="0.25">
      <c r="A2821" s="1" t="s">
        <v>933</v>
      </c>
      <c r="B2821" s="1"/>
      <c r="C2821" s="1" t="s">
        <v>2918</v>
      </c>
      <c r="D2821" s="1" t="s">
        <v>3412</v>
      </c>
      <c r="E2821" s="1"/>
      <c r="F2821">
        <v>1.3</v>
      </c>
      <c r="G2821">
        <v>1.4</v>
      </c>
      <c r="H2821">
        <v>-5</v>
      </c>
      <c r="I2821">
        <v>0</v>
      </c>
      <c r="J2821">
        <v>61</v>
      </c>
      <c r="K2821" s="2">
        <v>45785</v>
      </c>
    </row>
    <row r="2822" spans="1:11" x14ac:dyDescent="0.25">
      <c r="A2822" s="1" t="s">
        <v>933</v>
      </c>
      <c r="B2822" s="1"/>
      <c r="C2822" s="1" t="s">
        <v>2973</v>
      </c>
      <c r="D2822" s="1" t="s">
        <v>3413</v>
      </c>
      <c r="E2822" s="1"/>
      <c r="F2822">
        <v>7.3</v>
      </c>
      <c r="G2822">
        <v>6</v>
      </c>
      <c r="H2822">
        <v>80</v>
      </c>
      <c r="I2822">
        <v>0</v>
      </c>
      <c r="J2822">
        <v>61</v>
      </c>
      <c r="K2822" s="2">
        <v>45785</v>
      </c>
    </row>
    <row r="2823" spans="1:11" x14ac:dyDescent="0.25">
      <c r="A2823" s="1" t="s">
        <v>933</v>
      </c>
      <c r="B2823" s="1"/>
      <c r="C2823" s="1" t="s">
        <v>2918</v>
      </c>
      <c r="D2823" s="1" t="s">
        <v>3412</v>
      </c>
      <c r="E2823" s="1"/>
      <c r="F2823">
        <v>1.3</v>
      </c>
      <c r="G2823">
        <v>6.1</v>
      </c>
      <c r="H2823">
        <v>-295</v>
      </c>
      <c r="I2823">
        <v>0</v>
      </c>
      <c r="J2823">
        <v>61</v>
      </c>
      <c r="K2823" s="2">
        <v>45785</v>
      </c>
    </row>
    <row r="2824" spans="1:11" x14ac:dyDescent="0.25">
      <c r="A2824" s="1" t="s">
        <v>933</v>
      </c>
      <c r="B2824" s="1"/>
      <c r="C2824" s="1" t="s">
        <v>2868</v>
      </c>
      <c r="D2824" s="1" t="s">
        <v>3388</v>
      </c>
      <c r="E2824" s="1"/>
      <c r="F2824">
        <v>5.2</v>
      </c>
      <c r="G2824">
        <v>8.4</v>
      </c>
      <c r="H2824">
        <v>-195</v>
      </c>
      <c r="I2824">
        <v>0</v>
      </c>
      <c r="J2824">
        <v>61</v>
      </c>
      <c r="K2824" s="2">
        <v>45786</v>
      </c>
    </row>
    <row r="2825" spans="1:11" x14ac:dyDescent="0.25">
      <c r="A2825" s="1" t="s">
        <v>934</v>
      </c>
      <c r="B2825" s="1"/>
      <c r="C2825" s="1" t="s">
        <v>2808</v>
      </c>
      <c r="D2825" s="1" t="s">
        <v>3370</v>
      </c>
      <c r="E2825" s="1"/>
      <c r="F2825">
        <v>0</v>
      </c>
      <c r="G2825">
        <v>0</v>
      </c>
      <c r="H2825">
        <v>0</v>
      </c>
      <c r="I2825">
        <v>0</v>
      </c>
      <c r="J2825">
        <v>61</v>
      </c>
      <c r="K2825" s="2">
        <v>45785</v>
      </c>
    </row>
    <row r="2826" spans="1:11" x14ac:dyDescent="0.25">
      <c r="A2826" s="1" t="s">
        <v>934</v>
      </c>
      <c r="B2826" s="1"/>
      <c r="C2826" s="1" t="s">
        <v>2918</v>
      </c>
      <c r="D2826" s="1" t="s">
        <v>3412</v>
      </c>
      <c r="E2826" s="1"/>
      <c r="F2826">
        <v>1.3</v>
      </c>
      <c r="G2826">
        <v>0.1</v>
      </c>
      <c r="H2826">
        <v>80</v>
      </c>
      <c r="I2826">
        <v>0</v>
      </c>
      <c r="J2826">
        <v>61</v>
      </c>
      <c r="K2826" s="2">
        <v>45785</v>
      </c>
    </row>
    <row r="2827" spans="1:11" x14ac:dyDescent="0.25">
      <c r="A2827" s="1" t="s">
        <v>934</v>
      </c>
      <c r="B2827" s="1"/>
      <c r="C2827" s="1" t="s">
        <v>2973</v>
      </c>
      <c r="D2827" s="1" t="s">
        <v>3413</v>
      </c>
      <c r="E2827" s="1"/>
      <c r="F2827">
        <v>7.3</v>
      </c>
      <c r="G2827">
        <v>4</v>
      </c>
      <c r="H2827">
        <v>210</v>
      </c>
      <c r="I2827">
        <v>0</v>
      </c>
      <c r="J2827">
        <v>61</v>
      </c>
      <c r="K2827" s="2">
        <v>45786</v>
      </c>
    </row>
    <row r="2828" spans="1:11" x14ac:dyDescent="0.25">
      <c r="A2828" s="1" t="s">
        <v>934</v>
      </c>
      <c r="B2828" s="1"/>
      <c r="C2828" s="1" t="s">
        <v>2918</v>
      </c>
      <c r="D2828" s="1" t="s">
        <v>3412</v>
      </c>
      <c r="E2828" s="1"/>
      <c r="F2828">
        <v>1.3</v>
      </c>
      <c r="G2828">
        <v>4</v>
      </c>
      <c r="H2828">
        <v>-165</v>
      </c>
      <c r="I2828">
        <v>0</v>
      </c>
      <c r="J2828">
        <v>61</v>
      </c>
      <c r="K2828" s="2">
        <v>45786</v>
      </c>
    </row>
    <row r="2829" spans="1:11" x14ac:dyDescent="0.25">
      <c r="A2829" s="1" t="s">
        <v>934</v>
      </c>
      <c r="B2829" s="1"/>
      <c r="C2829" s="1" t="s">
        <v>2868</v>
      </c>
      <c r="D2829" s="1" t="s">
        <v>3388</v>
      </c>
      <c r="E2829" s="1"/>
      <c r="F2829">
        <v>5.2</v>
      </c>
      <c r="G2829">
        <v>0</v>
      </c>
      <c r="H2829">
        <v>330</v>
      </c>
      <c r="I2829">
        <v>0</v>
      </c>
      <c r="J2829">
        <v>61</v>
      </c>
      <c r="K2829" s="2">
        <v>45786</v>
      </c>
    </row>
    <row r="2830" spans="1:11" x14ac:dyDescent="0.25">
      <c r="A2830" s="1" t="s">
        <v>949</v>
      </c>
      <c r="B2830" s="1"/>
      <c r="C2830" s="1" t="s">
        <v>2825</v>
      </c>
      <c r="D2830" s="1" t="s">
        <v>3373</v>
      </c>
      <c r="E2830" s="1"/>
      <c r="F2830">
        <v>3.5</v>
      </c>
      <c r="G2830">
        <v>4.0999999999999996</v>
      </c>
      <c r="H2830">
        <v>-20</v>
      </c>
      <c r="I2830">
        <v>0</v>
      </c>
      <c r="J2830">
        <v>60</v>
      </c>
      <c r="K2830" s="2">
        <v>45786</v>
      </c>
    </row>
    <row r="2831" spans="1:11" x14ac:dyDescent="0.25">
      <c r="A2831" s="1" t="s">
        <v>949</v>
      </c>
      <c r="B2831" s="1"/>
      <c r="C2831" s="1" t="s">
        <v>2824</v>
      </c>
      <c r="D2831" s="1" t="s">
        <v>3373</v>
      </c>
      <c r="E2831" s="1"/>
      <c r="F2831">
        <v>4.5</v>
      </c>
      <c r="G2831">
        <v>0</v>
      </c>
      <c r="H2831">
        <v>290</v>
      </c>
      <c r="I2831">
        <v>0</v>
      </c>
      <c r="J2831">
        <v>60</v>
      </c>
      <c r="K2831" s="2">
        <v>45789</v>
      </c>
    </row>
    <row r="2832" spans="1:11" x14ac:dyDescent="0.25">
      <c r="A2832" s="1" t="s">
        <v>274</v>
      </c>
      <c r="B2832" s="1"/>
      <c r="C2832" s="1" t="s">
        <v>3234</v>
      </c>
      <c r="D2832" s="1" t="s">
        <v>3388</v>
      </c>
      <c r="E2832" s="1"/>
      <c r="F2832">
        <v>0.3</v>
      </c>
      <c r="G2832">
        <v>0.7</v>
      </c>
      <c r="H2832">
        <v>-25</v>
      </c>
      <c r="I2832">
        <v>0</v>
      </c>
      <c r="J2832">
        <v>1600</v>
      </c>
      <c r="K2832" s="2">
        <v>45735</v>
      </c>
    </row>
    <row r="2833" spans="1:11" x14ac:dyDescent="0.25">
      <c r="A2833" s="1" t="s">
        <v>274</v>
      </c>
      <c r="B2833" s="1"/>
      <c r="C2833" s="1" t="s">
        <v>2869</v>
      </c>
      <c r="D2833" s="1" t="s">
        <v>3447</v>
      </c>
      <c r="E2833" s="1"/>
      <c r="F2833">
        <v>18.7</v>
      </c>
      <c r="G2833">
        <v>37.5</v>
      </c>
      <c r="H2833">
        <v>-975</v>
      </c>
      <c r="I2833">
        <v>50</v>
      </c>
      <c r="J2833">
        <v>1550</v>
      </c>
      <c r="K2833" s="2">
        <v>45740</v>
      </c>
    </row>
    <row r="2834" spans="1:11" x14ac:dyDescent="0.25">
      <c r="A2834" s="1" t="s">
        <v>274</v>
      </c>
      <c r="B2834" s="1"/>
      <c r="C2834" s="1" t="s">
        <v>3235</v>
      </c>
      <c r="D2834" s="1" t="s">
        <v>3485</v>
      </c>
      <c r="E2834" s="1"/>
      <c r="F2834">
        <v>2.5</v>
      </c>
      <c r="G2834">
        <v>10.199999999999999</v>
      </c>
      <c r="H2834">
        <v>-320</v>
      </c>
      <c r="I2834">
        <v>0</v>
      </c>
      <c r="J2834">
        <v>237</v>
      </c>
      <c r="K2834" s="2">
        <v>45735</v>
      </c>
    </row>
    <row r="2835" spans="1:11" x14ac:dyDescent="0.25">
      <c r="A2835" s="1" t="s">
        <v>274</v>
      </c>
      <c r="B2835" s="1"/>
      <c r="C2835" s="1" t="s">
        <v>3063</v>
      </c>
      <c r="D2835" s="1" t="s">
        <v>3417</v>
      </c>
      <c r="E2835" s="1"/>
      <c r="F2835">
        <v>4.3</v>
      </c>
      <c r="G2835">
        <v>0</v>
      </c>
      <c r="H2835">
        <v>230</v>
      </c>
      <c r="I2835">
        <v>32</v>
      </c>
      <c r="J2835">
        <v>1518</v>
      </c>
      <c r="K2835" s="2">
        <v>45740</v>
      </c>
    </row>
    <row r="2836" spans="1:11" x14ac:dyDescent="0.25">
      <c r="A2836" s="1" t="s">
        <v>403</v>
      </c>
      <c r="B2836" s="1"/>
      <c r="C2836" s="1" t="s">
        <v>2808</v>
      </c>
      <c r="D2836" s="1" t="s">
        <v>3370</v>
      </c>
      <c r="E2836" s="1"/>
      <c r="F2836">
        <v>0</v>
      </c>
      <c r="G2836">
        <v>0</v>
      </c>
      <c r="H2836">
        <v>0</v>
      </c>
      <c r="I2836">
        <v>0</v>
      </c>
      <c r="J2836">
        <v>2504</v>
      </c>
      <c r="K2836" s="2">
        <v>45754</v>
      </c>
    </row>
    <row r="2837" spans="1:11" x14ac:dyDescent="0.25">
      <c r="A2837" s="1" t="s">
        <v>403</v>
      </c>
      <c r="B2837" s="1"/>
      <c r="C2837" s="1" t="s">
        <v>3234</v>
      </c>
      <c r="D2837" s="1" t="s">
        <v>3388</v>
      </c>
      <c r="E2837" s="1"/>
      <c r="F2837">
        <v>0.3</v>
      </c>
      <c r="G2837">
        <v>7.9</v>
      </c>
      <c r="H2837">
        <v>-475</v>
      </c>
      <c r="I2837">
        <v>0</v>
      </c>
      <c r="J2837">
        <v>2504</v>
      </c>
      <c r="K2837" s="2">
        <v>45762</v>
      </c>
    </row>
    <row r="2838" spans="1:11" x14ac:dyDescent="0.25">
      <c r="A2838" s="1" t="s">
        <v>403</v>
      </c>
      <c r="B2838" s="1"/>
      <c r="C2838" s="1" t="s">
        <v>3236</v>
      </c>
      <c r="D2838" s="1" t="s">
        <v>3388</v>
      </c>
      <c r="E2838" s="1"/>
      <c r="F2838">
        <v>0.3</v>
      </c>
      <c r="G2838">
        <v>8</v>
      </c>
      <c r="H2838">
        <v>-485</v>
      </c>
      <c r="I2838">
        <v>0</v>
      </c>
      <c r="J2838">
        <v>2504</v>
      </c>
      <c r="K2838" s="2">
        <v>45762</v>
      </c>
    </row>
    <row r="2839" spans="1:11" x14ac:dyDescent="0.25">
      <c r="A2839" s="1" t="s">
        <v>403</v>
      </c>
      <c r="B2839" s="1"/>
      <c r="C2839" s="1" t="s">
        <v>2869</v>
      </c>
      <c r="D2839" s="1" t="s">
        <v>3447</v>
      </c>
      <c r="E2839" s="1"/>
      <c r="F2839">
        <v>28.1</v>
      </c>
      <c r="G2839">
        <v>59.8</v>
      </c>
      <c r="H2839">
        <v>-1610</v>
      </c>
      <c r="I2839">
        <v>0</v>
      </c>
      <c r="J2839">
        <v>2339</v>
      </c>
      <c r="K2839" s="2">
        <v>45778</v>
      </c>
    </row>
    <row r="2840" spans="1:11" x14ac:dyDescent="0.25">
      <c r="A2840" s="1" t="s">
        <v>422</v>
      </c>
      <c r="B2840" s="1"/>
      <c r="C2840" s="1" t="s">
        <v>2808</v>
      </c>
      <c r="D2840" s="1" t="s">
        <v>3370</v>
      </c>
      <c r="E2840" s="1"/>
      <c r="F2840">
        <v>0</v>
      </c>
      <c r="G2840">
        <v>0</v>
      </c>
      <c r="H2840">
        <v>0</v>
      </c>
      <c r="I2840">
        <v>0</v>
      </c>
      <c r="J2840">
        <v>2600</v>
      </c>
      <c r="K2840" s="2">
        <v>45740</v>
      </c>
    </row>
    <row r="2841" spans="1:11" x14ac:dyDescent="0.25">
      <c r="A2841" s="1" t="s">
        <v>422</v>
      </c>
      <c r="B2841" s="1"/>
      <c r="C2841" s="1" t="s">
        <v>3234</v>
      </c>
      <c r="D2841" s="1" t="s">
        <v>3388</v>
      </c>
      <c r="E2841" s="1"/>
      <c r="F2841">
        <v>0.3</v>
      </c>
      <c r="G2841">
        <v>9.8000000000000007</v>
      </c>
      <c r="H2841">
        <v>-595</v>
      </c>
      <c r="I2841">
        <v>0</v>
      </c>
      <c r="J2841">
        <v>2600</v>
      </c>
      <c r="K2841" s="2">
        <v>45744</v>
      </c>
    </row>
    <row r="2842" spans="1:11" x14ac:dyDescent="0.25">
      <c r="A2842" s="1" t="s">
        <v>422</v>
      </c>
      <c r="B2842" s="1"/>
      <c r="C2842" s="1" t="s">
        <v>3236</v>
      </c>
      <c r="D2842" s="1" t="s">
        <v>3388</v>
      </c>
      <c r="E2842" s="1"/>
      <c r="F2842">
        <v>0.3</v>
      </c>
      <c r="G2842">
        <v>12.9</v>
      </c>
      <c r="H2842">
        <v>-790</v>
      </c>
      <c r="I2842">
        <v>0</v>
      </c>
      <c r="J2842">
        <v>2600</v>
      </c>
      <c r="K2842" s="2">
        <v>45742</v>
      </c>
    </row>
    <row r="2843" spans="1:11" x14ac:dyDescent="0.25">
      <c r="A2843" s="1" t="s">
        <v>422</v>
      </c>
      <c r="B2843" s="1"/>
      <c r="C2843" s="1" t="s">
        <v>2869</v>
      </c>
      <c r="D2843" s="1" t="s">
        <v>3447</v>
      </c>
      <c r="E2843" s="1"/>
      <c r="F2843">
        <v>29.1</v>
      </c>
      <c r="G2843">
        <v>98.6</v>
      </c>
      <c r="H2843">
        <v>-3600</v>
      </c>
      <c r="I2843">
        <v>0</v>
      </c>
      <c r="J2843">
        <v>2468</v>
      </c>
      <c r="K2843" s="2">
        <v>45754</v>
      </c>
    </row>
    <row r="2844" spans="1:11" x14ac:dyDescent="0.25">
      <c r="A2844" s="1" t="s">
        <v>422</v>
      </c>
      <c r="B2844" s="1"/>
      <c r="C2844" s="1" t="s">
        <v>3235</v>
      </c>
      <c r="D2844" s="1" t="s">
        <v>3485</v>
      </c>
      <c r="E2844" s="1"/>
      <c r="F2844">
        <v>2.5</v>
      </c>
      <c r="G2844">
        <v>3.6</v>
      </c>
      <c r="H2844">
        <v>-40</v>
      </c>
      <c r="I2844">
        <v>0</v>
      </c>
      <c r="J2844">
        <v>16</v>
      </c>
      <c r="K2844" s="2">
        <v>45757</v>
      </c>
    </row>
    <row r="2845" spans="1:11" x14ac:dyDescent="0.25">
      <c r="A2845" s="1" t="s">
        <v>340</v>
      </c>
      <c r="B2845" s="1"/>
      <c r="C2845" s="1" t="s">
        <v>3182</v>
      </c>
      <c r="D2845" s="1" t="s">
        <v>3388</v>
      </c>
      <c r="E2845" s="1"/>
      <c r="F2845">
        <v>6.9</v>
      </c>
      <c r="G2845">
        <v>1.2</v>
      </c>
      <c r="H2845">
        <v>355</v>
      </c>
      <c r="I2845">
        <v>0</v>
      </c>
      <c r="J2845">
        <v>20</v>
      </c>
      <c r="K2845" s="2">
        <v>45733</v>
      </c>
    </row>
    <row r="2846" spans="1:11" x14ac:dyDescent="0.25">
      <c r="A2846" s="1" t="s">
        <v>340</v>
      </c>
      <c r="B2846" s="1"/>
      <c r="C2846" s="1" t="s">
        <v>3183</v>
      </c>
      <c r="D2846" s="1" t="s">
        <v>3388</v>
      </c>
      <c r="E2846" s="1"/>
      <c r="F2846">
        <v>7.2</v>
      </c>
      <c r="G2846">
        <v>3.9</v>
      </c>
      <c r="H2846">
        <v>210</v>
      </c>
      <c r="I2846">
        <v>0</v>
      </c>
      <c r="J2846">
        <v>20</v>
      </c>
      <c r="K2846" s="2">
        <v>45737</v>
      </c>
    </row>
    <row r="2847" spans="1:11" x14ac:dyDescent="0.25">
      <c r="A2847" s="1" t="s">
        <v>340</v>
      </c>
      <c r="B2847" s="1"/>
      <c r="C2847" s="1" t="s">
        <v>2975</v>
      </c>
      <c r="D2847" s="1" t="s">
        <v>3429</v>
      </c>
      <c r="E2847" s="1"/>
      <c r="F2847">
        <v>0</v>
      </c>
      <c r="G2847">
        <v>0</v>
      </c>
      <c r="H2847">
        <v>0</v>
      </c>
      <c r="I2847">
        <v>0</v>
      </c>
      <c r="J2847">
        <v>20</v>
      </c>
      <c r="K2847" s="2">
        <v>45733</v>
      </c>
    </row>
    <row r="2848" spans="1:11" x14ac:dyDescent="0.25">
      <c r="A2848" s="1" t="s">
        <v>340</v>
      </c>
      <c r="B2848" s="1"/>
      <c r="C2848" s="1" t="s">
        <v>3214</v>
      </c>
      <c r="D2848" s="1" t="s">
        <v>3471</v>
      </c>
      <c r="E2848" s="1"/>
      <c r="F2848">
        <v>1.2</v>
      </c>
      <c r="G2848">
        <v>1.2</v>
      </c>
      <c r="H2848">
        <v>10</v>
      </c>
      <c r="I2848">
        <v>0</v>
      </c>
      <c r="J2848">
        <v>20</v>
      </c>
      <c r="K2848" s="2">
        <v>45733</v>
      </c>
    </row>
    <row r="2849" spans="1:11" x14ac:dyDescent="0.25">
      <c r="A2849" s="1" t="s">
        <v>340</v>
      </c>
      <c r="B2849" s="1"/>
      <c r="C2849" s="1" t="s">
        <v>3237</v>
      </c>
      <c r="D2849" s="1" t="s">
        <v>3388</v>
      </c>
      <c r="E2849" s="1"/>
      <c r="F2849">
        <v>7.2</v>
      </c>
      <c r="G2849">
        <v>3.8</v>
      </c>
      <c r="H2849">
        <v>215</v>
      </c>
      <c r="I2849">
        <v>0</v>
      </c>
      <c r="J2849">
        <v>20</v>
      </c>
      <c r="K2849" s="2">
        <v>45734</v>
      </c>
    </row>
    <row r="2850" spans="1:11" x14ac:dyDescent="0.25">
      <c r="A2850" s="1" t="s">
        <v>340</v>
      </c>
      <c r="B2850" s="1"/>
      <c r="C2850" s="1" t="s">
        <v>2948</v>
      </c>
      <c r="D2850" s="1" t="s">
        <v>3388</v>
      </c>
      <c r="E2850" s="1"/>
      <c r="F2850">
        <v>10.3</v>
      </c>
      <c r="G2850">
        <v>24.3</v>
      </c>
      <c r="H2850">
        <v>-870</v>
      </c>
      <c r="I2850">
        <v>0</v>
      </c>
      <c r="J2850">
        <v>20</v>
      </c>
      <c r="K2850" s="2">
        <v>45740</v>
      </c>
    </row>
    <row r="2851" spans="1:11" x14ac:dyDescent="0.25">
      <c r="A2851" s="1" t="s">
        <v>340</v>
      </c>
      <c r="B2851" s="1"/>
      <c r="C2851" s="1" t="s">
        <v>2816</v>
      </c>
      <c r="D2851" s="1" t="s">
        <v>3372</v>
      </c>
      <c r="E2851" s="1"/>
      <c r="F2851">
        <v>1</v>
      </c>
      <c r="G2851">
        <v>0.5</v>
      </c>
      <c r="H2851">
        <v>30</v>
      </c>
      <c r="I2851">
        <v>0</v>
      </c>
      <c r="J2851">
        <v>20</v>
      </c>
      <c r="K2851" s="2">
        <v>45737</v>
      </c>
    </row>
    <row r="2852" spans="1:11" x14ac:dyDescent="0.25">
      <c r="A2852" s="1" t="s">
        <v>340</v>
      </c>
      <c r="B2852" s="1"/>
      <c r="C2852" s="1" t="s">
        <v>2828</v>
      </c>
      <c r="D2852" s="1" t="s">
        <v>3431</v>
      </c>
      <c r="E2852" s="1"/>
      <c r="F2852">
        <v>20.3</v>
      </c>
      <c r="G2852">
        <v>29</v>
      </c>
      <c r="H2852">
        <v>-550</v>
      </c>
      <c r="I2852">
        <v>0</v>
      </c>
      <c r="J2852">
        <v>20</v>
      </c>
      <c r="K2852" s="2">
        <v>45747</v>
      </c>
    </row>
    <row r="2853" spans="1:11" x14ac:dyDescent="0.25">
      <c r="A2853" s="1" t="s">
        <v>340</v>
      </c>
      <c r="B2853" s="1"/>
      <c r="C2853" s="1" t="s">
        <v>2924</v>
      </c>
      <c r="D2853" s="1" t="s">
        <v>3372</v>
      </c>
      <c r="E2853" s="1"/>
      <c r="F2853">
        <v>1</v>
      </c>
      <c r="G2853">
        <v>0.2</v>
      </c>
      <c r="H2853">
        <v>45</v>
      </c>
      <c r="I2853">
        <v>0</v>
      </c>
      <c r="J2853">
        <v>20</v>
      </c>
      <c r="K2853" s="2">
        <v>45748</v>
      </c>
    </row>
    <row r="2854" spans="1:11" x14ac:dyDescent="0.25">
      <c r="A2854" s="1" t="s">
        <v>216</v>
      </c>
      <c r="B2854" s="1"/>
      <c r="C2854" s="1" t="s">
        <v>2873</v>
      </c>
      <c r="D2854" s="1" t="s">
        <v>3447</v>
      </c>
      <c r="E2854" s="1"/>
      <c r="F2854">
        <v>4.3</v>
      </c>
      <c r="G2854">
        <v>4.4000000000000004</v>
      </c>
      <c r="H2854">
        <v>20</v>
      </c>
      <c r="I2854">
        <v>0</v>
      </c>
      <c r="J2854">
        <v>234</v>
      </c>
      <c r="K2854" s="2">
        <v>45742</v>
      </c>
    </row>
    <row r="2855" spans="1:11" x14ac:dyDescent="0.25">
      <c r="A2855" s="1" t="s">
        <v>216</v>
      </c>
      <c r="B2855" s="1"/>
      <c r="C2855" s="1" t="s">
        <v>3238</v>
      </c>
      <c r="D2855" s="1" t="s">
        <v>3374</v>
      </c>
      <c r="E2855" s="1"/>
      <c r="F2855">
        <v>0</v>
      </c>
      <c r="G2855">
        <v>0</v>
      </c>
      <c r="H2855">
        <v>0</v>
      </c>
      <c r="I2855">
        <v>0</v>
      </c>
      <c r="J2855">
        <v>234</v>
      </c>
      <c r="K2855" s="2">
        <v>45777</v>
      </c>
    </row>
    <row r="2856" spans="1:11" x14ac:dyDescent="0.25">
      <c r="A2856" s="1" t="s">
        <v>216</v>
      </c>
      <c r="B2856" s="1"/>
      <c r="C2856" s="1" t="s">
        <v>3081</v>
      </c>
      <c r="D2856" s="1" t="s">
        <v>3425</v>
      </c>
      <c r="E2856" s="1"/>
      <c r="F2856">
        <v>5.7</v>
      </c>
      <c r="G2856">
        <v>30.7</v>
      </c>
      <c r="H2856">
        <v>-1045</v>
      </c>
      <c r="I2856">
        <v>174</v>
      </c>
      <c r="J2856">
        <v>60</v>
      </c>
      <c r="K2856" s="2">
        <v>45777</v>
      </c>
    </row>
    <row r="2857" spans="1:11" x14ac:dyDescent="0.25">
      <c r="A2857" s="1" t="s">
        <v>445</v>
      </c>
      <c r="B2857" s="1"/>
      <c r="C2857" s="1" t="s">
        <v>2808</v>
      </c>
      <c r="D2857" s="1" t="s">
        <v>3370</v>
      </c>
      <c r="E2857" s="1"/>
      <c r="F2857">
        <v>0</v>
      </c>
      <c r="G2857">
        <v>0</v>
      </c>
      <c r="H2857">
        <v>0</v>
      </c>
      <c r="I2857">
        <v>0</v>
      </c>
      <c r="J2857">
        <v>180</v>
      </c>
      <c r="K2857" s="2">
        <v>45744</v>
      </c>
    </row>
    <row r="2858" spans="1:11" x14ac:dyDescent="0.25">
      <c r="A2858" s="1" t="s">
        <v>445</v>
      </c>
      <c r="B2858" s="1"/>
      <c r="C2858" s="1" t="s">
        <v>2871</v>
      </c>
      <c r="D2858" s="1" t="s">
        <v>3404</v>
      </c>
      <c r="E2858" s="1"/>
      <c r="F2858">
        <v>1.2</v>
      </c>
      <c r="G2858">
        <v>0</v>
      </c>
      <c r="H2858">
        <v>70</v>
      </c>
      <c r="I2858">
        <v>0</v>
      </c>
      <c r="J2858">
        <v>180</v>
      </c>
      <c r="K2858" s="2">
        <v>45758</v>
      </c>
    </row>
    <row r="2859" spans="1:11" x14ac:dyDescent="0.25">
      <c r="A2859" s="1" t="s">
        <v>445</v>
      </c>
      <c r="B2859" s="1"/>
      <c r="C2859" s="1" t="s">
        <v>2872</v>
      </c>
      <c r="D2859" s="1" t="s">
        <v>3371</v>
      </c>
      <c r="E2859" s="1"/>
      <c r="F2859">
        <v>1.2</v>
      </c>
      <c r="G2859">
        <v>3.2</v>
      </c>
      <c r="H2859">
        <v>-100</v>
      </c>
      <c r="I2859">
        <v>0</v>
      </c>
      <c r="J2859">
        <v>180</v>
      </c>
      <c r="K2859" s="2">
        <v>45758</v>
      </c>
    </row>
    <row r="2860" spans="1:11" x14ac:dyDescent="0.25">
      <c r="A2860" s="1" t="s">
        <v>445</v>
      </c>
      <c r="B2860" s="1"/>
      <c r="C2860" s="1" t="s">
        <v>2873</v>
      </c>
      <c r="D2860" s="1" t="s">
        <v>3447</v>
      </c>
      <c r="E2860" s="1"/>
      <c r="F2860">
        <v>3.5</v>
      </c>
      <c r="G2860">
        <v>4.0999999999999996</v>
      </c>
      <c r="H2860">
        <v>-25</v>
      </c>
      <c r="I2860">
        <v>0</v>
      </c>
      <c r="J2860">
        <v>180</v>
      </c>
      <c r="K2860" s="2">
        <v>45778</v>
      </c>
    </row>
    <row r="2861" spans="1:11" x14ac:dyDescent="0.25">
      <c r="A2861" s="1" t="s">
        <v>445</v>
      </c>
      <c r="B2861" s="1"/>
      <c r="C2861" s="1" t="s">
        <v>3238</v>
      </c>
      <c r="D2861" s="1" t="s">
        <v>3374</v>
      </c>
      <c r="E2861" s="1"/>
      <c r="F2861">
        <v>0</v>
      </c>
      <c r="G2861">
        <v>0</v>
      </c>
      <c r="H2861">
        <v>0</v>
      </c>
      <c r="I2861">
        <v>0</v>
      </c>
      <c r="J2861">
        <v>180</v>
      </c>
      <c r="K2861" s="2">
        <v>45778</v>
      </c>
    </row>
    <row r="2862" spans="1:11" x14ac:dyDescent="0.25">
      <c r="A2862" s="1" t="s">
        <v>445</v>
      </c>
      <c r="B2862" s="1"/>
      <c r="C2862" s="1" t="s">
        <v>3081</v>
      </c>
      <c r="D2862" s="1" t="s">
        <v>3425</v>
      </c>
      <c r="E2862" s="1"/>
      <c r="F2862">
        <v>4.5999999999999996</v>
      </c>
      <c r="G2862">
        <v>24.8</v>
      </c>
      <c r="H2862">
        <v>-840</v>
      </c>
      <c r="I2862">
        <v>0</v>
      </c>
      <c r="J2862">
        <v>180</v>
      </c>
      <c r="K2862" s="2">
        <v>45778</v>
      </c>
    </row>
    <row r="2863" spans="1:11" x14ac:dyDescent="0.25">
      <c r="A2863" s="1" t="s">
        <v>445</v>
      </c>
      <c r="B2863" s="1"/>
      <c r="C2863" s="1" t="s">
        <v>3239</v>
      </c>
      <c r="D2863" s="1" t="s">
        <v>3389</v>
      </c>
      <c r="E2863" s="1"/>
      <c r="F2863">
        <v>0</v>
      </c>
      <c r="G2863">
        <v>0</v>
      </c>
      <c r="H2863">
        <v>0</v>
      </c>
      <c r="I2863">
        <v>0</v>
      </c>
      <c r="J2863">
        <v>180</v>
      </c>
      <c r="K2863" s="2">
        <v>45778</v>
      </c>
    </row>
    <row r="2864" spans="1:11" x14ac:dyDescent="0.25">
      <c r="A2864" s="1" t="s">
        <v>445</v>
      </c>
      <c r="B2864" s="1"/>
      <c r="C2864" s="1" t="s">
        <v>3240</v>
      </c>
      <c r="D2864" s="1" t="s">
        <v>3403</v>
      </c>
      <c r="E2864" s="1"/>
      <c r="F2864">
        <v>2.1</v>
      </c>
      <c r="G2864">
        <v>8</v>
      </c>
      <c r="H2864">
        <v>-295</v>
      </c>
      <c r="I2864">
        <v>0</v>
      </c>
      <c r="J2864">
        <v>180</v>
      </c>
      <c r="K2864" s="2">
        <v>45778</v>
      </c>
    </row>
    <row r="2865" spans="1:11" x14ac:dyDescent="0.25">
      <c r="A2865" s="1" t="s">
        <v>445</v>
      </c>
      <c r="B2865" s="1"/>
      <c r="C2865" s="1" t="s">
        <v>3241</v>
      </c>
      <c r="D2865" s="1" t="s">
        <v>3372</v>
      </c>
      <c r="E2865" s="1"/>
      <c r="F2865">
        <v>1</v>
      </c>
      <c r="G2865">
        <v>1</v>
      </c>
      <c r="H2865">
        <v>0</v>
      </c>
      <c r="I2865">
        <v>0</v>
      </c>
      <c r="J2865">
        <v>180</v>
      </c>
      <c r="K2865" s="2">
        <v>45778</v>
      </c>
    </row>
    <row r="2866" spans="1:11" x14ac:dyDescent="0.25">
      <c r="A2866" s="1" t="s">
        <v>915</v>
      </c>
      <c r="B2866" s="1"/>
      <c r="C2866" s="1" t="s">
        <v>2808</v>
      </c>
      <c r="D2866" s="1" t="s">
        <v>3370</v>
      </c>
      <c r="E2866" s="1"/>
      <c r="F2866">
        <v>0</v>
      </c>
      <c r="G2866">
        <v>0</v>
      </c>
      <c r="H2866">
        <v>0</v>
      </c>
      <c r="I2866">
        <v>0</v>
      </c>
      <c r="J2866">
        <v>10</v>
      </c>
      <c r="K2866" s="2">
        <v>45783</v>
      </c>
    </row>
    <row r="2867" spans="1:11" x14ac:dyDescent="0.25">
      <c r="A2867" s="1" t="s">
        <v>915</v>
      </c>
      <c r="B2867" s="1"/>
      <c r="C2867" s="1" t="s">
        <v>3030</v>
      </c>
      <c r="D2867" s="1" t="s">
        <v>3429</v>
      </c>
      <c r="E2867" s="1"/>
      <c r="F2867">
        <v>0</v>
      </c>
      <c r="G2867">
        <v>0</v>
      </c>
      <c r="H2867">
        <v>0</v>
      </c>
      <c r="I2867">
        <v>0</v>
      </c>
      <c r="J2867">
        <v>10</v>
      </c>
      <c r="K2867" s="2">
        <v>45786</v>
      </c>
    </row>
    <row r="2868" spans="1:11" x14ac:dyDescent="0.25">
      <c r="A2868" s="1" t="s">
        <v>915</v>
      </c>
      <c r="B2868" s="1"/>
      <c r="C2868" s="1" t="s">
        <v>3242</v>
      </c>
      <c r="D2868" s="1" t="s">
        <v>3407</v>
      </c>
      <c r="E2868" s="1"/>
      <c r="F2868">
        <v>1.1000000000000001</v>
      </c>
      <c r="G2868">
        <v>0</v>
      </c>
      <c r="H2868">
        <v>100</v>
      </c>
      <c r="I2868">
        <v>0</v>
      </c>
      <c r="J2868">
        <v>10</v>
      </c>
      <c r="K2868" s="2">
        <v>45789</v>
      </c>
    </row>
    <row r="2869" spans="1:11" x14ac:dyDescent="0.25">
      <c r="A2869" s="1" t="s">
        <v>915</v>
      </c>
      <c r="B2869" s="1"/>
      <c r="C2869" s="1" t="s">
        <v>3130</v>
      </c>
      <c r="D2869" s="1" t="s">
        <v>3431</v>
      </c>
      <c r="E2869" s="1"/>
      <c r="F2869">
        <v>1</v>
      </c>
      <c r="G2869">
        <v>0</v>
      </c>
      <c r="H2869">
        <v>65</v>
      </c>
      <c r="I2869">
        <v>0</v>
      </c>
      <c r="J2869">
        <v>10</v>
      </c>
      <c r="K2869" s="2">
        <v>45789</v>
      </c>
    </row>
    <row r="2870" spans="1:11" x14ac:dyDescent="0.25">
      <c r="A2870" s="1" t="s">
        <v>208</v>
      </c>
      <c r="B2870" s="1"/>
      <c r="C2870" s="1" t="s">
        <v>3144</v>
      </c>
      <c r="D2870" s="1" t="s">
        <v>3388</v>
      </c>
      <c r="E2870" s="1"/>
      <c r="F2870">
        <v>1.8</v>
      </c>
      <c r="G2870">
        <v>1.9</v>
      </c>
      <c r="H2870">
        <v>-5</v>
      </c>
      <c r="I2870">
        <v>0</v>
      </c>
      <c r="J2870">
        <v>50</v>
      </c>
      <c r="K2870" s="2">
        <v>45736</v>
      </c>
    </row>
    <row r="2871" spans="1:11" x14ac:dyDescent="0.25">
      <c r="A2871" s="1" t="s">
        <v>208</v>
      </c>
      <c r="B2871" s="1"/>
      <c r="C2871" s="1" t="s">
        <v>2953</v>
      </c>
      <c r="D2871" s="1" t="s">
        <v>3466</v>
      </c>
      <c r="E2871" s="1"/>
      <c r="F2871">
        <v>3</v>
      </c>
      <c r="G2871">
        <v>2.7</v>
      </c>
      <c r="H2871">
        <v>35</v>
      </c>
      <c r="I2871">
        <v>0</v>
      </c>
      <c r="J2871">
        <v>6</v>
      </c>
      <c r="K2871" s="2">
        <v>45740</v>
      </c>
    </row>
    <row r="2872" spans="1:11" x14ac:dyDescent="0.25">
      <c r="A2872" s="1" t="s">
        <v>208</v>
      </c>
      <c r="B2872" s="1"/>
      <c r="C2872" s="1" t="s">
        <v>2961</v>
      </c>
      <c r="D2872" s="1" t="s">
        <v>3462</v>
      </c>
      <c r="E2872" s="1"/>
      <c r="F2872">
        <v>2</v>
      </c>
      <c r="G2872">
        <v>3</v>
      </c>
      <c r="H2872">
        <v>-40</v>
      </c>
      <c r="I2872">
        <v>0</v>
      </c>
      <c r="J2872">
        <v>6</v>
      </c>
      <c r="K2872" s="2">
        <v>45744</v>
      </c>
    </row>
    <row r="2873" spans="1:11" x14ac:dyDescent="0.25">
      <c r="A2873" s="1" t="s">
        <v>208</v>
      </c>
      <c r="B2873" s="1"/>
      <c r="C2873" s="1" t="s">
        <v>3229</v>
      </c>
      <c r="D2873" s="1" t="s">
        <v>3466</v>
      </c>
      <c r="E2873" s="1"/>
      <c r="F2873">
        <v>3.7</v>
      </c>
      <c r="G2873">
        <v>16.2</v>
      </c>
      <c r="H2873">
        <v>-770</v>
      </c>
      <c r="I2873">
        <v>1</v>
      </c>
      <c r="J2873">
        <v>49</v>
      </c>
      <c r="K2873" s="2">
        <v>45749</v>
      </c>
    </row>
    <row r="2874" spans="1:11" x14ac:dyDescent="0.25">
      <c r="A2874" s="1" t="s">
        <v>208</v>
      </c>
      <c r="B2874" s="1"/>
      <c r="C2874" s="1" t="s">
        <v>2864</v>
      </c>
      <c r="D2874" s="1" t="s">
        <v>3462</v>
      </c>
      <c r="E2874" s="1"/>
      <c r="F2874">
        <v>0.5</v>
      </c>
      <c r="G2874">
        <v>2.2000000000000002</v>
      </c>
      <c r="H2874">
        <v>-70</v>
      </c>
      <c r="I2874">
        <v>0</v>
      </c>
      <c r="J2874">
        <v>4</v>
      </c>
      <c r="K2874" s="2">
        <v>45744</v>
      </c>
    </row>
    <row r="2875" spans="1:11" x14ac:dyDescent="0.25">
      <c r="A2875" s="1" t="s">
        <v>208</v>
      </c>
      <c r="B2875" s="1"/>
      <c r="C2875" s="1" t="s">
        <v>3101</v>
      </c>
      <c r="D2875" s="1" t="s">
        <v>3397</v>
      </c>
      <c r="E2875" s="1"/>
      <c r="F2875">
        <v>1.4</v>
      </c>
      <c r="G2875">
        <v>0</v>
      </c>
      <c r="H2875">
        <v>90</v>
      </c>
      <c r="I2875">
        <v>0</v>
      </c>
      <c r="J2875">
        <v>49</v>
      </c>
      <c r="K2875" s="2">
        <v>45749</v>
      </c>
    </row>
    <row r="2876" spans="1:11" x14ac:dyDescent="0.25">
      <c r="A2876" s="1" t="s">
        <v>208</v>
      </c>
      <c r="B2876" s="1"/>
      <c r="C2876" s="1" t="s">
        <v>3006</v>
      </c>
      <c r="D2876" s="1" t="s">
        <v>3372</v>
      </c>
      <c r="E2876" s="1"/>
      <c r="F2876">
        <v>1</v>
      </c>
      <c r="G2876">
        <v>0.1</v>
      </c>
      <c r="H2876">
        <v>45</v>
      </c>
      <c r="I2876">
        <v>0</v>
      </c>
      <c r="J2876">
        <v>49</v>
      </c>
      <c r="K2876" s="2">
        <v>45749</v>
      </c>
    </row>
    <row r="2877" spans="1:11" x14ac:dyDescent="0.25">
      <c r="A2877" s="1" t="s">
        <v>208</v>
      </c>
      <c r="B2877" s="1"/>
      <c r="C2877" s="1" t="s">
        <v>3230</v>
      </c>
      <c r="D2877" s="1" t="s">
        <v>3388</v>
      </c>
      <c r="E2877" s="1"/>
      <c r="F2877">
        <v>0.6</v>
      </c>
      <c r="G2877">
        <v>0</v>
      </c>
      <c r="H2877">
        <v>40</v>
      </c>
      <c r="I2877">
        <v>0</v>
      </c>
      <c r="J2877">
        <v>49</v>
      </c>
      <c r="K2877" s="2">
        <v>45749</v>
      </c>
    </row>
    <row r="2878" spans="1:11" x14ac:dyDescent="0.25">
      <c r="A2878" s="1" t="s">
        <v>208</v>
      </c>
      <c r="B2878" s="1"/>
      <c r="C2878" s="1" t="s">
        <v>3243</v>
      </c>
      <c r="D2878" s="1" t="s">
        <v>3488</v>
      </c>
      <c r="E2878" s="1"/>
      <c r="F2878">
        <v>0.8</v>
      </c>
      <c r="G2878">
        <v>3.8</v>
      </c>
      <c r="H2878">
        <v>-160</v>
      </c>
      <c r="I2878">
        <v>0</v>
      </c>
      <c r="J2878">
        <v>49</v>
      </c>
      <c r="K2878" s="2">
        <v>45749</v>
      </c>
    </row>
    <row r="2879" spans="1:11" x14ac:dyDescent="0.25">
      <c r="A2879" s="1" t="s">
        <v>208</v>
      </c>
      <c r="B2879" s="1"/>
      <c r="C2879" s="1" t="s">
        <v>2948</v>
      </c>
      <c r="D2879" s="1" t="s">
        <v>3388</v>
      </c>
      <c r="E2879" s="1"/>
      <c r="F2879">
        <v>1.9</v>
      </c>
      <c r="G2879">
        <v>1.4</v>
      </c>
      <c r="H2879">
        <v>35</v>
      </c>
      <c r="I2879">
        <v>0</v>
      </c>
      <c r="J2879">
        <v>49</v>
      </c>
      <c r="K2879" s="2">
        <v>45749</v>
      </c>
    </row>
    <row r="2880" spans="1:11" x14ac:dyDescent="0.25">
      <c r="A2880" s="1" t="s">
        <v>208</v>
      </c>
      <c r="B2880" s="1"/>
      <c r="C2880" s="1" t="s">
        <v>3101</v>
      </c>
      <c r="D2880" s="1" t="s">
        <v>3397</v>
      </c>
      <c r="E2880" s="1"/>
      <c r="F2880">
        <v>1.9</v>
      </c>
      <c r="G2880">
        <v>2.1</v>
      </c>
      <c r="H2880">
        <v>-5</v>
      </c>
      <c r="I2880">
        <v>0</v>
      </c>
      <c r="J2880">
        <v>49</v>
      </c>
      <c r="K2880" s="2">
        <v>45749</v>
      </c>
    </row>
    <row r="2881" spans="1:11" x14ac:dyDescent="0.25">
      <c r="A2881" s="1" t="s">
        <v>208</v>
      </c>
      <c r="B2881" s="1"/>
      <c r="C2881" s="1" t="s">
        <v>3233</v>
      </c>
      <c r="D2881" s="1" t="s">
        <v>3372</v>
      </c>
      <c r="E2881" s="1"/>
      <c r="F2881">
        <v>1</v>
      </c>
      <c r="G2881">
        <v>0.4</v>
      </c>
      <c r="H2881">
        <v>35</v>
      </c>
      <c r="I2881">
        <v>0</v>
      </c>
      <c r="J2881">
        <v>49</v>
      </c>
      <c r="K2881" s="2">
        <v>45749</v>
      </c>
    </row>
    <row r="2882" spans="1:11" x14ac:dyDescent="0.25">
      <c r="A2882" s="1" t="s">
        <v>208</v>
      </c>
      <c r="B2882" s="1"/>
      <c r="C2882" s="1" t="s">
        <v>3164</v>
      </c>
      <c r="D2882" s="1" t="s">
        <v>3449</v>
      </c>
      <c r="E2882" s="1"/>
      <c r="F2882">
        <v>1.1000000000000001</v>
      </c>
      <c r="G2882">
        <v>1.2</v>
      </c>
      <c r="H2882">
        <v>-5</v>
      </c>
      <c r="I2882">
        <v>0</v>
      </c>
      <c r="J2882">
        <v>49</v>
      </c>
      <c r="K2882" s="2">
        <v>45749</v>
      </c>
    </row>
    <row r="2883" spans="1:11" x14ac:dyDescent="0.25">
      <c r="A2883" s="1" t="s">
        <v>208</v>
      </c>
      <c r="B2883" s="1"/>
      <c r="C2883" s="1" t="s">
        <v>2943</v>
      </c>
      <c r="D2883" s="1" t="s">
        <v>3423</v>
      </c>
      <c r="E2883" s="1"/>
      <c r="F2883">
        <v>0</v>
      </c>
      <c r="G2883">
        <v>6.7</v>
      </c>
      <c r="H2883">
        <v>0</v>
      </c>
      <c r="I2883">
        <v>0</v>
      </c>
      <c r="J2883">
        <v>49</v>
      </c>
      <c r="K2883" s="2">
        <v>45749</v>
      </c>
    </row>
    <row r="2884" spans="1:11" x14ac:dyDescent="0.25">
      <c r="A2884" s="1" t="s">
        <v>191</v>
      </c>
      <c r="B2884" s="1"/>
      <c r="C2884" s="1" t="s">
        <v>2903</v>
      </c>
      <c r="D2884" s="1" t="s">
        <v>3388</v>
      </c>
      <c r="E2884" s="1"/>
      <c r="F2884">
        <v>0.6</v>
      </c>
      <c r="G2884">
        <v>1</v>
      </c>
      <c r="H2884">
        <v>-30</v>
      </c>
      <c r="I2884">
        <v>0</v>
      </c>
      <c r="J2884">
        <v>45</v>
      </c>
      <c r="K2884" s="2">
        <v>45749</v>
      </c>
    </row>
    <row r="2885" spans="1:11" x14ac:dyDescent="0.25">
      <c r="A2885" s="1" t="s">
        <v>191</v>
      </c>
      <c r="B2885" s="1"/>
      <c r="C2885" s="1" t="s">
        <v>2997</v>
      </c>
      <c r="D2885" s="1" t="s">
        <v>3413</v>
      </c>
      <c r="E2885" s="1"/>
      <c r="F2885">
        <v>0.6</v>
      </c>
      <c r="G2885">
        <v>1</v>
      </c>
      <c r="H2885">
        <v>-30</v>
      </c>
      <c r="I2885">
        <v>0</v>
      </c>
      <c r="J2885">
        <v>45</v>
      </c>
      <c r="K2885" s="2">
        <v>45749</v>
      </c>
    </row>
    <row r="2886" spans="1:11" x14ac:dyDescent="0.25">
      <c r="A2886" s="1" t="s">
        <v>191</v>
      </c>
      <c r="B2886" s="1"/>
      <c r="C2886" s="1" t="s">
        <v>2903</v>
      </c>
      <c r="D2886" s="1" t="s">
        <v>3388</v>
      </c>
      <c r="E2886" s="1"/>
      <c r="F2886">
        <v>0.6</v>
      </c>
      <c r="G2886">
        <v>1</v>
      </c>
      <c r="H2886">
        <v>-30</v>
      </c>
      <c r="I2886">
        <v>0</v>
      </c>
      <c r="J2886">
        <v>45</v>
      </c>
      <c r="K2886" s="2">
        <v>45749</v>
      </c>
    </row>
    <row r="2887" spans="1:11" x14ac:dyDescent="0.25">
      <c r="A2887" s="1" t="s">
        <v>191</v>
      </c>
      <c r="B2887" s="1"/>
      <c r="C2887" s="1" t="s">
        <v>3144</v>
      </c>
      <c r="D2887" s="1" t="s">
        <v>3388</v>
      </c>
      <c r="E2887" s="1"/>
      <c r="F2887">
        <v>1.6</v>
      </c>
      <c r="G2887">
        <v>7</v>
      </c>
      <c r="H2887">
        <v>-335</v>
      </c>
      <c r="I2887">
        <v>0</v>
      </c>
      <c r="J2887">
        <v>45</v>
      </c>
      <c r="K2887" s="2">
        <v>45749</v>
      </c>
    </row>
    <row r="2888" spans="1:11" x14ac:dyDescent="0.25">
      <c r="A2888" s="1" t="s">
        <v>191</v>
      </c>
      <c r="B2888" s="1"/>
      <c r="C2888" s="1" t="s">
        <v>2953</v>
      </c>
      <c r="D2888" s="1" t="s">
        <v>3466</v>
      </c>
      <c r="E2888" s="1"/>
      <c r="F2888">
        <v>3</v>
      </c>
      <c r="G2888">
        <v>2</v>
      </c>
      <c r="H2888">
        <v>70</v>
      </c>
      <c r="I2888">
        <v>0</v>
      </c>
      <c r="J2888">
        <v>6</v>
      </c>
      <c r="K2888" s="2">
        <v>45736</v>
      </c>
    </row>
    <row r="2889" spans="1:11" x14ac:dyDescent="0.25">
      <c r="A2889" s="1" t="s">
        <v>191</v>
      </c>
      <c r="B2889" s="1"/>
      <c r="C2889" s="1" t="s">
        <v>2961</v>
      </c>
      <c r="D2889" s="1" t="s">
        <v>3462</v>
      </c>
      <c r="E2889" s="1"/>
      <c r="F2889">
        <v>0.5</v>
      </c>
      <c r="G2889">
        <v>2.6</v>
      </c>
      <c r="H2889">
        <v>-105</v>
      </c>
      <c r="I2889">
        <v>0</v>
      </c>
      <c r="J2889">
        <v>6</v>
      </c>
      <c r="K2889" s="2">
        <v>45745</v>
      </c>
    </row>
    <row r="2890" spans="1:11" x14ac:dyDescent="0.25">
      <c r="A2890" s="1" t="s">
        <v>191</v>
      </c>
      <c r="B2890" s="1"/>
      <c r="C2890" s="1" t="s">
        <v>3229</v>
      </c>
      <c r="D2890" s="1" t="s">
        <v>3466</v>
      </c>
      <c r="E2890" s="1"/>
      <c r="F2890">
        <v>3.5</v>
      </c>
      <c r="G2890">
        <v>11.6</v>
      </c>
      <c r="H2890">
        <v>-455</v>
      </c>
      <c r="I2890">
        <v>0</v>
      </c>
      <c r="J2890">
        <v>45</v>
      </c>
      <c r="K2890" s="2">
        <v>45749</v>
      </c>
    </row>
    <row r="2891" spans="1:11" x14ac:dyDescent="0.25">
      <c r="A2891" s="1" t="s">
        <v>191</v>
      </c>
      <c r="B2891" s="1"/>
      <c r="C2891" s="1" t="s">
        <v>2864</v>
      </c>
      <c r="D2891" s="1" t="s">
        <v>3462</v>
      </c>
      <c r="E2891" s="1"/>
      <c r="F2891">
        <v>0.5</v>
      </c>
      <c r="G2891">
        <v>0.7</v>
      </c>
      <c r="H2891">
        <v>-5</v>
      </c>
      <c r="I2891">
        <v>0</v>
      </c>
      <c r="J2891">
        <v>4</v>
      </c>
      <c r="K2891" s="2">
        <v>45745</v>
      </c>
    </row>
    <row r="2892" spans="1:11" x14ac:dyDescent="0.25">
      <c r="A2892" s="1" t="s">
        <v>191</v>
      </c>
      <c r="B2892" s="1"/>
      <c r="C2892" s="1" t="s">
        <v>3101</v>
      </c>
      <c r="D2892" s="1" t="s">
        <v>3397</v>
      </c>
      <c r="E2892" s="1"/>
      <c r="F2892">
        <v>1.3</v>
      </c>
      <c r="G2892">
        <v>2.1</v>
      </c>
      <c r="H2892">
        <v>-50</v>
      </c>
      <c r="I2892">
        <v>0</v>
      </c>
      <c r="J2892">
        <v>45</v>
      </c>
      <c r="K2892" s="2">
        <v>45749</v>
      </c>
    </row>
    <row r="2893" spans="1:11" x14ac:dyDescent="0.25">
      <c r="A2893" s="1" t="s">
        <v>191</v>
      </c>
      <c r="B2893" s="1"/>
      <c r="C2893" s="1" t="s">
        <v>3006</v>
      </c>
      <c r="D2893" s="1" t="s">
        <v>3372</v>
      </c>
      <c r="E2893" s="1"/>
      <c r="F2893">
        <v>1</v>
      </c>
      <c r="G2893">
        <v>0.1</v>
      </c>
      <c r="H2893">
        <v>45</v>
      </c>
      <c r="I2893">
        <v>0</v>
      </c>
      <c r="J2893">
        <v>45</v>
      </c>
      <c r="K2893" s="2">
        <v>45749</v>
      </c>
    </row>
    <row r="2894" spans="1:11" x14ac:dyDescent="0.25">
      <c r="A2894" s="1" t="s">
        <v>191</v>
      </c>
      <c r="B2894" s="1"/>
      <c r="C2894" s="1" t="s">
        <v>3230</v>
      </c>
      <c r="D2894" s="1" t="s">
        <v>3388</v>
      </c>
      <c r="E2894" s="1"/>
      <c r="F2894">
        <v>0.6</v>
      </c>
      <c r="G2894">
        <v>3.9</v>
      </c>
      <c r="H2894">
        <v>-210</v>
      </c>
      <c r="I2894">
        <v>0</v>
      </c>
      <c r="J2894">
        <v>45</v>
      </c>
      <c r="K2894" s="2">
        <v>45749</v>
      </c>
    </row>
    <row r="2895" spans="1:11" x14ac:dyDescent="0.25">
      <c r="A2895" s="1" t="s">
        <v>191</v>
      </c>
      <c r="B2895" s="1"/>
      <c r="C2895" s="1" t="s">
        <v>3243</v>
      </c>
      <c r="D2895" s="1" t="s">
        <v>3488</v>
      </c>
      <c r="E2895" s="1"/>
      <c r="F2895">
        <v>0.8</v>
      </c>
      <c r="G2895">
        <v>3.2</v>
      </c>
      <c r="H2895">
        <v>-130</v>
      </c>
      <c r="I2895">
        <v>0</v>
      </c>
      <c r="J2895">
        <v>45</v>
      </c>
      <c r="K2895" s="2">
        <v>45749</v>
      </c>
    </row>
    <row r="2896" spans="1:11" x14ac:dyDescent="0.25">
      <c r="A2896" s="1" t="s">
        <v>191</v>
      </c>
      <c r="B2896" s="1"/>
      <c r="C2896" s="1" t="s">
        <v>2948</v>
      </c>
      <c r="D2896" s="1" t="s">
        <v>3388</v>
      </c>
      <c r="E2896" s="1"/>
      <c r="F2896">
        <v>1.8</v>
      </c>
      <c r="G2896">
        <v>1.4</v>
      </c>
      <c r="H2896">
        <v>25</v>
      </c>
      <c r="I2896">
        <v>0</v>
      </c>
      <c r="J2896">
        <v>45</v>
      </c>
      <c r="K2896" s="2">
        <v>45749</v>
      </c>
    </row>
    <row r="2897" spans="1:11" x14ac:dyDescent="0.25">
      <c r="A2897" s="1" t="s">
        <v>191</v>
      </c>
      <c r="B2897" s="1"/>
      <c r="C2897" s="1" t="s">
        <v>3101</v>
      </c>
      <c r="D2897" s="1" t="s">
        <v>3397</v>
      </c>
      <c r="E2897" s="1"/>
      <c r="F2897">
        <v>2.5</v>
      </c>
      <c r="G2897">
        <v>4.3</v>
      </c>
      <c r="H2897">
        <v>-110</v>
      </c>
      <c r="I2897">
        <v>0</v>
      </c>
      <c r="J2897">
        <v>45</v>
      </c>
      <c r="K2897" s="2">
        <v>45749</v>
      </c>
    </row>
    <row r="2898" spans="1:11" x14ac:dyDescent="0.25">
      <c r="A2898" s="1" t="s">
        <v>191</v>
      </c>
      <c r="B2898" s="1"/>
      <c r="C2898" s="1" t="s">
        <v>2924</v>
      </c>
      <c r="D2898" s="1" t="s">
        <v>3372</v>
      </c>
      <c r="E2898" s="1"/>
      <c r="F2898">
        <v>1</v>
      </c>
      <c r="G2898">
        <v>0.2</v>
      </c>
      <c r="H2898">
        <v>45</v>
      </c>
      <c r="I2898">
        <v>0</v>
      </c>
      <c r="J2898">
        <v>45</v>
      </c>
      <c r="K2898" s="2">
        <v>45749</v>
      </c>
    </row>
    <row r="2899" spans="1:11" x14ac:dyDescent="0.25">
      <c r="A2899" s="1" t="s">
        <v>191</v>
      </c>
      <c r="B2899" s="1"/>
      <c r="C2899" s="1" t="s">
        <v>2923</v>
      </c>
      <c r="D2899" s="1" t="s">
        <v>3449</v>
      </c>
      <c r="E2899" s="1"/>
      <c r="F2899">
        <v>1</v>
      </c>
      <c r="G2899">
        <v>1.3</v>
      </c>
      <c r="H2899">
        <v>-10</v>
      </c>
      <c r="I2899">
        <v>0</v>
      </c>
      <c r="J2899">
        <v>45</v>
      </c>
      <c r="K2899" s="2">
        <v>45749</v>
      </c>
    </row>
    <row r="2900" spans="1:11" x14ac:dyDescent="0.25">
      <c r="A2900" s="1" t="s">
        <v>191</v>
      </c>
      <c r="B2900" s="1"/>
      <c r="C2900" s="1" t="s">
        <v>2943</v>
      </c>
      <c r="D2900" s="1" t="s">
        <v>3423</v>
      </c>
      <c r="E2900" s="1"/>
      <c r="F2900">
        <v>0</v>
      </c>
      <c r="G2900">
        <v>5.0999999999999996</v>
      </c>
      <c r="H2900">
        <v>0</v>
      </c>
      <c r="I2900">
        <v>0</v>
      </c>
      <c r="J2900">
        <v>45</v>
      </c>
      <c r="K2900" s="2">
        <v>45749</v>
      </c>
    </row>
    <row r="2901" spans="1:11" x14ac:dyDescent="0.25">
      <c r="A2901" s="1" t="s">
        <v>582</v>
      </c>
      <c r="B2901" s="1"/>
      <c r="C2901" s="1" t="s">
        <v>2808</v>
      </c>
      <c r="D2901" s="1" t="s">
        <v>3370</v>
      </c>
      <c r="E2901" s="1"/>
      <c r="F2901">
        <v>0</v>
      </c>
      <c r="G2901">
        <v>0</v>
      </c>
      <c r="H2901">
        <v>0</v>
      </c>
      <c r="I2901">
        <v>0</v>
      </c>
      <c r="J2901">
        <v>105</v>
      </c>
      <c r="K2901" s="2">
        <v>45761</v>
      </c>
    </row>
    <row r="2902" spans="1:11" x14ac:dyDescent="0.25">
      <c r="A2902" s="1" t="s">
        <v>582</v>
      </c>
      <c r="B2902" s="1"/>
      <c r="C2902" s="1" t="s">
        <v>2918</v>
      </c>
      <c r="D2902" s="1" t="s">
        <v>3388</v>
      </c>
      <c r="E2902" s="1"/>
      <c r="F2902">
        <v>0.9</v>
      </c>
      <c r="G2902">
        <v>1.4</v>
      </c>
      <c r="H2902">
        <v>-25</v>
      </c>
      <c r="I2902">
        <v>0</v>
      </c>
      <c r="J2902">
        <v>105</v>
      </c>
      <c r="K2902" s="2">
        <v>45762</v>
      </c>
    </row>
    <row r="2903" spans="1:11" x14ac:dyDescent="0.25">
      <c r="A2903" s="1" t="s">
        <v>582</v>
      </c>
      <c r="B2903" s="1"/>
      <c r="C2903" s="1" t="s">
        <v>3244</v>
      </c>
      <c r="D2903" s="1" t="s">
        <v>3388</v>
      </c>
      <c r="E2903" s="1"/>
      <c r="F2903">
        <v>0.9</v>
      </c>
      <c r="G2903">
        <v>9.8000000000000007</v>
      </c>
      <c r="H2903">
        <v>-550</v>
      </c>
      <c r="I2903">
        <v>0</v>
      </c>
      <c r="J2903">
        <v>105</v>
      </c>
      <c r="K2903" s="2">
        <v>45763</v>
      </c>
    </row>
    <row r="2904" spans="1:11" x14ac:dyDescent="0.25">
      <c r="A2904" s="1" t="s">
        <v>582</v>
      </c>
      <c r="B2904" s="1"/>
      <c r="C2904" s="1" t="s">
        <v>3245</v>
      </c>
      <c r="D2904" s="1" t="s">
        <v>3466</v>
      </c>
      <c r="E2904" s="1"/>
      <c r="F2904">
        <v>7.3</v>
      </c>
      <c r="G2904">
        <v>29.8</v>
      </c>
      <c r="H2904">
        <v>-1260</v>
      </c>
      <c r="I2904">
        <v>0</v>
      </c>
      <c r="J2904">
        <v>105</v>
      </c>
      <c r="K2904" s="2">
        <v>45777</v>
      </c>
    </row>
    <row r="2905" spans="1:11" x14ac:dyDescent="0.25">
      <c r="A2905" s="1" t="s">
        <v>582</v>
      </c>
      <c r="B2905" s="1"/>
      <c r="C2905" s="1" t="s">
        <v>2816</v>
      </c>
      <c r="D2905" s="1" t="s">
        <v>3372</v>
      </c>
      <c r="E2905" s="1"/>
      <c r="F2905">
        <v>1</v>
      </c>
      <c r="G2905">
        <v>0.1</v>
      </c>
      <c r="H2905">
        <v>50</v>
      </c>
      <c r="I2905">
        <v>0</v>
      </c>
      <c r="J2905">
        <v>107</v>
      </c>
      <c r="K2905" s="2">
        <v>45778</v>
      </c>
    </row>
    <row r="2906" spans="1:11" x14ac:dyDescent="0.25">
      <c r="A2906" s="1" t="s">
        <v>582</v>
      </c>
      <c r="B2906" s="1"/>
      <c r="C2906" s="1" t="s">
        <v>2923</v>
      </c>
      <c r="D2906" s="1" t="s">
        <v>3419</v>
      </c>
      <c r="E2906" s="1"/>
      <c r="F2906">
        <v>1.2</v>
      </c>
      <c r="G2906">
        <v>0.5</v>
      </c>
      <c r="H2906">
        <v>40</v>
      </c>
      <c r="I2906">
        <v>0</v>
      </c>
      <c r="J2906">
        <v>107</v>
      </c>
      <c r="K2906" s="2">
        <v>45778</v>
      </c>
    </row>
    <row r="2907" spans="1:11" x14ac:dyDescent="0.25">
      <c r="A2907" s="1" t="s">
        <v>393</v>
      </c>
      <c r="B2907" s="1"/>
      <c r="C2907" s="1" t="s">
        <v>2808</v>
      </c>
      <c r="D2907" s="1" t="s">
        <v>3370</v>
      </c>
      <c r="E2907" s="1"/>
      <c r="F2907">
        <v>0</v>
      </c>
      <c r="G2907">
        <v>0</v>
      </c>
      <c r="H2907">
        <v>0</v>
      </c>
      <c r="I2907">
        <v>0</v>
      </c>
      <c r="J2907">
        <v>12</v>
      </c>
      <c r="K2907" s="2">
        <v>45736</v>
      </c>
    </row>
    <row r="2908" spans="1:11" x14ac:dyDescent="0.25">
      <c r="A2908" s="1" t="s">
        <v>393</v>
      </c>
      <c r="B2908" s="1"/>
      <c r="C2908" s="1" t="s">
        <v>3246</v>
      </c>
      <c r="D2908" s="1" t="s">
        <v>3407</v>
      </c>
      <c r="E2908" s="1"/>
      <c r="F2908">
        <v>2</v>
      </c>
      <c r="G2908">
        <v>3.9</v>
      </c>
      <c r="H2908">
        <v>-170</v>
      </c>
      <c r="I2908">
        <v>0</v>
      </c>
      <c r="J2908">
        <v>12</v>
      </c>
      <c r="K2908" s="2">
        <v>45737</v>
      </c>
    </row>
    <row r="2909" spans="1:11" x14ac:dyDescent="0.25">
      <c r="A2909" s="1" t="s">
        <v>393</v>
      </c>
      <c r="B2909" s="1"/>
      <c r="C2909" s="1" t="s">
        <v>2918</v>
      </c>
      <c r="D2909" s="1" t="s">
        <v>3412</v>
      </c>
      <c r="E2909" s="1"/>
      <c r="F2909">
        <v>0.8</v>
      </c>
      <c r="G2909">
        <v>9.6999999999999993</v>
      </c>
      <c r="H2909">
        <v>-555</v>
      </c>
      <c r="I2909">
        <v>0</v>
      </c>
      <c r="J2909">
        <v>62</v>
      </c>
      <c r="K2909" s="2">
        <v>45742</v>
      </c>
    </row>
    <row r="2910" spans="1:11" x14ac:dyDescent="0.25">
      <c r="A2910" s="1" t="s">
        <v>393</v>
      </c>
      <c r="B2910" s="1"/>
      <c r="C2910" s="1" t="s">
        <v>3104</v>
      </c>
      <c r="D2910" s="1" t="s">
        <v>3421</v>
      </c>
      <c r="E2910" s="1"/>
      <c r="F2910">
        <v>5.8</v>
      </c>
      <c r="G2910">
        <v>17.100000000000001</v>
      </c>
      <c r="H2910">
        <v>-705</v>
      </c>
      <c r="I2910">
        <v>0</v>
      </c>
      <c r="J2910">
        <v>62</v>
      </c>
      <c r="K2910" s="2">
        <v>45743</v>
      </c>
    </row>
    <row r="2911" spans="1:11" x14ac:dyDescent="0.25">
      <c r="A2911" s="1" t="s">
        <v>393</v>
      </c>
      <c r="B2911" s="1"/>
      <c r="C2911" s="1" t="s">
        <v>2918</v>
      </c>
      <c r="D2911" s="1" t="s">
        <v>3412</v>
      </c>
      <c r="E2911" s="1"/>
      <c r="F2911">
        <v>0.8</v>
      </c>
      <c r="G2911">
        <v>3.9</v>
      </c>
      <c r="H2911">
        <v>-190</v>
      </c>
      <c r="I2911">
        <v>0</v>
      </c>
      <c r="J2911">
        <v>62</v>
      </c>
      <c r="K2911" s="2">
        <v>45747</v>
      </c>
    </row>
    <row r="2912" spans="1:11" x14ac:dyDescent="0.25">
      <c r="A2912" s="1" t="s">
        <v>393</v>
      </c>
      <c r="B2912" s="1"/>
      <c r="C2912" s="1" t="s">
        <v>2926</v>
      </c>
      <c r="D2912" s="1" t="s">
        <v>3438</v>
      </c>
      <c r="E2912" s="1"/>
      <c r="F2912">
        <v>1.2</v>
      </c>
      <c r="G2912">
        <v>25.7</v>
      </c>
      <c r="H2912">
        <v>-1525</v>
      </c>
      <c r="I2912">
        <v>0</v>
      </c>
      <c r="J2912">
        <v>62</v>
      </c>
      <c r="K2912" s="2">
        <v>45743</v>
      </c>
    </row>
    <row r="2913" spans="1:11" x14ac:dyDescent="0.25">
      <c r="A2913" s="1" t="s">
        <v>393</v>
      </c>
      <c r="B2913" s="1"/>
      <c r="C2913" s="1" t="s">
        <v>2915</v>
      </c>
      <c r="D2913" s="1" t="s">
        <v>3441</v>
      </c>
      <c r="E2913" s="1"/>
      <c r="F2913">
        <v>13.5</v>
      </c>
      <c r="G2913">
        <v>49.7</v>
      </c>
      <c r="H2913">
        <v>-2260</v>
      </c>
      <c r="I2913">
        <v>0</v>
      </c>
      <c r="J2913">
        <v>47</v>
      </c>
      <c r="K2913" s="2">
        <v>45747</v>
      </c>
    </row>
    <row r="2914" spans="1:11" x14ac:dyDescent="0.25">
      <c r="A2914" s="1" t="s">
        <v>393</v>
      </c>
      <c r="B2914" s="1"/>
      <c r="C2914" s="1" t="s">
        <v>3247</v>
      </c>
      <c r="D2914" s="1" t="s">
        <v>3446</v>
      </c>
      <c r="E2914" s="1"/>
      <c r="F2914">
        <v>0</v>
      </c>
      <c r="G2914">
        <v>23.1</v>
      </c>
      <c r="H2914">
        <v>-1440</v>
      </c>
      <c r="I2914">
        <v>0</v>
      </c>
      <c r="J2914">
        <v>12</v>
      </c>
      <c r="K2914" s="2">
        <v>45776</v>
      </c>
    </row>
    <row r="2915" spans="1:11" x14ac:dyDescent="0.25">
      <c r="A2915" s="1" t="s">
        <v>393</v>
      </c>
      <c r="B2915" s="1"/>
      <c r="C2915" s="1" t="s">
        <v>3248</v>
      </c>
      <c r="D2915" s="1" t="s">
        <v>3445</v>
      </c>
      <c r="E2915" s="1"/>
      <c r="F2915">
        <v>30.9</v>
      </c>
      <c r="G2915">
        <v>61.3</v>
      </c>
      <c r="H2915">
        <v>-1890</v>
      </c>
      <c r="I2915">
        <v>0</v>
      </c>
      <c r="J2915">
        <v>46</v>
      </c>
      <c r="K2915" s="2">
        <v>45776</v>
      </c>
    </row>
    <row r="2916" spans="1:11" x14ac:dyDescent="0.25">
      <c r="A2916" s="1" t="s">
        <v>393</v>
      </c>
      <c r="B2916" s="1"/>
      <c r="C2916" s="1" t="s">
        <v>2924</v>
      </c>
      <c r="D2916" s="1" t="s">
        <v>3444</v>
      </c>
      <c r="E2916" s="1"/>
      <c r="F2916">
        <v>1</v>
      </c>
      <c r="G2916">
        <v>0.4</v>
      </c>
      <c r="H2916">
        <v>45</v>
      </c>
      <c r="I2916">
        <v>0</v>
      </c>
      <c r="J2916">
        <v>46</v>
      </c>
      <c r="K2916" s="2">
        <v>45775</v>
      </c>
    </row>
    <row r="2917" spans="1:11" x14ac:dyDescent="0.25">
      <c r="A2917" s="1" t="s">
        <v>907</v>
      </c>
      <c r="B2917" s="1"/>
      <c r="C2917" s="1" t="s">
        <v>2808</v>
      </c>
      <c r="D2917" s="1" t="s">
        <v>3370</v>
      </c>
      <c r="E2917" s="1"/>
      <c r="F2917">
        <v>0</v>
      </c>
      <c r="G2917">
        <v>3.3</v>
      </c>
      <c r="H2917">
        <v>0</v>
      </c>
      <c r="I2917">
        <v>0</v>
      </c>
      <c r="J2917">
        <v>82</v>
      </c>
      <c r="K2917" s="2">
        <v>45783</v>
      </c>
    </row>
    <row r="2918" spans="1:11" x14ac:dyDescent="0.25">
      <c r="A2918" s="1" t="s">
        <v>907</v>
      </c>
      <c r="B2918" s="1"/>
      <c r="C2918" s="1" t="s">
        <v>3246</v>
      </c>
      <c r="D2918" s="1" t="s">
        <v>3407</v>
      </c>
      <c r="E2918" s="1"/>
      <c r="F2918">
        <v>2</v>
      </c>
      <c r="G2918">
        <v>0</v>
      </c>
      <c r="H2918">
        <v>180</v>
      </c>
      <c r="I2918">
        <v>0</v>
      </c>
      <c r="J2918">
        <v>82</v>
      </c>
      <c r="K2918" s="2">
        <v>45784</v>
      </c>
    </row>
    <row r="2919" spans="1:11" x14ac:dyDescent="0.25">
      <c r="A2919" s="1" t="s">
        <v>907</v>
      </c>
      <c r="B2919" s="1"/>
      <c r="C2919" s="1" t="s">
        <v>3104</v>
      </c>
      <c r="D2919" s="1" t="s">
        <v>3421</v>
      </c>
      <c r="E2919" s="1"/>
      <c r="F2919">
        <v>10.3</v>
      </c>
      <c r="G2919">
        <v>10.3</v>
      </c>
      <c r="H2919">
        <v>0</v>
      </c>
      <c r="I2919">
        <v>0</v>
      </c>
      <c r="J2919">
        <v>82</v>
      </c>
      <c r="K2919" s="2">
        <v>45785</v>
      </c>
    </row>
    <row r="2920" spans="1:11" x14ac:dyDescent="0.25">
      <c r="A2920" s="1" t="s">
        <v>907</v>
      </c>
      <c r="B2920" s="1"/>
      <c r="C2920" s="1" t="s">
        <v>2918</v>
      </c>
      <c r="D2920" s="1" t="s">
        <v>3412</v>
      </c>
      <c r="E2920" s="1"/>
      <c r="F2920">
        <v>1.4</v>
      </c>
      <c r="G2920">
        <v>10.199999999999999</v>
      </c>
      <c r="H2920">
        <v>-550</v>
      </c>
      <c r="I2920">
        <v>0</v>
      </c>
      <c r="J2920">
        <v>82</v>
      </c>
      <c r="K2920" s="2">
        <v>45785</v>
      </c>
    </row>
    <row r="2921" spans="1:11" x14ac:dyDescent="0.25">
      <c r="A2921" s="1" t="s">
        <v>907</v>
      </c>
      <c r="B2921" s="1"/>
      <c r="C2921" s="1" t="s">
        <v>2926</v>
      </c>
      <c r="D2921" s="1" t="s">
        <v>3438</v>
      </c>
      <c r="E2921" s="1"/>
      <c r="F2921">
        <v>1.9</v>
      </c>
      <c r="G2921">
        <v>40.299999999999997</v>
      </c>
      <c r="H2921">
        <v>-2390</v>
      </c>
      <c r="I2921">
        <v>0</v>
      </c>
      <c r="J2921">
        <v>82</v>
      </c>
      <c r="K2921" s="2">
        <v>45785</v>
      </c>
    </row>
    <row r="2922" spans="1:11" x14ac:dyDescent="0.25">
      <c r="A2922" s="1" t="s">
        <v>131</v>
      </c>
      <c r="B2922" s="1"/>
      <c r="C2922" s="1" t="s">
        <v>2871</v>
      </c>
      <c r="D2922" s="1" t="s">
        <v>3404</v>
      </c>
      <c r="E2922" s="1"/>
      <c r="F2922">
        <v>0.3</v>
      </c>
      <c r="G2922">
        <v>0</v>
      </c>
      <c r="H2922">
        <v>20</v>
      </c>
      <c r="I2922">
        <v>0</v>
      </c>
      <c r="J2922">
        <v>18</v>
      </c>
      <c r="K2922" s="2">
        <v>45729</v>
      </c>
    </row>
    <row r="2923" spans="1:11" x14ac:dyDescent="0.25">
      <c r="A2923" s="1" t="s">
        <v>131</v>
      </c>
      <c r="B2923" s="1"/>
      <c r="C2923" s="1" t="s">
        <v>2872</v>
      </c>
      <c r="D2923" s="1" t="s">
        <v>3371</v>
      </c>
      <c r="E2923" s="1"/>
      <c r="F2923">
        <v>0.4</v>
      </c>
      <c r="G2923">
        <v>0</v>
      </c>
      <c r="H2923">
        <v>25</v>
      </c>
      <c r="I2923">
        <v>0</v>
      </c>
      <c r="J2923">
        <v>18</v>
      </c>
      <c r="K2923" s="2">
        <v>45729</v>
      </c>
    </row>
    <row r="2924" spans="1:11" x14ac:dyDescent="0.25">
      <c r="A2924" s="1" t="s">
        <v>131</v>
      </c>
      <c r="B2924" s="1"/>
      <c r="C2924" s="1" t="s">
        <v>2869</v>
      </c>
      <c r="D2924" s="1" t="s">
        <v>3386</v>
      </c>
      <c r="E2924" s="1"/>
      <c r="F2924">
        <v>1.3</v>
      </c>
      <c r="G2924">
        <v>3</v>
      </c>
      <c r="H2924">
        <v>-115</v>
      </c>
      <c r="I2924">
        <v>0</v>
      </c>
      <c r="J2924">
        <v>18</v>
      </c>
      <c r="K2924" s="2">
        <v>45730</v>
      </c>
    </row>
    <row r="2925" spans="1:11" x14ac:dyDescent="0.25">
      <c r="A2925" s="1" t="s">
        <v>158</v>
      </c>
      <c r="B2925" s="1"/>
      <c r="C2925" s="1" t="s">
        <v>2808</v>
      </c>
      <c r="D2925" s="1" t="s">
        <v>3370</v>
      </c>
      <c r="E2925" s="1"/>
      <c r="F2925">
        <v>0</v>
      </c>
      <c r="G2925">
        <v>0</v>
      </c>
      <c r="H2925">
        <v>0</v>
      </c>
      <c r="I2925">
        <v>0</v>
      </c>
      <c r="J2925">
        <v>38</v>
      </c>
      <c r="K2925" s="2">
        <v>45742</v>
      </c>
    </row>
    <row r="2926" spans="1:11" x14ac:dyDescent="0.25">
      <c r="A2926" s="1" t="s">
        <v>158</v>
      </c>
      <c r="B2926" s="1"/>
      <c r="C2926" s="1" t="s">
        <v>2816</v>
      </c>
      <c r="D2926" s="1" t="s">
        <v>3484</v>
      </c>
      <c r="E2926" s="1"/>
      <c r="F2926">
        <v>0</v>
      </c>
      <c r="G2926">
        <v>0</v>
      </c>
      <c r="H2926">
        <v>0</v>
      </c>
      <c r="I2926">
        <v>15</v>
      </c>
      <c r="J2926">
        <v>23</v>
      </c>
      <c r="K2926" s="2">
        <v>45748</v>
      </c>
    </row>
    <row r="2927" spans="1:11" x14ac:dyDescent="0.25">
      <c r="A2927" s="1" t="s">
        <v>158</v>
      </c>
      <c r="B2927" s="1"/>
      <c r="C2927" s="1" t="s">
        <v>2923</v>
      </c>
      <c r="D2927" s="1" t="s">
        <v>3484</v>
      </c>
      <c r="E2927" s="1"/>
      <c r="F2927">
        <v>0</v>
      </c>
      <c r="G2927">
        <v>0</v>
      </c>
      <c r="H2927">
        <v>0</v>
      </c>
      <c r="I2927">
        <v>0</v>
      </c>
      <c r="J2927">
        <v>35</v>
      </c>
      <c r="K2927" s="2">
        <v>45749</v>
      </c>
    </row>
    <row r="2928" spans="1:11" x14ac:dyDescent="0.25">
      <c r="A2928" s="1" t="s">
        <v>119</v>
      </c>
      <c r="B2928" s="1"/>
      <c r="C2928" s="1" t="s">
        <v>2953</v>
      </c>
      <c r="D2928" s="1" t="s">
        <v>3426</v>
      </c>
      <c r="E2928" s="1"/>
      <c r="F2928">
        <v>2.2999999999999998</v>
      </c>
      <c r="G2928">
        <v>0.8</v>
      </c>
      <c r="H2928">
        <v>100</v>
      </c>
      <c r="I2928">
        <v>6</v>
      </c>
      <c r="J2928">
        <v>6</v>
      </c>
      <c r="K2928" s="2">
        <v>45733</v>
      </c>
    </row>
    <row r="2929" spans="1:11" x14ac:dyDescent="0.25">
      <c r="A2929" s="1" t="s">
        <v>119</v>
      </c>
      <c r="B2929" s="1"/>
      <c r="C2929" s="1" t="s">
        <v>2961</v>
      </c>
      <c r="D2929" s="1" t="s">
        <v>3422</v>
      </c>
      <c r="E2929" s="1"/>
      <c r="F2929">
        <v>2</v>
      </c>
      <c r="G2929">
        <v>2.5</v>
      </c>
      <c r="H2929">
        <v>-20</v>
      </c>
      <c r="I2929">
        <v>5</v>
      </c>
      <c r="J2929">
        <v>1</v>
      </c>
      <c r="K2929" s="2">
        <v>45737</v>
      </c>
    </row>
    <row r="2930" spans="1:11" x14ac:dyDescent="0.25">
      <c r="A2930" s="1" t="s">
        <v>119</v>
      </c>
      <c r="B2930" s="1"/>
      <c r="C2930" s="1" t="s">
        <v>3207</v>
      </c>
      <c r="D2930" s="1" t="s">
        <v>3471</v>
      </c>
      <c r="E2930" s="1"/>
      <c r="F2930">
        <v>0.7</v>
      </c>
      <c r="G2930">
        <v>0</v>
      </c>
      <c r="H2930">
        <v>45</v>
      </c>
      <c r="I2930">
        <v>0</v>
      </c>
      <c r="J2930">
        <v>1</v>
      </c>
      <c r="K2930" s="2">
        <v>45741</v>
      </c>
    </row>
    <row r="2931" spans="1:11" x14ac:dyDescent="0.25">
      <c r="A2931" s="1" t="s">
        <v>119</v>
      </c>
      <c r="B2931" s="1"/>
      <c r="C2931" s="1" t="s">
        <v>2848</v>
      </c>
      <c r="D2931" s="1" t="s">
        <v>3372</v>
      </c>
      <c r="E2931" s="1"/>
      <c r="F2931">
        <v>1.5</v>
      </c>
      <c r="G2931">
        <v>0</v>
      </c>
      <c r="H2931">
        <v>80</v>
      </c>
      <c r="I2931">
        <v>0</v>
      </c>
      <c r="J2931">
        <v>1</v>
      </c>
      <c r="K2931" s="2">
        <v>45742</v>
      </c>
    </row>
    <row r="2932" spans="1:11" x14ac:dyDescent="0.25">
      <c r="A2932" s="1" t="s">
        <v>119</v>
      </c>
      <c r="B2932" s="1"/>
      <c r="C2932" s="1" t="s">
        <v>3230</v>
      </c>
      <c r="D2932" s="1" t="s">
        <v>3388</v>
      </c>
      <c r="E2932" s="1"/>
      <c r="F2932">
        <v>0.9</v>
      </c>
      <c r="G2932">
        <v>0.4</v>
      </c>
      <c r="H2932">
        <v>30</v>
      </c>
      <c r="I2932">
        <v>0</v>
      </c>
      <c r="J2932">
        <v>1</v>
      </c>
      <c r="K2932" s="2">
        <v>45743</v>
      </c>
    </row>
    <row r="2933" spans="1:11" x14ac:dyDescent="0.25">
      <c r="A2933" s="1" t="s">
        <v>119</v>
      </c>
      <c r="B2933" s="1"/>
      <c r="C2933" s="1" t="s">
        <v>3231</v>
      </c>
      <c r="D2933" s="1" t="s">
        <v>3388</v>
      </c>
      <c r="E2933" s="1"/>
      <c r="F2933">
        <v>0.7</v>
      </c>
      <c r="G2933">
        <v>0.4</v>
      </c>
      <c r="H2933">
        <v>20</v>
      </c>
      <c r="I2933">
        <v>0</v>
      </c>
      <c r="J2933">
        <v>1</v>
      </c>
      <c r="K2933" s="2">
        <v>45743</v>
      </c>
    </row>
    <row r="2934" spans="1:11" x14ac:dyDescent="0.25">
      <c r="A2934" s="1" t="s">
        <v>119</v>
      </c>
      <c r="B2934" s="1"/>
      <c r="C2934" s="1" t="s">
        <v>3232</v>
      </c>
      <c r="D2934" s="1" t="s">
        <v>3431</v>
      </c>
      <c r="E2934" s="1"/>
      <c r="F2934">
        <v>0.7</v>
      </c>
      <c r="G2934">
        <v>0</v>
      </c>
      <c r="H2934">
        <v>50</v>
      </c>
      <c r="I2934">
        <v>0</v>
      </c>
      <c r="J2934">
        <v>1</v>
      </c>
      <c r="K2934" s="2">
        <v>45747</v>
      </c>
    </row>
    <row r="2935" spans="1:11" x14ac:dyDescent="0.25">
      <c r="A2935" s="1" t="s">
        <v>119</v>
      </c>
      <c r="B2935" s="1"/>
      <c r="C2935" s="1" t="s">
        <v>3233</v>
      </c>
      <c r="D2935" s="1" t="s">
        <v>3372</v>
      </c>
      <c r="E2935" s="1"/>
      <c r="F2935">
        <v>1.3</v>
      </c>
      <c r="G2935">
        <v>0.3</v>
      </c>
      <c r="H2935">
        <v>55</v>
      </c>
      <c r="I2935">
        <v>0</v>
      </c>
      <c r="J2935">
        <v>1</v>
      </c>
      <c r="K2935" s="2">
        <v>45748</v>
      </c>
    </row>
    <row r="2936" spans="1:11" x14ac:dyDescent="0.25">
      <c r="A2936" s="1" t="s">
        <v>119</v>
      </c>
      <c r="B2936" s="1"/>
      <c r="C2936" s="1" t="s">
        <v>2923</v>
      </c>
      <c r="D2936" s="1" t="s">
        <v>3449</v>
      </c>
      <c r="E2936" s="1"/>
      <c r="F2936">
        <v>0.7</v>
      </c>
      <c r="G2936">
        <v>0</v>
      </c>
      <c r="H2936">
        <v>45</v>
      </c>
      <c r="I2936">
        <v>0</v>
      </c>
      <c r="J2936">
        <v>1</v>
      </c>
      <c r="K2936" s="2">
        <v>45748</v>
      </c>
    </row>
    <row r="2937" spans="1:11" x14ac:dyDescent="0.25">
      <c r="A2937" s="1" t="s">
        <v>273</v>
      </c>
      <c r="B2937" s="1"/>
      <c r="C2937" s="1" t="s">
        <v>2949</v>
      </c>
      <c r="D2937" s="1" t="s">
        <v>3388</v>
      </c>
      <c r="E2937" s="1"/>
      <c r="F2937">
        <v>0.2</v>
      </c>
      <c r="G2937">
        <v>0</v>
      </c>
      <c r="H2937">
        <v>15</v>
      </c>
      <c r="I2937">
        <v>0</v>
      </c>
      <c r="J2937">
        <v>71</v>
      </c>
      <c r="K2937" s="2">
        <v>45784</v>
      </c>
    </row>
    <row r="2938" spans="1:11" x14ac:dyDescent="0.25">
      <c r="A2938" s="1" t="s">
        <v>273</v>
      </c>
      <c r="B2938" s="1"/>
      <c r="C2938" s="1" t="s">
        <v>2949</v>
      </c>
      <c r="D2938" s="1" t="s">
        <v>3388</v>
      </c>
      <c r="E2938" s="1"/>
      <c r="F2938">
        <v>0.3</v>
      </c>
      <c r="G2938">
        <v>0.2</v>
      </c>
      <c r="H2938">
        <v>10</v>
      </c>
      <c r="I2938">
        <v>0</v>
      </c>
      <c r="J2938">
        <v>71</v>
      </c>
      <c r="K2938" s="2">
        <v>45784</v>
      </c>
    </row>
    <row r="2939" spans="1:11" x14ac:dyDescent="0.25">
      <c r="A2939" s="1" t="s">
        <v>273</v>
      </c>
      <c r="B2939" s="1"/>
      <c r="C2939" s="1" t="s">
        <v>3249</v>
      </c>
      <c r="D2939" s="1" t="s">
        <v>3386</v>
      </c>
      <c r="E2939" s="1"/>
      <c r="F2939">
        <v>1.5</v>
      </c>
      <c r="G2939">
        <v>0.9</v>
      </c>
      <c r="H2939">
        <v>30</v>
      </c>
      <c r="I2939">
        <v>0</v>
      </c>
      <c r="J2939">
        <v>71</v>
      </c>
      <c r="K2939" s="2">
        <v>45784</v>
      </c>
    </row>
    <row r="2940" spans="1:11" x14ac:dyDescent="0.25">
      <c r="A2940" s="1" t="s">
        <v>273</v>
      </c>
      <c r="B2940" s="1"/>
      <c r="C2940" s="1" t="s">
        <v>2952</v>
      </c>
      <c r="D2940" s="1" t="s">
        <v>3375</v>
      </c>
      <c r="E2940" s="1"/>
      <c r="F2940">
        <v>0.3</v>
      </c>
      <c r="G2940">
        <v>0</v>
      </c>
      <c r="H2940">
        <v>20</v>
      </c>
      <c r="I2940">
        <v>0</v>
      </c>
      <c r="J2940">
        <v>71</v>
      </c>
      <c r="K2940" s="2">
        <v>45784</v>
      </c>
    </row>
    <row r="2941" spans="1:11" x14ac:dyDescent="0.25">
      <c r="A2941" s="1" t="s">
        <v>273</v>
      </c>
      <c r="B2941" s="1"/>
      <c r="C2941" s="1" t="s">
        <v>2864</v>
      </c>
      <c r="D2941" s="1" t="s">
        <v>3425</v>
      </c>
      <c r="E2941" s="1"/>
      <c r="F2941">
        <v>1</v>
      </c>
      <c r="G2941">
        <v>7.3</v>
      </c>
      <c r="H2941">
        <v>-260</v>
      </c>
      <c r="I2941">
        <v>0</v>
      </c>
      <c r="J2941">
        <v>20</v>
      </c>
      <c r="K2941" s="2">
        <v>45784</v>
      </c>
    </row>
    <row r="2942" spans="1:11" x14ac:dyDescent="0.25">
      <c r="A2942" s="1" t="s">
        <v>273</v>
      </c>
      <c r="B2942" s="1"/>
      <c r="C2942" s="1" t="s">
        <v>3250</v>
      </c>
      <c r="D2942" s="1" t="s">
        <v>3386</v>
      </c>
      <c r="E2942" s="1"/>
      <c r="F2942">
        <v>9.4</v>
      </c>
      <c r="G2942">
        <v>20.100000000000001</v>
      </c>
      <c r="H2942">
        <v>-520</v>
      </c>
      <c r="I2942">
        <v>0</v>
      </c>
      <c r="J2942">
        <v>71</v>
      </c>
      <c r="K2942" s="2">
        <v>45784</v>
      </c>
    </row>
    <row r="2943" spans="1:11" x14ac:dyDescent="0.25">
      <c r="A2943" s="1" t="s">
        <v>273</v>
      </c>
      <c r="B2943" s="1"/>
      <c r="C2943" s="1" t="s">
        <v>2870</v>
      </c>
      <c r="D2943" s="1" t="s">
        <v>3375</v>
      </c>
      <c r="E2943" s="1"/>
      <c r="F2943">
        <v>6.1</v>
      </c>
      <c r="G2943">
        <v>4.8</v>
      </c>
      <c r="H2943">
        <v>80</v>
      </c>
      <c r="I2943">
        <v>0</v>
      </c>
      <c r="J2943">
        <v>71</v>
      </c>
      <c r="K2943" s="2">
        <v>45784</v>
      </c>
    </row>
    <row r="2944" spans="1:11" x14ac:dyDescent="0.25">
      <c r="A2944" s="1" t="s">
        <v>273</v>
      </c>
      <c r="B2944" s="1"/>
      <c r="C2944" s="1" t="s">
        <v>3251</v>
      </c>
      <c r="D2944" s="1" t="s">
        <v>3371</v>
      </c>
      <c r="E2944" s="1"/>
      <c r="F2944">
        <v>0.3</v>
      </c>
      <c r="G2944">
        <v>0</v>
      </c>
      <c r="H2944">
        <v>20</v>
      </c>
      <c r="I2944">
        <v>0</v>
      </c>
      <c r="J2944">
        <v>71</v>
      </c>
      <c r="K2944" s="2">
        <v>45784</v>
      </c>
    </row>
    <row r="2945" spans="1:11" x14ac:dyDescent="0.25">
      <c r="A2945" s="1" t="s">
        <v>273</v>
      </c>
      <c r="B2945" s="1"/>
      <c r="C2945" s="1" t="s">
        <v>3101</v>
      </c>
      <c r="D2945" s="1" t="s">
        <v>3417</v>
      </c>
      <c r="E2945" s="1"/>
      <c r="F2945">
        <v>0.1</v>
      </c>
      <c r="G2945">
        <v>8.9</v>
      </c>
      <c r="H2945">
        <v>-450</v>
      </c>
      <c r="I2945">
        <v>0</v>
      </c>
      <c r="J2945">
        <v>71</v>
      </c>
      <c r="K2945" s="2">
        <v>45784</v>
      </c>
    </row>
    <row r="2946" spans="1:11" x14ac:dyDescent="0.25">
      <c r="A2946" s="1" t="s">
        <v>273</v>
      </c>
      <c r="B2946" s="1"/>
      <c r="C2946" s="1" t="s">
        <v>3056</v>
      </c>
      <c r="D2946" s="1" t="s">
        <v>3372</v>
      </c>
      <c r="E2946" s="1"/>
      <c r="F2946">
        <v>1.4</v>
      </c>
      <c r="G2946">
        <v>1</v>
      </c>
      <c r="H2946">
        <v>20</v>
      </c>
      <c r="I2946">
        <v>0</v>
      </c>
      <c r="J2946">
        <v>71</v>
      </c>
      <c r="K2946" s="2">
        <v>45784</v>
      </c>
    </row>
    <row r="2947" spans="1:11" x14ac:dyDescent="0.25">
      <c r="A2947" s="1" t="s">
        <v>273</v>
      </c>
      <c r="B2947" s="1"/>
      <c r="C2947" s="1" t="s">
        <v>2923</v>
      </c>
      <c r="D2947" s="1" t="s">
        <v>3417</v>
      </c>
      <c r="E2947" s="1"/>
      <c r="F2947">
        <v>2.1</v>
      </c>
      <c r="G2947">
        <v>4</v>
      </c>
      <c r="H2947">
        <v>-95</v>
      </c>
      <c r="I2947">
        <v>0</v>
      </c>
      <c r="J2947">
        <v>71</v>
      </c>
      <c r="K2947" s="2">
        <v>45784</v>
      </c>
    </row>
    <row r="2948" spans="1:11" x14ac:dyDescent="0.25">
      <c r="A2948" s="1" t="s">
        <v>916</v>
      </c>
      <c r="B2948" s="1"/>
      <c r="C2948" s="1" t="s">
        <v>2808</v>
      </c>
      <c r="D2948" s="1" t="s">
        <v>3370</v>
      </c>
      <c r="E2948" s="1"/>
      <c r="F2948">
        <v>0</v>
      </c>
      <c r="G2948">
        <v>0</v>
      </c>
      <c r="H2948">
        <v>0</v>
      </c>
      <c r="I2948">
        <v>0</v>
      </c>
      <c r="J2948">
        <v>20</v>
      </c>
      <c r="K2948" s="2">
        <v>45783</v>
      </c>
    </row>
    <row r="2949" spans="1:11" x14ac:dyDescent="0.25">
      <c r="A2949" s="1" t="s">
        <v>916</v>
      </c>
      <c r="B2949" s="1"/>
      <c r="C2949" s="1" t="s">
        <v>2918</v>
      </c>
      <c r="D2949" s="1" t="s">
        <v>3412</v>
      </c>
      <c r="E2949" s="1"/>
      <c r="F2949">
        <v>0.1</v>
      </c>
      <c r="G2949">
        <v>1.9</v>
      </c>
      <c r="H2949">
        <v>-110</v>
      </c>
      <c r="I2949">
        <v>0</v>
      </c>
      <c r="J2949">
        <v>24</v>
      </c>
      <c r="K2949" s="2">
        <v>45785</v>
      </c>
    </row>
    <row r="2950" spans="1:11" x14ac:dyDescent="0.25">
      <c r="A2950" s="1" t="s">
        <v>916</v>
      </c>
      <c r="B2950" s="1"/>
      <c r="C2950" s="1" t="s">
        <v>2872</v>
      </c>
      <c r="D2950" s="1" t="s">
        <v>3388</v>
      </c>
      <c r="E2950" s="1"/>
      <c r="F2950">
        <v>0.1</v>
      </c>
      <c r="G2950">
        <v>0.8</v>
      </c>
      <c r="H2950">
        <v>-40</v>
      </c>
      <c r="I2950">
        <v>0</v>
      </c>
      <c r="J2950">
        <v>24</v>
      </c>
      <c r="K2950" s="2">
        <v>45785</v>
      </c>
    </row>
    <row r="2951" spans="1:11" x14ac:dyDescent="0.25">
      <c r="A2951" s="1" t="s">
        <v>706</v>
      </c>
      <c r="B2951" s="1"/>
      <c r="C2951" s="1" t="s">
        <v>2808</v>
      </c>
      <c r="D2951" s="1" t="s">
        <v>3370</v>
      </c>
      <c r="E2951" s="1"/>
      <c r="F2951">
        <v>0</v>
      </c>
      <c r="G2951">
        <v>0</v>
      </c>
      <c r="H2951">
        <v>0</v>
      </c>
      <c r="I2951">
        <v>0</v>
      </c>
      <c r="J2951">
        <v>225</v>
      </c>
      <c r="K2951" s="2">
        <v>45768</v>
      </c>
    </row>
    <row r="2952" spans="1:11" x14ac:dyDescent="0.25">
      <c r="A2952" s="1" t="s">
        <v>706</v>
      </c>
      <c r="B2952" s="1"/>
      <c r="C2952" s="1" t="s">
        <v>3252</v>
      </c>
      <c r="D2952" s="1" t="s">
        <v>3388</v>
      </c>
      <c r="E2952" s="1"/>
      <c r="F2952">
        <v>1.4</v>
      </c>
      <c r="G2952">
        <v>1.3</v>
      </c>
      <c r="H2952">
        <v>10</v>
      </c>
      <c r="I2952">
        <v>0</v>
      </c>
      <c r="J2952">
        <v>225</v>
      </c>
      <c r="K2952" s="2">
        <v>45771</v>
      </c>
    </row>
    <row r="2953" spans="1:11" x14ac:dyDescent="0.25">
      <c r="A2953" s="1" t="s">
        <v>706</v>
      </c>
      <c r="B2953" s="1"/>
      <c r="C2953" s="1" t="s">
        <v>3253</v>
      </c>
      <c r="D2953" s="1" t="s">
        <v>3388</v>
      </c>
      <c r="E2953" s="1"/>
      <c r="F2953">
        <v>1.6</v>
      </c>
      <c r="G2953">
        <v>1</v>
      </c>
      <c r="H2953">
        <v>40</v>
      </c>
      <c r="I2953">
        <v>0</v>
      </c>
      <c r="J2953">
        <v>225</v>
      </c>
      <c r="K2953" s="2">
        <v>45775</v>
      </c>
    </row>
    <row r="2954" spans="1:11" x14ac:dyDescent="0.25">
      <c r="A2954" s="1" t="s">
        <v>706</v>
      </c>
      <c r="B2954" s="1"/>
      <c r="C2954" s="1" t="s">
        <v>2923</v>
      </c>
      <c r="D2954" s="1" t="s">
        <v>3417</v>
      </c>
      <c r="E2954" s="1"/>
      <c r="F2954">
        <v>1</v>
      </c>
      <c r="G2954">
        <v>0</v>
      </c>
      <c r="H2954">
        <v>60</v>
      </c>
      <c r="I2954">
        <v>0</v>
      </c>
      <c r="J2954">
        <v>225</v>
      </c>
      <c r="K2954" s="2">
        <v>45775</v>
      </c>
    </row>
    <row r="2955" spans="1:11" x14ac:dyDescent="0.25">
      <c r="A2955" s="1" t="s">
        <v>425</v>
      </c>
      <c r="B2955" s="1"/>
      <c r="C2955" s="1" t="s">
        <v>2808</v>
      </c>
      <c r="D2955" s="1" t="s">
        <v>3370</v>
      </c>
      <c r="E2955" s="1"/>
      <c r="F2955">
        <v>0</v>
      </c>
      <c r="G2955">
        <v>0</v>
      </c>
      <c r="H2955">
        <v>0</v>
      </c>
      <c r="I2955">
        <v>0</v>
      </c>
      <c r="J2955">
        <v>220</v>
      </c>
      <c r="K2955" s="2">
        <v>45775</v>
      </c>
    </row>
    <row r="2956" spans="1:11" x14ac:dyDescent="0.25">
      <c r="A2956" s="1" t="s">
        <v>425</v>
      </c>
      <c r="B2956" s="1"/>
      <c r="C2956" s="1" t="s">
        <v>3252</v>
      </c>
      <c r="D2956" s="1" t="s">
        <v>3388</v>
      </c>
      <c r="E2956" s="1"/>
      <c r="F2956">
        <v>1.4</v>
      </c>
      <c r="G2956">
        <v>0</v>
      </c>
      <c r="H2956">
        <v>90</v>
      </c>
      <c r="I2956">
        <v>0</v>
      </c>
      <c r="J2956">
        <v>220</v>
      </c>
      <c r="K2956" s="2">
        <v>45776</v>
      </c>
    </row>
    <row r="2957" spans="1:11" x14ac:dyDescent="0.25">
      <c r="A2957" s="1" t="s">
        <v>425</v>
      </c>
      <c r="B2957" s="1"/>
      <c r="C2957" s="1" t="s">
        <v>3253</v>
      </c>
      <c r="D2957" s="1" t="s">
        <v>3388</v>
      </c>
      <c r="E2957" s="1"/>
      <c r="F2957">
        <v>1.4</v>
      </c>
      <c r="G2957">
        <v>5.0999999999999996</v>
      </c>
      <c r="H2957">
        <v>-230</v>
      </c>
      <c r="I2957">
        <v>0</v>
      </c>
      <c r="J2957">
        <v>220</v>
      </c>
      <c r="K2957" s="2">
        <v>45776</v>
      </c>
    </row>
    <row r="2958" spans="1:11" x14ac:dyDescent="0.25">
      <c r="A2958" s="1" t="s">
        <v>425</v>
      </c>
      <c r="B2958" s="1"/>
      <c r="C2958" s="1" t="s">
        <v>2923</v>
      </c>
      <c r="D2958" s="1" t="s">
        <v>3417</v>
      </c>
      <c r="E2958" s="1"/>
      <c r="F2958">
        <v>1</v>
      </c>
      <c r="G2958">
        <v>0</v>
      </c>
      <c r="H2958">
        <v>60</v>
      </c>
      <c r="I2958">
        <v>0</v>
      </c>
      <c r="J2958">
        <v>220</v>
      </c>
      <c r="K2958" s="2">
        <v>45776</v>
      </c>
    </row>
    <row r="2959" spans="1:11" x14ac:dyDescent="0.25">
      <c r="A2959" s="1" t="s">
        <v>425</v>
      </c>
      <c r="B2959" s="1"/>
      <c r="C2959" s="1" t="s">
        <v>2816</v>
      </c>
      <c r="D2959" s="1" t="s">
        <v>3372</v>
      </c>
      <c r="E2959" s="1"/>
      <c r="F2959">
        <v>1</v>
      </c>
      <c r="G2959">
        <v>0.2</v>
      </c>
      <c r="H2959">
        <v>40</v>
      </c>
      <c r="I2959">
        <v>0</v>
      </c>
      <c r="J2959">
        <v>220</v>
      </c>
      <c r="K2959" s="2">
        <v>45776</v>
      </c>
    </row>
    <row r="2960" spans="1:11" x14ac:dyDescent="0.25">
      <c r="A2960" s="1" t="s">
        <v>594</v>
      </c>
      <c r="B2960" s="1"/>
      <c r="C2960" s="1" t="s">
        <v>2808</v>
      </c>
      <c r="D2960" s="1" t="s">
        <v>3370</v>
      </c>
      <c r="E2960" s="1"/>
      <c r="F2960">
        <v>0</v>
      </c>
      <c r="G2960">
        <v>0</v>
      </c>
      <c r="H2960">
        <v>0</v>
      </c>
      <c r="I2960">
        <v>0</v>
      </c>
      <c r="J2960">
        <v>7520</v>
      </c>
      <c r="K2960" s="2">
        <v>45761</v>
      </c>
    </row>
    <row r="2961" spans="1:11" x14ac:dyDescent="0.25">
      <c r="A2961" s="1" t="s">
        <v>594</v>
      </c>
      <c r="B2961" s="1"/>
      <c r="C2961" s="1" t="s">
        <v>2926</v>
      </c>
      <c r="D2961" s="1" t="s">
        <v>3404</v>
      </c>
      <c r="E2961" s="1"/>
      <c r="F2961">
        <v>7.6</v>
      </c>
      <c r="G2961">
        <v>6.5</v>
      </c>
      <c r="H2961">
        <v>60</v>
      </c>
      <c r="I2961">
        <v>0</v>
      </c>
      <c r="J2961">
        <v>7520</v>
      </c>
      <c r="K2961" s="2">
        <v>45782</v>
      </c>
    </row>
    <row r="2962" spans="1:11" x14ac:dyDescent="0.25">
      <c r="A2962" s="1" t="s">
        <v>594</v>
      </c>
      <c r="B2962" s="1"/>
      <c r="C2962" s="1" t="s">
        <v>3254</v>
      </c>
      <c r="D2962" s="1" t="s">
        <v>3371</v>
      </c>
      <c r="E2962" s="1"/>
      <c r="F2962">
        <v>30.3</v>
      </c>
      <c r="G2962">
        <v>14.1</v>
      </c>
      <c r="H2962">
        <v>845</v>
      </c>
      <c r="I2962">
        <v>0</v>
      </c>
      <c r="J2962">
        <v>7520</v>
      </c>
      <c r="K2962" s="2">
        <v>45782</v>
      </c>
    </row>
    <row r="2963" spans="1:11" x14ac:dyDescent="0.25">
      <c r="A2963" s="1" t="s">
        <v>594</v>
      </c>
      <c r="B2963" s="1"/>
      <c r="C2963" s="1" t="s">
        <v>2869</v>
      </c>
      <c r="D2963" s="1" t="s">
        <v>3420</v>
      </c>
      <c r="E2963" s="1"/>
      <c r="F2963">
        <v>118.5</v>
      </c>
      <c r="G2963">
        <v>142.19999999999999</v>
      </c>
      <c r="H2963">
        <v>-1250</v>
      </c>
      <c r="I2963">
        <v>6</v>
      </c>
      <c r="J2963">
        <v>7514</v>
      </c>
      <c r="K2963" s="2">
        <v>45785</v>
      </c>
    </row>
    <row r="2964" spans="1:11" x14ac:dyDescent="0.25">
      <c r="A2964" s="1" t="s">
        <v>594</v>
      </c>
      <c r="B2964" s="1"/>
      <c r="C2964" s="1" t="s">
        <v>2812</v>
      </c>
      <c r="D2964" s="1" t="s">
        <v>3374</v>
      </c>
      <c r="E2964" s="1"/>
      <c r="F2964">
        <v>0.3</v>
      </c>
      <c r="G2964">
        <v>0</v>
      </c>
      <c r="H2964">
        <v>20</v>
      </c>
      <c r="I2964">
        <v>0</v>
      </c>
      <c r="J2964">
        <v>7514</v>
      </c>
      <c r="K2964" s="2">
        <v>45784</v>
      </c>
    </row>
    <row r="2965" spans="1:11" x14ac:dyDescent="0.25">
      <c r="A2965" s="1" t="s">
        <v>217</v>
      </c>
      <c r="B2965" s="1"/>
      <c r="C2965" s="1" t="s">
        <v>2924</v>
      </c>
      <c r="D2965" s="1" t="s">
        <v>3372</v>
      </c>
      <c r="E2965" s="1"/>
      <c r="F2965">
        <v>1</v>
      </c>
      <c r="G2965">
        <v>0.2</v>
      </c>
      <c r="H2965">
        <v>45</v>
      </c>
      <c r="I2965">
        <v>0</v>
      </c>
      <c r="J2965">
        <v>85</v>
      </c>
      <c r="K2965" s="2">
        <v>45749</v>
      </c>
    </row>
    <row r="2966" spans="1:11" x14ac:dyDescent="0.25">
      <c r="A2966" s="1" t="s">
        <v>217</v>
      </c>
      <c r="B2966" s="1"/>
      <c r="C2966" s="1" t="s">
        <v>3063</v>
      </c>
      <c r="D2966" s="1" t="s">
        <v>3449</v>
      </c>
      <c r="E2966" s="1"/>
      <c r="F2966">
        <v>7.5</v>
      </c>
      <c r="G2966">
        <v>5.4</v>
      </c>
      <c r="H2966">
        <v>135</v>
      </c>
      <c r="I2966">
        <v>0</v>
      </c>
      <c r="J2966">
        <v>85</v>
      </c>
      <c r="K2966" s="2">
        <v>45740</v>
      </c>
    </row>
    <row r="2967" spans="1:11" x14ac:dyDescent="0.25">
      <c r="A2967" s="1" t="s">
        <v>301</v>
      </c>
      <c r="B2967" s="1"/>
      <c r="C2967" s="1" t="s">
        <v>3255</v>
      </c>
      <c r="D2967" s="1" t="s">
        <v>3430</v>
      </c>
      <c r="E2967" s="1"/>
      <c r="F2967">
        <v>0.2</v>
      </c>
      <c r="G2967">
        <v>0</v>
      </c>
      <c r="H2967">
        <v>15</v>
      </c>
      <c r="I2967">
        <v>0</v>
      </c>
      <c r="J2967">
        <v>58</v>
      </c>
      <c r="K2967" s="2">
        <v>45737</v>
      </c>
    </row>
    <row r="2968" spans="1:11" x14ac:dyDescent="0.25">
      <c r="A2968" s="1" t="s">
        <v>301</v>
      </c>
      <c r="B2968" s="1"/>
      <c r="C2968" s="1" t="s">
        <v>3256</v>
      </c>
      <c r="D2968" s="1" t="s">
        <v>3448</v>
      </c>
      <c r="E2968" s="1"/>
      <c r="F2968">
        <v>3</v>
      </c>
      <c r="G2968">
        <v>0</v>
      </c>
      <c r="H2968">
        <v>210</v>
      </c>
      <c r="I2968">
        <v>0</v>
      </c>
      <c r="J2968">
        <v>8</v>
      </c>
      <c r="K2968" s="2">
        <v>45729</v>
      </c>
    </row>
    <row r="2969" spans="1:11" x14ac:dyDescent="0.25">
      <c r="A2969" s="1" t="s">
        <v>301</v>
      </c>
      <c r="B2969" s="1"/>
      <c r="C2969" s="1" t="s">
        <v>2961</v>
      </c>
      <c r="D2969" s="1" t="s">
        <v>3462</v>
      </c>
      <c r="E2969" s="1"/>
      <c r="F2969">
        <v>0.5</v>
      </c>
      <c r="G2969">
        <v>0.2</v>
      </c>
      <c r="H2969">
        <v>15</v>
      </c>
      <c r="I2969">
        <v>0</v>
      </c>
      <c r="J2969">
        <v>4</v>
      </c>
      <c r="K2969" s="2">
        <v>45748</v>
      </c>
    </row>
    <row r="2970" spans="1:11" x14ac:dyDescent="0.25">
      <c r="A2970" s="1" t="s">
        <v>301</v>
      </c>
      <c r="B2970" s="1"/>
      <c r="C2970" s="1" t="s">
        <v>3257</v>
      </c>
      <c r="D2970" s="1" t="s">
        <v>3448</v>
      </c>
      <c r="E2970" s="1"/>
      <c r="F2970">
        <v>14.2</v>
      </c>
      <c r="G2970">
        <v>23.4</v>
      </c>
      <c r="H2970">
        <v>-570</v>
      </c>
      <c r="I2970">
        <v>0</v>
      </c>
      <c r="J2970">
        <v>58</v>
      </c>
      <c r="K2970" s="2">
        <v>45748</v>
      </c>
    </row>
    <row r="2971" spans="1:11" x14ac:dyDescent="0.25">
      <c r="A2971" s="1" t="s">
        <v>301</v>
      </c>
      <c r="B2971" s="1"/>
      <c r="C2971" s="1" t="s">
        <v>2864</v>
      </c>
      <c r="D2971" s="1" t="s">
        <v>3462</v>
      </c>
      <c r="E2971" s="1"/>
      <c r="F2971">
        <v>12.6</v>
      </c>
      <c r="G2971">
        <v>17.2</v>
      </c>
      <c r="H2971">
        <v>-190</v>
      </c>
      <c r="I2971">
        <v>3</v>
      </c>
      <c r="J2971">
        <v>55</v>
      </c>
      <c r="K2971" s="2">
        <v>45749</v>
      </c>
    </row>
    <row r="2972" spans="1:11" x14ac:dyDescent="0.25">
      <c r="A2972" s="1" t="s">
        <v>301</v>
      </c>
      <c r="B2972" s="1"/>
      <c r="C2972" s="1" t="s">
        <v>3258</v>
      </c>
      <c r="D2972" s="1" t="s">
        <v>3477</v>
      </c>
      <c r="E2972" s="1"/>
      <c r="F2972">
        <v>14.8</v>
      </c>
      <c r="G2972">
        <v>8.8000000000000007</v>
      </c>
      <c r="H2972">
        <v>385</v>
      </c>
      <c r="I2972">
        <v>0</v>
      </c>
      <c r="J2972">
        <v>55</v>
      </c>
      <c r="K2972" s="2">
        <v>45749</v>
      </c>
    </row>
    <row r="2973" spans="1:11" x14ac:dyDescent="0.25">
      <c r="A2973" s="1" t="s">
        <v>301</v>
      </c>
      <c r="B2973" s="1"/>
      <c r="C2973" s="1" t="s">
        <v>3259</v>
      </c>
      <c r="D2973" s="1" t="s">
        <v>3483</v>
      </c>
      <c r="E2973" s="1"/>
      <c r="F2973">
        <v>2.2000000000000002</v>
      </c>
      <c r="G2973">
        <v>3</v>
      </c>
      <c r="H2973">
        <v>-50</v>
      </c>
      <c r="I2973">
        <v>0</v>
      </c>
      <c r="J2973">
        <v>55</v>
      </c>
      <c r="K2973" s="2">
        <v>45750</v>
      </c>
    </row>
    <row r="2974" spans="1:11" x14ac:dyDescent="0.25">
      <c r="A2974" s="1" t="s">
        <v>301</v>
      </c>
      <c r="B2974" s="1"/>
      <c r="C2974" s="1" t="s">
        <v>3131</v>
      </c>
      <c r="D2974" s="1" t="s">
        <v>3372</v>
      </c>
      <c r="E2974" s="1"/>
      <c r="F2974">
        <v>1</v>
      </c>
      <c r="G2974">
        <v>0</v>
      </c>
      <c r="H2974">
        <v>55</v>
      </c>
      <c r="I2974">
        <v>0</v>
      </c>
      <c r="J2974">
        <v>55</v>
      </c>
      <c r="K2974" s="2">
        <v>45749</v>
      </c>
    </row>
    <row r="2975" spans="1:11" x14ac:dyDescent="0.25">
      <c r="A2975" s="1" t="s">
        <v>301</v>
      </c>
      <c r="B2975" s="1"/>
      <c r="C2975" s="1" t="s">
        <v>3231</v>
      </c>
      <c r="D2975" s="1" t="s">
        <v>3388</v>
      </c>
      <c r="E2975" s="1"/>
      <c r="F2975">
        <v>3.4</v>
      </c>
      <c r="G2975">
        <v>16.399999999999999</v>
      </c>
      <c r="H2975">
        <v>-810</v>
      </c>
      <c r="I2975">
        <v>0</v>
      </c>
      <c r="J2975">
        <v>55</v>
      </c>
      <c r="K2975" s="2">
        <v>45749</v>
      </c>
    </row>
    <row r="2976" spans="1:11" x14ac:dyDescent="0.25">
      <c r="A2976" s="1" t="s">
        <v>301</v>
      </c>
      <c r="B2976" s="1"/>
      <c r="C2976" s="1" t="s">
        <v>2924</v>
      </c>
      <c r="D2976" s="1" t="s">
        <v>3372</v>
      </c>
      <c r="E2976" s="1"/>
      <c r="F2976">
        <v>1</v>
      </c>
      <c r="G2976">
        <v>0</v>
      </c>
      <c r="H2976">
        <v>55</v>
      </c>
      <c r="I2976">
        <v>0</v>
      </c>
      <c r="J2976">
        <v>55</v>
      </c>
      <c r="K2976" s="2">
        <v>45750</v>
      </c>
    </row>
    <row r="2977" spans="1:11" x14ac:dyDescent="0.25">
      <c r="A2977" s="1" t="s">
        <v>301</v>
      </c>
      <c r="B2977" s="1"/>
      <c r="C2977" s="1" t="s">
        <v>3063</v>
      </c>
      <c r="D2977" s="1" t="s">
        <v>3449</v>
      </c>
      <c r="E2977" s="1"/>
      <c r="F2977">
        <v>4.8</v>
      </c>
      <c r="G2977">
        <v>3</v>
      </c>
      <c r="H2977">
        <v>120</v>
      </c>
      <c r="I2977">
        <v>0</v>
      </c>
      <c r="J2977">
        <v>55</v>
      </c>
      <c r="K2977" s="2">
        <v>45750</v>
      </c>
    </row>
    <row r="2978" spans="1:11" x14ac:dyDescent="0.25">
      <c r="A2978" s="1" t="s">
        <v>122</v>
      </c>
      <c r="B2978" s="1"/>
      <c r="C2978" s="1" t="s">
        <v>3258</v>
      </c>
      <c r="D2978" s="1" t="s">
        <v>3477</v>
      </c>
      <c r="E2978" s="1"/>
      <c r="F2978">
        <v>0</v>
      </c>
      <c r="G2978">
        <v>0</v>
      </c>
      <c r="H2978">
        <v>0</v>
      </c>
      <c r="I2978">
        <v>0</v>
      </c>
      <c r="J2978">
        <v>0</v>
      </c>
      <c r="K2978" s="2">
        <v>45743</v>
      </c>
    </row>
    <row r="2979" spans="1:11" x14ac:dyDescent="0.25">
      <c r="A2979" s="1" t="s">
        <v>122</v>
      </c>
      <c r="B2979" s="1"/>
      <c r="C2979" s="1" t="s">
        <v>2918</v>
      </c>
      <c r="D2979" s="1" t="s">
        <v>3412</v>
      </c>
      <c r="E2979" s="1"/>
      <c r="F2979">
        <v>0.2</v>
      </c>
      <c r="G2979">
        <v>0.8</v>
      </c>
      <c r="H2979">
        <v>-35</v>
      </c>
      <c r="I2979">
        <v>0</v>
      </c>
      <c r="J2979">
        <v>20</v>
      </c>
      <c r="K2979" s="2">
        <v>45736</v>
      </c>
    </row>
    <row r="2980" spans="1:11" x14ac:dyDescent="0.25">
      <c r="A2980" s="1" t="s">
        <v>122</v>
      </c>
      <c r="B2980" s="1"/>
      <c r="C2980" s="1" t="s">
        <v>3208</v>
      </c>
      <c r="D2980" s="1" t="s">
        <v>3413</v>
      </c>
      <c r="E2980" s="1"/>
      <c r="F2980">
        <v>0.3</v>
      </c>
      <c r="G2980">
        <v>0.8</v>
      </c>
      <c r="H2980">
        <v>-25</v>
      </c>
      <c r="I2980">
        <v>0</v>
      </c>
      <c r="J2980">
        <v>20</v>
      </c>
      <c r="K2980" s="2">
        <v>45736</v>
      </c>
    </row>
    <row r="2981" spans="1:11" x14ac:dyDescent="0.25">
      <c r="A2981" s="1" t="s">
        <v>122</v>
      </c>
      <c r="B2981" s="1"/>
      <c r="C2981" s="1" t="s">
        <v>2918</v>
      </c>
      <c r="D2981" s="1" t="s">
        <v>3412</v>
      </c>
      <c r="E2981" s="1"/>
      <c r="F2981">
        <v>0.2</v>
      </c>
      <c r="G2981">
        <v>0.8</v>
      </c>
      <c r="H2981">
        <v>-35</v>
      </c>
      <c r="I2981">
        <v>0</v>
      </c>
      <c r="J2981">
        <v>20</v>
      </c>
      <c r="K2981" s="2">
        <v>45736</v>
      </c>
    </row>
    <row r="2982" spans="1:11" x14ac:dyDescent="0.25">
      <c r="A2982" s="1" t="s">
        <v>122</v>
      </c>
      <c r="B2982" s="1"/>
      <c r="C2982" s="1" t="s">
        <v>3121</v>
      </c>
      <c r="D2982" s="1" t="s">
        <v>3388</v>
      </c>
      <c r="E2982" s="1"/>
      <c r="F2982">
        <v>3.5</v>
      </c>
      <c r="G2982">
        <v>5.8</v>
      </c>
      <c r="H2982">
        <v>-140</v>
      </c>
      <c r="I2982">
        <v>0</v>
      </c>
      <c r="J2982">
        <v>20</v>
      </c>
      <c r="K2982" s="2">
        <v>45736</v>
      </c>
    </row>
    <row r="2983" spans="1:11" x14ac:dyDescent="0.25">
      <c r="A2983" s="1" t="s">
        <v>122</v>
      </c>
      <c r="B2983" s="1"/>
      <c r="C2983" s="1" t="s">
        <v>3255</v>
      </c>
      <c r="D2983" s="1" t="s">
        <v>3430</v>
      </c>
      <c r="E2983" s="1"/>
      <c r="F2983">
        <v>0.2</v>
      </c>
      <c r="G2983">
        <v>0</v>
      </c>
      <c r="H2983">
        <v>15</v>
      </c>
      <c r="I2983">
        <v>0</v>
      </c>
      <c r="J2983">
        <v>20</v>
      </c>
      <c r="K2983" s="2">
        <v>45743</v>
      </c>
    </row>
    <row r="2984" spans="1:11" x14ac:dyDescent="0.25">
      <c r="A2984" s="1" t="s">
        <v>122</v>
      </c>
      <c r="B2984" s="1"/>
      <c r="C2984" s="1" t="s">
        <v>3257</v>
      </c>
      <c r="D2984" s="1" t="s">
        <v>3448</v>
      </c>
      <c r="E2984" s="1"/>
      <c r="F2984">
        <v>6.8</v>
      </c>
      <c r="G2984">
        <v>17.8</v>
      </c>
      <c r="H2984">
        <v>-680</v>
      </c>
      <c r="I2984">
        <v>1</v>
      </c>
      <c r="J2984">
        <v>19</v>
      </c>
      <c r="K2984" s="2">
        <v>45745</v>
      </c>
    </row>
    <row r="2985" spans="1:11" x14ac:dyDescent="0.25">
      <c r="A2985" s="1" t="s">
        <v>122</v>
      </c>
      <c r="B2985" s="1"/>
      <c r="C2985" s="1" t="s">
        <v>2864</v>
      </c>
      <c r="D2985" s="1" t="s">
        <v>3462</v>
      </c>
      <c r="E2985" s="1"/>
      <c r="F2985">
        <v>5</v>
      </c>
      <c r="G2985">
        <v>3.4</v>
      </c>
      <c r="H2985">
        <v>70</v>
      </c>
      <c r="I2985">
        <v>11</v>
      </c>
      <c r="J2985">
        <v>8</v>
      </c>
      <c r="K2985" s="2">
        <v>45761</v>
      </c>
    </row>
    <row r="2986" spans="1:11" x14ac:dyDescent="0.25">
      <c r="A2986" s="1" t="s">
        <v>122</v>
      </c>
      <c r="B2986" s="1"/>
      <c r="C2986" s="1" t="s">
        <v>3258</v>
      </c>
      <c r="D2986" s="1" t="s">
        <v>3477</v>
      </c>
      <c r="E2986" s="1"/>
      <c r="F2986">
        <v>5.3</v>
      </c>
      <c r="G2986">
        <v>0.6</v>
      </c>
      <c r="H2986">
        <v>300</v>
      </c>
      <c r="I2986">
        <v>0</v>
      </c>
      <c r="J2986">
        <v>8</v>
      </c>
      <c r="K2986" s="2">
        <v>45765</v>
      </c>
    </row>
    <row r="2987" spans="1:11" x14ac:dyDescent="0.25">
      <c r="A2987" s="1" t="s">
        <v>122</v>
      </c>
      <c r="B2987" s="1"/>
      <c r="C2987" s="1" t="s">
        <v>3259</v>
      </c>
      <c r="D2987" s="1" t="s">
        <v>3483</v>
      </c>
      <c r="E2987" s="1"/>
      <c r="F2987">
        <v>0.9</v>
      </c>
      <c r="G2987">
        <v>1.9</v>
      </c>
      <c r="H2987">
        <v>-60</v>
      </c>
      <c r="I2987">
        <v>0</v>
      </c>
      <c r="J2987">
        <v>8</v>
      </c>
      <c r="K2987" s="2">
        <v>45775</v>
      </c>
    </row>
    <row r="2988" spans="1:11" x14ac:dyDescent="0.25">
      <c r="A2988" s="1" t="s">
        <v>122</v>
      </c>
      <c r="B2988" s="1"/>
      <c r="C2988" s="1" t="s">
        <v>3131</v>
      </c>
      <c r="D2988" s="1" t="s">
        <v>3372</v>
      </c>
      <c r="E2988" s="1"/>
      <c r="F2988">
        <v>1</v>
      </c>
      <c r="G2988">
        <v>0</v>
      </c>
      <c r="H2988">
        <v>55</v>
      </c>
      <c r="I2988">
        <v>0</v>
      </c>
      <c r="J2988">
        <v>8</v>
      </c>
      <c r="K2988" s="2">
        <v>45775</v>
      </c>
    </row>
    <row r="2989" spans="1:11" x14ac:dyDescent="0.25">
      <c r="A2989" s="1" t="s">
        <v>122</v>
      </c>
      <c r="B2989" s="1"/>
      <c r="C2989" s="1" t="s">
        <v>3231</v>
      </c>
      <c r="D2989" s="1" t="s">
        <v>3388</v>
      </c>
      <c r="E2989" s="1"/>
      <c r="F2989">
        <v>1.5</v>
      </c>
      <c r="G2989">
        <v>7.5</v>
      </c>
      <c r="H2989">
        <v>-375</v>
      </c>
      <c r="I2989">
        <v>0</v>
      </c>
      <c r="J2989">
        <v>8</v>
      </c>
      <c r="K2989" s="2">
        <v>45775</v>
      </c>
    </row>
    <row r="2990" spans="1:11" x14ac:dyDescent="0.25">
      <c r="A2990" s="1" t="s">
        <v>122</v>
      </c>
      <c r="B2990" s="1"/>
      <c r="C2990" s="1" t="s">
        <v>2924</v>
      </c>
      <c r="D2990" s="1" t="s">
        <v>3372</v>
      </c>
      <c r="E2990" s="1"/>
      <c r="F2990">
        <v>1</v>
      </c>
      <c r="G2990">
        <v>0.2</v>
      </c>
      <c r="H2990">
        <v>45</v>
      </c>
      <c r="I2990">
        <v>0</v>
      </c>
      <c r="J2990">
        <v>8</v>
      </c>
      <c r="K2990" s="2">
        <v>45775</v>
      </c>
    </row>
    <row r="2991" spans="1:11" x14ac:dyDescent="0.25">
      <c r="A2991" s="1" t="s">
        <v>122</v>
      </c>
      <c r="B2991" s="1"/>
      <c r="C2991" s="1" t="s">
        <v>3063</v>
      </c>
      <c r="D2991" s="1" t="s">
        <v>3449</v>
      </c>
      <c r="E2991" s="1"/>
      <c r="F2991">
        <v>1.7</v>
      </c>
      <c r="G2991">
        <v>0.3</v>
      </c>
      <c r="H2991">
        <v>90</v>
      </c>
      <c r="I2991">
        <v>0</v>
      </c>
      <c r="J2991">
        <v>8</v>
      </c>
      <c r="K2991" s="2">
        <v>45775</v>
      </c>
    </row>
    <row r="2992" spans="1:11" x14ac:dyDescent="0.25">
      <c r="A2992" s="1" t="s">
        <v>121</v>
      </c>
      <c r="B2992" s="1"/>
      <c r="C2992" s="1" t="s">
        <v>3255</v>
      </c>
      <c r="D2992" s="1" t="s">
        <v>3430</v>
      </c>
      <c r="E2992" s="1"/>
      <c r="F2992">
        <v>0.2</v>
      </c>
      <c r="G2992">
        <v>0</v>
      </c>
      <c r="H2992">
        <v>15</v>
      </c>
      <c r="I2992">
        <v>0</v>
      </c>
      <c r="J2992">
        <v>18</v>
      </c>
      <c r="K2992" s="2">
        <v>45743</v>
      </c>
    </row>
    <row r="2993" spans="1:11" x14ac:dyDescent="0.25">
      <c r="A2993" s="1" t="s">
        <v>121</v>
      </c>
      <c r="B2993" s="1"/>
      <c r="C2993" s="1" t="s">
        <v>3257</v>
      </c>
      <c r="D2993" s="1" t="s">
        <v>3448</v>
      </c>
      <c r="E2993" s="1"/>
      <c r="F2993">
        <v>6.5</v>
      </c>
      <c r="G2993">
        <v>0</v>
      </c>
      <c r="H2993">
        <v>445</v>
      </c>
      <c r="I2993">
        <v>3</v>
      </c>
      <c r="J2993">
        <v>15</v>
      </c>
      <c r="K2993" s="2">
        <v>45761</v>
      </c>
    </row>
    <row r="2994" spans="1:11" x14ac:dyDescent="0.25">
      <c r="A2994" s="1" t="s">
        <v>121</v>
      </c>
      <c r="B2994" s="1"/>
      <c r="C2994" s="1" t="s">
        <v>3258</v>
      </c>
      <c r="D2994" s="1" t="s">
        <v>3477</v>
      </c>
      <c r="E2994" s="1"/>
      <c r="F2994">
        <v>4.8</v>
      </c>
      <c r="G2994">
        <v>1</v>
      </c>
      <c r="H2994">
        <v>250</v>
      </c>
      <c r="I2994">
        <v>0</v>
      </c>
      <c r="J2994">
        <v>13</v>
      </c>
      <c r="K2994" s="2">
        <v>45765</v>
      </c>
    </row>
    <row r="2995" spans="1:11" x14ac:dyDescent="0.25">
      <c r="A2995" s="1" t="s">
        <v>121</v>
      </c>
      <c r="B2995" s="1"/>
      <c r="C2995" s="1" t="s">
        <v>3259</v>
      </c>
      <c r="D2995" s="1" t="s">
        <v>3483</v>
      </c>
      <c r="E2995" s="1"/>
      <c r="F2995">
        <v>0.9</v>
      </c>
      <c r="G2995">
        <v>0</v>
      </c>
      <c r="H2995">
        <v>60</v>
      </c>
      <c r="I2995">
        <v>0</v>
      </c>
      <c r="J2995">
        <v>13</v>
      </c>
      <c r="K2995" s="2">
        <v>45768</v>
      </c>
    </row>
    <row r="2996" spans="1:11" x14ac:dyDescent="0.25">
      <c r="A2996" s="1" t="s">
        <v>121</v>
      </c>
      <c r="B2996" s="1"/>
      <c r="C2996" s="1" t="s">
        <v>3131</v>
      </c>
      <c r="D2996" s="1" t="s">
        <v>3372</v>
      </c>
      <c r="E2996" s="1"/>
      <c r="F2996">
        <v>1</v>
      </c>
      <c r="G2996">
        <v>0</v>
      </c>
      <c r="H2996">
        <v>55</v>
      </c>
      <c r="I2996">
        <v>0</v>
      </c>
      <c r="J2996">
        <v>13</v>
      </c>
      <c r="K2996" s="2">
        <v>45769</v>
      </c>
    </row>
    <row r="2997" spans="1:11" x14ac:dyDescent="0.25">
      <c r="A2997" s="1" t="s">
        <v>121</v>
      </c>
      <c r="B2997" s="1"/>
      <c r="C2997" s="1" t="s">
        <v>2924</v>
      </c>
      <c r="D2997" s="1" t="s">
        <v>3372</v>
      </c>
      <c r="E2997" s="1"/>
      <c r="F2997">
        <v>1</v>
      </c>
      <c r="G2997">
        <v>0.1</v>
      </c>
      <c r="H2997">
        <v>50</v>
      </c>
      <c r="I2997">
        <v>0</v>
      </c>
      <c r="J2997">
        <v>13</v>
      </c>
      <c r="K2997" s="2">
        <v>45772</v>
      </c>
    </row>
    <row r="2998" spans="1:11" x14ac:dyDescent="0.25">
      <c r="A2998" s="1" t="s">
        <v>121</v>
      </c>
      <c r="B2998" s="1"/>
      <c r="C2998" s="1" t="s">
        <v>3063</v>
      </c>
      <c r="D2998" s="1" t="s">
        <v>3449</v>
      </c>
      <c r="E2998" s="1"/>
      <c r="F2998">
        <v>1.5</v>
      </c>
      <c r="G2998">
        <v>0.2</v>
      </c>
      <c r="H2998">
        <v>85</v>
      </c>
      <c r="I2998">
        <v>0</v>
      </c>
      <c r="J2998">
        <v>13</v>
      </c>
      <c r="K2998" s="2">
        <v>45775</v>
      </c>
    </row>
    <row r="2999" spans="1:11" x14ac:dyDescent="0.25">
      <c r="A2999" s="1" t="s">
        <v>453</v>
      </c>
      <c r="B2999" s="1"/>
      <c r="C2999" s="1" t="s">
        <v>2808</v>
      </c>
      <c r="D2999" s="1" t="s">
        <v>3370</v>
      </c>
      <c r="E2999" s="1"/>
      <c r="F2999">
        <v>0</v>
      </c>
      <c r="G2999">
        <v>0</v>
      </c>
      <c r="H2999">
        <v>0</v>
      </c>
      <c r="I2999">
        <v>0</v>
      </c>
      <c r="J2999">
        <v>90</v>
      </c>
      <c r="K2999" s="2">
        <v>45744</v>
      </c>
    </row>
    <row r="3000" spans="1:11" x14ac:dyDescent="0.25">
      <c r="A3000" s="1" t="s">
        <v>453</v>
      </c>
      <c r="B3000" s="1"/>
      <c r="C3000" s="1" t="s">
        <v>2918</v>
      </c>
      <c r="D3000" s="1" t="s">
        <v>3412</v>
      </c>
      <c r="E3000" s="1"/>
      <c r="F3000">
        <v>0.9</v>
      </c>
      <c r="G3000">
        <v>3.9</v>
      </c>
      <c r="H3000">
        <v>-185</v>
      </c>
      <c r="I3000">
        <v>0</v>
      </c>
      <c r="J3000">
        <v>90</v>
      </c>
      <c r="K3000" s="2">
        <v>45749</v>
      </c>
    </row>
    <row r="3001" spans="1:11" x14ac:dyDescent="0.25">
      <c r="A3001" s="1" t="s">
        <v>453</v>
      </c>
      <c r="B3001" s="1"/>
      <c r="C3001" s="1" t="s">
        <v>3208</v>
      </c>
      <c r="D3001" s="1" t="s">
        <v>3413</v>
      </c>
      <c r="E3001" s="1"/>
      <c r="F3001">
        <v>1.5</v>
      </c>
      <c r="G3001">
        <v>6.8</v>
      </c>
      <c r="H3001">
        <v>-330</v>
      </c>
      <c r="I3001">
        <v>0</v>
      </c>
      <c r="J3001">
        <v>90</v>
      </c>
      <c r="K3001" s="2">
        <v>45749</v>
      </c>
    </row>
    <row r="3002" spans="1:11" x14ac:dyDescent="0.25">
      <c r="A3002" s="1" t="s">
        <v>453</v>
      </c>
      <c r="B3002" s="1"/>
      <c r="C3002" s="1" t="s">
        <v>2918</v>
      </c>
      <c r="D3002" s="1" t="s">
        <v>3412</v>
      </c>
      <c r="E3002" s="1"/>
      <c r="F3002">
        <v>0.9</v>
      </c>
      <c r="G3002">
        <v>4.2</v>
      </c>
      <c r="H3002">
        <v>-205</v>
      </c>
      <c r="I3002">
        <v>0</v>
      </c>
      <c r="J3002">
        <v>90</v>
      </c>
      <c r="K3002" s="2">
        <v>45749</v>
      </c>
    </row>
    <row r="3003" spans="1:11" x14ac:dyDescent="0.25">
      <c r="A3003" s="1" t="s">
        <v>453</v>
      </c>
      <c r="B3003" s="1"/>
      <c r="C3003" s="1" t="s">
        <v>3121</v>
      </c>
      <c r="D3003" s="1" t="s">
        <v>3388</v>
      </c>
      <c r="E3003" s="1"/>
      <c r="F3003">
        <v>15.7</v>
      </c>
      <c r="G3003">
        <v>3.8</v>
      </c>
      <c r="H3003">
        <v>745</v>
      </c>
      <c r="I3003">
        <v>0</v>
      </c>
      <c r="J3003">
        <v>90</v>
      </c>
      <c r="K3003" s="2">
        <v>45750</v>
      </c>
    </row>
    <row r="3004" spans="1:11" x14ac:dyDescent="0.25">
      <c r="A3004" s="1" t="s">
        <v>453</v>
      </c>
      <c r="B3004" s="1"/>
      <c r="C3004" s="1" t="s">
        <v>3256</v>
      </c>
      <c r="D3004" s="1" t="s">
        <v>3448</v>
      </c>
      <c r="E3004" s="1"/>
      <c r="F3004">
        <v>3</v>
      </c>
      <c r="G3004">
        <v>2.2999999999999998</v>
      </c>
      <c r="H3004">
        <v>65</v>
      </c>
      <c r="I3004">
        <v>0</v>
      </c>
      <c r="J3004">
        <v>8</v>
      </c>
      <c r="K3004" s="2">
        <v>45754</v>
      </c>
    </row>
    <row r="3005" spans="1:11" x14ac:dyDescent="0.25">
      <c r="A3005" s="1" t="s">
        <v>453</v>
      </c>
      <c r="B3005" s="1"/>
      <c r="C3005" s="1" t="s">
        <v>2961</v>
      </c>
      <c r="D3005" s="1" t="s">
        <v>3462</v>
      </c>
      <c r="E3005" s="1"/>
      <c r="F3005">
        <v>0.5</v>
      </c>
      <c r="G3005">
        <v>2.6</v>
      </c>
      <c r="H3005">
        <v>-85</v>
      </c>
      <c r="I3005">
        <v>2</v>
      </c>
      <c r="J3005">
        <v>8</v>
      </c>
      <c r="K3005" s="2">
        <v>45756</v>
      </c>
    </row>
    <row r="3006" spans="1:11" x14ac:dyDescent="0.25">
      <c r="A3006" s="1" t="s">
        <v>453</v>
      </c>
      <c r="B3006" s="1"/>
      <c r="C3006" s="1" t="s">
        <v>3257</v>
      </c>
      <c r="D3006" s="1" t="s">
        <v>3448</v>
      </c>
      <c r="E3006" s="1"/>
      <c r="F3006">
        <v>20.3</v>
      </c>
      <c r="G3006">
        <v>27.2</v>
      </c>
      <c r="H3006">
        <v>-405</v>
      </c>
      <c r="I3006">
        <v>0</v>
      </c>
      <c r="J3006">
        <v>88</v>
      </c>
      <c r="K3006" s="2">
        <v>45756</v>
      </c>
    </row>
    <row r="3007" spans="1:11" x14ac:dyDescent="0.25">
      <c r="A3007" s="1" t="s">
        <v>453</v>
      </c>
      <c r="B3007" s="1"/>
      <c r="C3007" s="1" t="s">
        <v>2864</v>
      </c>
      <c r="D3007" s="1" t="s">
        <v>3462</v>
      </c>
      <c r="E3007" s="1"/>
      <c r="F3007">
        <v>19</v>
      </c>
      <c r="G3007">
        <v>22.5</v>
      </c>
      <c r="H3007">
        <v>-145</v>
      </c>
      <c r="I3007">
        <v>5</v>
      </c>
      <c r="J3007">
        <v>83</v>
      </c>
      <c r="K3007" s="2">
        <v>45770</v>
      </c>
    </row>
    <row r="3008" spans="1:11" x14ac:dyDescent="0.25">
      <c r="A3008" s="1" t="s">
        <v>453</v>
      </c>
      <c r="B3008" s="1"/>
      <c r="C3008" s="1" t="s">
        <v>3258</v>
      </c>
      <c r="D3008" s="1" t="s">
        <v>3477</v>
      </c>
      <c r="E3008" s="1"/>
      <c r="F3008">
        <v>22.8</v>
      </c>
      <c r="G3008">
        <v>10.199999999999999</v>
      </c>
      <c r="H3008">
        <v>805</v>
      </c>
      <c r="I3008">
        <v>0</v>
      </c>
      <c r="J3008">
        <v>83</v>
      </c>
      <c r="K3008" s="2">
        <v>45770</v>
      </c>
    </row>
    <row r="3009" spans="1:11" x14ac:dyDescent="0.25">
      <c r="A3009" s="1" t="s">
        <v>453</v>
      </c>
      <c r="B3009" s="1"/>
      <c r="C3009" s="1" t="s">
        <v>3259</v>
      </c>
      <c r="D3009" s="1" t="s">
        <v>3483</v>
      </c>
      <c r="E3009" s="1"/>
      <c r="F3009">
        <v>3.3</v>
      </c>
      <c r="G3009">
        <v>2.6</v>
      </c>
      <c r="H3009">
        <v>50</v>
      </c>
      <c r="I3009">
        <v>0</v>
      </c>
      <c r="J3009">
        <v>83</v>
      </c>
      <c r="K3009" s="2">
        <v>45770</v>
      </c>
    </row>
    <row r="3010" spans="1:11" x14ac:dyDescent="0.25">
      <c r="A3010" s="1" t="s">
        <v>453</v>
      </c>
      <c r="B3010" s="1"/>
      <c r="C3010" s="1" t="s">
        <v>3131</v>
      </c>
      <c r="D3010" s="1" t="s">
        <v>3372</v>
      </c>
      <c r="E3010" s="1"/>
      <c r="F3010">
        <v>1</v>
      </c>
      <c r="G3010">
        <v>0.2</v>
      </c>
      <c r="H3010">
        <v>45</v>
      </c>
      <c r="I3010">
        <v>0</v>
      </c>
      <c r="J3010">
        <v>83</v>
      </c>
      <c r="K3010" s="2">
        <v>45775</v>
      </c>
    </row>
    <row r="3011" spans="1:11" x14ac:dyDescent="0.25">
      <c r="A3011" s="1" t="s">
        <v>453</v>
      </c>
      <c r="B3011" s="1"/>
      <c r="C3011" s="1" t="s">
        <v>3231</v>
      </c>
      <c r="D3011" s="1" t="s">
        <v>3388</v>
      </c>
      <c r="E3011" s="1"/>
      <c r="F3011">
        <v>5</v>
      </c>
      <c r="G3011">
        <v>9.4</v>
      </c>
      <c r="H3011">
        <v>-270</v>
      </c>
      <c r="I3011">
        <v>0</v>
      </c>
      <c r="J3011">
        <v>83</v>
      </c>
      <c r="K3011" s="2">
        <v>45779</v>
      </c>
    </row>
    <row r="3012" spans="1:11" x14ac:dyDescent="0.25">
      <c r="A3012" s="1" t="s">
        <v>453</v>
      </c>
      <c r="B3012" s="1"/>
      <c r="C3012" s="1" t="s">
        <v>2924</v>
      </c>
      <c r="D3012" s="1" t="s">
        <v>3372</v>
      </c>
      <c r="E3012" s="1"/>
      <c r="F3012">
        <v>1</v>
      </c>
      <c r="G3012">
        <v>0.3</v>
      </c>
      <c r="H3012">
        <v>40</v>
      </c>
      <c r="I3012">
        <v>0</v>
      </c>
      <c r="J3012">
        <v>83</v>
      </c>
      <c r="K3012" s="2">
        <v>45782</v>
      </c>
    </row>
    <row r="3013" spans="1:11" x14ac:dyDescent="0.25">
      <c r="A3013" s="1" t="s">
        <v>453</v>
      </c>
      <c r="B3013" s="1"/>
      <c r="C3013" s="1" t="s">
        <v>3063</v>
      </c>
      <c r="D3013" s="1" t="s">
        <v>3449</v>
      </c>
      <c r="E3013" s="1"/>
      <c r="F3013">
        <v>7.5</v>
      </c>
      <c r="G3013">
        <v>4.5</v>
      </c>
      <c r="H3013">
        <v>195</v>
      </c>
      <c r="I3013">
        <v>0</v>
      </c>
      <c r="J3013">
        <v>83</v>
      </c>
      <c r="K3013" s="2">
        <v>45782</v>
      </c>
    </row>
    <row r="3014" spans="1:11" x14ac:dyDescent="0.25">
      <c r="A3014" s="1" t="s">
        <v>492</v>
      </c>
      <c r="B3014" s="1"/>
      <c r="C3014" s="1" t="s">
        <v>2808</v>
      </c>
      <c r="D3014" s="1" t="s">
        <v>3370</v>
      </c>
      <c r="E3014" s="1"/>
      <c r="F3014">
        <v>0</v>
      </c>
      <c r="G3014">
        <v>0</v>
      </c>
      <c r="H3014">
        <v>0</v>
      </c>
      <c r="I3014">
        <v>0</v>
      </c>
      <c r="J3014">
        <v>90</v>
      </c>
      <c r="K3014" s="2">
        <v>45751</v>
      </c>
    </row>
    <row r="3015" spans="1:11" x14ac:dyDescent="0.25">
      <c r="A3015" s="1" t="s">
        <v>492</v>
      </c>
      <c r="B3015" s="1"/>
      <c r="C3015" s="1" t="s">
        <v>2918</v>
      </c>
      <c r="D3015" s="1" t="s">
        <v>3412</v>
      </c>
      <c r="E3015" s="1"/>
      <c r="F3015">
        <v>0.9</v>
      </c>
      <c r="G3015">
        <v>3.4</v>
      </c>
      <c r="H3015">
        <v>-155</v>
      </c>
      <c r="I3015">
        <v>0</v>
      </c>
      <c r="J3015">
        <v>90</v>
      </c>
      <c r="K3015" s="2">
        <v>45754</v>
      </c>
    </row>
    <row r="3016" spans="1:11" x14ac:dyDescent="0.25">
      <c r="A3016" s="1" t="s">
        <v>492</v>
      </c>
      <c r="B3016" s="1"/>
      <c r="C3016" s="1" t="s">
        <v>3208</v>
      </c>
      <c r="D3016" s="1" t="s">
        <v>3413</v>
      </c>
      <c r="E3016" s="1"/>
      <c r="F3016">
        <v>1.5</v>
      </c>
      <c r="G3016">
        <v>3.9</v>
      </c>
      <c r="H3016">
        <v>-145</v>
      </c>
      <c r="I3016">
        <v>0</v>
      </c>
      <c r="J3016">
        <v>90</v>
      </c>
      <c r="K3016" s="2">
        <v>45758</v>
      </c>
    </row>
    <row r="3017" spans="1:11" x14ac:dyDescent="0.25">
      <c r="A3017" s="1" t="s">
        <v>492</v>
      </c>
      <c r="B3017" s="1"/>
      <c r="C3017" s="1" t="s">
        <v>2918</v>
      </c>
      <c r="D3017" s="1" t="s">
        <v>3412</v>
      </c>
      <c r="E3017" s="1"/>
      <c r="F3017">
        <v>0.9</v>
      </c>
      <c r="G3017">
        <v>0.4</v>
      </c>
      <c r="H3017">
        <v>30</v>
      </c>
      <c r="I3017">
        <v>0</v>
      </c>
      <c r="J3017">
        <v>90</v>
      </c>
      <c r="K3017" s="2">
        <v>45758</v>
      </c>
    </row>
    <row r="3018" spans="1:11" x14ac:dyDescent="0.25">
      <c r="A3018" s="1" t="s">
        <v>492</v>
      </c>
      <c r="B3018" s="1"/>
      <c r="C3018" s="1" t="s">
        <v>3121</v>
      </c>
      <c r="D3018" s="1" t="s">
        <v>3388</v>
      </c>
      <c r="E3018" s="1"/>
      <c r="F3018">
        <v>15.7</v>
      </c>
      <c r="G3018">
        <v>15.1</v>
      </c>
      <c r="H3018">
        <v>45</v>
      </c>
      <c r="I3018">
        <v>0</v>
      </c>
      <c r="J3018">
        <v>90</v>
      </c>
      <c r="K3018" s="2">
        <v>45754</v>
      </c>
    </row>
    <row r="3019" spans="1:11" x14ac:dyDescent="0.25">
      <c r="A3019" s="1" t="s">
        <v>492</v>
      </c>
      <c r="B3019" s="1"/>
      <c r="C3019" s="1" t="s">
        <v>3256</v>
      </c>
      <c r="D3019" s="1" t="s">
        <v>3448</v>
      </c>
      <c r="E3019" s="1"/>
      <c r="F3019">
        <v>3</v>
      </c>
      <c r="G3019">
        <v>0</v>
      </c>
      <c r="H3019">
        <v>210</v>
      </c>
      <c r="I3019">
        <v>0</v>
      </c>
      <c r="J3019">
        <v>0</v>
      </c>
      <c r="K3019" s="2">
        <v>45750</v>
      </c>
    </row>
    <row r="3020" spans="1:11" x14ac:dyDescent="0.25">
      <c r="A3020" s="1" t="s">
        <v>492</v>
      </c>
      <c r="B3020" s="1"/>
      <c r="C3020" s="1" t="s">
        <v>2961</v>
      </c>
      <c r="D3020" s="1" t="s">
        <v>3462</v>
      </c>
      <c r="E3020" s="1"/>
      <c r="F3020">
        <v>0.5</v>
      </c>
      <c r="G3020">
        <v>0</v>
      </c>
      <c r="H3020">
        <v>25</v>
      </c>
      <c r="I3020">
        <v>0</v>
      </c>
      <c r="J3020">
        <v>0</v>
      </c>
      <c r="K3020" s="2">
        <v>45758</v>
      </c>
    </row>
    <row r="3021" spans="1:11" x14ac:dyDescent="0.25">
      <c r="A3021" s="1" t="s">
        <v>492</v>
      </c>
      <c r="B3021" s="1"/>
      <c r="C3021" s="1" t="s">
        <v>3257</v>
      </c>
      <c r="D3021" s="1" t="s">
        <v>3448</v>
      </c>
      <c r="E3021" s="1"/>
      <c r="F3021">
        <v>20.3</v>
      </c>
      <c r="G3021">
        <v>30.5</v>
      </c>
      <c r="H3021">
        <v>-630</v>
      </c>
      <c r="I3021">
        <v>4</v>
      </c>
      <c r="J3021">
        <v>86</v>
      </c>
      <c r="K3021" s="2">
        <v>45758</v>
      </c>
    </row>
    <row r="3022" spans="1:11" x14ac:dyDescent="0.25">
      <c r="A3022" s="1" t="s">
        <v>492</v>
      </c>
      <c r="B3022" s="1"/>
      <c r="C3022" s="1" t="s">
        <v>2864</v>
      </c>
      <c r="D3022" s="1" t="s">
        <v>3462</v>
      </c>
      <c r="E3022" s="1"/>
      <c r="F3022">
        <v>19</v>
      </c>
      <c r="G3022">
        <v>15.4</v>
      </c>
      <c r="H3022">
        <v>150</v>
      </c>
      <c r="I3022">
        <v>1</v>
      </c>
      <c r="J3022">
        <v>85</v>
      </c>
      <c r="K3022" s="2">
        <v>45776</v>
      </c>
    </row>
    <row r="3023" spans="1:11" x14ac:dyDescent="0.25">
      <c r="A3023" s="1" t="s">
        <v>492</v>
      </c>
      <c r="B3023" s="1"/>
      <c r="C3023" s="1" t="s">
        <v>3258</v>
      </c>
      <c r="D3023" s="1" t="s">
        <v>3477</v>
      </c>
      <c r="E3023" s="1"/>
      <c r="F3023">
        <v>22.8</v>
      </c>
      <c r="G3023">
        <v>22.5</v>
      </c>
      <c r="H3023">
        <v>20</v>
      </c>
      <c r="I3023">
        <v>1</v>
      </c>
      <c r="J3023">
        <v>84</v>
      </c>
      <c r="K3023" s="2">
        <v>45782</v>
      </c>
    </row>
    <row r="3024" spans="1:11" x14ac:dyDescent="0.25">
      <c r="A3024" s="1" t="s">
        <v>492</v>
      </c>
      <c r="B3024" s="1"/>
      <c r="C3024" s="1" t="s">
        <v>3259</v>
      </c>
      <c r="D3024" s="1" t="s">
        <v>3483</v>
      </c>
      <c r="E3024" s="1"/>
      <c r="F3024">
        <v>3.3</v>
      </c>
      <c r="G3024">
        <v>3.3</v>
      </c>
      <c r="H3024">
        <v>5</v>
      </c>
      <c r="I3024">
        <v>0</v>
      </c>
      <c r="J3024">
        <v>84</v>
      </c>
      <c r="K3024" s="2">
        <v>45785</v>
      </c>
    </row>
    <row r="3025" spans="1:11" x14ac:dyDescent="0.25">
      <c r="A3025" s="1" t="s">
        <v>492</v>
      </c>
      <c r="B3025" s="1"/>
      <c r="C3025" s="1" t="s">
        <v>3131</v>
      </c>
      <c r="D3025" s="1" t="s">
        <v>3372</v>
      </c>
      <c r="E3025" s="1"/>
      <c r="F3025">
        <v>1</v>
      </c>
      <c r="G3025">
        <v>0</v>
      </c>
      <c r="H3025">
        <v>55</v>
      </c>
      <c r="I3025">
        <v>0</v>
      </c>
      <c r="J3025">
        <v>84</v>
      </c>
      <c r="K3025" s="2">
        <v>45782</v>
      </c>
    </row>
    <row r="3026" spans="1:11" x14ac:dyDescent="0.25">
      <c r="A3026" s="1" t="s">
        <v>492</v>
      </c>
      <c r="B3026" s="1"/>
      <c r="C3026" s="1" t="s">
        <v>3231</v>
      </c>
      <c r="D3026" s="1" t="s">
        <v>3388</v>
      </c>
      <c r="E3026" s="1"/>
      <c r="F3026">
        <v>5</v>
      </c>
      <c r="G3026">
        <v>5.8</v>
      </c>
      <c r="H3026">
        <v>-50</v>
      </c>
      <c r="I3026">
        <v>0</v>
      </c>
      <c r="J3026">
        <v>84</v>
      </c>
      <c r="K3026" s="2">
        <v>45784</v>
      </c>
    </row>
    <row r="3027" spans="1:11" x14ac:dyDescent="0.25">
      <c r="A3027" s="1" t="s">
        <v>492</v>
      </c>
      <c r="B3027" s="1"/>
      <c r="C3027" s="1" t="s">
        <v>2924</v>
      </c>
      <c r="D3027" s="1" t="s">
        <v>3372</v>
      </c>
      <c r="E3027" s="1"/>
      <c r="F3027">
        <v>1</v>
      </c>
      <c r="G3027">
        <v>0</v>
      </c>
      <c r="H3027">
        <v>55</v>
      </c>
      <c r="I3027">
        <v>0</v>
      </c>
      <c r="J3027">
        <v>84</v>
      </c>
      <c r="K3027" s="2">
        <v>45784</v>
      </c>
    </row>
    <row r="3028" spans="1:11" x14ac:dyDescent="0.25">
      <c r="A3028" s="1" t="s">
        <v>492</v>
      </c>
      <c r="B3028" s="1"/>
      <c r="C3028" s="1" t="s">
        <v>3063</v>
      </c>
      <c r="D3028" s="1" t="s">
        <v>3449</v>
      </c>
      <c r="E3028" s="1"/>
      <c r="F3028">
        <v>7.5</v>
      </c>
      <c r="G3028">
        <v>4</v>
      </c>
      <c r="H3028">
        <v>230</v>
      </c>
      <c r="I3028">
        <v>0</v>
      </c>
      <c r="J3028">
        <v>84</v>
      </c>
      <c r="K3028" s="2">
        <v>45785</v>
      </c>
    </row>
    <row r="3029" spans="1:11" x14ac:dyDescent="0.25">
      <c r="A3029" s="1" t="s">
        <v>690</v>
      </c>
      <c r="B3029" s="1"/>
      <c r="C3029" s="1" t="s">
        <v>2808</v>
      </c>
      <c r="D3029" s="1" t="s">
        <v>3370</v>
      </c>
      <c r="E3029" s="1"/>
      <c r="F3029">
        <v>0</v>
      </c>
      <c r="G3029">
        <v>0</v>
      </c>
      <c r="H3029">
        <v>0</v>
      </c>
      <c r="I3029">
        <v>0</v>
      </c>
      <c r="J3029">
        <v>68</v>
      </c>
      <c r="K3029" s="2">
        <v>45768</v>
      </c>
    </row>
    <row r="3030" spans="1:11" x14ac:dyDescent="0.25">
      <c r="A3030" s="1" t="s">
        <v>690</v>
      </c>
      <c r="B3030" s="1"/>
      <c r="C3030" s="1" t="s">
        <v>2918</v>
      </c>
      <c r="D3030" s="1" t="s">
        <v>3412</v>
      </c>
      <c r="E3030" s="1"/>
      <c r="F3030">
        <v>0.7</v>
      </c>
      <c r="G3030">
        <v>0.8</v>
      </c>
      <c r="H3030">
        <v>-5</v>
      </c>
      <c r="I3030">
        <v>0</v>
      </c>
      <c r="J3030">
        <v>68</v>
      </c>
      <c r="K3030" s="2">
        <v>45768</v>
      </c>
    </row>
    <row r="3031" spans="1:11" x14ac:dyDescent="0.25">
      <c r="A3031" s="1" t="s">
        <v>690</v>
      </c>
      <c r="B3031" s="1"/>
      <c r="C3031" s="1" t="s">
        <v>3208</v>
      </c>
      <c r="D3031" s="1" t="s">
        <v>3413</v>
      </c>
      <c r="E3031" s="1"/>
      <c r="F3031">
        <v>1.1000000000000001</v>
      </c>
      <c r="G3031">
        <v>6.3</v>
      </c>
      <c r="H3031">
        <v>-320</v>
      </c>
      <c r="I3031">
        <v>0</v>
      </c>
      <c r="J3031">
        <v>68</v>
      </c>
      <c r="K3031" s="2">
        <v>45770</v>
      </c>
    </row>
    <row r="3032" spans="1:11" x14ac:dyDescent="0.25">
      <c r="A3032" s="1" t="s">
        <v>690</v>
      </c>
      <c r="B3032" s="1"/>
      <c r="C3032" s="1" t="s">
        <v>2918</v>
      </c>
      <c r="D3032" s="1" t="s">
        <v>3412</v>
      </c>
      <c r="E3032" s="1"/>
      <c r="F3032">
        <v>0.7</v>
      </c>
      <c r="G3032">
        <v>4.5999999999999996</v>
      </c>
      <c r="H3032">
        <v>-240</v>
      </c>
      <c r="I3032">
        <v>0</v>
      </c>
      <c r="J3032">
        <v>68</v>
      </c>
      <c r="K3032" s="2">
        <v>45770</v>
      </c>
    </row>
    <row r="3033" spans="1:11" x14ac:dyDescent="0.25">
      <c r="A3033" s="1" t="s">
        <v>690</v>
      </c>
      <c r="B3033" s="1"/>
      <c r="C3033" s="1" t="s">
        <v>3121</v>
      </c>
      <c r="D3033" s="1" t="s">
        <v>3388</v>
      </c>
      <c r="E3033" s="1"/>
      <c r="F3033">
        <v>11.9</v>
      </c>
      <c r="G3033">
        <v>9.6999999999999993</v>
      </c>
      <c r="H3033">
        <v>140</v>
      </c>
      <c r="I3033">
        <v>0</v>
      </c>
      <c r="J3033">
        <v>68</v>
      </c>
      <c r="K3033" s="2">
        <v>45769</v>
      </c>
    </row>
    <row r="3034" spans="1:11" x14ac:dyDescent="0.25">
      <c r="A3034" s="1" t="s">
        <v>690</v>
      </c>
      <c r="B3034" s="1"/>
      <c r="C3034" s="1" t="s">
        <v>3256</v>
      </c>
      <c r="D3034" s="1" t="s">
        <v>3448</v>
      </c>
      <c r="E3034" s="1"/>
      <c r="F3034">
        <v>3</v>
      </c>
      <c r="G3034">
        <v>0</v>
      </c>
      <c r="H3034">
        <v>210</v>
      </c>
      <c r="I3034">
        <v>0</v>
      </c>
      <c r="J3034">
        <v>0</v>
      </c>
      <c r="K3034" s="2">
        <v>45770</v>
      </c>
    </row>
    <row r="3035" spans="1:11" x14ac:dyDescent="0.25">
      <c r="A3035" s="1" t="s">
        <v>690</v>
      </c>
      <c r="B3035" s="1"/>
      <c r="C3035" s="1" t="s">
        <v>2961</v>
      </c>
      <c r="D3035" s="1" t="s">
        <v>3462</v>
      </c>
      <c r="E3035" s="1"/>
      <c r="F3035">
        <v>0.5</v>
      </c>
      <c r="G3035">
        <v>0</v>
      </c>
      <c r="H3035">
        <v>25</v>
      </c>
      <c r="I3035">
        <v>0</v>
      </c>
      <c r="J3035">
        <v>0</v>
      </c>
      <c r="K3035" s="2">
        <v>45770</v>
      </c>
    </row>
    <row r="3036" spans="1:11" x14ac:dyDescent="0.25">
      <c r="A3036" s="1" t="s">
        <v>690</v>
      </c>
      <c r="B3036" s="1"/>
      <c r="C3036" s="1" t="s">
        <v>3257</v>
      </c>
      <c r="D3036" s="1" t="s">
        <v>3448</v>
      </c>
      <c r="E3036" s="1"/>
      <c r="F3036">
        <v>16.100000000000001</v>
      </c>
      <c r="G3036">
        <v>21</v>
      </c>
      <c r="H3036">
        <v>-305</v>
      </c>
      <c r="I3036">
        <v>4</v>
      </c>
      <c r="J3036">
        <v>62</v>
      </c>
      <c r="K3036" s="2">
        <v>45782</v>
      </c>
    </row>
    <row r="3037" spans="1:11" x14ac:dyDescent="0.25">
      <c r="A3037" s="1" t="s">
        <v>690</v>
      </c>
      <c r="B3037" s="1"/>
      <c r="C3037" s="1" t="s">
        <v>2864</v>
      </c>
      <c r="D3037" s="1" t="s">
        <v>3462</v>
      </c>
      <c r="E3037" s="1"/>
      <c r="F3037">
        <v>14.6</v>
      </c>
      <c r="G3037">
        <v>14.3</v>
      </c>
      <c r="H3037">
        <v>15</v>
      </c>
      <c r="I3037">
        <v>3</v>
      </c>
      <c r="J3037">
        <v>59</v>
      </c>
      <c r="K3037" s="2">
        <v>45785</v>
      </c>
    </row>
    <row r="3038" spans="1:11" x14ac:dyDescent="0.25">
      <c r="A3038" s="1" t="s">
        <v>690</v>
      </c>
      <c r="B3038" s="1"/>
      <c r="C3038" s="1" t="s">
        <v>3258</v>
      </c>
      <c r="D3038" s="1" t="s">
        <v>3477</v>
      </c>
      <c r="E3038" s="1"/>
      <c r="F3038">
        <v>17.3</v>
      </c>
      <c r="G3038">
        <v>12.9</v>
      </c>
      <c r="H3038">
        <v>285</v>
      </c>
      <c r="I3038">
        <v>0</v>
      </c>
      <c r="J3038">
        <v>59</v>
      </c>
      <c r="K3038" s="2">
        <v>45785</v>
      </c>
    </row>
    <row r="3039" spans="1:11" x14ac:dyDescent="0.25">
      <c r="A3039" s="1" t="s">
        <v>728</v>
      </c>
      <c r="B3039" s="1"/>
      <c r="C3039" s="1" t="s">
        <v>2808</v>
      </c>
      <c r="D3039" s="1" t="s">
        <v>3370</v>
      </c>
      <c r="E3039" s="1"/>
      <c r="F3039">
        <v>0</v>
      </c>
      <c r="G3039">
        <v>0</v>
      </c>
      <c r="H3039">
        <v>0</v>
      </c>
      <c r="I3039">
        <v>0</v>
      </c>
      <c r="J3039">
        <v>222</v>
      </c>
      <c r="K3039" s="2">
        <v>45771</v>
      </c>
    </row>
    <row r="3040" spans="1:11" x14ac:dyDescent="0.25">
      <c r="A3040" s="1" t="s">
        <v>728</v>
      </c>
      <c r="B3040" s="1"/>
      <c r="C3040" s="1" t="s">
        <v>3152</v>
      </c>
      <c r="D3040" s="1" t="s">
        <v>3486</v>
      </c>
      <c r="E3040" s="1"/>
      <c r="F3040">
        <v>1.2</v>
      </c>
      <c r="G3040">
        <v>0.4</v>
      </c>
      <c r="H3040">
        <v>55</v>
      </c>
      <c r="I3040">
        <v>0</v>
      </c>
      <c r="J3040">
        <v>222</v>
      </c>
      <c r="K3040" s="2">
        <v>45771</v>
      </c>
    </row>
    <row r="3041" spans="1:11" x14ac:dyDescent="0.25">
      <c r="A3041" s="1" t="s">
        <v>728</v>
      </c>
      <c r="B3041" s="1"/>
      <c r="C3041" s="1" t="s">
        <v>3260</v>
      </c>
      <c r="D3041" s="1" t="s">
        <v>3389</v>
      </c>
      <c r="E3041" s="1"/>
      <c r="F3041">
        <v>0</v>
      </c>
      <c r="G3041">
        <v>0</v>
      </c>
      <c r="H3041">
        <v>-115</v>
      </c>
      <c r="I3041">
        <v>0</v>
      </c>
      <c r="J3041">
        <v>222</v>
      </c>
      <c r="K3041" s="2">
        <v>45789</v>
      </c>
    </row>
    <row r="3042" spans="1:11" x14ac:dyDescent="0.25">
      <c r="A3042" s="1" t="s">
        <v>327</v>
      </c>
      <c r="B3042" s="1"/>
      <c r="C3042" s="1" t="s">
        <v>3152</v>
      </c>
      <c r="D3042" s="1" t="s">
        <v>3486</v>
      </c>
      <c r="E3042" s="1"/>
      <c r="F3042">
        <v>1.4</v>
      </c>
      <c r="G3042">
        <v>1</v>
      </c>
      <c r="H3042">
        <v>30</v>
      </c>
      <c r="I3042">
        <v>0</v>
      </c>
      <c r="J3042">
        <v>282</v>
      </c>
      <c r="K3042" s="2">
        <v>45737</v>
      </c>
    </row>
    <row r="3043" spans="1:11" x14ac:dyDescent="0.25">
      <c r="A3043" s="1" t="s">
        <v>327</v>
      </c>
      <c r="B3043" s="1"/>
      <c r="C3043" s="1" t="s">
        <v>3260</v>
      </c>
      <c r="D3043" s="1" t="s">
        <v>3389</v>
      </c>
      <c r="E3043" s="1"/>
      <c r="F3043">
        <v>0</v>
      </c>
      <c r="G3043">
        <v>0</v>
      </c>
      <c r="H3043">
        <v>-115</v>
      </c>
      <c r="I3043">
        <v>0</v>
      </c>
      <c r="J3043">
        <v>282</v>
      </c>
      <c r="K3043" s="2">
        <v>45748</v>
      </c>
    </row>
    <row r="3044" spans="1:11" x14ac:dyDescent="0.25">
      <c r="A3044" s="1" t="s">
        <v>327</v>
      </c>
      <c r="B3044" s="1"/>
      <c r="C3044" s="1" t="s">
        <v>2872</v>
      </c>
      <c r="D3044" s="1" t="s">
        <v>3388</v>
      </c>
      <c r="E3044" s="1"/>
      <c r="F3044">
        <v>2.8</v>
      </c>
      <c r="G3044">
        <v>1.1000000000000001</v>
      </c>
      <c r="H3044">
        <v>110</v>
      </c>
      <c r="I3044">
        <v>0</v>
      </c>
      <c r="J3044">
        <v>282</v>
      </c>
      <c r="K3044" s="2">
        <v>45748</v>
      </c>
    </row>
    <row r="3045" spans="1:11" x14ac:dyDescent="0.25">
      <c r="A3045" s="1" t="s">
        <v>327</v>
      </c>
      <c r="B3045" s="1"/>
      <c r="C3045" s="1" t="s">
        <v>3218</v>
      </c>
      <c r="D3045" s="1" t="s">
        <v>3386</v>
      </c>
      <c r="E3045" s="1"/>
      <c r="F3045">
        <v>6.7</v>
      </c>
      <c r="G3045">
        <v>17.100000000000001</v>
      </c>
      <c r="H3045">
        <v>-545</v>
      </c>
      <c r="I3045">
        <v>0</v>
      </c>
      <c r="J3045">
        <v>282</v>
      </c>
      <c r="K3045" s="2">
        <v>45775</v>
      </c>
    </row>
    <row r="3046" spans="1:11" x14ac:dyDescent="0.25">
      <c r="A3046" s="1" t="s">
        <v>327</v>
      </c>
      <c r="B3046" s="1"/>
      <c r="C3046" s="1" t="s">
        <v>2870</v>
      </c>
      <c r="D3046" s="1" t="s">
        <v>3375</v>
      </c>
      <c r="E3046" s="1"/>
      <c r="F3046">
        <v>5</v>
      </c>
      <c r="G3046">
        <v>10.1</v>
      </c>
      <c r="H3046">
        <v>-255</v>
      </c>
      <c r="I3046">
        <v>0</v>
      </c>
      <c r="J3046">
        <v>282</v>
      </c>
      <c r="K3046" s="2">
        <v>45775</v>
      </c>
    </row>
    <row r="3047" spans="1:11" x14ac:dyDescent="0.25">
      <c r="A3047" s="1" t="s">
        <v>327</v>
      </c>
      <c r="B3047" s="1"/>
      <c r="C3047" s="1" t="s">
        <v>3261</v>
      </c>
      <c r="D3047" s="1" t="s">
        <v>3417</v>
      </c>
      <c r="E3047" s="1"/>
      <c r="F3047">
        <v>3.4</v>
      </c>
      <c r="G3047">
        <v>0</v>
      </c>
      <c r="H3047">
        <v>200</v>
      </c>
      <c r="I3047">
        <v>0</v>
      </c>
      <c r="J3047">
        <v>282</v>
      </c>
      <c r="K3047" s="2">
        <v>45775</v>
      </c>
    </row>
    <row r="3048" spans="1:11" x14ac:dyDescent="0.25">
      <c r="A3048" s="1" t="s">
        <v>307</v>
      </c>
      <c r="B3048" s="1"/>
      <c r="C3048" s="1" t="s">
        <v>3152</v>
      </c>
      <c r="D3048" s="1" t="s">
        <v>3486</v>
      </c>
      <c r="E3048" s="1"/>
      <c r="F3048">
        <v>1.4</v>
      </c>
      <c r="G3048">
        <v>0.5</v>
      </c>
      <c r="H3048">
        <v>60</v>
      </c>
      <c r="I3048">
        <v>0</v>
      </c>
      <c r="J3048">
        <v>282</v>
      </c>
      <c r="K3048" s="2">
        <v>45733</v>
      </c>
    </row>
    <row r="3049" spans="1:11" x14ac:dyDescent="0.25">
      <c r="A3049" s="1" t="s">
        <v>307</v>
      </c>
      <c r="B3049" s="1"/>
      <c r="C3049" s="1" t="s">
        <v>3260</v>
      </c>
      <c r="D3049" s="1" t="s">
        <v>3389</v>
      </c>
      <c r="E3049" s="1"/>
      <c r="F3049">
        <v>0</v>
      </c>
      <c r="G3049">
        <v>0</v>
      </c>
      <c r="H3049">
        <v>-115</v>
      </c>
      <c r="I3049">
        <v>0</v>
      </c>
      <c r="J3049">
        <v>282</v>
      </c>
      <c r="K3049" s="2">
        <v>45740</v>
      </c>
    </row>
    <row r="3050" spans="1:11" x14ac:dyDescent="0.25">
      <c r="A3050" s="1" t="s">
        <v>307</v>
      </c>
      <c r="B3050" s="1"/>
      <c r="C3050" s="1" t="s">
        <v>2872</v>
      </c>
      <c r="D3050" s="1" t="s">
        <v>3388</v>
      </c>
      <c r="E3050" s="1"/>
      <c r="F3050">
        <v>2.8</v>
      </c>
      <c r="G3050">
        <v>2.5</v>
      </c>
      <c r="H3050">
        <v>20</v>
      </c>
      <c r="I3050">
        <v>0</v>
      </c>
      <c r="J3050">
        <v>282</v>
      </c>
      <c r="K3050" s="2">
        <v>45741</v>
      </c>
    </row>
    <row r="3051" spans="1:11" x14ac:dyDescent="0.25">
      <c r="A3051" s="1" t="s">
        <v>307</v>
      </c>
      <c r="B3051" s="1"/>
      <c r="C3051" s="1" t="s">
        <v>3218</v>
      </c>
      <c r="D3051" s="1" t="s">
        <v>3386</v>
      </c>
      <c r="E3051" s="1"/>
      <c r="F3051">
        <v>6.7</v>
      </c>
      <c r="G3051">
        <v>16.5</v>
      </c>
      <c r="H3051">
        <v>-465</v>
      </c>
      <c r="I3051">
        <v>0</v>
      </c>
      <c r="J3051">
        <v>273</v>
      </c>
      <c r="K3051" s="2">
        <v>45765</v>
      </c>
    </row>
    <row r="3052" spans="1:11" x14ac:dyDescent="0.25">
      <c r="A3052" s="1" t="s">
        <v>129</v>
      </c>
      <c r="B3052" s="1"/>
      <c r="C3052" s="1" t="s">
        <v>2812</v>
      </c>
      <c r="D3052" s="1" t="s">
        <v>3374</v>
      </c>
      <c r="E3052" s="1"/>
      <c r="F3052">
        <v>0</v>
      </c>
      <c r="G3052">
        <v>0</v>
      </c>
      <c r="H3052">
        <v>0</v>
      </c>
      <c r="I3052">
        <v>40</v>
      </c>
      <c r="J3052">
        <v>0</v>
      </c>
      <c r="K3052" s="2">
        <v>45750</v>
      </c>
    </row>
    <row r="3053" spans="1:11" x14ac:dyDescent="0.25">
      <c r="A3053" s="1" t="s">
        <v>129</v>
      </c>
      <c r="B3053" s="1"/>
      <c r="C3053" s="1" t="s">
        <v>3063</v>
      </c>
      <c r="D3053" s="1" t="s">
        <v>3417</v>
      </c>
      <c r="E3053" s="1"/>
      <c r="F3053">
        <v>0.4</v>
      </c>
      <c r="G3053">
        <v>0</v>
      </c>
      <c r="H3053">
        <v>25</v>
      </c>
      <c r="I3053">
        <v>0</v>
      </c>
      <c r="J3053">
        <v>0</v>
      </c>
      <c r="K3053" s="2">
        <v>45750</v>
      </c>
    </row>
    <row r="3054" spans="1:11" x14ac:dyDescent="0.25">
      <c r="A3054" s="1" t="s">
        <v>129</v>
      </c>
      <c r="B3054" s="1"/>
      <c r="C3054" s="1" t="s">
        <v>2848</v>
      </c>
      <c r="D3054" s="1" t="s">
        <v>3372</v>
      </c>
      <c r="E3054" s="1"/>
      <c r="F3054">
        <v>2</v>
      </c>
      <c r="G3054">
        <v>0</v>
      </c>
      <c r="H3054">
        <v>105</v>
      </c>
      <c r="I3054">
        <v>0</v>
      </c>
      <c r="J3054">
        <v>0</v>
      </c>
      <c r="K3054" s="2">
        <v>45750</v>
      </c>
    </row>
    <row r="3055" spans="1:11" x14ac:dyDescent="0.25">
      <c r="A3055" s="1" t="s">
        <v>165</v>
      </c>
      <c r="B3055" s="1"/>
      <c r="C3055" s="1" t="s">
        <v>3063</v>
      </c>
      <c r="D3055" s="1" t="s">
        <v>3417</v>
      </c>
      <c r="E3055" s="1"/>
      <c r="F3055">
        <v>6.5</v>
      </c>
      <c r="G3055">
        <v>2.9</v>
      </c>
      <c r="H3055">
        <v>195</v>
      </c>
      <c r="I3055">
        <v>201</v>
      </c>
      <c r="J3055">
        <v>2134</v>
      </c>
      <c r="K3055" s="2">
        <v>45750</v>
      </c>
    </row>
    <row r="3056" spans="1:11" x14ac:dyDescent="0.25">
      <c r="A3056" s="1" t="s">
        <v>165</v>
      </c>
      <c r="B3056" s="1"/>
      <c r="C3056" s="1" t="s">
        <v>2848</v>
      </c>
      <c r="D3056" s="1" t="s">
        <v>3372</v>
      </c>
      <c r="E3056" s="1"/>
      <c r="F3056">
        <v>2</v>
      </c>
      <c r="G3056">
        <v>0.2</v>
      </c>
      <c r="H3056">
        <v>90</v>
      </c>
      <c r="I3056">
        <v>0</v>
      </c>
      <c r="J3056">
        <v>2134</v>
      </c>
      <c r="K3056" s="2">
        <v>45750</v>
      </c>
    </row>
    <row r="3057" spans="1:11" x14ac:dyDescent="0.25">
      <c r="A3057" s="1" t="s">
        <v>135</v>
      </c>
      <c r="B3057" s="1"/>
      <c r="C3057" s="1" t="s">
        <v>3229</v>
      </c>
      <c r="D3057" s="1" t="s">
        <v>3466</v>
      </c>
      <c r="E3057" s="1"/>
      <c r="F3057">
        <v>24.7</v>
      </c>
      <c r="G3057">
        <v>31.3</v>
      </c>
      <c r="H3057">
        <v>-355</v>
      </c>
      <c r="I3057">
        <v>34.5</v>
      </c>
      <c r="J3057">
        <v>2048.5</v>
      </c>
      <c r="K3057" s="2">
        <v>45733</v>
      </c>
    </row>
    <row r="3058" spans="1:11" x14ac:dyDescent="0.25">
      <c r="A3058" s="1" t="s">
        <v>135</v>
      </c>
      <c r="B3058" s="1"/>
      <c r="C3058" s="1" t="s">
        <v>3262</v>
      </c>
      <c r="D3058" s="1" t="s">
        <v>3419</v>
      </c>
      <c r="E3058" s="1"/>
      <c r="F3058">
        <v>3.5</v>
      </c>
      <c r="G3058">
        <v>0.3</v>
      </c>
      <c r="H3058">
        <v>175</v>
      </c>
      <c r="I3058">
        <v>37</v>
      </c>
      <c r="J3058">
        <v>2012</v>
      </c>
      <c r="K3058" s="2">
        <v>45730</v>
      </c>
    </row>
    <row r="3059" spans="1:11" x14ac:dyDescent="0.25">
      <c r="A3059" s="1">
        <v>0</v>
      </c>
      <c r="B3059" s="1"/>
      <c r="C3059" s="1" t="s">
        <v>2808</v>
      </c>
      <c r="D3059" s="1" t="s">
        <v>3370</v>
      </c>
      <c r="E3059" s="1"/>
      <c r="F3059">
        <v>0</v>
      </c>
      <c r="G3059">
        <v>0</v>
      </c>
      <c r="H3059">
        <v>0</v>
      </c>
      <c r="I3059">
        <v>0</v>
      </c>
      <c r="J3059">
        <v>256</v>
      </c>
      <c r="K3059" s="2">
        <v>45785</v>
      </c>
    </row>
    <row r="3060" spans="1:11" x14ac:dyDescent="0.25">
      <c r="A3060" s="1" t="s">
        <v>581</v>
      </c>
      <c r="B3060" s="1"/>
      <c r="C3060" s="1" t="s">
        <v>2808</v>
      </c>
      <c r="D3060" s="1" t="s">
        <v>3370</v>
      </c>
      <c r="E3060" s="1"/>
      <c r="F3060">
        <v>0</v>
      </c>
      <c r="G3060">
        <v>0</v>
      </c>
      <c r="H3060">
        <v>0</v>
      </c>
      <c r="I3060">
        <v>0</v>
      </c>
      <c r="J3060">
        <v>2000</v>
      </c>
      <c r="K3060" s="2">
        <v>45761</v>
      </c>
    </row>
    <row r="3061" spans="1:11" x14ac:dyDescent="0.25">
      <c r="A3061" s="1" t="s">
        <v>716</v>
      </c>
      <c r="B3061" s="1"/>
      <c r="C3061" s="1" t="s">
        <v>2808</v>
      </c>
      <c r="D3061" s="1" t="s">
        <v>3370</v>
      </c>
      <c r="E3061" s="1"/>
      <c r="F3061">
        <v>0</v>
      </c>
      <c r="G3061">
        <v>0</v>
      </c>
      <c r="H3061">
        <v>0</v>
      </c>
      <c r="I3061">
        <v>0</v>
      </c>
      <c r="J3061">
        <v>93</v>
      </c>
      <c r="K3061" s="2">
        <v>45769</v>
      </c>
    </row>
    <row r="3062" spans="1:11" x14ac:dyDescent="0.25">
      <c r="A3062" s="1" t="s">
        <v>478</v>
      </c>
      <c r="B3062" s="1"/>
      <c r="C3062" s="1" t="s">
        <v>2808</v>
      </c>
      <c r="D3062" s="1" t="s">
        <v>3370</v>
      </c>
      <c r="E3062" s="1"/>
      <c r="F3062">
        <v>0</v>
      </c>
      <c r="G3062">
        <v>0</v>
      </c>
      <c r="H3062">
        <v>0</v>
      </c>
      <c r="I3062">
        <v>0</v>
      </c>
      <c r="J3062">
        <v>11</v>
      </c>
      <c r="K3062" s="2">
        <v>45755</v>
      </c>
    </row>
    <row r="3063" spans="1:11" x14ac:dyDescent="0.25">
      <c r="A3063" s="1" t="s">
        <v>478</v>
      </c>
      <c r="B3063" s="1"/>
      <c r="C3063" s="1" t="s">
        <v>3263</v>
      </c>
      <c r="D3063" s="1" t="s">
        <v>3415</v>
      </c>
      <c r="E3063" s="1"/>
      <c r="F3063">
        <v>2.9</v>
      </c>
      <c r="G3063">
        <v>7.8</v>
      </c>
      <c r="H3063">
        <v>-250</v>
      </c>
      <c r="I3063">
        <v>0</v>
      </c>
      <c r="J3063">
        <v>11</v>
      </c>
      <c r="K3063" s="2">
        <v>45764</v>
      </c>
    </row>
    <row r="3064" spans="1:11" x14ac:dyDescent="0.25">
      <c r="A3064" s="1" t="s">
        <v>478</v>
      </c>
      <c r="B3064" s="1"/>
      <c r="C3064" s="1" t="s">
        <v>3264</v>
      </c>
      <c r="D3064" s="1" t="s">
        <v>3374</v>
      </c>
      <c r="E3064" s="1"/>
      <c r="F3064">
        <v>0.5</v>
      </c>
      <c r="G3064">
        <v>0</v>
      </c>
      <c r="H3064">
        <v>40</v>
      </c>
      <c r="I3064">
        <v>0</v>
      </c>
      <c r="J3064">
        <v>11</v>
      </c>
      <c r="K3064" s="2">
        <v>45764</v>
      </c>
    </row>
    <row r="3065" spans="1:11" x14ac:dyDescent="0.25">
      <c r="A3065" s="1" t="s">
        <v>478</v>
      </c>
      <c r="B3065" s="1"/>
      <c r="C3065" s="1" t="s">
        <v>2924</v>
      </c>
      <c r="D3065" s="1" t="s">
        <v>3372</v>
      </c>
      <c r="E3065" s="1"/>
      <c r="F3065">
        <v>1</v>
      </c>
      <c r="G3065">
        <v>0</v>
      </c>
      <c r="H3065">
        <v>55</v>
      </c>
      <c r="I3065">
        <v>0</v>
      </c>
      <c r="J3065">
        <v>11</v>
      </c>
      <c r="K3065" s="2">
        <v>45768</v>
      </c>
    </row>
    <row r="3066" spans="1:11" x14ac:dyDescent="0.25">
      <c r="A3066" s="1" t="s">
        <v>147</v>
      </c>
      <c r="B3066" s="1"/>
      <c r="C3066" s="1" t="s">
        <v>2808</v>
      </c>
      <c r="D3066" s="1" t="s">
        <v>3370</v>
      </c>
      <c r="E3066" s="1"/>
      <c r="F3066">
        <v>0</v>
      </c>
      <c r="G3066">
        <v>0</v>
      </c>
      <c r="H3066">
        <v>0</v>
      </c>
      <c r="I3066">
        <v>0</v>
      </c>
      <c r="J3066">
        <v>1</v>
      </c>
      <c r="K3066" s="2">
        <v>45752</v>
      </c>
    </row>
    <row r="3067" spans="1:11" x14ac:dyDescent="0.25">
      <c r="A3067" s="1" t="s">
        <v>147</v>
      </c>
      <c r="B3067" s="1"/>
      <c r="C3067" s="1" t="s">
        <v>3063</v>
      </c>
      <c r="D3067" s="1" t="s">
        <v>3449</v>
      </c>
      <c r="E3067" s="1"/>
      <c r="F3067">
        <v>0</v>
      </c>
      <c r="G3067">
        <v>0</v>
      </c>
      <c r="H3067">
        <v>0</v>
      </c>
      <c r="I3067">
        <v>0</v>
      </c>
      <c r="J3067">
        <v>1</v>
      </c>
      <c r="K3067" s="2">
        <v>45755</v>
      </c>
    </row>
    <row r="3068" spans="1:11" x14ac:dyDescent="0.25">
      <c r="A3068" s="1" t="s">
        <v>109</v>
      </c>
      <c r="B3068" s="1"/>
      <c r="C3068" s="1" t="s">
        <v>2808</v>
      </c>
      <c r="D3068" s="1" t="s">
        <v>3370</v>
      </c>
      <c r="E3068" s="1"/>
      <c r="F3068">
        <v>0</v>
      </c>
      <c r="G3068">
        <v>0</v>
      </c>
      <c r="H3068">
        <v>0</v>
      </c>
      <c r="I3068">
        <v>0</v>
      </c>
      <c r="J3068">
        <v>20</v>
      </c>
      <c r="K3068" s="2">
        <v>45778</v>
      </c>
    </row>
    <row r="3069" spans="1:11" x14ac:dyDescent="0.25">
      <c r="A3069" s="1" t="s">
        <v>109</v>
      </c>
      <c r="B3069" s="1"/>
      <c r="C3069" s="1" t="s">
        <v>2915</v>
      </c>
      <c r="D3069" s="1" t="s">
        <v>3447</v>
      </c>
      <c r="E3069" s="1"/>
      <c r="F3069">
        <v>0</v>
      </c>
      <c r="G3069">
        <v>7.3</v>
      </c>
      <c r="H3069">
        <v>-400</v>
      </c>
      <c r="I3069">
        <v>1</v>
      </c>
      <c r="J3069">
        <v>17</v>
      </c>
      <c r="K3069" s="2">
        <v>45782</v>
      </c>
    </row>
    <row r="3070" spans="1:11" x14ac:dyDescent="0.25">
      <c r="A3070" s="1" t="s">
        <v>886</v>
      </c>
      <c r="B3070" s="1"/>
      <c r="C3070" s="1" t="s">
        <v>2808</v>
      </c>
      <c r="D3070" s="1" t="s">
        <v>3370</v>
      </c>
      <c r="E3070" s="1"/>
      <c r="F3070">
        <v>0</v>
      </c>
      <c r="G3070">
        <v>0</v>
      </c>
      <c r="H3070">
        <v>0</v>
      </c>
      <c r="I3070">
        <v>0</v>
      </c>
      <c r="J3070">
        <v>116</v>
      </c>
      <c r="K3070" s="2">
        <v>45783</v>
      </c>
    </row>
    <row r="3071" spans="1:11" x14ac:dyDescent="0.25">
      <c r="A3071" s="1" t="s">
        <v>768</v>
      </c>
      <c r="B3071" s="1"/>
      <c r="C3071" s="1" t="s">
        <v>2808</v>
      </c>
      <c r="D3071" s="1" t="s">
        <v>3370</v>
      </c>
      <c r="E3071" s="1"/>
      <c r="F3071">
        <v>0</v>
      </c>
      <c r="G3071">
        <v>0</v>
      </c>
      <c r="H3071">
        <v>0</v>
      </c>
      <c r="I3071">
        <v>0</v>
      </c>
      <c r="J3071">
        <v>27</v>
      </c>
      <c r="K3071" s="2">
        <v>45775</v>
      </c>
    </row>
    <row r="3072" spans="1:11" x14ac:dyDescent="0.25">
      <c r="A3072" s="1" t="s">
        <v>161</v>
      </c>
      <c r="B3072" s="1"/>
      <c r="C3072" s="1" t="s">
        <v>2808</v>
      </c>
      <c r="D3072" s="1" t="s">
        <v>3370</v>
      </c>
      <c r="E3072" s="1"/>
      <c r="F3072">
        <v>0</v>
      </c>
      <c r="G3072">
        <v>0</v>
      </c>
      <c r="H3072">
        <v>0</v>
      </c>
      <c r="I3072">
        <v>0</v>
      </c>
      <c r="J3072">
        <v>10</v>
      </c>
      <c r="K3072" s="2">
        <v>45747</v>
      </c>
    </row>
    <row r="3073" spans="1:11" x14ac:dyDescent="0.25">
      <c r="A3073" s="1" t="s">
        <v>161</v>
      </c>
      <c r="B3073" s="1"/>
      <c r="C3073" s="1" t="s">
        <v>3265</v>
      </c>
      <c r="D3073" s="1" t="s">
        <v>3388</v>
      </c>
      <c r="E3073" s="1"/>
      <c r="F3073">
        <v>0</v>
      </c>
      <c r="G3073">
        <v>1</v>
      </c>
      <c r="H3073">
        <v>-60</v>
      </c>
      <c r="I3073">
        <v>0</v>
      </c>
      <c r="J3073">
        <v>10</v>
      </c>
      <c r="K3073" s="2">
        <v>45756</v>
      </c>
    </row>
    <row r="3074" spans="1:11" x14ac:dyDescent="0.25">
      <c r="A3074" s="1" t="s">
        <v>161</v>
      </c>
      <c r="B3074" s="1"/>
      <c r="C3074" s="1" t="s">
        <v>2828</v>
      </c>
      <c r="D3074" s="1" t="s">
        <v>3395</v>
      </c>
      <c r="E3074" s="1"/>
      <c r="F3074">
        <v>0</v>
      </c>
      <c r="G3074">
        <v>0</v>
      </c>
      <c r="H3074">
        <v>0</v>
      </c>
      <c r="I3074">
        <v>10</v>
      </c>
      <c r="J3074">
        <v>0</v>
      </c>
      <c r="K3074" s="2">
        <v>45772</v>
      </c>
    </row>
    <row r="3075" spans="1:11" x14ac:dyDescent="0.25">
      <c r="A3075" s="1" t="s">
        <v>161</v>
      </c>
      <c r="B3075" s="1"/>
      <c r="C3075" s="1" t="s">
        <v>2821</v>
      </c>
      <c r="D3075" s="1" t="s">
        <v>3382</v>
      </c>
      <c r="E3075" s="1"/>
      <c r="F3075">
        <v>0</v>
      </c>
      <c r="G3075">
        <v>0</v>
      </c>
      <c r="H3075">
        <v>0</v>
      </c>
      <c r="I3075">
        <v>0</v>
      </c>
      <c r="J3075">
        <v>0</v>
      </c>
      <c r="K3075" s="2">
        <v>45772</v>
      </c>
    </row>
    <row r="3076" spans="1:11" x14ac:dyDescent="0.25">
      <c r="A3076" s="1" t="s">
        <v>161</v>
      </c>
      <c r="B3076" s="1"/>
      <c r="C3076" s="1" t="s">
        <v>3120</v>
      </c>
      <c r="D3076" s="1" t="s">
        <v>3377</v>
      </c>
      <c r="E3076" s="1"/>
      <c r="F3076">
        <v>0.1</v>
      </c>
      <c r="G3076">
        <v>0</v>
      </c>
      <c r="H3076">
        <v>5</v>
      </c>
      <c r="I3076">
        <v>0</v>
      </c>
      <c r="J3076">
        <v>0</v>
      </c>
      <c r="K3076" s="2">
        <v>45775</v>
      </c>
    </row>
    <row r="3077" spans="1:11" x14ac:dyDescent="0.25">
      <c r="A3077" s="1" t="s">
        <v>161</v>
      </c>
      <c r="B3077" s="1"/>
      <c r="C3077" s="1" t="s">
        <v>2816</v>
      </c>
      <c r="D3077" s="1" t="s">
        <v>3372</v>
      </c>
      <c r="E3077" s="1"/>
      <c r="F3077">
        <v>0</v>
      </c>
      <c r="G3077">
        <v>0</v>
      </c>
      <c r="H3077">
        <v>0</v>
      </c>
      <c r="I3077">
        <v>0</v>
      </c>
      <c r="J3077">
        <v>0</v>
      </c>
      <c r="K3077" s="2">
        <v>45775</v>
      </c>
    </row>
    <row r="3078" spans="1:11" x14ac:dyDescent="0.25">
      <c r="A3078" s="1" t="s">
        <v>132</v>
      </c>
      <c r="B3078" s="1"/>
      <c r="C3078" s="1" t="s">
        <v>2808</v>
      </c>
      <c r="D3078" s="1" t="s">
        <v>3370</v>
      </c>
      <c r="E3078" s="1"/>
      <c r="F3078">
        <v>0</v>
      </c>
      <c r="G3078">
        <v>0</v>
      </c>
      <c r="H3078">
        <v>0</v>
      </c>
      <c r="I3078">
        <v>0</v>
      </c>
      <c r="J3078">
        <v>50</v>
      </c>
      <c r="K3078" s="2">
        <v>45756</v>
      </c>
    </row>
    <row r="3079" spans="1:11" x14ac:dyDescent="0.25">
      <c r="A3079" s="1" t="s">
        <v>132</v>
      </c>
      <c r="B3079" s="1"/>
      <c r="C3079" s="1" t="s">
        <v>2867</v>
      </c>
      <c r="D3079" s="1" t="s">
        <v>3404</v>
      </c>
      <c r="E3079" s="1"/>
      <c r="F3079">
        <v>0.5</v>
      </c>
      <c r="G3079">
        <v>0</v>
      </c>
      <c r="H3079">
        <v>35</v>
      </c>
      <c r="I3079">
        <v>0</v>
      </c>
      <c r="J3079">
        <v>42</v>
      </c>
      <c r="K3079" s="2">
        <v>45762</v>
      </c>
    </row>
    <row r="3080" spans="1:11" x14ac:dyDescent="0.25">
      <c r="A3080" s="1" t="s">
        <v>132</v>
      </c>
      <c r="B3080" s="1"/>
      <c r="C3080" s="1" t="s">
        <v>2868</v>
      </c>
      <c r="D3080" s="1" t="s">
        <v>3371</v>
      </c>
      <c r="E3080" s="1"/>
      <c r="F3080">
        <v>0.3</v>
      </c>
      <c r="G3080">
        <v>0</v>
      </c>
      <c r="H3080">
        <v>15</v>
      </c>
      <c r="I3080">
        <v>0</v>
      </c>
      <c r="J3080">
        <v>42</v>
      </c>
      <c r="K3080" s="2">
        <v>45762</v>
      </c>
    </row>
    <row r="3081" spans="1:11" x14ac:dyDescent="0.25">
      <c r="A3081" s="1" t="s">
        <v>132</v>
      </c>
      <c r="B3081" s="1"/>
      <c r="C3081" s="1" t="s">
        <v>2869</v>
      </c>
      <c r="D3081" s="1" t="s">
        <v>3386</v>
      </c>
      <c r="E3081" s="1"/>
      <c r="F3081">
        <v>3.3</v>
      </c>
      <c r="G3081">
        <v>1.8</v>
      </c>
      <c r="H3081">
        <v>85</v>
      </c>
      <c r="I3081">
        <v>0</v>
      </c>
      <c r="J3081">
        <v>42</v>
      </c>
      <c r="K3081" s="2">
        <v>45762</v>
      </c>
    </row>
    <row r="3082" spans="1:11" x14ac:dyDescent="0.25">
      <c r="A3082" s="1" t="s">
        <v>132</v>
      </c>
      <c r="B3082" s="1"/>
      <c r="C3082" s="1" t="s">
        <v>2812</v>
      </c>
      <c r="D3082" s="1" t="s">
        <v>3374</v>
      </c>
      <c r="E3082" s="1"/>
      <c r="F3082">
        <v>0</v>
      </c>
      <c r="G3082">
        <v>0</v>
      </c>
      <c r="H3082">
        <v>0</v>
      </c>
      <c r="I3082">
        <v>0</v>
      </c>
      <c r="J3082">
        <v>42</v>
      </c>
      <c r="K3082" s="2">
        <v>45762</v>
      </c>
    </row>
    <row r="3083" spans="1:11" x14ac:dyDescent="0.25">
      <c r="A3083" s="1" t="s">
        <v>132</v>
      </c>
      <c r="B3083" s="1"/>
      <c r="C3083" s="1" t="s">
        <v>2870</v>
      </c>
      <c r="D3083" s="1" t="s">
        <v>3375</v>
      </c>
      <c r="E3083" s="1"/>
      <c r="F3083">
        <v>0.3</v>
      </c>
      <c r="G3083">
        <v>1.4</v>
      </c>
      <c r="H3083">
        <v>-55</v>
      </c>
      <c r="I3083">
        <v>0</v>
      </c>
      <c r="J3083">
        <v>40</v>
      </c>
      <c r="K3083" s="2">
        <v>45762</v>
      </c>
    </row>
    <row r="3084" spans="1:11" x14ac:dyDescent="0.25">
      <c r="A3084" s="1" t="s">
        <v>132</v>
      </c>
      <c r="B3084" s="1"/>
      <c r="C3084" s="1" t="s">
        <v>2864</v>
      </c>
      <c r="D3084" s="1" t="s">
        <v>3402</v>
      </c>
      <c r="E3084" s="1"/>
      <c r="F3084">
        <v>4</v>
      </c>
      <c r="G3084">
        <v>2.1</v>
      </c>
      <c r="H3084">
        <v>80</v>
      </c>
      <c r="I3084">
        <v>0</v>
      </c>
      <c r="J3084">
        <v>2</v>
      </c>
      <c r="K3084" s="2">
        <v>45771</v>
      </c>
    </row>
    <row r="3085" spans="1:11" x14ac:dyDescent="0.25">
      <c r="A3085" s="1" t="s">
        <v>715</v>
      </c>
      <c r="B3085" s="1"/>
      <c r="C3085" s="1" t="s">
        <v>2808</v>
      </c>
      <c r="D3085" s="1" t="s">
        <v>3370</v>
      </c>
      <c r="E3085" s="1"/>
      <c r="F3085">
        <v>0</v>
      </c>
      <c r="G3085">
        <v>0</v>
      </c>
      <c r="H3085">
        <v>0</v>
      </c>
      <c r="I3085">
        <v>0</v>
      </c>
      <c r="J3085">
        <v>353</v>
      </c>
      <c r="K3085" s="2">
        <v>45786</v>
      </c>
    </row>
    <row r="3086" spans="1:11" x14ac:dyDescent="0.25">
      <c r="A3086" s="1" t="s">
        <v>715</v>
      </c>
      <c r="B3086" s="1"/>
      <c r="C3086" s="1" t="s">
        <v>3266</v>
      </c>
      <c r="D3086" s="1" t="s">
        <v>3407</v>
      </c>
      <c r="E3086" s="1"/>
      <c r="F3086">
        <v>0</v>
      </c>
      <c r="G3086">
        <v>0</v>
      </c>
      <c r="H3086">
        <v>-1000</v>
      </c>
      <c r="I3086">
        <v>0</v>
      </c>
      <c r="J3086">
        <v>353</v>
      </c>
      <c r="K3086" s="2">
        <v>45786</v>
      </c>
    </row>
    <row r="3087" spans="1:11" x14ac:dyDescent="0.25">
      <c r="A3087" s="1" t="s">
        <v>715</v>
      </c>
      <c r="B3087" s="1"/>
      <c r="C3087" s="1" t="s">
        <v>2817</v>
      </c>
      <c r="D3087" s="1" t="s">
        <v>3419</v>
      </c>
      <c r="E3087" s="1"/>
      <c r="F3087">
        <v>2.9</v>
      </c>
      <c r="G3087">
        <v>0.8</v>
      </c>
      <c r="H3087">
        <v>120</v>
      </c>
      <c r="I3087">
        <v>0</v>
      </c>
      <c r="J3087">
        <v>353</v>
      </c>
      <c r="K3087" s="2">
        <v>45785</v>
      </c>
    </row>
    <row r="3088" spans="1:11" x14ac:dyDescent="0.25">
      <c r="A3088" s="1" t="s">
        <v>159</v>
      </c>
      <c r="B3088" s="1"/>
      <c r="C3088" s="1" t="s">
        <v>2808</v>
      </c>
      <c r="D3088" s="1" t="s">
        <v>3454</v>
      </c>
      <c r="E3088" s="1"/>
      <c r="F3088">
        <v>0</v>
      </c>
      <c r="G3088">
        <v>0</v>
      </c>
      <c r="H3088">
        <v>0</v>
      </c>
      <c r="I3088">
        <v>0</v>
      </c>
      <c r="J3088">
        <v>324</v>
      </c>
      <c r="K3088" s="2">
        <v>45782</v>
      </c>
    </row>
    <row r="3089" spans="1:11" x14ac:dyDescent="0.25">
      <c r="A3089" s="1" t="s">
        <v>159</v>
      </c>
      <c r="B3089" s="1"/>
      <c r="C3089" s="1" t="s">
        <v>3267</v>
      </c>
      <c r="D3089" s="1" t="s">
        <v>3389</v>
      </c>
      <c r="E3089" s="1"/>
      <c r="F3089">
        <v>0</v>
      </c>
      <c r="G3089">
        <v>0</v>
      </c>
      <c r="H3089">
        <v>0</v>
      </c>
      <c r="I3089">
        <v>0</v>
      </c>
      <c r="J3089">
        <v>324</v>
      </c>
      <c r="K3089" s="2">
        <v>45782</v>
      </c>
    </row>
    <row r="3090" spans="1:11" x14ac:dyDescent="0.25">
      <c r="A3090" s="1" t="s">
        <v>159</v>
      </c>
      <c r="B3090" s="1"/>
      <c r="C3090" s="1" t="s">
        <v>2848</v>
      </c>
      <c r="D3090" s="1" t="s">
        <v>3372</v>
      </c>
      <c r="E3090" s="1"/>
      <c r="F3090">
        <v>0.5</v>
      </c>
      <c r="G3090">
        <v>0.2</v>
      </c>
      <c r="H3090">
        <v>20</v>
      </c>
      <c r="I3090">
        <v>0</v>
      </c>
      <c r="J3090">
        <v>324</v>
      </c>
      <c r="K3090" s="2">
        <v>45782</v>
      </c>
    </row>
    <row r="3091" spans="1:11" x14ac:dyDescent="0.25">
      <c r="A3091" s="1" t="s">
        <v>657</v>
      </c>
      <c r="B3091" s="1"/>
      <c r="C3091" s="1" t="s">
        <v>2808</v>
      </c>
      <c r="D3091" s="1" t="s">
        <v>3370</v>
      </c>
      <c r="E3091" s="1"/>
      <c r="F3091">
        <v>0</v>
      </c>
      <c r="G3091">
        <v>0</v>
      </c>
      <c r="H3091">
        <v>0</v>
      </c>
      <c r="I3091">
        <v>0</v>
      </c>
      <c r="J3091">
        <v>1</v>
      </c>
      <c r="K3091" s="2">
        <v>45772</v>
      </c>
    </row>
    <row r="3092" spans="1:11" x14ac:dyDescent="0.25">
      <c r="A3092" s="1" t="s">
        <v>657</v>
      </c>
      <c r="B3092" s="1"/>
      <c r="C3092" s="1" t="s">
        <v>3134</v>
      </c>
      <c r="D3092" s="1" t="s">
        <v>3478</v>
      </c>
      <c r="E3092" s="1"/>
      <c r="F3092">
        <v>0</v>
      </c>
      <c r="G3092">
        <v>0.1</v>
      </c>
      <c r="H3092">
        <v>0</v>
      </c>
      <c r="I3092">
        <v>0</v>
      </c>
      <c r="J3092">
        <v>1</v>
      </c>
      <c r="K3092" s="2">
        <v>45765</v>
      </c>
    </row>
    <row r="3093" spans="1:11" x14ac:dyDescent="0.25">
      <c r="A3093" s="1" t="s">
        <v>657</v>
      </c>
      <c r="B3093" s="1"/>
      <c r="C3093" s="1" t="s">
        <v>3268</v>
      </c>
      <c r="D3093" s="1" t="s">
        <v>3437</v>
      </c>
      <c r="E3093" s="1"/>
      <c r="F3093">
        <v>0.3</v>
      </c>
      <c r="G3093">
        <v>0.6</v>
      </c>
      <c r="H3093">
        <v>-20</v>
      </c>
      <c r="I3093">
        <v>0</v>
      </c>
      <c r="J3093">
        <v>1</v>
      </c>
      <c r="K3093" s="2">
        <v>45768</v>
      </c>
    </row>
    <row r="3094" spans="1:11" x14ac:dyDescent="0.25">
      <c r="A3094" s="1" t="s">
        <v>657</v>
      </c>
      <c r="B3094" s="1"/>
      <c r="C3094" s="1" t="s">
        <v>3019</v>
      </c>
      <c r="D3094" s="1" t="s">
        <v>3437</v>
      </c>
      <c r="E3094" s="1"/>
      <c r="F3094">
        <v>0</v>
      </c>
      <c r="G3094">
        <v>1.5</v>
      </c>
      <c r="H3094">
        <v>-90</v>
      </c>
      <c r="I3094">
        <v>0</v>
      </c>
      <c r="J3094">
        <v>1</v>
      </c>
      <c r="K3094" s="2">
        <v>45768</v>
      </c>
    </row>
    <row r="3095" spans="1:11" x14ac:dyDescent="0.25">
      <c r="A3095" s="1" t="s">
        <v>657</v>
      </c>
      <c r="B3095" s="1"/>
      <c r="C3095" s="1" t="s">
        <v>3268</v>
      </c>
      <c r="D3095" s="1" t="s">
        <v>3437</v>
      </c>
      <c r="E3095" s="1"/>
      <c r="F3095">
        <v>1</v>
      </c>
      <c r="G3095">
        <v>1.5</v>
      </c>
      <c r="H3095">
        <v>-25</v>
      </c>
      <c r="I3095">
        <v>0</v>
      </c>
      <c r="J3095">
        <v>1</v>
      </c>
      <c r="K3095" s="2">
        <v>45768</v>
      </c>
    </row>
    <row r="3096" spans="1:11" x14ac:dyDescent="0.25">
      <c r="A3096" s="1" t="s">
        <v>657</v>
      </c>
      <c r="B3096" s="1"/>
      <c r="C3096" s="1" t="s">
        <v>3269</v>
      </c>
      <c r="D3096" s="1" t="s">
        <v>3443</v>
      </c>
      <c r="E3096" s="1"/>
      <c r="F3096">
        <v>1.3</v>
      </c>
      <c r="G3096">
        <v>1.7</v>
      </c>
      <c r="H3096">
        <v>-25</v>
      </c>
      <c r="I3096">
        <v>0</v>
      </c>
      <c r="J3096">
        <v>1</v>
      </c>
      <c r="K3096" s="2">
        <v>45768</v>
      </c>
    </row>
    <row r="3097" spans="1:11" x14ac:dyDescent="0.25">
      <c r="A3097" s="1" t="s">
        <v>657</v>
      </c>
      <c r="B3097" s="1"/>
      <c r="C3097" s="1" t="s">
        <v>3270</v>
      </c>
      <c r="D3097" s="1" t="s">
        <v>3438</v>
      </c>
      <c r="E3097" s="1"/>
      <c r="F3097">
        <v>1.5</v>
      </c>
      <c r="G3097">
        <v>0.3</v>
      </c>
      <c r="H3097">
        <v>75</v>
      </c>
      <c r="I3097">
        <v>0</v>
      </c>
      <c r="J3097">
        <v>1</v>
      </c>
      <c r="K3097" s="2">
        <v>45769</v>
      </c>
    </row>
    <row r="3098" spans="1:11" x14ac:dyDescent="0.25">
      <c r="A3098" s="1" t="s">
        <v>657</v>
      </c>
      <c r="B3098" s="1"/>
      <c r="C3098" s="1" t="s">
        <v>3271</v>
      </c>
      <c r="D3098" s="1" t="s">
        <v>3438</v>
      </c>
      <c r="E3098" s="1"/>
      <c r="F3098">
        <v>1.5</v>
      </c>
      <c r="G3098">
        <v>2.4</v>
      </c>
      <c r="H3098">
        <v>-55</v>
      </c>
      <c r="I3098">
        <v>0</v>
      </c>
      <c r="J3098">
        <v>1</v>
      </c>
      <c r="K3098" s="2">
        <v>45771</v>
      </c>
    </row>
    <row r="3099" spans="1:11" x14ac:dyDescent="0.25">
      <c r="A3099" s="1" t="s">
        <v>657</v>
      </c>
      <c r="B3099" s="1"/>
      <c r="C3099" s="1" t="s">
        <v>3272</v>
      </c>
      <c r="D3099" s="1" t="s">
        <v>3489</v>
      </c>
      <c r="E3099" s="1"/>
      <c r="F3099">
        <v>0.8</v>
      </c>
      <c r="G3099">
        <v>2.1</v>
      </c>
      <c r="H3099">
        <v>-80</v>
      </c>
      <c r="I3099">
        <v>0</v>
      </c>
      <c r="J3099">
        <v>1</v>
      </c>
      <c r="K3099" s="2">
        <v>45772</v>
      </c>
    </row>
    <row r="3100" spans="1:11" x14ac:dyDescent="0.25">
      <c r="A3100" s="1" t="s">
        <v>657</v>
      </c>
      <c r="B3100" s="1"/>
      <c r="C3100" s="1" t="s">
        <v>2924</v>
      </c>
      <c r="D3100" s="1" t="s">
        <v>3444</v>
      </c>
      <c r="E3100" s="1"/>
      <c r="F3100">
        <v>0</v>
      </c>
      <c r="G3100">
        <v>0.5</v>
      </c>
      <c r="H3100">
        <v>-25</v>
      </c>
      <c r="I3100">
        <v>0</v>
      </c>
      <c r="J3100">
        <v>1</v>
      </c>
      <c r="K3100" s="2">
        <v>45775</v>
      </c>
    </row>
    <row r="3101" spans="1:11" x14ac:dyDescent="0.25">
      <c r="A3101" s="1" t="s">
        <v>657</v>
      </c>
      <c r="B3101" s="1"/>
      <c r="C3101" s="1" t="s">
        <v>3273</v>
      </c>
      <c r="D3101" s="1" t="s">
        <v>3451</v>
      </c>
      <c r="E3101" s="1"/>
      <c r="F3101">
        <v>0.3</v>
      </c>
      <c r="G3101">
        <v>0.1</v>
      </c>
      <c r="H3101">
        <v>15</v>
      </c>
      <c r="I3101">
        <v>0</v>
      </c>
      <c r="J3101">
        <v>1</v>
      </c>
      <c r="K3101" s="2">
        <v>45775</v>
      </c>
    </row>
    <row r="3102" spans="1:11" x14ac:dyDescent="0.25">
      <c r="A3102" s="1" t="s">
        <v>658</v>
      </c>
      <c r="B3102" s="1"/>
      <c r="C3102" s="1" t="s">
        <v>2808</v>
      </c>
      <c r="D3102" s="1" t="s">
        <v>3370</v>
      </c>
      <c r="E3102" s="1"/>
      <c r="F3102">
        <v>0</v>
      </c>
      <c r="G3102">
        <v>0</v>
      </c>
      <c r="H3102">
        <v>0</v>
      </c>
      <c r="I3102">
        <v>0</v>
      </c>
      <c r="J3102">
        <v>1</v>
      </c>
      <c r="K3102" s="2">
        <v>45772</v>
      </c>
    </row>
    <row r="3103" spans="1:11" x14ac:dyDescent="0.25">
      <c r="A3103" s="1" t="s">
        <v>658</v>
      </c>
      <c r="B3103" s="1"/>
      <c r="C3103" s="1" t="s">
        <v>3134</v>
      </c>
      <c r="D3103" s="1" t="s">
        <v>3478</v>
      </c>
      <c r="E3103" s="1"/>
      <c r="F3103">
        <v>0</v>
      </c>
      <c r="G3103">
        <v>0.1</v>
      </c>
      <c r="H3103">
        <v>0</v>
      </c>
      <c r="I3103">
        <v>0</v>
      </c>
      <c r="J3103">
        <v>1</v>
      </c>
      <c r="K3103" s="2">
        <v>45765</v>
      </c>
    </row>
    <row r="3104" spans="1:11" x14ac:dyDescent="0.25">
      <c r="A3104" s="1" t="s">
        <v>658</v>
      </c>
      <c r="B3104" s="1"/>
      <c r="C3104" s="1" t="s">
        <v>3268</v>
      </c>
      <c r="D3104" s="1" t="s">
        <v>3437</v>
      </c>
      <c r="E3104" s="1"/>
      <c r="F3104">
        <v>0.3</v>
      </c>
      <c r="G3104">
        <v>0</v>
      </c>
      <c r="H3104">
        <v>20</v>
      </c>
      <c r="I3104">
        <v>0</v>
      </c>
      <c r="J3104">
        <v>1</v>
      </c>
      <c r="K3104" s="2">
        <v>45769</v>
      </c>
    </row>
    <row r="3105" spans="1:11" x14ac:dyDescent="0.25">
      <c r="A3105" s="1" t="s">
        <v>658</v>
      </c>
      <c r="B3105" s="1"/>
      <c r="C3105" s="1" t="s">
        <v>3019</v>
      </c>
      <c r="D3105" s="1" t="s">
        <v>3437</v>
      </c>
      <c r="E3105" s="1"/>
      <c r="F3105">
        <v>0</v>
      </c>
      <c r="G3105">
        <v>0</v>
      </c>
      <c r="H3105">
        <v>0</v>
      </c>
      <c r="I3105">
        <v>0</v>
      </c>
      <c r="J3105">
        <v>1</v>
      </c>
      <c r="K3105" s="2">
        <v>45769</v>
      </c>
    </row>
    <row r="3106" spans="1:11" x14ac:dyDescent="0.25">
      <c r="A3106" s="1" t="s">
        <v>658</v>
      </c>
      <c r="B3106" s="1"/>
      <c r="C3106" s="1" t="s">
        <v>3268</v>
      </c>
      <c r="D3106" s="1" t="s">
        <v>3437</v>
      </c>
      <c r="E3106" s="1"/>
      <c r="F3106">
        <v>1</v>
      </c>
      <c r="G3106">
        <v>1.1000000000000001</v>
      </c>
      <c r="H3106">
        <v>-5</v>
      </c>
      <c r="I3106">
        <v>0</v>
      </c>
      <c r="J3106">
        <v>1</v>
      </c>
      <c r="K3106" s="2">
        <v>45769</v>
      </c>
    </row>
    <row r="3107" spans="1:11" x14ac:dyDescent="0.25">
      <c r="A3107" s="1" t="s">
        <v>658</v>
      </c>
      <c r="B3107" s="1"/>
      <c r="C3107" s="1" t="s">
        <v>3269</v>
      </c>
      <c r="D3107" s="1" t="s">
        <v>3443</v>
      </c>
      <c r="E3107" s="1"/>
      <c r="F3107">
        <v>1.3</v>
      </c>
      <c r="G3107">
        <v>3.7</v>
      </c>
      <c r="H3107">
        <v>-150</v>
      </c>
      <c r="I3107">
        <v>0</v>
      </c>
      <c r="J3107">
        <v>1</v>
      </c>
      <c r="K3107" s="2">
        <v>45769</v>
      </c>
    </row>
    <row r="3108" spans="1:11" x14ac:dyDescent="0.25">
      <c r="A3108" s="1" t="s">
        <v>658</v>
      </c>
      <c r="B3108" s="1"/>
      <c r="C3108" s="1" t="s">
        <v>3270</v>
      </c>
      <c r="D3108" s="1" t="s">
        <v>3438</v>
      </c>
      <c r="E3108" s="1"/>
      <c r="F3108">
        <v>1.5</v>
      </c>
      <c r="G3108">
        <v>2.4</v>
      </c>
      <c r="H3108">
        <v>-55</v>
      </c>
      <c r="I3108">
        <v>0</v>
      </c>
      <c r="J3108">
        <v>1</v>
      </c>
      <c r="K3108" s="2">
        <v>45770</v>
      </c>
    </row>
    <row r="3109" spans="1:11" x14ac:dyDescent="0.25">
      <c r="A3109" s="1" t="s">
        <v>658</v>
      </c>
      <c r="B3109" s="1"/>
      <c r="C3109" s="1" t="s">
        <v>3271</v>
      </c>
      <c r="D3109" s="1" t="s">
        <v>3438</v>
      </c>
      <c r="E3109" s="1"/>
      <c r="F3109">
        <v>1.5</v>
      </c>
      <c r="G3109">
        <v>0.8</v>
      </c>
      <c r="H3109">
        <v>45</v>
      </c>
      <c r="I3109">
        <v>0</v>
      </c>
      <c r="J3109">
        <v>1</v>
      </c>
      <c r="K3109" s="2">
        <v>45771</v>
      </c>
    </row>
    <row r="3110" spans="1:11" x14ac:dyDescent="0.25">
      <c r="A3110" s="1" t="s">
        <v>658</v>
      </c>
      <c r="B3110" s="1"/>
      <c r="C3110" s="1" t="s">
        <v>3272</v>
      </c>
      <c r="D3110" s="1" t="s">
        <v>3489</v>
      </c>
      <c r="E3110" s="1"/>
      <c r="F3110">
        <v>0.8</v>
      </c>
      <c r="G3110">
        <v>2.2000000000000002</v>
      </c>
      <c r="H3110">
        <v>-90</v>
      </c>
      <c r="I3110">
        <v>0</v>
      </c>
      <c r="J3110">
        <v>1</v>
      </c>
      <c r="K3110" s="2">
        <v>45772</v>
      </c>
    </row>
    <row r="3111" spans="1:11" x14ac:dyDescent="0.25">
      <c r="A3111" s="1" t="s">
        <v>658</v>
      </c>
      <c r="B3111" s="1"/>
      <c r="C3111" s="1" t="s">
        <v>2924</v>
      </c>
      <c r="D3111" s="1" t="s">
        <v>3444</v>
      </c>
      <c r="E3111" s="1"/>
      <c r="F3111">
        <v>0</v>
      </c>
      <c r="G3111">
        <v>0.4</v>
      </c>
      <c r="H3111">
        <v>-20</v>
      </c>
      <c r="I3111">
        <v>0</v>
      </c>
      <c r="J3111">
        <v>1</v>
      </c>
      <c r="K3111" s="2">
        <v>45777</v>
      </c>
    </row>
    <row r="3112" spans="1:11" x14ac:dyDescent="0.25">
      <c r="A3112" s="1" t="s">
        <v>658</v>
      </c>
      <c r="B3112" s="1"/>
      <c r="C3112" s="1" t="s">
        <v>3273</v>
      </c>
      <c r="D3112" s="1" t="s">
        <v>3451</v>
      </c>
      <c r="E3112" s="1"/>
      <c r="F3112">
        <v>0.3</v>
      </c>
      <c r="G3112">
        <v>0</v>
      </c>
      <c r="H3112">
        <v>25</v>
      </c>
      <c r="I3112">
        <v>0</v>
      </c>
      <c r="J3112">
        <v>1</v>
      </c>
      <c r="K3112" s="2">
        <v>45778</v>
      </c>
    </row>
    <row r="3113" spans="1:11" x14ac:dyDescent="0.25">
      <c r="A3113" s="1" t="s">
        <v>659</v>
      </c>
      <c r="B3113" s="1"/>
      <c r="C3113" s="1" t="s">
        <v>2808</v>
      </c>
      <c r="D3113" s="1" t="s">
        <v>3370</v>
      </c>
      <c r="E3113" s="1"/>
      <c r="F3113">
        <v>0</v>
      </c>
      <c r="G3113">
        <v>0</v>
      </c>
      <c r="H3113">
        <v>0</v>
      </c>
      <c r="I3113">
        <v>0</v>
      </c>
      <c r="J3113">
        <v>1</v>
      </c>
      <c r="K3113" s="2">
        <v>45771</v>
      </c>
    </row>
    <row r="3114" spans="1:11" x14ac:dyDescent="0.25">
      <c r="A3114" s="1" t="s">
        <v>659</v>
      </c>
      <c r="B3114" s="1"/>
      <c r="C3114" s="1" t="s">
        <v>3134</v>
      </c>
      <c r="D3114" s="1" t="s">
        <v>3478</v>
      </c>
      <c r="E3114" s="1"/>
      <c r="F3114">
        <v>0</v>
      </c>
      <c r="G3114">
        <v>0.1</v>
      </c>
      <c r="H3114">
        <v>0</v>
      </c>
      <c r="I3114">
        <v>0</v>
      </c>
      <c r="J3114">
        <v>1</v>
      </c>
      <c r="K3114" s="2">
        <v>45765</v>
      </c>
    </row>
    <row r="3115" spans="1:11" x14ac:dyDescent="0.25">
      <c r="A3115" s="1" t="s">
        <v>659</v>
      </c>
      <c r="B3115" s="1"/>
      <c r="C3115" s="1" t="s">
        <v>3268</v>
      </c>
      <c r="D3115" s="1" t="s">
        <v>3437</v>
      </c>
      <c r="E3115" s="1"/>
      <c r="F3115">
        <v>0.3</v>
      </c>
      <c r="G3115">
        <v>0.1</v>
      </c>
      <c r="H3115">
        <v>15</v>
      </c>
      <c r="I3115">
        <v>0</v>
      </c>
      <c r="J3115">
        <v>1</v>
      </c>
      <c r="K3115" s="2">
        <v>45765</v>
      </c>
    </row>
    <row r="3116" spans="1:11" x14ac:dyDescent="0.25">
      <c r="A3116" s="1" t="s">
        <v>659</v>
      </c>
      <c r="B3116" s="1"/>
      <c r="C3116" s="1" t="s">
        <v>3019</v>
      </c>
      <c r="D3116" s="1" t="s">
        <v>3437</v>
      </c>
      <c r="E3116" s="1"/>
      <c r="F3116">
        <v>0</v>
      </c>
      <c r="G3116">
        <v>1.3</v>
      </c>
      <c r="H3116">
        <v>-75</v>
      </c>
      <c r="I3116">
        <v>0</v>
      </c>
      <c r="J3116">
        <v>1</v>
      </c>
      <c r="K3116" s="2">
        <v>45765</v>
      </c>
    </row>
    <row r="3117" spans="1:11" x14ac:dyDescent="0.25">
      <c r="A3117" s="1" t="s">
        <v>659</v>
      </c>
      <c r="B3117" s="1"/>
      <c r="C3117" s="1" t="s">
        <v>3268</v>
      </c>
      <c r="D3117" s="1" t="s">
        <v>3437</v>
      </c>
      <c r="E3117" s="1"/>
      <c r="F3117">
        <v>1</v>
      </c>
      <c r="G3117">
        <v>0</v>
      </c>
      <c r="H3117">
        <v>65</v>
      </c>
      <c r="I3117">
        <v>0</v>
      </c>
      <c r="J3117">
        <v>1</v>
      </c>
      <c r="K3117" s="2">
        <v>45766</v>
      </c>
    </row>
    <row r="3118" spans="1:11" x14ac:dyDescent="0.25">
      <c r="A3118" s="1" t="s">
        <v>659</v>
      </c>
      <c r="B3118" s="1"/>
      <c r="C3118" s="1" t="s">
        <v>3269</v>
      </c>
      <c r="D3118" s="1" t="s">
        <v>3443</v>
      </c>
      <c r="E3118" s="1"/>
      <c r="F3118">
        <v>1.3</v>
      </c>
      <c r="G3118">
        <v>0</v>
      </c>
      <c r="H3118">
        <v>80</v>
      </c>
      <c r="I3118">
        <v>0</v>
      </c>
      <c r="J3118">
        <v>1</v>
      </c>
      <c r="K3118" s="2">
        <v>45766</v>
      </c>
    </row>
    <row r="3119" spans="1:11" x14ac:dyDescent="0.25">
      <c r="A3119" s="1" t="s">
        <v>659</v>
      </c>
      <c r="B3119" s="1"/>
      <c r="C3119" s="1" t="s">
        <v>3270</v>
      </c>
      <c r="D3119" s="1" t="s">
        <v>3438</v>
      </c>
      <c r="E3119" s="1"/>
      <c r="F3119">
        <v>1.5</v>
      </c>
      <c r="G3119">
        <v>2.2000000000000002</v>
      </c>
      <c r="H3119">
        <v>-40</v>
      </c>
      <c r="I3119">
        <v>0</v>
      </c>
      <c r="J3119">
        <v>1</v>
      </c>
      <c r="K3119" s="2">
        <v>45768</v>
      </c>
    </row>
    <row r="3120" spans="1:11" x14ac:dyDescent="0.25">
      <c r="A3120" s="1" t="s">
        <v>659</v>
      </c>
      <c r="B3120" s="1"/>
      <c r="C3120" s="1" t="s">
        <v>3271</v>
      </c>
      <c r="D3120" s="1" t="s">
        <v>3438</v>
      </c>
      <c r="E3120" s="1"/>
      <c r="F3120">
        <v>1.5</v>
      </c>
      <c r="G3120">
        <v>2.1</v>
      </c>
      <c r="H3120">
        <v>-35</v>
      </c>
      <c r="I3120">
        <v>0</v>
      </c>
      <c r="J3120">
        <v>1</v>
      </c>
      <c r="K3120" s="2">
        <v>45770</v>
      </c>
    </row>
    <row r="3121" spans="1:11" x14ac:dyDescent="0.25">
      <c r="A3121" s="1" t="s">
        <v>659</v>
      </c>
      <c r="B3121" s="1"/>
      <c r="C3121" s="1" t="s">
        <v>3272</v>
      </c>
      <c r="D3121" s="1" t="s">
        <v>3489</v>
      </c>
      <c r="E3121" s="1"/>
      <c r="F3121">
        <v>0.8</v>
      </c>
      <c r="G3121">
        <v>3.2</v>
      </c>
      <c r="H3121">
        <v>-150</v>
      </c>
      <c r="I3121">
        <v>0</v>
      </c>
      <c r="J3121">
        <v>1</v>
      </c>
      <c r="K3121" s="2">
        <v>45771</v>
      </c>
    </row>
    <row r="3122" spans="1:11" x14ac:dyDescent="0.25">
      <c r="A3122" s="1" t="s">
        <v>659</v>
      </c>
      <c r="B3122" s="1"/>
      <c r="C3122" s="1" t="s">
        <v>2924</v>
      </c>
      <c r="D3122" s="1" t="s">
        <v>3444</v>
      </c>
      <c r="E3122" s="1"/>
      <c r="F3122">
        <v>0</v>
      </c>
      <c r="G3122">
        <v>0</v>
      </c>
      <c r="H3122">
        <v>0</v>
      </c>
      <c r="I3122">
        <v>0</v>
      </c>
      <c r="J3122">
        <v>1</v>
      </c>
      <c r="K3122" s="2">
        <v>45777</v>
      </c>
    </row>
    <row r="3123" spans="1:11" x14ac:dyDescent="0.25">
      <c r="A3123" s="1" t="s">
        <v>659</v>
      </c>
      <c r="B3123" s="1"/>
      <c r="C3123" s="1" t="s">
        <v>3273</v>
      </c>
      <c r="D3123" s="1" t="s">
        <v>3451</v>
      </c>
      <c r="E3123" s="1"/>
      <c r="F3123">
        <v>0.3</v>
      </c>
      <c r="G3123">
        <v>0</v>
      </c>
      <c r="H3123">
        <v>20</v>
      </c>
      <c r="I3123">
        <v>0</v>
      </c>
      <c r="J3123">
        <v>1</v>
      </c>
      <c r="K3123" s="2">
        <v>45778</v>
      </c>
    </row>
    <row r="3124" spans="1:11" x14ac:dyDescent="0.25">
      <c r="A3124" s="1" t="s">
        <v>660</v>
      </c>
      <c r="B3124" s="1"/>
      <c r="C3124" s="1" t="s">
        <v>2808</v>
      </c>
      <c r="D3124" s="1" t="s">
        <v>3370</v>
      </c>
      <c r="E3124" s="1"/>
      <c r="F3124">
        <v>0</v>
      </c>
      <c r="G3124">
        <v>0</v>
      </c>
      <c r="H3124">
        <v>0</v>
      </c>
      <c r="I3124">
        <v>0</v>
      </c>
      <c r="J3124">
        <v>1</v>
      </c>
      <c r="K3124" s="2">
        <v>45772</v>
      </c>
    </row>
    <row r="3125" spans="1:11" x14ac:dyDescent="0.25">
      <c r="A3125" s="1" t="s">
        <v>660</v>
      </c>
      <c r="B3125" s="1"/>
      <c r="C3125" s="1" t="s">
        <v>3134</v>
      </c>
      <c r="D3125" s="1" t="s">
        <v>3478</v>
      </c>
      <c r="E3125" s="1"/>
      <c r="F3125">
        <v>0</v>
      </c>
      <c r="G3125">
        <v>0.1</v>
      </c>
      <c r="H3125">
        <v>0</v>
      </c>
      <c r="I3125">
        <v>0</v>
      </c>
      <c r="J3125">
        <v>1</v>
      </c>
      <c r="K3125" s="2">
        <v>45765</v>
      </c>
    </row>
    <row r="3126" spans="1:11" x14ac:dyDescent="0.25">
      <c r="A3126" s="1" t="s">
        <v>660</v>
      </c>
      <c r="B3126" s="1"/>
      <c r="C3126" s="1" t="s">
        <v>3268</v>
      </c>
      <c r="D3126" s="1" t="s">
        <v>3437</v>
      </c>
      <c r="E3126" s="1"/>
      <c r="F3126">
        <v>0.3</v>
      </c>
      <c r="G3126">
        <v>0.3</v>
      </c>
      <c r="H3126">
        <v>5</v>
      </c>
      <c r="I3126">
        <v>0</v>
      </c>
      <c r="J3126">
        <v>1</v>
      </c>
      <c r="K3126" s="2">
        <v>45768</v>
      </c>
    </row>
    <row r="3127" spans="1:11" x14ac:dyDescent="0.25">
      <c r="A3127" s="1" t="s">
        <v>660</v>
      </c>
      <c r="B3127" s="1"/>
      <c r="C3127" s="1" t="s">
        <v>3019</v>
      </c>
      <c r="D3127" s="1" t="s">
        <v>3437</v>
      </c>
      <c r="E3127" s="1"/>
      <c r="F3127">
        <v>0</v>
      </c>
      <c r="G3127">
        <v>3.5</v>
      </c>
      <c r="H3127">
        <v>-215</v>
      </c>
      <c r="I3127">
        <v>0</v>
      </c>
      <c r="J3127">
        <v>1</v>
      </c>
      <c r="K3127" s="2">
        <v>45768</v>
      </c>
    </row>
    <row r="3128" spans="1:11" x14ac:dyDescent="0.25">
      <c r="A3128" s="1" t="s">
        <v>660</v>
      </c>
      <c r="B3128" s="1"/>
      <c r="C3128" s="1" t="s">
        <v>3268</v>
      </c>
      <c r="D3128" s="1" t="s">
        <v>3437</v>
      </c>
      <c r="E3128" s="1"/>
      <c r="F3128">
        <v>1</v>
      </c>
      <c r="G3128">
        <v>1</v>
      </c>
      <c r="H3128">
        <v>0</v>
      </c>
      <c r="I3128">
        <v>0</v>
      </c>
      <c r="J3128">
        <v>1</v>
      </c>
      <c r="K3128" s="2">
        <v>45768</v>
      </c>
    </row>
    <row r="3129" spans="1:11" x14ac:dyDescent="0.25">
      <c r="A3129" s="1" t="s">
        <v>660</v>
      </c>
      <c r="B3129" s="1"/>
      <c r="C3129" s="1" t="s">
        <v>3269</v>
      </c>
      <c r="D3129" s="1" t="s">
        <v>3443</v>
      </c>
      <c r="E3129" s="1"/>
      <c r="F3129">
        <v>1.3</v>
      </c>
      <c r="G3129">
        <v>3.4</v>
      </c>
      <c r="H3129">
        <v>-130</v>
      </c>
      <c r="I3129">
        <v>0</v>
      </c>
      <c r="J3129">
        <v>1</v>
      </c>
      <c r="K3129" s="2">
        <v>45769</v>
      </c>
    </row>
    <row r="3130" spans="1:11" x14ac:dyDescent="0.25">
      <c r="A3130" s="1" t="s">
        <v>660</v>
      </c>
      <c r="B3130" s="1"/>
      <c r="C3130" s="1" t="s">
        <v>3270</v>
      </c>
      <c r="D3130" s="1" t="s">
        <v>3438</v>
      </c>
      <c r="E3130" s="1"/>
      <c r="F3130">
        <v>1.5</v>
      </c>
      <c r="G3130">
        <v>2.1</v>
      </c>
      <c r="H3130">
        <v>-35</v>
      </c>
      <c r="I3130">
        <v>0</v>
      </c>
      <c r="J3130">
        <v>1</v>
      </c>
      <c r="K3130" s="2">
        <v>45770</v>
      </c>
    </row>
    <row r="3131" spans="1:11" x14ac:dyDescent="0.25">
      <c r="A3131" s="1" t="s">
        <v>660</v>
      </c>
      <c r="B3131" s="1"/>
      <c r="C3131" s="1" t="s">
        <v>3271</v>
      </c>
      <c r="D3131" s="1" t="s">
        <v>3438</v>
      </c>
      <c r="E3131" s="1"/>
      <c r="F3131">
        <v>1.5</v>
      </c>
      <c r="G3131">
        <v>1.7</v>
      </c>
      <c r="H3131">
        <v>-10</v>
      </c>
      <c r="I3131">
        <v>0</v>
      </c>
      <c r="J3131">
        <v>1</v>
      </c>
      <c r="K3131" s="2">
        <v>45771</v>
      </c>
    </row>
    <row r="3132" spans="1:11" x14ac:dyDescent="0.25">
      <c r="A3132" s="1" t="s">
        <v>660</v>
      </c>
      <c r="B3132" s="1"/>
      <c r="C3132" s="1" t="s">
        <v>3272</v>
      </c>
      <c r="D3132" s="1" t="s">
        <v>3489</v>
      </c>
      <c r="E3132" s="1"/>
      <c r="F3132">
        <v>0.8</v>
      </c>
      <c r="G3132">
        <v>5.9</v>
      </c>
      <c r="H3132">
        <v>-320</v>
      </c>
      <c r="I3132">
        <v>0</v>
      </c>
      <c r="J3132">
        <v>1</v>
      </c>
      <c r="K3132" s="2">
        <v>45772</v>
      </c>
    </row>
    <row r="3133" spans="1:11" x14ac:dyDescent="0.25">
      <c r="A3133" s="1" t="s">
        <v>660</v>
      </c>
      <c r="B3133" s="1"/>
      <c r="C3133" s="1" t="s">
        <v>2924</v>
      </c>
      <c r="D3133" s="1" t="s">
        <v>3444</v>
      </c>
      <c r="E3133" s="1"/>
      <c r="F3133">
        <v>0</v>
      </c>
      <c r="G3133">
        <v>0.2</v>
      </c>
      <c r="H3133">
        <v>-10</v>
      </c>
      <c r="I3133">
        <v>0</v>
      </c>
      <c r="J3133">
        <v>1</v>
      </c>
      <c r="K3133" s="2">
        <v>45775</v>
      </c>
    </row>
    <row r="3134" spans="1:11" x14ac:dyDescent="0.25">
      <c r="A3134" s="1" t="s">
        <v>660</v>
      </c>
      <c r="B3134" s="1"/>
      <c r="C3134" s="1" t="s">
        <v>3273</v>
      </c>
      <c r="D3134" s="1" t="s">
        <v>3451</v>
      </c>
      <c r="E3134" s="1"/>
      <c r="F3134">
        <v>0.3</v>
      </c>
      <c r="G3134">
        <v>0.1</v>
      </c>
      <c r="H3134">
        <v>20</v>
      </c>
      <c r="I3134">
        <v>0</v>
      </c>
      <c r="J3134">
        <v>1</v>
      </c>
      <c r="K3134" s="2">
        <v>45775</v>
      </c>
    </row>
    <row r="3135" spans="1:11" x14ac:dyDescent="0.25">
      <c r="A3135" s="1" t="s">
        <v>526</v>
      </c>
      <c r="B3135" s="1"/>
      <c r="C3135" s="1" t="s">
        <v>2808</v>
      </c>
      <c r="D3135" s="1" t="s">
        <v>3370</v>
      </c>
      <c r="E3135" s="1"/>
      <c r="F3135">
        <v>0</v>
      </c>
      <c r="G3135">
        <v>0</v>
      </c>
      <c r="H3135">
        <v>0</v>
      </c>
      <c r="I3135">
        <v>0</v>
      </c>
      <c r="J3135">
        <v>463</v>
      </c>
      <c r="K3135" s="2">
        <v>45761</v>
      </c>
    </row>
    <row r="3136" spans="1:11" x14ac:dyDescent="0.25">
      <c r="A3136" s="1" t="s">
        <v>686</v>
      </c>
      <c r="B3136" s="1"/>
      <c r="C3136" s="1" t="s">
        <v>2808</v>
      </c>
      <c r="D3136" s="1" t="s">
        <v>3370</v>
      </c>
      <c r="E3136" s="1"/>
      <c r="F3136">
        <v>0</v>
      </c>
      <c r="G3136">
        <v>0</v>
      </c>
      <c r="H3136">
        <v>0</v>
      </c>
      <c r="I3136">
        <v>0</v>
      </c>
      <c r="J3136">
        <v>1440</v>
      </c>
      <c r="K3136" s="2">
        <v>45770</v>
      </c>
    </row>
    <row r="3137" spans="1:11" x14ac:dyDescent="0.25">
      <c r="A3137" s="1" t="s">
        <v>686</v>
      </c>
      <c r="B3137" s="1"/>
      <c r="C3137" s="1" t="s">
        <v>2915</v>
      </c>
      <c r="D3137" s="1" t="s">
        <v>3415</v>
      </c>
      <c r="E3137" s="1"/>
      <c r="F3137">
        <v>20.6</v>
      </c>
      <c r="G3137">
        <v>37.200000000000003</v>
      </c>
      <c r="H3137">
        <v>-905</v>
      </c>
      <c r="I3137">
        <v>0</v>
      </c>
      <c r="J3137">
        <v>1440</v>
      </c>
      <c r="K3137" s="2">
        <v>45770</v>
      </c>
    </row>
    <row r="3138" spans="1:11" x14ac:dyDescent="0.25">
      <c r="A3138" s="1" t="s">
        <v>293</v>
      </c>
      <c r="B3138" s="1"/>
      <c r="C3138" s="1" t="s">
        <v>3274</v>
      </c>
      <c r="D3138" s="1" t="s">
        <v>3405</v>
      </c>
      <c r="E3138" s="1"/>
      <c r="F3138">
        <v>12.8</v>
      </c>
      <c r="G3138">
        <v>23.8</v>
      </c>
      <c r="H3138">
        <v>-515</v>
      </c>
      <c r="I3138">
        <v>0</v>
      </c>
      <c r="J3138">
        <v>1578</v>
      </c>
      <c r="K3138" s="2">
        <v>45741</v>
      </c>
    </row>
    <row r="3139" spans="1:11" x14ac:dyDescent="0.25">
      <c r="A3139" s="1" t="s">
        <v>293</v>
      </c>
      <c r="B3139" s="1"/>
      <c r="C3139" s="1" t="s">
        <v>2812</v>
      </c>
      <c r="D3139" s="1" t="s">
        <v>3374</v>
      </c>
      <c r="E3139" s="1"/>
      <c r="F3139">
        <v>0.3</v>
      </c>
      <c r="G3139">
        <v>0</v>
      </c>
      <c r="H3139">
        <v>20</v>
      </c>
      <c r="I3139">
        <v>0</v>
      </c>
      <c r="J3139">
        <v>1578</v>
      </c>
      <c r="K3139" s="2">
        <v>45741</v>
      </c>
    </row>
    <row r="3140" spans="1:11" x14ac:dyDescent="0.25">
      <c r="A3140" s="1" t="s">
        <v>293</v>
      </c>
      <c r="B3140" s="1"/>
      <c r="C3140" s="1" t="s">
        <v>3275</v>
      </c>
      <c r="D3140" s="1" t="s">
        <v>3375</v>
      </c>
      <c r="E3140" s="1"/>
      <c r="F3140">
        <v>15.9</v>
      </c>
      <c r="G3140">
        <v>27.8</v>
      </c>
      <c r="H3140">
        <v>-610</v>
      </c>
      <c r="I3140">
        <v>0</v>
      </c>
      <c r="J3140">
        <v>1578</v>
      </c>
      <c r="K3140" s="2">
        <v>45741</v>
      </c>
    </row>
    <row r="3141" spans="1:11" x14ac:dyDescent="0.25">
      <c r="A3141" s="1" t="s">
        <v>517</v>
      </c>
      <c r="B3141" s="1"/>
      <c r="C3141" s="1" t="s">
        <v>2808</v>
      </c>
      <c r="D3141" s="1" t="s">
        <v>3370</v>
      </c>
      <c r="E3141" s="1"/>
      <c r="F3141">
        <v>0</v>
      </c>
      <c r="G3141">
        <v>0</v>
      </c>
      <c r="H3141">
        <v>0</v>
      </c>
      <c r="I3141">
        <v>0</v>
      </c>
      <c r="J3141">
        <v>1560</v>
      </c>
      <c r="K3141" s="2">
        <v>45756</v>
      </c>
    </row>
    <row r="3142" spans="1:11" x14ac:dyDescent="0.25">
      <c r="A3142" s="1" t="s">
        <v>517</v>
      </c>
      <c r="B3142" s="1"/>
      <c r="C3142" s="1" t="s">
        <v>3274</v>
      </c>
      <c r="D3142" s="1" t="s">
        <v>3405</v>
      </c>
      <c r="E3142" s="1"/>
      <c r="F3142">
        <v>12.8</v>
      </c>
      <c r="G3142">
        <v>28.7</v>
      </c>
      <c r="H3142">
        <v>-825</v>
      </c>
      <c r="I3142">
        <v>0</v>
      </c>
      <c r="J3142">
        <v>1560</v>
      </c>
      <c r="K3142" s="2">
        <v>45758</v>
      </c>
    </row>
    <row r="3143" spans="1:11" x14ac:dyDescent="0.25">
      <c r="A3143" s="1" t="s">
        <v>517</v>
      </c>
      <c r="B3143" s="1"/>
      <c r="C3143" s="1" t="s">
        <v>2812</v>
      </c>
      <c r="D3143" s="1" t="s">
        <v>3374</v>
      </c>
      <c r="E3143" s="1"/>
      <c r="F3143">
        <v>0.3</v>
      </c>
      <c r="G3143">
        <v>0</v>
      </c>
      <c r="H3143">
        <v>20</v>
      </c>
      <c r="I3143">
        <v>0</v>
      </c>
      <c r="J3143">
        <v>1560</v>
      </c>
      <c r="K3143" s="2">
        <v>45758</v>
      </c>
    </row>
    <row r="3144" spans="1:11" x14ac:dyDescent="0.25">
      <c r="A3144" s="1" t="s">
        <v>517</v>
      </c>
      <c r="B3144" s="1"/>
      <c r="C3144" s="1" t="s">
        <v>3275</v>
      </c>
      <c r="D3144" s="1" t="s">
        <v>3375</v>
      </c>
      <c r="E3144" s="1"/>
      <c r="F3144">
        <v>15.9</v>
      </c>
      <c r="G3144">
        <v>4.5999999999999996</v>
      </c>
      <c r="H3144">
        <v>590</v>
      </c>
      <c r="I3144">
        <v>0</v>
      </c>
      <c r="J3144">
        <v>1560</v>
      </c>
      <c r="K3144" s="2">
        <v>45765</v>
      </c>
    </row>
    <row r="3145" spans="1:11" x14ac:dyDescent="0.25">
      <c r="A3145" s="1" t="s">
        <v>518</v>
      </c>
      <c r="B3145" s="1"/>
      <c r="C3145" s="1" t="s">
        <v>2808</v>
      </c>
      <c r="D3145" s="1" t="s">
        <v>3370</v>
      </c>
      <c r="E3145" s="1"/>
      <c r="F3145">
        <v>0</v>
      </c>
      <c r="G3145">
        <v>0</v>
      </c>
      <c r="H3145">
        <v>0</v>
      </c>
      <c r="I3145">
        <v>0</v>
      </c>
      <c r="J3145">
        <v>1560</v>
      </c>
      <c r="K3145" s="2">
        <v>45757</v>
      </c>
    </row>
    <row r="3146" spans="1:11" x14ac:dyDescent="0.25">
      <c r="A3146" s="1" t="s">
        <v>518</v>
      </c>
      <c r="B3146" s="1"/>
      <c r="C3146" s="1" t="s">
        <v>3274</v>
      </c>
      <c r="D3146" s="1" t="s">
        <v>3405</v>
      </c>
      <c r="E3146" s="1"/>
      <c r="F3146">
        <v>12.8</v>
      </c>
      <c r="G3146">
        <v>21.8</v>
      </c>
      <c r="H3146">
        <v>-415</v>
      </c>
      <c r="I3146">
        <v>0</v>
      </c>
      <c r="J3146">
        <v>1560</v>
      </c>
      <c r="K3146" s="2">
        <v>45770</v>
      </c>
    </row>
    <row r="3147" spans="1:11" x14ac:dyDescent="0.25">
      <c r="A3147" s="1" t="s">
        <v>518</v>
      </c>
      <c r="B3147" s="1"/>
      <c r="C3147" s="1" t="s">
        <v>2812</v>
      </c>
      <c r="D3147" s="1" t="s">
        <v>3374</v>
      </c>
      <c r="E3147" s="1"/>
      <c r="F3147">
        <v>0.3</v>
      </c>
      <c r="G3147">
        <v>0</v>
      </c>
      <c r="H3147">
        <v>20</v>
      </c>
      <c r="I3147">
        <v>0</v>
      </c>
      <c r="J3147">
        <v>1560</v>
      </c>
      <c r="K3147" s="2">
        <v>45770</v>
      </c>
    </row>
    <row r="3148" spans="1:11" x14ac:dyDescent="0.25">
      <c r="A3148" s="1" t="s">
        <v>518</v>
      </c>
      <c r="B3148" s="1"/>
      <c r="C3148" s="1" t="s">
        <v>3275</v>
      </c>
      <c r="D3148" s="1" t="s">
        <v>3375</v>
      </c>
      <c r="E3148" s="1"/>
      <c r="F3148">
        <v>15.9</v>
      </c>
      <c r="G3148">
        <v>19.2</v>
      </c>
      <c r="H3148">
        <v>-165</v>
      </c>
      <c r="I3148">
        <v>0</v>
      </c>
      <c r="J3148">
        <v>1560</v>
      </c>
      <c r="K3148" s="2">
        <v>45775</v>
      </c>
    </row>
    <row r="3149" spans="1:11" x14ac:dyDescent="0.25">
      <c r="A3149" s="1" t="s">
        <v>426</v>
      </c>
      <c r="B3149" s="1"/>
      <c r="C3149" s="1" t="s">
        <v>2808</v>
      </c>
      <c r="D3149" s="1" t="s">
        <v>3370</v>
      </c>
      <c r="E3149" s="1"/>
      <c r="F3149">
        <v>0</v>
      </c>
      <c r="G3149">
        <v>0</v>
      </c>
      <c r="H3149">
        <v>0</v>
      </c>
      <c r="I3149">
        <v>0</v>
      </c>
      <c r="J3149">
        <v>672</v>
      </c>
      <c r="K3149" s="2">
        <v>45743</v>
      </c>
    </row>
    <row r="3150" spans="1:11" x14ac:dyDescent="0.25">
      <c r="A3150" s="1" t="s">
        <v>426</v>
      </c>
      <c r="B3150" s="1"/>
      <c r="C3150" s="1" t="s">
        <v>3274</v>
      </c>
      <c r="D3150" s="1" t="s">
        <v>3405</v>
      </c>
      <c r="E3150" s="1"/>
      <c r="F3150">
        <v>5.3</v>
      </c>
      <c r="G3150">
        <v>15.9</v>
      </c>
      <c r="H3150">
        <v>-555</v>
      </c>
      <c r="I3150">
        <v>0</v>
      </c>
      <c r="J3150">
        <v>700</v>
      </c>
      <c r="K3150" s="2">
        <v>45750</v>
      </c>
    </row>
    <row r="3151" spans="1:11" x14ac:dyDescent="0.25">
      <c r="A3151" s="1" t="s">
        <v>426</v>
      </c>
      <c r="B3151" s="1"/>
      <c r="C3151" s="1" t="s">
        <v>2812</v>
      </c>
      <c r="D3151" s="1" t="s">
        <v>3374</v>
      </c>
      <c r="E3151" s="1"/>
      <c r="F3151">
        <v>0.3</v>
      </c>
      <c r="G3151">
        <v>0</v>
      </c>
      <c r="H3151">
        <v>20</v>
      </c>
      <c r="I3151">
        <v>0</v>
      </c>
      <c r="J3151">
        <v>700</v>
      </c>
      <c r="K3151" s="2">
        <v>45750</v>
      </c>
    </row>
    <row r="3152" spans="1:11" x14ac:dyDescent="0.25">
      <c r="A3152" s="1" t="s">
        <v>426</v>
      </c>
      <c r="B3152" s="1"/>
      <c r="C3152" s="1" t="s">
        <v>2870</v>
      </c>
      <c r="D3152" s="1" t="s">
        <v>3375</v>
      </c>
      <c r="E3152" s="1"/>
      <c r="F3152">
        <v>5.9</v>
      </c>
      <c r="G3152">
        <v>9</v>
      </c>
      <c r="H3152">
        <v>-150</v>
      </c>
      <c r="I3152">
        <v>0</v>
      </c>
      <c r="J3152">
        <v>700</v>
      </c>
      <c r="K3152" s="2">
        <v>45750</v>
      </c>
    </row>
    <row r="3153" spans="1:11" x14ac:dyDescent="0.25">
      <c r="A3153" s="1" t="s">
        <v>486</v>
      </c>
      <c r="B3153" s="1"/>
      <c r="C3153" s="1" t="s">
        <v>2808</v>
      </c>
      <c r="D3153" s="1" t="s">
        <v>3370</v>
      </c>
      <c r="E3153" s="1"/>
      <c r="F3153">
        <v>0</v>
      </c>
      <c r="G3153">
        <v>0</v>
      </c>
      <c r="H3153">
        <v>0</v>
      </c>
      <c r="I3153">
        <v>0</v>
      </c>
      <c r="J3153">
        <v>48</v>
      </c>
      <c r="K3153" s="2">
        <v>45759</v>
      </c>
    </row>
    <row r="3154" spans="1:11" x14ac:dyDescent="0.25">
      <c r="A3154" s="1" t="s">
        <v>486</v>
      </c>
      <c r="B3154" s="1"/>
      <c r="C3154" s="1" t="s">
        <v>3274</v>
      </c>
      <c r="D3154" s="1" t="s">
        <v>3405</v>
      </c>
      <c r="E3154" s="1"/>
      <c r="F3154">
        <v>2.2000000000000002</v>
      </c>
      <c r="G3154">
        <v>0.5</v>
      </c>
      <c r="H3154">
        <v>130</v>
      </c>
      <c r="I3154">
        <v>0</v>
      </c>
      <c r="J3154">
        <v>48</v>
      </c>
      <c r="K3154" s="2">
        <v>45768</v>
      </c>
    </row>
    <row r="3155" spans="1:11" x14ac:dyDescent="0.25">
      <c r="A3155" s="1" t="s">
        <v>486</v>
      </c>
      <c r="B3155" s="1"/>
      <c r="C3155" s="1" t="s">
        <v>2812</v>
      </c>
      <c r="D3155" s="1" t="s">
        <v>3374</v>
      </c>
      <c r="E3155" s="1"/>
      <c r="F3155">
        <v>0.3</v>
      </c>
      <c r="G3155">
        <v>0</v>
      </c>
      <c r="H3155">
        <v>20</v>
      </c>
      <c r="I3155">
        <v>0</v>
      </c>
      <c r="J3155">
        <v>48</v>
      </c>
      <c r="K3155" s="2">
        <v>45768</v>
      </c>
    </row>
    <row r="3156" spans="1:11" x14ac:dyDescent="0.25">
      <c r="A3156" s="1" t="s">
        <v>486</v>
      </c>
      <c r="B3156" s="1"/>
      <c r="C3156" s="1" t="s">
        <v>2870</v>
      </c>
      <c r="D3156" s="1" t="s">
        <v>3375</v>
      </c>
      <c r="E3156" s="1"/>
      <c r="F3156">
        <v>0.7</v>
      </c>
      <c r="G3156">
        <v>0.6</v>
      </c>
      <c r="H3156">
        <v>10</v>
      </c>
      <c r="I3156">
        <v>2</v>
      </c>
      <c r="J3156">
        <v>46</v>
      </c>
      <c r="K3156" s="2">
        <v>45768</v>
      </c>
    </row>
    <row r="3157" spans="1:11" x14ac:dyDescent="0.25">
      <c r="A3157" s="1" t="s">
        <v>314</v>
      </c>
      <c r="B3157" s="1"/>
      <c r="C3157" s="1" t="s">
        <v>3276</v>
      </c>
      <c r="D3157" s="1" t="s">
        <v>3405</v>
      </c>
      <c r="E3157" s="1"/>
      <c r="F3157">
        <v>14.1</v>
      </c>
      <c r="G3157">
        <v>31.9</v>
      </c>
      <c r="H3157">
        <v>-870</v>
      </c>
      <c r="I3157">
        <v>0</v>
      </c>
      <c r="J3157">
        <v>2591</v>
      </c>
      <c r="K3157" s="2">
        <v>45737</v>
      </c>
    </row>
    <row r="3158" spans="1:11" x14ac:dyDescent="0.25">
      <c r="A3158" s="1" t="s">
        <v>314</v>
      </c>
      <c r="B3158" s="1"/>
      <c r="C3158" s="1" t="s">
        <v>2812</v>
      </c>
      <c r="D3158" s="1" t="s">
        <v>3374</v>
      </c>
      <c r="E3158" s="1"/>
      <c r="F3158">
        <v>0.3</v>
      </c>
      <c r="G3158">
        <v>0</v>
      </c>
      <c r="H3158">
        <v>20</v>
      </c>
      <c r="I3158">
        <v>0</v>
      </c>
      <c r="J3158">
        <v>2591</v>
      </c>
      <c r="K3158" s="2">
        <v>45737</v>
      </c>
    </row>
    <row r="3159" spans="1:11" x14ac:dyDescent="0.25">
      <c r="A3159" s="1" t="s">
        <v>314</v>
      </c>
      <c r="B3159" s="1"/>
      <c r="C3159" s="1" t="s">
        <v>2870</v>
      </c>
      <c r="D3159" s="1" t="s">
        <v>3375</v>
      </c>
      <c r="E3159" s="1"/>
      <c r="F3159">
        <v>21.1</v>
      </c>
      <c r="G3159">
        <v>51.5</v>
      </c>
      <c r="H3159">
        <v>-1565</v>
      </c>
      <c r="I3159">
        <v>0</v>
      </c>
      <c r="J3159">
        <v>2591</v>
      </c>
      <c r="K3159" s="2">
        <v>45737</v>
      </c>
    </row>
    <row r="3160" spans="1:11" x14ac:dyDescent="0.25">
      <c r="A3160" s="1" t="s">
        <v>596</v>
      </c>
      <c r="B3160" s="1"/>
      <c r="C3160" s="1" t="s">
        <v>2808</v>
      </c>
      <c r="D3160" s="1" t="s">
        <v>3370</v>
      </c>
      <c r="E3160" s="1"/>
      <c r="F3160">
        <v>0</v>
      </c>
      <c r="G3160">
        <v>0</v>
      </c>
      <c r="H3160">
        <v>0</v>
      </c>
      <c r="I3160">
        <v>0</v>
      </c>
      <c r="J3160">
        <v>2520</v>
      </c>
      <c r="K3160" s="2">
        <v>45770</v>
      </c>
    </row>
    <row r="3161" spans="1:11" x14ac:dyDescent="0.25">
      <c r="A3161" s="1" t="s">
        <v>596</v>
      </c>
      <c r="B3161" s="1"/>
      <c r="C3161" s="1" t="s">
        <v>3276</v>
      </c>
      <c r="D3161" s="1" t="s">
        <v>3405</v>
      </c>
      <c r="E3161" s="1"/>
      <c r="F3161">
        <v>14.2</v>
      </c>
      <c r="G3161">
        <v>47</v>
      </c>
      <c r="H3161">
        <v>-1685</v>
      </c>
      <c r="I3161">
        <v>0</v>
      </c>
      <c r="J3161">
        <v>2520</v>
      </c>
      <c r="K3161" s="2">
        <v>45770</v>
      </c>
    </row>
    <row r="3162" spans="1:11" x14ac:dyDescent="0.25">
      <c r="A3162" s="1" t="s">
        <v>596</v>
      </c>
      <c r="B3162" s="1"/>
      <c r="C3162" s="1" t="s">
        <v>2812</v>
      </c>
      <c r="D3162" s="1" t="s">
        <v>3374</v>
      </c>
      <c r="E3162" s="1"/>
      <c r="F3162">
        <v>0.3</v>
      </c>
      <c r="G3162">
        <v>0</v>
      </c>
      <c r="H3162">
        <v>20</v>
      </c>
      <c r="I3162">
        <v>0</v>
      </c>
      <c r="J3162">
        <v>2520</v>
      </c>
      <c r="K3162" s="2">
        <v>45768</v>
      </c>
    </row>
    <row r="3163" spans="1:11" x14ac:dyDescent="0.25">
      <c r="A3163" s="1" t="s">
        <v>596</v>
      </c>
      <c r="B3163" s="1"/>
      <c r="C3163" s="1" t="s">
        <v>2870</v>
      </c>
      <c r="D3163" s="1" t="s">
        <v>3375</v>
      </c>
      <c r="E3163" s="1"/>
      <c r="F3163">
        <v>21.3</v>
      </c>
      <c r="G3163">
        <v>45.5</v>
      </c>
      <c r="H3163">
        <v>-1245</v>
      </c>
      <c r="I3163">
        <v>0</v>
      </c>
      <c r="J3163">
        <v>2520</v>
      </c>
      <c r="K3163" s="2">
        <v>45772</v>
      </c>
    </row>
    <row r="3164" spans="1:11" x14ac:dyDescent="0.25">
      <c r="A3164" s="1" t="s">
        <v>733</v>
      </c>
      <c r="B3164" s="1"/>
      <c r="C3164" s="1" t="s">
        <v>2808</v>
      </c>
      <c r="D3164" s="1" t="s">
        <v>3370</v>
      </c>
      <c r="E3164" s="1"/>
      <c r="F3164">
        <v>0</v>
      </c>
      <c r="G3164">
        <v>0.3</v>
      </c>
      <c r="H3164">
        <v>0</v>
      </c>
      <c r="I3164">
        <v>0</v>
      </c>
      <c r="J3164">
        <v>2448</v>
      </c>
      <c r="K3164" s="2">
        <v>45778</v>
      </c>
    </row>
    <row r="3165" spans="1:11" x14ac:dyDescent="0.25">
      <c r="A3165" s="1" t="s">
        <v>733</v>
      </c>
      <c r="B3165" s="1"/>
      <c r="C3165" s="1" t="s">
        <v>3276</v>
      </c>
      <c r="D3165" s="1" t="s">
        <v>3405</v>
      </c>
      <c r="E3165" s="1"/>
      <c r="F3165">
        <v>13.9</v>
      </c>
      <c r="G3165">
        <v>29.6</v>
      </c>
      <c r="H3165">
        <v>-795</v>
      </c>
      <c r="I3165">
        <v>0</v>
      </c>
      <c r="J3165">
        <v>2483</v>
      </c>
      <c r="K3165" s="2">
        <v>45785</v>
      </c>
    </row>
    <row r="3166" spans="1:11" x14ac:dyDescent="0.25">
      <c r="A3166" s="1" t="s">
        <v>733</v>
      </c>
      <c r="B3166" s="1"/>
      <c r="C3166" s="1" t="s">
        <v>2812</v>
      </c>
      <c r="D3166" s="1" t="s">
        <v>3374</v>
      </c>
      <c r="E3166" s="1"/>
      <c r="F3166">
        <v>0.3</v>
      </c>
      <c r="G3166">
        <v>0</v>
      </c>
      <c r="H3166">
        <v>20</v>
      </c>
      <c r="I3166">
        <v>0</v>
      </c>
      <c r="J3166">
        <v>2483</v>
      </c>
      <c r="K3166" s="2">
        <v>45785</v>
      </c>
    </row>
    <row r="3167" spans="1:11" x14ac:dyDescent="0.25">
      <c r="A3167" s="1" t="s">
        <v>733</v>
      </c>
      <c r="B3167" s="1"/>
      <c r="C3167" s="1" t="s">
        <v>2870</v>
      </c>
      <c r="D3167" s="1" t="s">
        <v>3375</v>
      </c>
      <c r="E3167" s="1"/>
      <c r="F3167">
        <v>20.7</v>
      </c>
      <c r="G3167">
        <v>42.9</v>
      </c>
      <c r="H3167">
        <v>-1145</v>
      </c>
      <c r="I3167">
        <v>0</v>
      </c>
      <c r="J3167">
        <v>2483</v>
      </c>
      <c r="K3167" s="2">
        <v>45785</v>
      </c>
    </row>
    <row r="3168" spans="1:11" x14ac:dyDescent="0.25">
      <c r="A3168" s="1" t="s">
        <v>666</v>
      </c>
      <c r="B3168" s="1"/>
      <c r="C3168" s="1" t="s">
        <v>2808</v>
      </c>
      <c r="D3168" s="1" t="s">
        <v>3370</v>
      </c>
      <c r="E3168" s="1"/>
      <c r="F3168">
        <v>0</v>
      </c>
      <c r="G3168">
        <v>0</v>
      </c>
      <c r="H3168">
        <v>0</v>
      </c>
      <c r="I3168">
        <v>0</v>
      </c>
      <c r="J3168">
        <v>315</v>
      </c>
      <c r="K3168" s="2">
        <v>45772</v>
      </c>
    </row>
    <row r="3169" spans="1:11" x14ac:dyDescent="0.25">
      <c r="A3169" s="1" t="s">
        <v>666</v>
      </c>
      <c r="B3169" s="1"/>
      <c r="C3169" s="1" t="s">
        <v>2915</v>
      </c>
      <c r="D3169" s="1" t="s">
        <v>3415</v>
      </c>
      <c r="E3169" s="1"/>
      <c r="F3169">
        <v>5.5</v>
      </c>
      <c r="G3169">
        <v>10.199999999999999</v>
      </c>
      <c r="H3169">
        <v>-230</v>
      </c>
      <c r="I3169">
        <v>0</v>
      </c>
      <c r="J3169">
        <v>363</v>
      </c>
      <c r="K3169" s="2">
        <v>45789</v>
      </c>
    </row>
    <row r="3170" spans="1:11" x14ac:dyDescent="0.25">
      <c r="A3170" s="1" t="s">
        <v>666</v>
      </c>
      <c r="B3170" s="1"/>
      <c r="C3170" s="1" t="s">
        <v>3277</v>
      </c>
      <c r="D3170" s="1" t="s">
        <v>3374</v>
      </c>
      <c r="E3170" s="1"/>
      <c r="F3170">
        <v>0.5</v>
      </c>
      <c r="G3170">
        <v>0</v>
      </c>
      <c r="H3170">
        <v>40</v>
      </c>
      <c r="I3170">
        <v>0</v>
      </c>
      <c r="J3170">
        <v>363</v>
      </c>
      <c r="K3170" s="2">
        <v>45789</v>
      </c>
    </row>
    <row r="3171" spans="1:11" x14ac:dyDescent="0.25">
      <c r="A3171" s="1" t="s">
        <v>666</v>
      </c>
      <c r="B3171" s="1"/>
      <c r="C3171" s="1" t="s">
        <v>2870</v>
      </c>
      <c r="D3171" s="1" t="s">
        <v>3391</v>
      </c>
      <c r="E3171" s="1"/>
      <c r="F3171">
        <v>12.9</v>
      </c>
      <c r="G3171">
        <v>17.399999999999999</v>
      </c>
      <c r="H3171">
        <v>-240</v>
      </c>
      <c r="I3171">
        <v>0</v>
      </c>
      <c r="J3171">
        <v>363</v>
      </c>
      <c r="K3171" s="2">
        <v>45789</v>
      </c>
    </row>
    <row r="3172" spans="1:11" x14ac:dyDescent="0.25">
      <c r="A3172" s="1" t="s">
        <v>666</v>
      </c>
      <c r="B3172" s="1"/>
      <c r="C3172" s="1" t="s">
        <v>3278</v>
      </c>
      <c r="D3172" s="1" t="s">
        <v>3462</v>
      </c>
      <c r="E3172" s="1"/>
      <c r="F3172">
        <v>53</v>
      </c>
      <c r="G3172">
        <v>52.4</v>
      </c>
      <c r="H3172">
        <v>30</v>
      </c>
      <c r="I3172">
        <v>0</v>
      </c>
      <c r="J3172">
        <v>363</v>
      </c>
      <c r="K3172" s="2">
        <v>45789</v>
      </c>
    </row>
    <row r="3173" spans="1:11" x14ac:dyDescent="0.25">
      <c r="A3173" s="1" t="s">
        <v>485</v>
      </c>
      <c r="B3173" s="1"/>
      <c r="C3173" s="1" t="s">
        <v>2808</v>
      </c>
      <c r="D3173" s="1" t="s">
        <v>3370</v>
      </c>
      <c r="E3173" s="1"/>
      <c r="F3173">
        <v>0</v>
      </c>
      <c r="G3173">
        <v>0</v>
      </c>
      <c r="H3173">
        <v>0</v>
      </c>
      <c r="I3173">
        <v>0</v>
      </c>
      <c r="J3173">
        <v>300</v>
      </c>
      <c r="K3173" s="2">
        <v>45756</v>
      </c>
    </row>
    <row r="3174" spans="1:11" x14ac:dyDescent="0.25">
      <c r="A3174" s="1" t="s">
        <v>485</v>
      </c>
      <c r="B3174" s="1"/>
      <c r="C3174" s="1" t="s">
        <v>2913</v>
      </c>
      <c r="D3174" s="1" t="s">
        <v>3406</v>
      </c>
      <c r="E3174" s="1"/>
      <c r="F3174">
        <v>7.5</v>
      </c>
      <c r="G3174">
        <v>7.5</v>
      </c>
      <c r="H3174">
        <v>60</v>
      </c>
      <c r="I3174">
        <v>0</v>
      </c>
      <c r="J3174">
        <v>360</v>
      </c>
      <c r="K3174" s="2">
        <v>45763</v>
      </c>
    </row>
    <row r="3175" spans="1:11" x14ac:dyDescent="0.25">
      <c r="A3175" s="1" t="s">
        <v>485</v>
      </c>
      <c r="B3175" s="1"/>
      <c r="C3175" s="1" t="s">
        <v>2812</v>
      </c>
      <c r="D3175" s="1" t="s">
        <v>3374</v>
      </c>
      <c r="E3175" s="1"/>
      <c r="F3175">
        <v>0</v>
      </c>
      <c r="G3175">
        <v>0</v>
      </c>
      <c r="H3175">
        <v>0</v>
      </c>
      <c r="I3175">
        <v>0</v>
      </c>
      <c r="J3175">
        <v>360</v>
      </c>
      <c r="K3175" s="2">
        <v>45763</v>
      </c>
    </row>
    <row r="3176" spans="1:11" x14ac:dyDescent="0.25">
      <c r="A3176" s="1" t="s">
        <v>541</v>
      </c>
      <c r="B3176" s="1"/>
      <c r="C3176" s="1" t="s">
        <v>2808</v>
      </c>
      <c r="D3176" s="1" t="s">
        <v>3370</v>
      </c>
      <c r="E3176" s="1"/>
      <c r="F3176">
        <v>0</v>
      </c>
      <c r="G3176">
        <v>0</v>
      </c>
      <c r="H3176">
        <v>0</v>
      </c>
      <c r="I3176">
        <v>0</v>
      </c>
      <c r="J3176">
        <v>100</v>
      </c>
      <c r="K3176" s="2">
        <v>45762</v>
      </c>
    </row>
    <row r="3177" spans="1:11" x14ac:dyDescent="0.25">
      <c r="A3177" s="1" t="s">
        <v>541</v>
      </c>
      <c r="B3177" s="1"/>
      <c r="C3177" s="1" t="s">
        <v>3096</v>
      </c>
      <c r="D3177" s="1" t="s">
        <v>3469</v>
      </c>
      <c r="E3177" s="1"/>
      <c r="F3177">
        <v>1</v>
      </c>
      <c r="G3177">
        <v>0</v>
      </c>
      <c r="H3177">
        <v>60</v>
      </c>
      <c r="I3177">
        <v>0</v>
      </c>
      <c r="J3177">
        <v>100</v>
      </c>
      <c r="K3177" s="2">
        <v>45764</v>
      </c>
    </row>
    <row r="3178" spans="1:11" x14ac:dyDescent="0.25">
      <c r="A3178" s="1" t="s">
        <v>541</v>
      </c>
      <c r="B3178" s="1"/>
      <c r="C3178" s="1" t="s">
        <v>3279</v>
      </c>
      <c r="D3178" s="1" t="s">
        <v>3406</v>
      </c>
      <c r="E3178" s="1"/>
      <c r="F3178">
        <v>4.5</v>
      </c>
      <c r="G3178">
        <v>1.6</v>
      </c>
      <c r="H3178">
        <v>245</v>
      </c>
      <c r="I3178">
        <v>0</v>
      </c>
      <c r="J3178">
        <v>122</v>
      </c>
      <c r="K3178" s="2">
        <v>45769</v>
      </c>
    </row>
    <row r="3179" spans="1:11" x14ac:dyDescent="0.25">
      <c r="A3179" s="1" t="s">
        <v>541</v>
      </c>
      <c r="B3179" s="1"/>
      <c r="C3179" s="1" t="s">
        <v>2812</v>
      </c>
      <c r="D3179" s="1" t="s">
        <v>3374</v>
      </c>
      <c r="E3179" s="1"/>
      <c r="F3179">
        <v>0.3</v>
      </c>
      <c r="G3179">
        <v>0</v>
      </c>
      <c r="H3179">
        <v>20</v>
      </c>
      <c r="I3179">
        <v>0</v>
      </c>
      <c r="J3179">
        <v>122</v>
      </c>
      <c r="K3179" s="2">
        <v>45769</v>
      </c>
    </row>
    <row r="3180" spans="1:11" x14ac:dyDescent="0.25">
      <c r="A3180" s="1" t="s">
        <v>541</v>
      </c>
      <c r="B3180" s="1"/>
      <c r="C3180" s="1" t="s">
        <v>2870</v>
      </c>
      <c r="D3180" s="1" t="s">
        <v>3375</v>
      </c>
      <c r="E3180" s="1"/>
      <c r="F3180">
        <v>2.2999999999999998</v>
      </c>
      <c r="G3180">
        <v>0.9</v>
      </c>
      <c r="H3180">
        <v>80</v>
      </c>
      <c r="I3180">
        <v>0</v>
      </c>
      <c r="J3180">
        <v>122</v>
      </c>
      <c r="K3180" s="2">
        <v>45769</v>
      </c>
    </row>
    <row r="3181" spans="1:11" x14ac:dyDescent="0.25">
      <c r="A3181" s="1" t="s">
        <v>306</v>
      </c>
      <c r="B3181" s="1"/>
      <c r="C3181" s="1" t="s">
        <v>2808</v>
      </c>
      <c r="D3181" s="1" t="s">
        <v>3370</v>
      </c>
      <c r="E3181" s="1"/>
      <c r="F3181">
        <v>0</v>
      </c>
      <c r="G3181">
        <v>0</v>
      </c>
      <c r="H3181">
        <v>0</v>
      </c>
      <c r="I3181">
        <v>0</v>
      </c>
      <c r="J3181">
        <v>26</v>
      </c>
      <c r="K3181" s="2">
        <v>45730</v>
      </c>
    </row>
    <row r="3182" spans="1:11" x14ac:dyDescent="0.25">
      <c r="A3182" s="1" t="s">
        <v>306</v>
      </c>
      <c r="B3182" s="1"/>
      <c r="C3182" s="1" t="s">
        <v>3280</v>
      </c>
      <c r="D3182" s="1" t="s">
        <v>3406</v>
      </c>
      <c r="E3182" s="1"/>
      <c r="F3182">
        <v>4.0999999999999996</v>
      </c>
      <c r="G3182">
        <v>0.6</v>
      </c>
      <c r="H3182">
        <v>280</v>
      </c>
      <c r="I3182">
        <v>0</v>
      </c>
      <c r="J3182">
        <v>29</v>
      </c>
      <c r="K3182" s="2">
        <v>45736</v>
      </c>
    </row>
    <row r="3183" spans="1:11" x14ac:dyDescent="0.25">
      <c r="A3183" s="1" t="s">
        <v>306</v>
      </c>
      <c r="B3183" s="1"/>
      <c r="C3183" s="1" t="s">
        <v>2812</v>
      </c>
      <c r="D3183" s="1" t="s">
        <v>3374</v>
      </c>
      <c r="E3183" s="1"/>
      <c r="F3183">
        <v>0</v>
      </c>
      <c r="G3183">
        <v>0</v>
      </c>
      <c r="H3183">
        <v>0</v>
      </c>
      <c r="I3183">
        <v>0</v>
      </c>
      <c r="J3183">
        <v>29</v>
      </c>
      <c r="K3183" s="2">
        <v>45736</v>
      </c>
    </row>
    <row r="3184" spans="1:11" x14ac:dyDescent="0.25">
      <c r="A3184" s="1" t="s">
        <v>306</v>
      </c>
      <c r="B3184" s="1"/>
      <c r="C3184" s="1" t="s">
        <v>2870</v>
      </c>
      <c r="D3184" s="1" t="s">
        <v>3375</v>
      </c>
      <c r="E3184" s="1"/>
      <c r="F3184">
        <v>0.9</v>
      </c>
      <c r="G3184">
        <v>0</v>
      </c>
      <c r="H3184">
        <v>45</v>
      </c>
      <c r="I3184">
        <v>0</v>
      </c>
      <c r="J3184">
        <v>29</v>
      </c>
      <c r="K3184" s="2">
        <v>45736</v>
      </c>
    </row>
    <row r="3185" spans="1:11" x14ac:dyDescent="0.25">
      <c r="A3185" s="1" t="s">
        <v>330</v>
      </c>
      <c r="B3185" s="1"/>
      <c r="C3185" s="1" t="s">
        <v>2808</v>
      </c>
      <c r="D3185" s="1" t="s">
        <v>3370</v>
      </c>
      <c r="E3185" s="1"/>
      <c r="F3185">
        <v>0</v>
      </c>
      <c r="G3185">
        <v>0</v>
      </c>
      <c r="H3185">
        <v>0</v>
      </c>
      <c r="I3185">
        <v>0</v>
      </c>
      <c r="J3185">
        <v>100</v>
      </c>
      <c r="K3185" s="2">
        <v>45730</v>
      </c>
    </row>
    <row r="3186" spans="1:11" x14ac:dyDescent="0.25">
      <c r="A3186" s="1" t="s">
        <v>330</v>
      </c>
      <c r="B3186" s="1"/>
      <c r="C3186" s="1" t="s">
        <v>2913</v>
      </c>
      <c r="D3186" s="1" t="s">
        <v>3406</v>
      </c>
      <c r="E3186" s="1"/>
      <c r="F3186">
        <v>4.5</v>
      </c>
      <c r="G3186">
        <v>1.6</v>
      </c>
      <c r="H3186">
        <v>245</v>
      </c>
      <c r="I3186">
        <v>0</v>
      </c>
      <c r="J3186">
        <v>122</v>
      </c>
      <c r="K3186" s="2">
        <v>45734</v>
      </c>
    </row>
    <row r="3187" spans="1:11" x14ac:dyDescent="0.25">
      <c r="A3187" s="1" t="s">
        <v>330</v>
      </c>
      <c r="B3187" s="1"/>
      <c r="C3187" s="1" t="s">
        <v>3277</v>
      </c>
      <c r="D3187" s="1" t="s">
        <v>3374</v>
      </c>
      <c r="E3187" s="1"/>
      <c r="F3187">
        <v>0.3</v>
      </c>
      <c r="G3187">
        <v>0</v>
      </c>
      <c r="H3187">
        <v>20</v>
      </c>
      <c r="I3187">
        <v>0</v>
      </c>
      <c r="J3187">
        <v>122</v>
      </c>
      <c r="K3187" s="2">
        <v>45734</v>
      </c>
    </row>
    <row r="3188" spans="1:11" x14ac:dyDescent="0.25">
      <c r="A3188" s="1" t="s">
        <v>330</v>
      </c>
      <c r="B3188" s="1"/>
      <c r="C3188" s="1" t="s">
        <v>2870</v>
      </c>
      <c r="D3188" s="1" t="s">
        <v>3375</v>
      </c>
      <c r="E3188" s="1"/>
      <c r="F3188">
        <v>1.9</v>
      </c>
      <c r="G3188">
        <v>0</v>
      </c>
      <c r="H3188">
        <v>105</v>
      </c>
      <c r="I3188">
        <v>0</v>
      </c>
      <c r="J3188">
        <v>122</v>
      </c>
      <c r="K3188" s="2">
        <v>45734</v>
      </c>
    </row>
    <row r="3189" spans="1:11" x14ac:dyDescent="0.25">
      <c r="A3189" s="1" t="s">
        <v>424</v>
      </c>
      <c r="B3189" s="1"/>
      <c r="C3189" s="1" t="s">
        <v>2808</v>
      </c>
      <c r="D3189" s="1" t="s">
        <v>3370</v>
      </c>
      <c r="E3189" s="1"/>
      <c r="F3189">
        <v>0</v>
      </c>
      <c r="G3189">
        <v>0</v>
      </c>
      <c r="H3189">
        <v>0</v>
      </c>
      <c r="I3189">
        <v>0</v>
      </c>
      <c r="J3189">
        <v>2500</v>
      </c>
      <c r="K3189" s="2">
        <v>45742</v>
      </c>
    </row>
    <row r="3190" spans="1:11" x14ac:dyDescent="0.25">
      <c r="A3190" s="1" t="s">
        <v>424</v>
      </c>
      <c r="B3190" s="1"/>
      <c r="C3190" s="1" t="s">
        <v>3281</v>
      </c>
      <c r="D3190" s="1" t="s">
        <v>3406</v>
      </c>
      <c r="E3190" s="1"/>
      <c r="F3190">
        <v>9.8000000000000007</v>
      </c>
      <c r="G3190">
        <v>47.1</v>
      </c>
      <c r="H3190">
        <v>-1930</v>
      </c>
      <c r="I3190">
        <v>0</v>
      </c>
      <c r="J3190">
        <v>2518</v>
      </c>
      <c r="K3190" s="2">
        <v>45754</v>
      </c>
    </row>
    <row r="3191" spans="1:11" x14ac:dyDescent="0.25">
      <c r="A3191" s="1" t="s">
        <v>424</v>
      </c>
      <c r="B3191" s="1"/>
      <c r="C3191" s="1" t="s">
        <v>3282</v>
      </c>
      <c r="D3191" s="1" t="s">
        <v>3374</v>
      </c>
      <c r="E3191" s="1"/>
      <c r="F3191">
        <v>0.3</v>
      </c>
      <c r="G3191">
        <v>0</v>
      </c>
      <c r="H3191">
        <v>20</v>
      </c>
      <c r="I3191">
        <v>0</v>
      </c>
      <c r="J3191">
        <v>2518</v>
      </c>
      <c r="K3191" s="2">
        <v>45754</v>
      </c>
    </row>
    <row r="3192" spans="1:11" x14ac:dyDescent="0.25">
      <c r="A3192" s="1" t="s">
        <v>424</v>
      </c>
      <c r="B3192" s="1"/>
      <c r="C3192" s="1" t="s">
        <v>2870</v>
      </c>
      <c r="D3192" s="1" t="s">
        <v>3375</v>
      </c>
      <c r="E3192" s="1"/>
      <c r="F3192">
        <v>55.6</v>
      </c>
      <c r="G3192">
        <v>56</v>
      </c>
      <c r="H3192">
        <v>-20</v>
      </c>
      <c r="I3192">
        <v>0</v>
      </c>
      <c r="J3192">
        <v>2518</v>
      </c>
      <c r="K3192" s="2">
        <v>45754</v>
      </c>
    </row>
    <row r="3193" spans="1:11" x14ac:dyDescent="0.25">
      <c r="A3193" s="1" t="s">
        <v>424</v>
      </c>
      <c r="B3193" s="1"/>
      <c r="C3193" s="1" t="s">
        <v>2848</v>
      </c>
      <c r="D3193" s="1" t="s">
        <v>3372</v>
      </c>
      <c r="E3193" s="1"/>
      <c r="F3193">
        <v>1</v>
      </c>
      <c r="G3193">
        <v>2.7</v>
      </c>
      <c r="H3193">
        <v>-80</v>
      </c>
      <c r="I3193">
        <v>0</v>
      </c>
      <c r="J3193">
        <v>2518</v>
      </c>
      <c r="K3193" s="2">
        <v>45754</v>
      </c>
    </row>
    <row r="3194" spans="1:11" x14ac:dyDescent="0.25">
      <c r="A3194" s="1" t="s">
        <v>195</v>
      </c>
      <c r="B3194" s="1"/>
      <c r="C3194" s="1" t="s">
        <v>3283</v>
      </c>
      <c r="D3194" s="1" t="s">
        <v>3406</v>
      </c>
      <c r="E3194" s="1"/>
      <c r="F3194">
        <v>13.5</v>
      </c>
      <c r="G3194">
        <v>28.5</v>
      </c>
      <c r="H3194">
        <v>-740</v>
      </c>
      <c r="I3194">
        <v>0</v>
      </c>
      <c r="J3194">
        <v>2016</v>
      </c>
      <c r="K3194" s="2">
        <v>45778</v>
      </c>
    </row>
    <row r="3195" spans="1:11" x14ac:dyDescent="0.25">
      <c r="A3195" s="1" t="s">
        <v>195</v>
      </c>
      <c r="B3195" s="1"/>
      <c r="C3195" s="1" t="s">
        <v>2870</v>
      </c>
      <c r="D3195" s="1" t="s">
        <v>3375</v>
      </c>
      <c r="E3195" s="1"/>
      <c r="F3195">
        <v>33.9</v>
      </c>
      <c r="G3195">
        <v>36.200000000000003</v>
      </c>
      <c r="H3195">
        <v>-120</v>
      </c>
      <c r="I3195">
        <v>0</v>
      </c>
      <c r="J3195">
        <v>2016</v>
      </c>
      <c r="K3195" s="2">
        <v>45778</v>
      </c>
    </row>
    <row r="3196" spans="1:11" x14ac:dyDescent="0.25">
      <c r="A3196" s="1" t="s">
        <v>505</v>
      </c>
      <c r="B3196" s="1"/>
      <c r="C3196" s="1" t="s">
        <v>2808</v>
      </c>
      <c r="D3196" s="1" t="s">
        <v>3370</v>
      </c>
      <c r="E3196" s="1"/>
      <c r="F3196">
        <v>0</v>
      </c>
      <c r="G3196">
        <v>0</v>
      </c>
      <c r="H3196">
        <v>0</v>
      </c>
      <c r="I3196">
        <v>0</v>
      </c>
      <c r="J3196">
        <v>2016</v>
      </c>
      <c r="K3196" s="2">
        <v>45756</v>
      </c>
    </row>
    <row r="3197" spans="1:11" x14ac:dyDescent="0.25">
      <c r="A3197" s="1" t="s">
        <v>505</v>
      </c>
      <c r="B3197" s="1"/>
      <c r="C3197" s="1" t="s">
        <v>3283</v>
      </c>
      <c r="D3197" s="1" t="s">
        <v>3406</v>
      </c>
      <c r="E3197" s="1"/>
      <c r="F3197">
        <v>13.5</v>
      </c>
      <c r="G3197">
        <v>32.5</v>
      </c>
      <c r="H3197">
        <v>-910</v>
      </c>
      <c r="I3197">
        <v>0</v>
      </c>
      <c r="J3197">
        <v>2016</v>
      </c>
      <c r="K3197" s="2">
        <v>45771</v>
      </c>
    </row>
    <row r="3198" spans="1:11" x14ac:dyDescent="0.25">
      <c r="A3198" s="1" t="s">
        <v>505</v>
      </c>
      <c r="B3198" s="1"/>
      <c r="C3198" s="1" t="s">
        <v>2812</v>
      </c>
      <c r="D3198" s="1" t="s">
        <v>3374</v>
      </c>
      <c r="E3198" s="1"/>
      <c r="F3198">
        <v>0.3</v>
      </c>
      <c r="G3198">
        <v>0</v>
      </c>
      <c r="H3198">
        <v>20</v>
      </c>
      <c r="I3198">
        <v>0</v>
      </c>
      <c r="J3198">
        <v>2016</v>
      </c>
      <c r="K3198" s="2">
        <v>45771</v>
      </c>
    </row>
    <row r="3199" spans="1:11" x14ac:dyDescent="0.25">
      <c r="A3199" s="1" t="s">
        <v>505</v>
      </c>
      <c r="B3199" s="1"/>
      <c r="C3199" s="1" t="s">
        <v>2870</v>
      </c>
      <c r="D3199" s="1" t="s">
        <v>3375</v>
      </c>
      <c r="E3199" s="1"/>
      <c r="F3199">
        <v>33.9</v>
      </c>
      <c r="G3199">
        <v>28.7</v>
      </c>
      <c r="H3199">
        <v>275</v>
      </c>
      <c r="I3199">
        <v>0</v>
      </c>
      <c r="J3199">
        <v>2016</v>
      </c>
      <c r="K3199" s="2">
        <v>45778</v>
      </c>
    </row>
    <row r="3200" spans="1:11" x14ac:dyDescent="0.25">
      <c r="A3200" s="1" t="s">
        <v>519</v>
      </c>
      <c r="B3200" s="1"/>
      <c r="C3200" s="1" t="s">
        <v>2808</v>
      </c>
      <c r="D3200" s="1" t="s">
        <v>3370</v>
      </c>
      <c r="E3200" s="1"/>
      <c r="F3200">
        <v>0</v>
      </c>
      <c r="G3200">
        <v>0</v>
      </c>
      <c r="H3200">
        <v>0</v>
      </c>
      <c r="I3200">
        <v>0</v>
      </c>
      <c r="J3200">
        <v>2016</v>
      </c>
      <c r="K3200" s="2">
        <v>45764</v>
      </c>
    </row>
    <row r="3201" spans="1:11" x14ac:dyDescent="0.25">
      <c r="A3201" s="1" t="s">
        <v>519</v>
      </c>
      <c r="B3201" s="1"/>
      <c r="C3201" s="1" t="s">
        <v>3283</v>
      </c>
      <c r="D3201" s="1" t="s">
        <v>3406</v>
      </c>
      <c r="E3201" s="1"/>
      <c r="F3201">
        <v>13.5</v>
      </c>
      <c r="G3201">
        <v>68</v>
      </c>
      <c r="H3201">
        <v>-2775</v>
      </c>
      <c r="I3201">
        <v>0</v>
      </c>
      <c r="J3201">
        <v>2016</v>
      </c>
      <c r="K3201" s="2">
        <v>45777</v>
      </c>
    </row>
    <row r="3202" spans="1:11" x14ac:dyDescent="0.25">
      <c r="A3202" s="1" t="s">
        <v>519</v>
      </c>
      <c r="B3202" s="1"/>
      <c r="C3202" s="1" t="s">
        <v>2812</v>
      </c>
      <c r="D3202" s="1" t="s">
        <v>3374</v>
      </c>
      <c r="E3202" s="1"/>
      <c r="F3202">
        <v>0.3</v>
      </c>
      <c r="G3202">
        <v>0</v>
      </c>
      <c r="H3202">
        <v>20</v>
      </c>
      <c r="I3202">
        <v>0</v>
      </c>
      <c r="J3202">
        <v>2016</v>
      </c>
      <c r="K3202" s="2">
        <v>45779</v>
      </c>
    </row>
    <row r="3203" spans="1:11" x14ac:dyDescent="0.25">
      <c r="A3203" s="1" t="s">
        <v>519</v>
      </c>
      <c r="B3203" s="1"/>
      <c r="C3203" s="1" t="s">
        <v>2870</v>
      </c>
      <c r="D3203" s="1" t="s">
        <v>3375</v>
      </c>
      <c r="E3203" s="1"/>
      <c r="F3203">
        <v>33.9</v>
      </c>
      <c r="G3203">
        <v>63.8</v>
      </c>
      <c r="H3203">
        <v>-1545</v>
      </c>
      <c r="I3203">
        <v>0</v>
      </c>
      <c r="J3203">
        <v>2016</v>
      </c>
      <c r="K3203" s="2">
        <v>45784</v>
      </c>
    </row>
    <row r="3204" spans="1:11" x14ac:dyDescent="0.25">
      <c r="A3204" s="1" t="s">
        <v>520</v>
      </c>
      <c r="B3204" s="1"/>
      <c r="C3204" s="1" t="s">
        <v>2808</v>
      </c>
      <c r="D3204" s="1" t="s">
        <v>3370</v>
      </c>
      <c r="E3204" s="1"/>
      <c r="F3204">
        <v>0</v>
      </c>
      <c r="G3204">
        <v>0</v>
      </c>
      <c r="H3204">
        <v>0</v>
      </c>
      <c r="I3204">
        <v>0</v>
      </c>
      <c r="J3204">
        <v>2016</v>
      </c>
      <c r="K3204" s="2">
        <v>45766</v>
      </c>
    </row>
    <row r="3205" spans="1:11" x14ac:dyDescent="0.25">
      <c r="A3205" s="1" t="s">
        <v>520</v>
      </c>
      <c r="B3205" s="1"/>
      <c r="C3205" s="1" t="s">
        <v>3283</v>
      </c>
      <c r="D3205" s="1" t="s">
        <v>3406</v>
      </c>
      <c r="E3205" s="1"/>
      <c r="F3205">
        <v>12.2</v>
      </c>
      <c r="G3205">
        <v>28.8</v>
      </c>
      <c r="H3205">
        <v>-795</v>
      </c>
      <c r="I3205">
        <v>0</v>
      </c>
      <c r="J3205">
        <v>1760</v>
      </c>
      <c r="K3205" s="2">
        <v>45770</v>
      </c>
    </row>
    <row r="3206" spans="1:11" x14ac:dyDescent="0.25">
      <c r="A3206" s="1" t="s">
        <v>520</v>
      </c>
      <c r="B3206" s="1"/>
      <c r="C3206" s="1" t="s">
        <v>2812</v>
      </c>
      <c r="D3206" s="1" t="s">
        <v>3374</v>
      </c>
      <c r="E3206" s="1"/>
      <c r="F3206">
        <v>0.3</v>
      </c>
      <c r="G3206">
        <v>0</v>
      </c>
      <c r="H3206">
        <v>20</v>
      </c>
      <c r="I3206">
        <v>0</v>
      </c>
      <c r="J3206">
        <v>1760</v>
      </c>
      <c r="K3206" s="2">
        <v>45782</v>
      </c>
    </row>
    <row r="3207" spans="1:11" x14ac:dyDescent="0.25">
      <c r="A3207" s="1" t="s">
        <v>255</v>
      </c>
      <c r="B3207" s="1"/>
      <c r="C3207" s="1" t="s">
        <v>3229</v>
      </c>
      <c r="D3207" s="1" t="s">
        <v>3406</v>
      </c>
      <c r="E3207" s="1"/>
      <c r="F3207">
        <v>14.8</v>
      </c>
      <c r="G3207">
        <v>29.6</v>
      </c>
      <c r="H3207">
        <v>-705</v>
      </c>
      <c r="I3207">
        <v>0</v>
      </c>
      <c r="J3207">
        <v>2080</v>
      </c>
      <c r="K3207" s="2">
        <v>45743</v>
      </c>
    </row>
    <row r="3208" spans="1:11" x14ac:dyDescent="0.25">
      <c r="A3208" s="1" t="s">
        <v>255</v>
      </c>
      <c r="B3208" s="1"/>
      <c r="C3208" s="1" t="s">
        <v>2812</v>
      </c>
      <c r="D3208" s="1" t="s">
        <v>3374</v>
      </c>
      <c r="E3208" s="1"/>
      <c r="F3208">
        <v>0.3</v>
      </c>
      <c r="G3208">
        <v>0.6</v>
      </c>
      <c r="H3208">
        <v>-10</v>
      </c>
      <c r="I3208">
        <v>0</v>
      </c>
      <c r="J3208">
        <v>2780</v>
      </c>
      <c r="K3208" s="2">
        <v>45743</v>
      </c>
    </row>
    <row r="3209" spans="1:11" x14ac:dyDescent="0.25">
      <c r="A3209" s="1" t="s">
        <v>255</v>
      </c>
      <c r="B3209" s="1"/>
      <c r="C3209" s="1" t="s">
        <v>2870</v>
      </c>
      <c r="D3209" s="1" t="s">
        <v>3375</v>
      </c>
      <c r="E3209" s="1"/>
      <c r="F3209">
        <v>13.3</v>
      </c>
      <c r="G3209">
        <v>22.7</v>
      </c>
      <c r="H3209">
        <v>-480</v>
      </c>
      <c r="I3209">
        <v>0</v>
      </c>
      <c r="J3209">
        <v>2780</v>
      </c>
      <c r="K3209" s="2">
        <v>45743</v>
      </c>
    </row>
    <row r="3210" spans="1:11" x14ac:dyDescent="0.25">
      <c r="A3210" s="1" t="s">
        <v>738</v>
      </c>
      <c r="B3210" s="1"/>
      <c r="C3210" s="1" t="s">
        <v>2808</v>
      </c>
      <c r="D3210" s="1" t="s">
        <v>3370</v>
      </c>
      <c r="E3210" s="1"/>
      <c r="F3210">
        <v>0</v>
      </c>
      <c r="G3210">
        <v>0</v>
      </c>
      <c r="H3210">
        <v>0</v>
      </c>
      <c r="I3210">
        <v>0</v>
      </c>
      <c r="J3210">
        <v>2048</v>
      </c>
      <c r="K3210" s="2">
        <v>45776</v>
      </c>
    </row>
    <row r="3211" spans="1:11" x14ac:dyDescent="0.25">
      <c r="A3211" s="1" t="s">
        <v>738</v>
      </c>
      <c r="B3211" s="1"/>
      <c r="C3211" s="1" t="s">
        <v>2873</v>
      </c>
      <c r="D3211" s="1" t="s">
        <v>3406</v>
      </c>
      <c r="E3211" s="1"/>
      <c r="F3211">
        <v>11.2</v>
      </c>
      <c r="G3211">
        <v>26.7</v>
      </c>
      <c r="H3211">
        <v>-810</v>
      </c>
      <c r="I3211">
        <v>0</v>
      </c>
      <c r="J3211">
        <v>1967</v>
      </c>
      <c r="K3211" s="2">
        <v>45778</v>
      </c>
    </row>
    <row r="3212" spans="1:11" x14ac:dyDescent="0.25">
      <c r="A3212" s="1" t="s">
        <v>738</v>
      </c>
      <c r="B3212" s="1"/>
      <c r="C3212" s="1" t="s">
        <v>2812</v>
      </c>
      <c r="D3212" s="1" t="s">
        <v>3374</v>
      </c>
      <c r="E3212" s="1"/>
      <c r="F3212">
        <v>0.3</v>
      </c>
      <c r="G3212">
        <v>0</v>
      </c>
      <c r="H3212">
        <v>20</v>
      </c>
      <c r="I3212">
        <v>0</v>
      </c>
      <c r="J3212">
        <v>1967</v>
      </c>
      <c r="K3212" s="2">
        <v>45779</v>
      </c>
    </row>
    <row r="3213" spans="1:11" x14ac:dyDescent="0.25">
      <c r="A3213" s="1" t="s">
        <v>531</v>
      </c>
      <c r="B3213" s="1"/>
      <c r="C3213" s="1" t="s">
        <v>2808</v>
      </c>
      <c r="D3213" s="1" t="s">
        <v>3370</v>
      </c>
      <c r="E3213" s="1"/>
      <c r="F3213">
        <v>0</v>
      </c>
      <c r="G3213">
        <v>0</v>
      </c>
      <c r="H3213">
        <v>0</v>
      </c>
      <c r="I3213">
        <v>0</v>
      </c>
      <c r="J3213">
        <v>2000</v>
      </c>
      <c r="K3213" s="2">
        <v>45758</v>
      </c>
    </row>
    <row r="3214" spans="1:11" x14ac:dyDescent="0.25">
      <c r="A3214" s="1" t="s">
        <v>531</v>
      </c>
      <c r="B3214" s="1"/>
      <c r="C3214" s="1" t="s">
        <v>2915</v>
      </c>
      <c r="D3214" s="1" t="s">
        <v>3406</v>
      </c>
      <c r="E3214" s="1"/>
      <c r="F3214">
        <v>14.4</v>
      </c>
      <c r="G3214">
        <v>34.299999999999997</v>
      </c>
      <c r="H3214">
        <v>-940</v>
      </c>
      <c r="I3214">
        <v>0</v>
      </c>
      <c r="J3214">
        <v>2000</v>
      </c>
      <c r="K3214" s="2">
        <v>45775</v>
      </c>
    </row>
    <row r="3215" spans="1:11" x14ac:dyDescent="0.25">
      <c r="A3215" s="1" t="s">
        <v>531</v>
      </c>
      <c r="B3215" s="1"/>
      <c r="C3215" s="1" t="s">
        <v>2812</v>
      </c>
      <c r="D3215" s="1" t="s">
        <v>3374</v>
      </c>
      <c r="E3215" s="1"/>
      <c r="F3215">
        <v>0.3</v>
      </c>
      <c r="G3215">
        <v>0</v>
      </c>
      <c r="H3215">
        <v>20</v>
      </c>
      <c r="I3215">
        <v>0</v>
      </c>
      <c r="J3215">
        <v>2000</v>
      </c>
      <c r="K3215" s="2">
        <v>45775</v>
      </c>
    </row>
    <row r="3216" spans="1:11" x14ac:dyDescent="0.25">
      <c r="A3216" s="1" t="s">
        <v>297</v>
      </c>
      <c r="B3216" s="1"/>
      <c r="C3216" s="1" t="s">
        <v>3284</v>
      </c>
      <c r="D3216" s="1" t="s">
        <v>3406</v>
      </c>
      <c r="E3216" s="1"/>
      <c r="F3216">
        <v>7.3</v>
      </c>
      <c r="G3216">
        <v>18.399999999999999</v>
      </c>
      <c r="H3216">
        <v>-525</v>
      </c>
      <c r="I3216">
        <v>0</v>
      </c>
      <c r="J3216">
        <v>1024</v>
      </c>
      <c r="K3216" s="2">
        <v>45742</v>
      </c>
    </row>
    <row r="3217" spans="1:11" x14ac:dyDescent="0.25">
      <c r="A3217" s="1" t="s">
        <v>297</v>
      </c>
      <c r="B3217" s="1"/>
      <c r="C3217" s="1" t="s">
        <v>2812</v>
      </c>
      <c r="D3217" s="1" t="s">
        <v>3374</v>
      </c>
      <c r="E3217" s="1"/>
      <c r="F3217">
        <v>0.3</v>
      </c>
      <c r="G3217">
        <v>0</v>
      </c>
      <c r="H3217">
        <v>20</v>
      </c>
      <c r="I3217">
        <v>0</v>
      </c>
      <c r="J3217">
        <v>1024</v>
      </c>
      <c r="K3217" s="2">
        <v>45742</v>
      </c>
    </row>
    <row r="3218" spans="1:11" x14ac:dyDescent="0.25">
      <c r="A3218" s="1" t="s">
        <v>297</v>
      </c>
      <c r="B3218" s="1"/>
      <c r="C3218" s="1" t="s">
        <v>2870</v>
      </c>
      <c r="D3218" s="1" t="s">
        <v>3375</v>
      </c>
      <c r="E3218" s="1"/>
      <c r="F3218">
        <v>9.5</v>
      </c>
      <c r="G3218">
        <v>25</v>
      </c>
      <c r="H3218">
        <v>-640</v>
      </c>
      <c r="I3218">
        <v>0</v>
      </c>
      <c r="J3218">
        <v>1024</v>
      </c>
      <c r="K3218" s="2">
        <v>45754</v>
      </c>
    </row>
    <row r="3219" spans="1:11" x14ac:dyDescent="0.25">
      <c r="A3219" s="1" t="s">
        <v>484</v>
      </c>
      <c r="B3219" s="1"/>
      <c r="C3219" s="1" t="s">
        <v>2808</v>
      </c>
      <c r="D3219" s="1" t="s">
        <v>3370</v>
      </c>
      <c r="E3219" s="1"/>
      <c r="F3219">
        <v>0</v>
      </c>
      <c r="G3219">
        <v>0</v>
      </c>
      <c r="H3219">
        <v>0</v>
      </c>
      <c r="I3219">
        <v>0</v>
      </c>
      <c r="J3219">
        <v>1024</v>
      </c>
      <c r="K3219" s="2">
        <v>45750</v>
      </c>
    </row>
    <row r="3220" spans="1:11" x14ac:dyDescent="0.25">
      <c r="A3220" s="1" t="s">
        <v>484</v>
      </c>
      <c r="B3220" s="1"/>
      <c r="C3220" s="1" t="s">
        <v>3284</v>
      </c>
      <c r="D3220" s="1" t="s">
        <v>3406</v>
      </c>
      <c r="E3220" s="1"/>
      <c r="F3220">
        <v>7.3</v>
      </c>
      <c r="G3220">
        <v>19.5</v>
      </c>
      <c r="H3220">
        <v>-625</v>
      </c>
      <c r="I3220">
        <v>0</v>
      </c>
      <c r="J3220">
        <v>1109</v>
      </c>
      <c r="K3220" s="2">
        <v>45756</v>
      </c>
    </row>
    <row r="3221" spans="1:11" x14ac:dyDescent="0.25">
      <c r="A3221" s="1" t="s">
        <v>484</v>
      </c>
      <c r="B3221" s="1"/>
      <c r="C3221" s="1" t="s">
        <v>2812</v>
      </c>
      <c r="D3221" s="1" t="s">
        <v>3374</v>
      </c>
      <c r="E3221" s="1"/>
      <c r="F3221">
        <v>0.3</v>
      </c>
      <c r="G3221">
        <v>0</v>
      </c>
      <c r="H3221">
        <v>20</v>
      </c>
      <c r="I3221">
        <v>0</v>
      </c>
      <c r="J3221">
        <v>1109</v>
      </c>
      <c r="K3221" s="2">
        <v>45756</v>
      </c>
    </row>
    <row r="3222" spans="1:11" x14ac:dyDescent="0.25">
      <c r="A3222" s="1" t="s">
        <v>484</v>
      </c>
      <c r="B3222" s="1"/>
      <c r="C3222" s="1" t="s">
        <v>2870</v>
      </c>
      <c r="D3222" s="1" t="s">
        <v>3375</v>
      </c>
      <c r="E3222" s="1"/>
      <c r="F3222">
        <v>9.5</v>
      </c>
      <c r="G3222">
        <v>18.399999999999999</v>
      </c>
      <c r="H3222">
        <v>-300</v>
      </c>
      <c r="I3222">
        <v>0</v>
      </c>
      <c r="J3222">
        <v>1109</v>
      </c>
      <c r="K3222" s="2">
        <v>45756</v>
      </c>
    </row>
    <row r="3223" spans="1:11" x14ac:dyDescent="0.25">
      <c r="A3223" s="1" t="s">
        <v>227</v>
      </c>
      <c r="B3223" s="1"/>
      <c r="C3223" s="1" t="s">
        <v>2913</v>
      </c>
      <c r="D3223" s="1" t="s">
        <v>3406</v>
      </c>
      <c r="E3223" s="1"/>
      <c r="F3223">
        <v>5.2</v>
      </c>
      <c r="G3223">
        <v>5.2</v>
      </c>
      <c r="H3223">
        <v>95</v>
      </c>
      <c r="I3223">
        <v>0</v>
      </c>
      <c r="J3223">
        <v>304</v>
      </c>
      <c r="K3223" s="2">
        <v>45730</v>
      </c>
    </row>
    <row r="3224" spans="1:11" x14ac:dyDescent="0.25">
      <c r="A3224" s="1" t="s">
        <v>227</v>
      </c>
      <c r="B3224" s="1"/>
      <c r="C3224" s="1" t="s">
        <v>2812</v>
      </c>
      <c r="D3224" s="1" t="s">
        <v>3374</v>
      </c>
      <c r="E3224" s="1"/>
      <c r="F3224">
        <v>0.3</v>
      </c>
      <c r="G3224">
        <v>0</v>
      </c>
      <c r="H3224">
        <v>20</v>
      </c>
      <c r="I3224">
        <v>0</v>
      </c>
      <c r="J3224">
        <v>304</v>
      </c>
      <c r="K3224" s="2">
        <v>45730</v>
      </c>
    </row>
    <row r="3225" spans="1:11" x14ac:dyDescent="0.25">
      <c r="A3225" s="1" t="s">
        <v>227</v>
      </c>
      <c r="B3225" s="1"/>
      <c r="C3225" s="1" t="s">
        <v>2870</v>
      </c>
      <c r="D3225" s="1" t="s">
        <v>3375</v>
      </c>
      <c r="E3225" s="1"/>
      <c r="F3225">
        <v>4</v>
      </c>
      <c r="G3225">
        <v>0</v>
      </c>
      <c r="H3225">
        <v>215</v>
      </c>
      <c r="I3225">
        <v>0</v>
      </c>
      <c r="J3225">
        <v>304</v>
      </c>
      <c r="K3225" s="2">
        <v>45730</v>
      </c>
    </row>
    <row r="3226" spans="1:11" x14ac:dyDescent="0.25">
      <c r="A3226" s="1" t="s">
        <v>849</v>
      </c>
      <c r="B3226" s="1"/>
      <c r="C3226" s="1" t="s">
        <v>3285</v>
      </c>
      <c r="D3226" s="1" t="s">
        <v>3490</v>
      </c>
      <c r="E3226" s="1"/>
      <c r="F3226">
        <v>0</v>
      </c>
      <c r="G3226">
        <v>6.8</v>
      </c>
      <c r="H3226">
        <v>0</v>
      </c>
      <c r="I3226">
        <v>0</v>
      </c>
      <c r="J3226">
        <v>38</v>
      </c>
      <c r="K3226" s="2">
        <v>45783</v>
      </c>
    </row>
    <row r="3227" spans="1:11" x14ac:dyDescent="0.25">
      <c r="A3227" s="1" t="s">
        <v>849</v>
      </c>
      <c r="B3227" s="1"/>
      <c r="C3227" s="1" t="s">
        <v>3286</v>
      </c>
      <c r="D3227" s="1" t="s">
        <v>3491</v>
      </c>
      <c r="E3227" s="1"/>
      <c r="F3227">
        <v>0</v>
      </c>
      <c r="G3227">
        <v>0</v>
      </c>
      <c r="H3227">
        <v>0</v>
      </c>
      <c r="I3227">
        <v>0.3</v>
      </c>
      <c r="J3227">
        <v>37.700000000000003</v>
      </c>
      <c r="K3227" s="2">
        <v>45783</v>
      </c>
    </row>
    <row r="3228" spans="1:11" x14ac:dyDescent="0.25">
      <c r="A3228" s="1" t="s">
        <v>849</v>
      </c>
      <c r="B3228" s="1"/>
      <c r="C3228" s="1" t="s">
        <v>3287</v>
      </c>
      <c r="D3228" s="1" t="s">
        <v>3492</v>
      </c>
      <c r="E3228" s="1"/>
      <c r="F3228">
        <v>0</v>
      </c>
      <c r="G3228">
        <v>0</v>
      </c>
      <c r="H3228">
        <v>0</v>
      </c>
      <c r="I3228">
        <v>0</v>
      </c>
      <c r="J3228">
        <v>37.700000000000003</v>
      </c>
      <c r="K3228" s="2">
        <v>45786</v>
      </c>
    </row>
    <row r="3229" spans="1:11" x14ac:dyDescent="0.25">
      <c r="A3229" s="1" t="s">
        <v>523</v>
      </c>
      <c r="B3229" s="1"/>
      <c r="C3229" s="1" t="s">
        <v>3285</v>
      </c>
      <c r="D3229" s="1" t="s">
        <v>3490</v>
      </c>
      <c r="E3229" s="1"/>
      <c r="F3229">
        <v>0</v>
      </c>
      <c r="G3229">
        <v>2.6</v>
      </c>
      <c r="H3229">
        <v>0</v>
      </c>
      <c r="I3229">
        <v>0</v>
      </c>
      <c r="J3229">
        <v>34.56</v>
      </c>
      <c r="K3229" s="2">
        <v>45756</v>
      </c>
    </row>
    <row r="3230" spans="1:11" x14ac:dyDescent="0.25">
      <c r="A3230" s="1" t="s">
        <v>523</v>
      </c>
      <c r="B3230" s="1"/>
      <c r="C3230" s="1" t="s">
        <v>3286</v>
      </c>
      <c r="D3230" s="1" t="s">
        <v>3491</v>
      </c>
      <c r="E3230" s="1"/>
      <c r="F3230">
        <v>0</v>
      </c>
      <c r="G3230">
        <v>7.9</v>
      </c>
      <c r="H3230">
        <v>-455</v>
      </c>
      <c r="I3230">
        <v>0.3</v>
      </c>
      <c r="J3230">
        <v>34.26</v>
      </c>
      <c r="K3230" s="2">
        <v>45757</v>
      </c>
    </row>
    <row r="3231" spans="1:11" x14ac:dyDescent="0.25">
      <c r="A3231" s="1" t="s">
        <v>523</v>
      </c>
      <c r="B3231" s="1"/>
      <c r="C3231" s="1" t="s">
        <v>3287</v>
      </c>
      <c r="D3231" s="1" t="s">
        <v>3492</v>
      </c>
      <c r="E3231" s="1"/>
      <c r="F3231">
        <v>0</v>
      </c>
      <c r="G3231">
        <v>0</v>
      </c>
      <c r="H3231">
        <v>0</v>
      </c>
      <c r="I3231">
        <v>0</v>
      </c>
      <c r="J3231">
        <v>34.26</v>
      </c>
      <c r="K3231" s="2">
        <v>45763</v>
      </c>
    </row>
    <row r="3232" spans="1:11" x14ac:dyDescent="0.25">
      <c r="A3232" s="1" t="s">
        <v>850</v>
      </c>
      <c r="B3232" s="1"/>
      <c r="C3232" s="1" t="s">
        <v>3285</v>
      </c>
      <c r="D3232" s="1" t="s">
        <v>3490</v>
      </c>
      <c r="E3232" s="1"/>
      <c r="F3232">
        <v>0</v>
      </c>
      <c r="G3232">
        <v>6.6</v>
      </c>
      <c r="H3232">
        <v>0</v>
      </c>
      <c r="I3232">
        <v>0</v>
      </c>
      <c r="J3232">
        <v>34.56</v>
      </c>
      <c r="K3232" s="2">
        <v>45779</v>
      </c>
    </row>
    <row r="3233" spans="1:11" x14ac:dyDescent="0.25">
      <c r="A3233" s="1" t="s">
        <v>850</v>
      </c>
      <c r="B3233" s="1"/>
      <c r="C3233" s="1" t="s">
        <v>3286</v>
      </c>
      <c r="D3233" s="1" t="s">
        <v>3491</v>
      </c>
      <c r="E3233" s="1"/>
      <c r="F3233">
        <v>0</v>
      </c>
      <c r="G3233">
        <v>5.8</v>
      </c>
      <c r="H3233">
        <v>-335</v>
      </c>
      <c r="I3233">
        <v>0.3</v>
      </c>
      <c r="J3233">
        <v>34.26</v>
      </c>
      <c r="K3233" s="2">
        <v>45780</v>
      </c>
    </row>
    <row r="3234" spans="1:11" x14ac:dyDescent="0.25">
      <c r="A3234" s="1" t="s">
        <v>764</v>
      </c>
      <c r="B3234" s="1"/>
      <c r="C3234" s="1" t="s">
        <v>2808</v>
      </c>
      <c r="D3234" s="1" t="s">
        <v>3370</v>
      </c>
      <c r="E3234" s="1"/>
      <c r="F3234">
        <v>0</v>
      </c>
      <c r="G3234">
        <v>0</v>
      </c>
      <c r="H3234">
        <v>0</v>
      </c>
      <c r="I3234">
        <v>0</v>
      </c>
      <c r="J3234">
        <v>1104</v>
      </c>
      <c r="K3234" s="2">
        <v>45775</v>
      </c>
    </row>
    <row r="3235" spans="1:11" x14ac:dyDescent="0.25">
      <c r="A3235" s="1" t="s">
        <v>764</v>
      </c>
      <c r="B3235" s="1"/>
      <c r="C3235" s="1" t="s">
        <v>3288</v>
      </c>
      <c r="D3235" s="1" t="s">
        <v>3389</v>
      </c>
      <c r="E3235" s="1"/>
      <c r="F3235">
        <v>0</v>
      </c>
      <c r="G3235">
        <v>0</v>
      </c>
      <c r="H3235">
        <v>-810</v>
      </c>
      <c r="I3235">
        <v>0</v>
      </c>
      <c r="J3235">
        <v>1104</v>
      </c>
      <c r="K3235" s="2">
        <v>45789</v>
      </c>
    </row>
    <row r="3236" spans="1:11" x14ac:dyDescent="0.25">
      <c r="A3236" s="1" t="s">
        <v>764</v>
      </c>
      <c r="B3236" s="1"/>
      <c r="C3236" s="1" t="s">
        <v>3289</v>
      </c>
      <c r="D3236" s="1" t="s">
        <v>3412</v>
      </c>
      <c r="E3236" s="1"/>
      <c r="F3236">
        <v>4.2</v>
      </c>
      <c r="G3236">
        <v>0</v>
      </c>
      <c r="H3236">
        <v>260</v>
      </c>
      <c r="I3236">
        <v>0</v>
      </c>
      <c r="J3236">
        <v>1104</v>
      </c>
      <c r="K3236" s="2">
        <v>45789</v>
      </c>
    </row>
    <row r="3237" spans="1:11" x14ac:dyDescent="0.25">
      <c r="A3237" s="1" t="s">
        <v>765</v>
      </c>
      <c r="B3237" s="1"/>
      <c r="C3237" s="1" t="s">
        <v>2808</v>
      </c>
      <c r="D3237" s="1" t="s">
        <v>3370</v>
      </c>
      <c r="E3237" s="1"/>
      <c r="F3237">
        <v>0</v>
      </c>
      <c r="G3237">
        <v>0</v>
      </c>
      <c r="H3237">
        <v>0</v>
      </c>
      <c r="I3237">
        <v>0</v>
      </c>
      <c r="J3237">
        <v>300</v>
      </c>
      <c r="K3237" s="2">
        <v>45775</v>
      </c>
    </row>
    <row r="3238" spans="1:11" x14ac:dyDescent="0.25">
      <c r="A3238" s="1" t="s">
        <v>765</v>
      </c>
      <c r="B3238" s="1"/>
      <c r="C3238" s="1" t="s">
        <v>3288</v>
      </c>
      <c r="D3238" s="1" t="s">
        <v>3389</v>
      </c>
      <c r="E3238" s="1"/>
      <c r="F3238">
        <v>0</v>
      </c>
      <c r="G3238">
        <v>0</v>
      </c>
      <c r="H3238">
        <v>-220</v>
      </c>
      <c r="I3238">
        <v>0</v>
      </c>
      <c r="J3238">
        <v>300</v>
      </c>
      <c r="K3238" s="2">
        <v>45789</v>
      </c>
    </row>
    <row r="3239" spans="1:11" x14ac:dyDescent="0.25">
      <c r="A3239" s="1" t="s">
        <v>765</v>
      </c>
      <c r="B3239" s="1"/>
      <c r="C3239" s="1" t="s">
        <v>3289</v>
      </c>
      <c r="D3239" s="1" t="s">
        <v>3412</v>
      </c>
      <c r="E3239" s="1"/>
      <c r="F3239">
        <v>0.9</v>
      </c>
      <c r="G3239">
        <v>0</v>
      </c>
      <c r="H3239">
        <v>55</v>
      </c>
      <c r="I3239">
        <v>0</v>
      </c>
      <c r="J3239">
        <v>300</v>
      </c>
      <c r="K3239" s="2">
        <v>45789</v>
      </c>
    </row>
    <row r="3240" spans="1:11" x14ac:dyDescent="0.25">
      <c r="A3240" s="1" t="s">
        <v>799</v>
      </c>
      <c r="B3240" s="1"/>
      <c r="C3240" s="1" t="s">
        <v>2808</v>
      </c>
      <c r="D3240" s="1" t="s">
        <v>3370</v>
      </c>
      <c r="E3240" s="1"/>
      <c r="F3240">
        <v>0</v>
      </c>
      <c r="G3240">
        <v>0</v>
      </c>
      <c r="H3240">
        <v>0</v>
      </c>
      <c r="I3240">
        <v>0</v>
      </c>
      <c r="J3240">
        <v>250</v>
      </c>
      <c r="K3240" s="2">
        <v>45777</v>
      </c>
    </row>
    <row r="3241" spans="1:11" x14ac:dyDescent="0.25">
      <c r="A3241" s="1" t="s">
        <v>799</v>
      </c>
      <c r="B3241" s="1"/>
      <c r="C3241" s="1" t="s">
        <v>2841</v>
      </c>
      <c r="D3241" s="1" t="s">
        <v>3393</v>
      </c>
      <c r="E3241" s="1"/>
      <c r="F3241">
        <v>5.8</v>
      </c>
      <c r="G3241">
        <v>6.8</v>
      </c>
      <c r="H3241">
        <v>-45</v>
      </c>
      <c r="I3241">
        <v>0</v>
      </c>
      <c r="J3241">
        <v>250</v>
      </c>
      <c r="K3241" s="2">
        <v>45782</v>
      </c>
    </row>
    <row r="3242" spans="1:11" x14ac:dyDescent="0.25">
      <c r="A3242" s="1" t="s">
        <v>799</v>
      </c>
      <c r="B3242" s="1"/>
      <c r="C3242" s="1" t="s">
        <v>2816</v>
      </c>
      <c r="D3242" s="1" t="s">
        <v>3372</v>
      </c>
      <c r="E3242" s="1"/>
      <c r="F3242">
        <v>0.3</v>
      </c>
      <c r="G3242">
        <v>0.6</v>
      </c>
      <c r="H3242">
        <v>-15</v>
      </c>
      <c r="I3242">
        <v>0</v>
      </c>
      <c r="J3242">
        <v>250</v>
      </c>
      <c r="K3242" s="2">
        <v>45782</v>
      </c>
    </row>
    <row r="3243" spans="1:11" x14ac:dyDescent="0.25">
      <c r="A3243" s="1" t="s">
        <v>799</v>
      </c>
      <c r="B3243" s="1"/>
      <c r="C3243" s="1" t="s">
        <v>2817</v>
      </c>
      <c r="D3243" s="1" t="s">
        <v>3377</v>
      </c>
      <c r="E3243" s="1"/>
      <c r="F3243">
        <v>0.3</v>
      </c>
      <c r="G3243">
        <v>0</v>
      </c>
      <c r="H3243">
        <v>15</v>
      </c>
      <c r="I3243">
        <v>0</v>
      </c>
      <c r="J3243">
        <v>250</v>
      </c>
      <c r="K3243" s="2">
        <v>45789</v>
      </c>
    </row>
    <row r="3244" spans="1:11" x14ac:dyDescent="0.25">
      <c r="A3244" s="1" t="s">
        <v>705</v>
      </c>
      <c r="B3244" s="1"/>
      <c r="C3244" s="1" t="s">
        <v>2808</v>
      </c>
      <c r="D3244" s="1" t="s">
        <v>3370</v>
      </c>
      <c r="E3244" s="1"/>
      <c r="F3244">
        <v>0</v>
      </c>
      <c r="G3244">
        <v>0</v>
      </c>
      <c r="H3244">
        <v>0</v>
      </c>
      <c r="I3244">
        <v>0</v>
      </c>
      <c r="J3244">
        <v>25</v>
      </c>
      <c r="K3244" s="2">
        <v>45770</v>
      </c>
    </row>
    <row r="3245" spans="1:11" x14ac:dyDescent="0.25">
      <c r="A3245" s="1" t="s">
        <v>705</v>
      </c>
      <c r="B3245" s="1"/>
      <c r="C3245" s="1" t="s">
        <v>2841</v>
      </c>
      <c r="D3245" s="1" t="s">
        <v>3393</v>
      </c>
      <c r="E3245" s="1"/>
      <c r="F3245">
        <v>1</v>
      </c>
      <c r="G3245">
        <v>2.2999999999999998</v>
      </c>
      <c r="H3245">
        <v>-55</v>
      </c>
      <c r="I3245">
        <v>0</v>
      </c>
      <c r="J3245">
        <v>25</v>
      </c>
      <c r="K3245" s="2">
        <v>45782</v>
      </c>
    </row>
    <row r="3246" spans="1:11" x14ac:dyDescent="0.25">
      <c r="A3246" s="1" t="s">
        <v>705</v>
      </c>
      <c r="B3246" s="1"/>
      <c r="C3246" s="1" t="s">
        <v>2816</v>
      </c>
      <c r="D3246" s="1" t="s">
        <v>3372</v>
      </c>
      <c r="E3246" s="1"/>
      <c r="F3246">
        <v>0.3</v>
      </c>
      <c r="G3246">
        <v>0.4</v>
      </c>
      <c r="H3246">
        <v>-5</v>
      </c>
      <c r="I3246">
        <v>0</v>
      </c>
      <c r="J3246">
        <v>25</v>
      </c>
      <c r="K3246" s="2">
        <v>45782</v>
      </c>
    </row>
    <row r="3247" spans="1:11" x14ac:dyDescent="0.25">
      <c r="A3247" s="1" t="s">
        <v>705</v>
      </c>
      <c r="B3247" s="1"/>
      <c r="C3247" s="1" t="s">
        <v>2817</v>
      </c>
      <c r="D3247" s="1" t="s">
        <v>3377</v>
      </c>
      <c r="E3247" s="1"/>
      <c r="F3247">
        <v>0.3</v>
      </c>
      <c r="G3247">
        <v>0</v>
      </c>
      <c r="H3247">
        <v>15</v>
      </c>
      <c r="I3247">
        <v>0</v>
      </c>
      <c r="J3247">
        <v>25</v>
      </c>
      <c r="K3247" s="2">
        <v>45784</v>
      </c>
    </row>
    <row r="3248" spans="1:11" x14ac:dyDescent="0.25">
      <c r="A3248" s="1" t="s">
        <v>648</v>
      </c>
      <c r="B3248" s="1"/>
      <c r="C3248" s="1" t="s">
        <v>2808</v>
      </c>
      <c r="D3248" s="1" t="s">
        <v>3370</v>
      </c>
      <c r="E3248" s="1"/>
      <c r="F3248">
        <v>0</v>
      </c>
      <c r="G3248">
        <v>0</v>
      </c>
      <c r="H3248">
        <v>0</v>
      </c>
      <c r="I3248">
        <v>0</v>
      </c>
      <c r="J3248">
        <v>1000</v>
      </c>
      <c r="K3248" s="2">
        <v>45763</v>
      </c>
    </row>
    <row r="3249" spans="1:11" x14ac:dyDescent="0.25">
      <c r="A3249" s="1" t="s">
        <v>648</v>
      </c>
      <c r="B3249" s="1"/>
      <c r="C3249" s="1" t="s">
        <v>2841</v>
      </c>
      <c r="D3249" s="1" t="s">
        <v>3393</v>
      </c>
      <c r="E3249" s="1"/>
      <c r="F3249">
        <v>19.899999999999999</v>
      </c>
      <c r="G3249">
        <v>34.4</v>
      </c>
      <c r="H3249">
        <v>-705</v>
      </c>
      <c r="I3249">
        <v>0</v>
      </c>
      <c r="J3249">
        <v>913</v>
      </c>
      <c r="K3249" s="2">
        <v>45772</v>
      </c>
    </row>
    <row r="3250" spans="1:11" x14ac:dyDescent="0.25">
      <c r="A3250" s="1" t="s">
        <v>648</v>
      </c>
      <c r="B3250" s="1"/>
      <c r="C3250" s="1" t="s">
        <v>2816</v>
      </c>
      <c r="D3250" s="1" t="s">
        <v>3372</v>
      </c>
      <c r="E3250" s="1"/>
      <c r="F3250">
        <v>0.3</v>
      </c>
      <c r="G3250">
        <v>0</v>
      </c>
      <c r="H3250">
        <v>15</v>
      </c>
      <c r="I3250">
        <v>0</v>
      </c>
      <c r="J3250">
        <v>913</v>
      </c>
      <c r="K3250" s="2">
        <v>45772</v>
      </c>
    </row>
    <row r="3251" spans="1:11" x14ac:dyDescent="0.25">
      <c r="A3251" s="1" t="s">
        <v>648</v>
      </c>
      <c r="B3251" s="1"/>
      <c r="C3251" s="1" t="s">
        <v>2817</v>
      </c>
      <c r="D3251" s="1" t="s">
        <v>3377</v>
      </c>
      <c r="E3251" s="1"/>
      <c r="F3251">
        <v>0.3</v>
      </c>
      <c r="G3251">
        <v>0.7</v>
      </c>
      <c r="H3251">
        <v>-20</v>
      </c>
      <c r="I3251">
        <v>0</v>
      </c>
      <c r="J3251">
        <v>913</v>
      </c>
      <c r="K3251" s="2">
        <v>45784</v>
      </c>
    </row>
    <row r="3252" spans="1:11" x14ac:dyDescent="0.25">
      <c r="A3252" s="1" t="s">
        <v>251</v>
      </c>
      <c r="B3252" s="1"/>
      <c r="C3252" s="1" t="s">
        <v>2873</v>
      </c>
      <c r="D3252" s="1" t="s">
        <v>3386</v>
      </c>
      <c r="E3252" s="1"/>
      <c r="F3252">
        <v>37</v>
      </c>
      <c r="G3252">
        <v>34.200000000000003</v>
      </c>
      <c r="H3252">
        <v>125</v>
      </c>
      <c r="I3252">
        <v>0</v>
      </c>
      <c r="J3252">
        <v>1008</v>
      </c>
      <c r="K3252" s="2">
        <v>45730</v>
      </c>
    </row>
    <row r="3253" spans="1:11" x14ac:dyDescent="0.25">
      <c r="A3253" s="1" t="s">
        <v>251</v>
      </c>
      <c r="B3253" s="1"/>
      <c r="C3253" s="1" t="s">
        <v>2812</v>
      </c>
      <c r="D3253" s="1" t="s">
        <v>3374</v>
      </c>
      <c r="E3253" s="1"/>
      <c r="F3253">
        <v>0.3</v>
      </c>
      <c r="G3253">
        <v>0</v>
      </c>
      <c r="H3253">
        <v>20</v>
      </c>
      <c r="I3253">
        <v>0</v>
      </c>
      <c r="J3253">
        <v>1008</v>
      </c>
      <c r="K3253" s="2">
        <v>45730</v>
      </c>
    </row>
    <row r="3254" spans="1:11" x14ac:dyDescent="0.25">
      <c r="A3254" s="1" t="s">
        <v>251</v>
      </c>
      <c r="B3254" s="1"/>
      <c r="C3254" s="1" t="s">
        <v>2870</v>
      </c>
      <c r="D3254" s="1" t="s">
        <v>3375</v>
      </c>
      <c r="E3254" s="1"/>
      <c r="F3254">
        <v>20.399999999999999</v>
      </c>
      <c r="G3254">
        <v>22.8</v>
      </c>
      <c r="H3254">
        <v>-115</v>
      </c>
      <c r="I3254">
        <v>65</v>
      </c>
      <c r="J3254">
        <v>943</v>
      </c>
      <c r="K3254" s="2">
        <v>45735</v>
      </c>
    </row>
    <row r="3255" spans="1:11" x14ac:dyDescent="0.25">
      <c r="A3255" s="1" t="s">
        <v>320</v>
      </c>
      <c r="B3255" s="1"/>
      <c r="C3255" s="1" t="s">
        <v>2808</v>
      </c>
      <c r="D3255" s="1" t="s">
        <v>3370</v>
      </c>
      <c r="E3255" s="1"/>
      <c r="F3255">
        <v>0</v>
      </c>
      <c r="G3255">
        <v>0</v>
      </c>
      <c r="H3255">
        <v>0</v>
      </c>
      <c r="I3255">
        <v>0</v>
      </c>
      <c r="J3255">
        <v>1008</v>
      </c>
      <c r="K3255" s="2">
        <v>45748</v>
      </c>
    </row>
    <row r="3256" spans="1:11" x14ac:dyDescent="0.25">
      <c r="A3256" s="1" t="s">
        <v>320</v>
      </c>
      <c r="B3256" s="1"/>
      <c r="C3256" s="1" t="s">
        <v>2873</v>
      </c>
      <c r="D3256" s="1" t="s">
        <v>3386</v>
      </c>
      <c r="E3256" s="1"/>
      <c r="F3256">
        <v>37</v>
      </c>
      <c r="G3256">
        <v>42.4</v>
      </c>
      <c r="H3256">
        <v>-260</v>
      </c>
      <c r="I3256">
        <v>0</v>
      </c>
      <c r="J3256">
        <v>1008</v>
      </c>
      <c r="K3256" s="2">
        <v>45751</v>
      </c>
    </row>
    <row r="3257" spans="1:11" x14ac:dyDescent="0.25">
      <c r="A3257" s="1" t="s">
        <v>320</v>
      </c>
      <c r="B3257" s="1"/>
      <c r="C3257" s="1" t="s">
        <v>2812</v>
      </c>
      <c r="D3257" s="1" t="s">
        <v>3374</v>
      </c>
      <c r="E3257" s="1"/>
      <c r="F3257">
        <v>0.3</v>
      </c>
      <c r="G3257">
        <v>0</v>
      </c>
      <c r="H3257">
        <v>20</v>
      </c>
      <c r="I3257">
        <v>0</v>
      </c>
      <c r="J3257">
        <v>1008</v>
      </c>
      <c r="K3257" s="2">
        <v>45751</v>
      </c>
    </row>
    <row r="3258" spans="1:11" x14ac:dyDescent="0.25">
      <c r="A3258" s="1" t="s">
        <v>320</v>
      </c>
      <c r="B3258" s="1"/>
      <c r="C3258" s="1" t="s">
        <v>2870</v>
      </c>
      <c r="D3258" s="1" t="s">
        <v>3375</v>
      </c>
      <c r="E3258" s="1"/>
      <c r="F3258">
        <v>20.399999999999999</v>
      </c>
      <c r="G3258">
        <v>22.5</v>
      </c>
      <c r="H3258">
        <v>-100</v>
      </c>
      <c r="I3258">
        <v>0</v>
      </c>
      <c r="J3258">
        <v>1008</v>
      </c>
      <c r="K3258" s="2">
        <v>45776</v>
      </c>
    </row>
    <row r="3259" spans="1:11" x14ac:dyDescent="0.25">
      <c r="A3259" s="1" t="s">
        <v>320</v>
      </c>
      <c r="B3259" s="1"/>
      <c r="C3259" s="1" t="s">
        <v>2816</v>
      </c>
      <c r="D3259" s="1" t="s">
        <v>3372</v>
      </c>
      <c r="E3259" s="1"/>
      <c r="F3259">
        <v>50.4</v>
      </c>
      <c r="G3259">
        <v>0.5</v>
      </c>
      <c r="H3259">
        <v>2510</v>
      </c>
      <c r="I3259">
        <v>0</v>
      </c>
      <c r="J3259">
        <v>1008</v>
      </c>
      <c r="K3259" s="2">
        <v>45776</v>
      </c>
    </row>
    <row r="3260" spans="1:11" x14ac:dyDescent="0.25">
      <c r="A3260" s="1" t="s">
        <v>481</v>
      </c>
      <c r="B3260" s="1"/>
      <c r="C3260" s="1" t="s">
        <v>2808</v>
      </c>
      <c r="D3260" s="1" t="s">
        <v>3370</v>
      </c>
      <c r="E3260" s="1"/>
      <c r="F3260">
        <v>0</v>
      </c>
      <c r="G3260">
        <v>0</v>
      </c>
      <c r="H3260">
        <v>0</v>
      </c>
      <c r="I3260">
        <v>0</v>
      </c>
      <c r="J3260">
        <v>1008</v>
      </c>
      <c r="K3260" s="2">
        <v>45766</v>
      </c>
    </row>
    <row r="3261" spans="1:11" x14ac:dyDescent="0.25">
      <c r="A3261" s="1" t="s">
        <v>481</v>
      </c>
      <c r="B3261" s="1"/>
      <c r="C3261" s="1" t="s">
        <v>2873</v>
      </c>
      <c r="D3261" s="1" t="s">
        <v>3386</v>
      </c>
      <c r="E3261" s="1"/>
      <c r="F3261">
        <v>37</v>
      </c>
      <c r="G3261">
        <v>33.5</v>
      </c>
      <c r="H3261">
        <v>185</v>
      </c>
      <c r="I3261">
        <v>0</v>
      </c>
      <c r="J3261">
        <v>1008</v>
      </c>
      <c r="K3261" s="2">
        <v>45778</v>
      </c>
    </row>
    <row r="3262" spans="1:11" x14ac:dyDescent="0.25">
      <c r="A3262" s="1" t="s">
        <v>481</v>
      </c>
      <c r="B3262" s="1"/>
      <c r="C3262" s="1" t="s">
        <v>2812</v>
      </c>
      <c r="D3262" s="1" t="s">
        <v>3374</v>
      </c>
      <c r="E3262" s="1"/>
      <c r="F3262">
        <v>0.3</v>
      </c>
      <c r="G3262">
        <v>0</v>
      </c>
      <c r="H3262">
        <v>20</v>
      </c>
      <c r="I3262">
        <v>0</v>
      </c>
      <c r="J3262">
        <v>1008</v>
      </c>
      <c r="K3262" s="2">
        <v>45778</v>
      </c>
    </row>
    <row r="3263" spans="1:11" x14ac:dyDescent="0.25">
      <c r="A3263" s="1" t="s">
        <v>370</v>
      </c>
      <c r="B3263" s="1"/>
      <c r="C3263" s="1" t="s">
        <v>2808</v>
      </c>
      <c r="D3263" s="1" t="s">
        <v>3370</v>
      </c>
      <c r="E3263" s="1"/>
      <c r="F3263">
        <v>0</v>
      </c>
      <c r="G3263">
        <v>0</v>
      </c>
      <c r="H3263">
        <v>0</v>
      </c>
      <c r="I3263">
        <v>0</v>
      </c>
      <c r="J3263">
        <v>1008</v>
      </c>
      <c r="K3263" s="2">
        <v>45764</v>
      </c>
    </row>
    <row r="3264" spans="1:11" x14ac:dyDescent="0.25">
      <c r="A3264" s="1" t="s">
        <v>370</v>
      </c>
      <c r="B3264" s="1"/>
      <c r="C3264" s="1" t="s">
        <v>2873</v>
      </c>
      <c r="D3264" s="1" t="s">
        <v>3386</v>
      </c>
      <c r="E3264" s="1"/>
      <c r="F3264">
        <v>37</v>
      </c>
      <c r="G3264">
        <v>15.4</v>
      </c>
      <c r="H3264">
        <v>1140</v>
      </c>
      <c r="I3264">
        <v>0</v>
      </c>
      <c r="J3264">
        <v>1008</v>
      </c>
      <c r="K3264" s="2">
        <v>45776</v>
      </c>
    </row>
    <row r="3265" spans="1:11" x14ac:dyDescent="0.25">
      <c r="A3265" s="1" t="s">
        <v>370</v>
      </c>
      <c r="B3265" s="1"/>
      <c r="C3265" s="1" t="s">
        <v>2812</v>
      </c>
      <c r="D3265" s="1" t="s">
        <v>3374</v>
      </c>
      <c r="E3265" s="1"/>
      <c r="F3265">
        <v>0.3</v>
      </c>
      <c r="G3265">
        <v>0</v>
      </c>
      <c r="H3265">
        <v>20</v>
      </c>
      <c r="I3265">
        <v>0</v>
      </c>
      <c r="J3265">
        <v>1008</v>
      </c>
      <c r="K3265" s="2">
        <v>45776</v>
      </c>
    </row>
    <row r="3266" spans="1:11" x14ac:dyDescent="0.25">
      <c r="A3266" s="1" t="s">
        <v>370</v>
      </c>
      <c r="B3266" s="1"/>
      <c r="C3266" s="1" t="s">
        <v>2870</v>
      </c>
      <c r="D3266" s="1" t="s">
        <v>3375</v>
      </c>
      <c r="E3266" s="1"/>
      <c r="F3266">
        <v>20.399999999999999</v>
      </c>
      <c r="G3266">
        <v>6.5</v>
      </c>
      <c r="H3266">
        <v>730</v>
      </c>
      <c r="I3266">
        <v>0</v>
      </c>
      <c r="J3266">
        <v>1008</v>
      </c>
      <c r="K3266" s="2">
        <v>45778</v>
      </c>
    </row>
    <row r="3267" spans="1:11" x14ac:dyDescent="0.25">
      <c r="A3267" s="1" t="s">
        <v>370</v>
      </c>
      <c r="B3267" s="1"/>
      <c r="C3267" s="1" t="s">
        <v>2816</v>
      </c>
      <c r="D3267" s="1" t="s">
        <v>3372</v>
      </c>
      <c r="E3267" s="1"/>
      <c r="F3267">
        <v>50.4</v>
      </c>
      <c r="G3267">
        <v>0.4</v>
      </c>
      <c r="H3267">
        <v>2515</v>
      </c>
      <c r="I3267">
        <v>0</v>
      </c>
      <c r="J3267">
        <v>1008</v>
      </c>
      <c r="K3267" s="2">
        <v>45784</v>
      </c>
    </row>
    <row r="3268" spans="1:11" x14ac:dyDescent="0.25">
      <c r="A3268" s="1" t="s">
        <v>322</v>
      </c>
      <c r="B3268" s="1"/>
      <c r="C3268" s="1" t="s">
        <v>2808</v>
      </c>
      <c r="D3268" s="1" t="s">
        <v>3370</v>
      </c>
      <c r="E3268" s="1"/>
      <c r="F3268">
        <v>0</v>
      </c>
      <c r="G3268">
        <v>0</v>
      </c>
      <c r="H3268">
        <v>0</v>
      </c>
      <c r="I3268">
        <v>0</v>
      </c>
      <c r="J3268">
        <v>504</v>
      </c>
      <c r="K3268" s="2">
        <v>45744</v>
      </c>
    </row>
    <row r="3269" spans="1:11" x14ac:dyDescent="0.25">
      <c r="A3269" s="1" t="s">
        <v>322</v>
      </c>
      <c r="B3269" s="1"/>
      <c r="C3269" s="1" t="s">
        <v>2873</v>
      </c>
      <c r="D3269" s="1" t="s">
        <v>3386</v>
      </c>
      <c r="E3269" s="1"/>
      <c r="F3269">
        <v>16.3</v>
      </c>
      <c r="G3269">
        <v>31.6</v>
      </c>
      <c r="H3269">
        <v>-805</v>
      </c>
      <c r="I3269">
        <v>0</v>
      </c>
      <c r="J3269">
        <v>504</v>
      </c>
      <c r="K3269" s="2">
        <v>45750</v>
      </c>
    </row>
    <row r="3270" spans="1:11" x14ac:dyDescent="0.25">
      <c r="A3270" s="1" t="s">
        <v>322</v>
      </c>
      <c r="B3270" s="1"/>
      <c r="C3270" s="1" t="s">
        <v>2812</v>
      </c>
      <c r="D3270" s="1" t="s">
        <v>3374</v>
      </c>
      <c r="E3270" s="1"/>
      <c r="F3270">
        <v>0.3</v>
      </c>
      <c r="G3270">
        <v>0</v>
      </c>
      <c r="H3270">
        <v>20</v>
      </c>
      <c r="I3270">
        <v>0</v>
      </c>
      <c r="J3270">
        <v>504</v>
      </c>
      <c r="K3270" s="2">
        <v>45748</v>
      </c>
    </row>
    <row r="3271" spans="1:11" x14ac:dyDescent="0.25">
      <c r="A3271" s="1" t="s">
        <v>570</v>
      </c>
      <c r="B3271" s="1"/>
      <c r="C3271" s="1" t="s">
        <v>2808</v>
      </c>
      <c r="D3271" s="1" t="s">
        <v>3370</v>
      </c>
      <c r="E3271" s="1"/>
      <c r="F3271">
        <v>0</v>
      </c>
      <c r="G3271">
        <v>0</v>
      </c>
      <c r="H3271">
        <v>0</v>
      </c>
      <c r="I3271">
        <v>0</v>
      </c>
      <c r="J3271">
        <v>1008</v>
      </c>
      <c r="K3271" s="2">
        <v>45773</v>
      </c>
    </row>
    <row r="3272" spans="1:11" x14ac:dyDescent="0.25">
      <c r="A3272" s="1" t="s">
        <v>570</v>
      </c>
      <c r="B3272" s="1"/>
      <c r="C3272" s="1" t="s">
        <v>2873</v>
      </c>
      <c r="D3272" s="1" t="s">
        <v>3386</v>
      </c>
      <c r="E3272" s="1"/>
      <c r="F3272">
        <v>31.5</v>
      </c>
      <c r="G3272">
        <v>36.799999999999997</v>
      </c>
      <c r="H3272">
        <v>-250</v>
      </c>
      <c r="I3272">
        <v>0</v>
      </c>
      <c r="J3272">
        <v>1008</v>
      </c>
      <c r="K3272" s="2">
        <v>45779</v>
      </c>
    </row>
    <row r="3273" spans="1:11" x14ac:dyDescent="0.25">
      <c r="A3273" s="1" t="s">
        <v>570</v>
      </c>
      <c r="B3273" s="1"/>
      <c r="C3273" s="1" t="s">
        <v>2812</v>
      </c>
      <c r="D3273" s="1" t="s">
        <v>3374</v>
      </c>
      <c r="E3273" s="1"/>
      <c r="F3273">
        <v>0.3</v>
      </c>
      <c r="G3273">
        <v>0</v>
      </c>
      <c r="H3273">
        <v>20</v>
      </c>
      <c r="I3273">
        <v>0</v>
      </c>
      <c r="J3273">
        <v>1008</v>
      </c>
      <c r="K3273" s="2">
        <v>45779</v>
      </c>
    </row>
    <row r="3274" spans="1:11" x14ac:dyDescent="0.25">
      <c r="A3274" s="1" t="s">
        <v>323</v>
      </c>
      <c r="B3274" s="1"/>
      <c r="C3274" s="1" t="s">
        <v>3030</v>
      </c>
      <c r="D3274" s="1" t="s">
        <v>3429</v>
      </c>
      <c r="E3274" s="1"/>
      <c r="F3274">
        <v>0</v>
      </c>
      <c r="G3274">
        <v>0.1</v>
      </c>
      <c r="H3274">
        <v>0</v>
      </c>
      <c r="I3274">
        <v>0</v>
      </c>
      <c r="J3274">
        <v>38</v>
      </c>
      <c r="K3274" s="2">
        <v>45735</v>
      </c>
    </row>
    <row r="3275" spans="1:11" x14ac:dyDescent="0.25">
      <c r="A3275" s="1" t="s">
        <v>323</v>
      </c>
      <c r="B3275" s="1"/>
      <c r="C3275" s="1" t="s">
        <v>2873</v>
      </c>
      <c r="D3275" s="1" t="s">
        <v>3426</v>
      </c>
      <c r="E3275" s="1"/>
      <c r="F3275">
        <v>23.1</v>
      </c>
      <c r="G3275">
        <v>43</v>
      </c>
      <c r="H3275">
        <v>-1290</v>
      </c>
      <c r="I3275">
        <v>0</v>
      </c>
      <c r="J3275">
        <v>38</v>
      </c>
      <c r="K3275" s="2">
        <v>45735</v>
      </c>
    </row>
    <row r="3276" spans="1:11" x14ac:dyDescent="0.25">
      <c r="A3276" s="1" t="s">
        <v>323</v>
      </c>
      <c r="B3276" s="1"/>
      <c r="C3276" s="1" t="s">
        <v>2864</v>
      </c>
      <c r="D3276" s="1" t="s">
        <v>3493</v>
      </c>
      <c r="E3276" s="1"/>
      <c r="F3276">
        <v>13.7</v>
      </c>
      <c r="G3276">
        <v>14.4</v>
      </c>
      <c r="H3276">
        <v>-30</v>
      </c>
      <c r="I3276">
        <v>1</v>
      </c>
      <c r="J3276">
        <v>36</v>
      </c>
      <c r="K3276" s="2">
        <v>45742</v>
      </c>
    </row>
    <row r="3277" spans="1:11" x14ac:dyDescent="0.25">
      <c r="A3277" s="1" t="s">
        <v>323</v>
      </c>
      <c r="B3277" s="1"/>
      <c r="C3277" s="1" t="s">
        <v>3290</v>
      </c>
      <c r="D3277" s="1" t="s">
        <v>3477</v>
      </c>
      <c r="E3277" s="1"/>
      <c r="F3277">
        <v>7.3</v>
      </c>
      <c r="G3277">
        <v>18.100000000000001</v>
      </c>
      <c r="H3277">
        <v>-670</v>
      </c>
      <c r="I3277">
        <v>1</v>
      </c>
      <c r="J3277">
        <v>36</v>
      </c>
      <c r="K3277" s="2">
        <v>45742</v>
      </c>
    </row>
    <row r="3278" spans="1:11" x14ac:dyDescent="0.25">
      <c r="A3278" s="1" t="s">
        <v>323</v>
      </c>
      <c r="B3278" s="1"/>
      <c r="C3278" s="1" t="s">
        <v>3101</v>
      </c>
      <c r="D3278" s="1" t="s">
        <v>3471</v>
      </c>
      <c r="E3278" s="1"/>
      <c r="F3278">
        <v>2.4</v>
      </c>
      <c r="G3278">
        <v>0</v>
      </c>
      <c r="H3278">
        <v>160</v>
      </c>
      <c r="I3278">
        <v>0</v>
      </c>
      <c r="J3278">
        <v>36</v>
      </c>
      <c r="K3278" s="2">
        <v>45743</v>
      </c>
    </row>
    <row r="3279" spans="1:11" x14ac:dyDescent="0.25">
      <c r="A3279" s="1" t="s">
        <v>323</v>
      </c>
      <c r="B3279" s="1"/>
      <c r="C3279" s="1" t="s">
        <v>2816</v>
      </c>
      <c r="D3279" s="1" t="s">
        <v>3372</v>
      </c>
      <c r="E3279" s="1"/>
      <c r="F3279">
        <v>1</v>
      </c>
      <c r="G3279">
        <v>0.1</v>
      </c>
      <c r="H3279">
        <v>45</v>
      </c>
      <c r="I3279">
        <v>0</v>
      </c>
      <c r="J3279">
        <v>36</v>
      </c>
      <c r="K3279" s="2">
        <v>45769</v>
      </c>
    </row>
    <row r="3280" spans="1:11" x14ac:dyDescent="0.25">
      <c r="A3280" s="1" t="s">
        <v>323</v>
      </c>
      <c r="B3280" s="1"/>
      <c r="C3280" s="1" t="s">
        <v>2923</v>
      </c>
      <c r="D3280" s="1" t="s">
        <v>3449</v>
      </c>
      <c r="E3280" s="1"/>
      <c r="F3280">
        <v>1</v>
      </c>
      <c r="G3280">
        <v>0.1</v>
      </c>
      <c r="H3280">
        <v>65</v>
      </c>
      <c r="I3280">
        <v>0</v>
      </c>
      <c r="J3280">
        <v>36</v>
      </c>
      <c r="K3280" s="2">
        <v>45769</v>
      </c>
    </row>
    <row r="3281" spans="1:11" x14ac:dyDescent="0.25">
      <c r="A3281" s="1" t="s">
        <v>491</v>
      </c>
      <c r="B3281" s="1"/>
      <c r="C3281" s="1" t="s">
        <v>2808</v>
      </c>
      <c r="D3281" s="1" t="s">
        <v>3370</v>
      </c>
      <c r="E3281" s="1"/>
      <c r="F3281">
        <v>0</v>
      </c>
      <c r="G3281">
        <v>0</v>
      </c>
      <c r="H3281">
        <v>0</v>
      </c>
      <c r="I3281">
        <v>0</v>
      </c>
      <c r="J3281">
        <v>35</v>
      </c>
      <c r="K3281" s="2">
        <v>45750</v>
      </c>
    </row>
    <row r="3282" spans="1:11" x14ac:dyDescent="0.25">
      <c r="A3282" s="1" t="s">
        <v>491</v>
      </c>
      <c r="B3282" s="1"/>
      <c r="C3282" s="1" t="s">
        <v>3182</v>
      </c>
      <c r="D3282" s="1" t="s">
        <v>3412</v>
      </c>
      <c r="E3282" s="1"/>
      <c r="F3282">
        <v>0.9</v>
      </c>
      <c r="G3282">
        <v>2.5</v>
      </c>
      <c r="H3282">
        <v>-100</v>
      </c>
      <c r="I3282">
        <v>0</v>
      </c>
      <c r="J3282">
        <v>38</v>
      </c>
      <c r="K3282" s="2">
        <v>45777</v>
      </c>
    </row>
    <row r="3283" spans="1:11" x14ac:dyDescent="0.25">
      <c r="A3283" s="1" t="s">
        <v>491</v>
      </c>
      <c r="B3283" s="1"/>
      <c r="C3283" s="1" t="s">
        <v>3090</v>
      </c>
      <c r="D3283" s="1" t="s">
        <v>3413</v>
      </c>
      <c r="E3283" s="1"/>
      <c r="F3283">
        <v>0.7</v>
      </c>
      <c r="G3283">
        <v>2.5</v>
      </c>
      <c r="H3283">
        <v>-110</v>
      </c>
      <c r="I3283">
        <v>0</v>
      </c>
      <c r="J3283">
        <v>38</v>
      </c>
      <c r="K3283" s="2">
        <v>45777</v>
      </c>
    </row>
    <row r="3284" spans="1:11" x14ac:dyDescent="0.25">
      <c r="A3284" s="1" t="s">
        <v>491</v>
      </c>
      <c r="B3284" s="1"/>
      <c r="C3284" s="1" t="s">
        <v>3090</v>
      </c>
      <c r="D3284" s="1" t="s">
        <v>3414</v>
      </c>
      <c r="E3284" s="1"/>
      <c r="F3284">
        <v>0.8</v>
      </c>
      <c r="G3284">
        <v>3.4</v>
      </c>
      <c r="H3284">
        <v>-160</v>
      </c>
      <c r="I3284">
        <v>0</v>
      </c>
      <c r="J3284">
        <v>38</v>
      </c>
      <c r="K3284" s="2">
        <v>45777</v>
      </c>
    </row>
    <row r="3285" spans="1:11" x14ac:dyDescent="0.25">
      <c r="A3285" s="1" t="s">
        <v>491</v>
      </c>
      <c r="B3285" s="1"/>
      <c r="C3285" s="1" t="s">
        <v>3182</v>
      </c>
      <c r="D3285" s="1" t="s">
        <v>3412</v>
      </c>
      <c r="E3285" s="1"/>
      <c r="F3285">
        <v>0.9</v>
      </c>
      <c r="G3285">
        <v>4.9000000000000004</v>
      </c>
      <c r="H3285">
        <v>-250</v>
      </c>
      <c r="I3285">
        <v>0</v>
      </c>
      <c r="J3285">
        <v>38</v>
      </c>
      <c r="K3285" s="2">
        <v>45777</v>
      </c>
    </row>
    <row r="3286" spans="1:11" x14ac:dyDescent="0.25">
      <c r="A3286" s="1" t="s">
        <v>491</v>
      </c>
      <c r="B3286" s="1"/>
      <c r="C3286" s="1" t="s">
        <v>2872</v>
      </c>
      <c r="D3286" s="1" t="s">
        <v>3388</v>
      </c>
      <c r="E3286" s="1"/>
      <c r="F3286">
        <v>0.2</v>
      </c>
      <c r="G3286">
        <v>9.6</v>
      </c>
      <c r="H3286">
        <v>-585</v>
      </c>
      <c r="I3286">
        <v>0</v>
      </c>
      <c r="J3286">
        <v>35</v>
      </c>
      <c r="K3286" s="2">
        <v>45755</v>
      </c>
    </row>
    <row r="3287" spans="1:11" x14ac:dyDescent="0.25">
      <c r="A3287" s="1" t="s">
        <v>491</v>
      </c>
      <c r="B3287" s="1"/>
      <c r="C3287" s="1" t="s">
        <v>3030</v>
      </c>
      <c r="D3287" s="1" t="s">
        <v>3429</v>
      </c>
      <c r="E3287" s="1"/>
      <c r="F3287">
        <v>0</v>
      </c>
      <c r="G3287">
        <v>0</v>
      </c>
      <c r="H3287">
        <v>0</v>
      </c>
      <c r="I3287">
        <v>0</v>
      </c>
      <c r="J3287">
        <v>35</v>
      </c>
      <c r="K3287" s="2">
        <v>45765</v>
      </c>
    </row>
    <row r="3288" spans="1:11" x14ac:dyDescent="0.25">
      <c r="A3288" s="1" t="s">
        <v>491</v>
      </c>
      <c r="B3288" s="1"/>
      <c r="C3288" s="1" t="s">
        <v>2873</v>
      </c>
      <c r="D3288" s="1" t="s">
        <v>3426</v>
      </c>
      <c r="E3288" s="1"/>
      <c r="F3288">
        <v>15.3</v>
      </c>
      <c r="G3288">
        <v>28.4</v>
      </c>
      <c r="H3288">
        <v>-855</v>
      </c>
      <c r="I3288">
        <v>0</v>
      </c>
      <c r="J3288">
        <v>24</v>
      </c>
      <c r="K3288" s="2">
        <v>45777</v>
      </c>
    </row>
    <row r="3289" spans="1:11" x14ac:dyDescent="0.25">
      <c r="A3289" s="1" t="s">
        <v>883</v>
      </c>
      <c r="B3289" s="1"/>
      <c r="C3289" s="1" t="s">
        <v>2808</v>
      </c>
      <c r="D3289" s="1" t="s">
        <v>3370</v>
      </c>
      <c r="E3289" s="1"/>
      <c r="F3289">
        <v>0</v>
      </c>
      <c r="G3289">
        <v>0</v>
      </c>
      <c r="H3289">
        <v>0</v>
      </c>
      <c r="I3289">
        <v>0</v>
      </c>
      <c r="J3289">
        <v>120</v>
      </c>
      <c r="K3289" s="2">
        <v>45784</v>
      </c>
    </row>
    <row r="3290" spans="1:11" x14ac:dyDescent="0.25">
      <c r="A3290" s="1" t="s">
        <v>883</v>
      </c>
      <c r="B3290" s="1"/>
      <c r="C3290" s="1" t="s">
        <v>2869</v>
      </c>
      <c r="D3290" s="1" t="s">
        <v>3373</v>
      </c>
      <c r="E3290" s="1"/>
      <c r="F3290">
        <v>3</v>
      </c>
      <c r="G3290">
        <v>13.2</v>
      </c>
      <c r="H3290">
        <v>-555</v>
      </c>
      <c r="I3290">
        <v>0</v>
      </c>
      <c r="J3290">
        <v>120</v>
      </c>
      <c r="K3290" s="2">
        <v>45783</v>
      </c>
    </row>
    <row r="3291" spans="1:11" x14ac:dyDescent="0.25">
      <c r="A3291" s="1" t="s">
        <v>883</v>
      </c>
      <c r="B3291" s="1"/>
      <c r="C3291" s="1" t="s">
        <v>3291</v>
      </c>
      <c r="D3291" s="1" t="s">
        <v>3375</v>
      </c>
      <c r="E3291" s="1"/>
      <c r="F3291">
        <v>1.7</v>
      </c>
      <c r="G3291">
        <v>1.1000000000000001</v>
      </c>
      <c r="H3291">
        <v>45</v>
      </c>
      <c r="I3291">
        <v>1</v>
      </c>
      <c r="J3291">
        <v>119</v>
      </c>
      <c r="K3291" s="2">
        <v>45786</v>
      </c>
    </row>
    <row r="3292" spans="1:11" x14ac:dyDescent="0.25">
      <c r="A3292" s="1" t="s">
        <v>883</v>
      </c>
      <c r="B3292" s="1"/>
      <c r="C3292" s="1" t="s">
        <v>2853</v>
      </c>
      <c r="D3292" s="1" t="s">
        <v>3374</v>
      </c>
      <c r="E3292" s="1"/>
      <c r="F3292">
        <v>0.3</v>
      </c>
      <c r="G3292">
        <v>0</v>
      </c>
      <c r="H3292">
        <v>20</v>
      </c>
      <c r="I3292">
        <v>0</v>
      </c>
      <c r="J3292">
        <v>119</v>
      </c>
      <c r="K3292" s="2">
        <v>45786</v>
      </c>
    </row>
    <row r="3293" spans="1:11" x14ac:dyDescent="0.25">
      <c r="A3293" s="1" t="s">
        <v>883</v>
      </c>
      <c r="B3293" s="1"/>
      <c r="C3293" s="1" t="s">
        <v>2816</v>
      </c>
      <c r="D3293" s="1" t="s">
        <v>3372</v>
      </c>
      <c r="E3293" s="1"/>
      <c r="F3293">
        <v>1</v>
      </c>
      <c r="G3293">
        <v>0</v>
      </c>
      <c r="H3293">
        <v>55</v>
      </c>
      <c r="I3293">
        <v>0</v>
      </c>
      <c r="J3293">
        <v>119</v>
      </c>
      <c r="K3293" s="2">
        <v>45789</v>
      </c>
    </row>
    <row r="3294" spans="1:11" x14ac:dyDescent="0.25">
      <c r="A3294" s="1" t="s">
        <v>852</v>
      </c>
      <c r="B3294" s="1"/>
      <c r="C3294" s="1" t="s">
        <v>2808</v>
      </c>
      <c r="D3294" s="1" t="s">
        <v>3370</v>
      </c>
      <c r="E3294" s="1"/>
      <c r="F3294">
        <v>0</v>
      </c>
      <c r="G3294">
        <v>0</v>
      </c>
      <c r="H3294">
        <v>0</v>
      </c>
      <c r="I3294">
        <v>0</v>
      </c>
      <c r="J3294">
        <v>38</v>
      </c>
      <c r="K3294" s="2">
        <v>45788</v>
      </c>
    </row>
    <row r="3295" spans="1:11" x14ac:dyDescent="0.25">
      <c r="A3295" s="1" t="s">
        <v>852</v>
      </c>
      <c r="B3295" s="1"/>
      <c r="C3295" s="1" t="s">
        <v>3268</v>
      </c>
      <c r="D3295" s="1" t="s">
        <v>3437</v>
      </c>
      <c r="E3295" s="1"/>
      <c r="F3295">
        <v>1</v>
      </c>
      <c r="G3295">
        <v>3.4</v>
      </c>
      <c r="H3295">
        <v>-150</v>
      </c>
      <c r="I3295">
        <v>0</v>
      </c>
      <c r="J3295">
        <v>40</v>
      </c>
      <c r="K3295" s="2">
        <v>45779</v>
      </c>
    </row>
    <row r="3296" spans="1:11" x14ac:dyDescent="0.25">
      <c r="A3296" s="1" t="s">
        <v>852</v>
      </c>
      <c r="B3296" s="1"/>
      <c r="C3296" s="1" t="s">
        <v>3019</v>
      </c>
      <c r="D3296" s="1" t="s">
        <v>3437</v>
      </c>
      <c r="E3296" s="1"/>
      <c r="F3296">
        <v>2.4</v>
      </c>
      <c r="G3296">
        <v>2.6</v>
      </c>
      <c r="H3296">
        <v>-10</v>
      </c>
      <c r="I3296">
        <v>0</v>
      </c>
      <c r="J3296">
        <v>40</v>
      </c>
      <c r="K3296" s="2">
        <v>45782</v>
      </c>
    </row>
    <row r="3297" spans="1:11" x14ac:dyDescent="0.25">
      <c r="A3297" s="1" t="s">
        <v>852</v>
      </c>
      <c r="B3297" s="1"/>
      <c r="C3297" s="1" t="s">
        <v>2924</v>
      </c>
      <c r="D3297" s="1" t="s">
        <v>3444</v>
      </c>
      <c r="E3297" s="1"/>
      <c r="F3297">
        <v>1</v>
      </c>
      <c r="G3297">
        <v>0.4</v>
      </c>
      <c r="H3297">
        <v>40</v>
      </c>
      <c r="I3297">
        <v>0</v>
      </c>
      <c r="J3297">
        <v>38</v>
      </c>
      <c r="K3297" s="2">
        <v>45785</v>
      </c>
    </row>
    <row r="3298" spans="1:11" x14ac:dyDescent="0.25">
      <c r="A3298" s="1" t="s">
        <v>937</v>
      </c>
      <c r="B3298" s="1"/>
      <c r="C3298" s="1" t="s">
        <v>3268</v>
      </c>
      <c r="D3298" s="1" t="s">
        <v>3437</v>
      </c>
      <c r="E3298" s="1"/>
      <c r="F3298">
        <v>1</v>
      </c>
      <c r="G3298">
        <v>3.3</v>
      </c>
      <c r="H3298">
        <v>-140</v>
      </c>
      <c r="I3298">
        <v>0</v>
      </c>
      <c r="J3298">
        <v>40</v>
      </c>
      <c r="K3298" s="2">
        <v>45785</v>
      </c>
    </row>
    <row r="3299" spans="1:11" x14ac:dyDescent="0.25">
      <c r="A3299" s="1" t="s">
        <v>937</v>
      </c>
      <c r="B3299" s="1"/>
      <c r="C3299" s="1" t="s">
        <v>3019</v>
      </c>
      <c r="D3299" s="1" t="s">
        <v>3437</v>
      </c>
      <c r="E3299" s="1"/>
      <c r="F3299">
        <v>2.5</v>
      </c>
      <c r="G3299">
        <v>0.8</v>
      </c>
      <c r="H3299">
        <v>105</v>
      </c>
      <c r="I3299">
        <v>0</v>
      </c>
      <c r="J3299">
        <v>40</v>
      </c>
      <c r="K3299" s="2">
        <v>45785</v>
      </c>
    </row>
    <row r="3300" spans="1:11" x14ac:dyDescent="0.25">
      <c r="A3300" s="1" t="s">
        <v>937</v>
      </c>
      <c r="B3300" s="1"/>
      <c r="C3300" s="1" t="s">
        <v>3268</v>
      </c>
      <c r="D3300" s="1" t="s">
        <v>3437</v>
      </c>
      <c r="E3300" s="1"/>
      <c r="F3300">
        <v>1</v>
      </c>
      <c r="G3300">
        <v>1.7</v>
      </c>
      <c r="H3300">
        <v>-40</v>
      </c>
      <c r="I3300">
        <v>0</v>
      </c>
      <c r="J3300">
        <v>40</v>
      </c>
      <c r="K3300" s="2">
        <v>45786</v>
      </c>
    </row>
    <row r="3301" spans="1:11" x14ac:dyDescent="0.25">
      <c r="A3301" s="1" t="s">
        <v>937</v>
      </c>
      <c r="B3301" s="1"/>
      <c r="C3301" s="1" t="s">
        <v>3003</v>
      </c>
      <c r="D3301" s="1" t="s">
        <v>3438</v>
      </c>
      <c r="E3301" s="1"/>
      <c r="F3301">
        <v>4.3</v>
      </c>
      <c r="G3301">
        <v>1.7</v>
      </c>
      <c r="H3301">
        <v>165</v>
      </c>
      <c r="I3301">
        <v>0</v>
      </c>
      <c r="J3301">
        <v>40</v>
      </c>
      <c r="K3301" s="2">
        <v>45786</v>
      </c>
    </row>
    <row r="3302" spans="1:11" x14ac:dyDescent="0.25">
      <c r="A3302" s="1" t="s">
        <v>937</v>
      </c>
      <c r="B3302" s="1"/>
      <c r="C3302" s="1" t="s">
        <v>3004</v>
      </c>
      <c r="D3302" s="1" t="s">
        <v>3438</v>
      </c>
      <c r="E3302" s="1"/>
      <c r="F3302">
        <v>4.3</v>
      </c>
      <c r="G3302">
        <v>0</v>
      </c>
      <c r="H3302">
        <v>275</v>
      </c>
      <c r="I3302">
        <v>0</v>
      </c>
      <c r="J3302">
        <v>40</v>
      </c>
      <c r="K3302" s="2">
        <v>45789</v>
      </c>
    </row>
    <row r="3303" spans="1:11" x14ac:dyDescent="0.25">
      <c r="A3303" s="1" t="s">
        <v>367</v>
      </c>
      <c r="B3303" s="1"/>
      <c r="C3303" s="1" t="s">
        <v>2808</v>
      </c>
      <c r="D3303" s="1" t="s">
        <v>3370</v>
      </c>
      <c r="E3303" s="1"/>
      <c r="F3303">
        <v>0</v>
      </c>
      <c r="G3303">
        <v>0</v>
      </c>
      <c r="H3303">
        <v>0</v>
      </c>
      <c r="I3303">
        <v>0</v>
      </c>
      <c r="J3303">
        <v>80</v>
      </c>
      <c r="K3303" s="2">
        <v>45733</v>
      </c>
    </row>
    <row r="3304" spans="1:11" x14ac:dyDescent="0.25">
      <c r="A3304" s="1" t="s">
        <v>367</v>
      </c>
      <c r="B3304" s="1"/>
      <c r="C3304" s="1" t="s">
        <v>3182</v>
      </c>
      <c r="D3304" s="1" t="s">
        <v>3388</v>
      </c>
      <c r="E3304" s="1"/>
      <c r="F3304">
        <v>0.7</v>
      </c>
      <c r="G3304">
        <v>2</v>
      </c>
      <c r="H3304">
        <v>-80</v>
      </c>
      <c r="I3304">
        <v>0</v>
      </c>
      <c r="J3304">
        <v>80</v>
      </c>
      <c r="K3304" s="2">
        <v>45737</v>
      </c>
    </row>
    <row r="3305" spans="1:11" x14ac:dyDescent="0.25">
      <c r="A3305" s="1" t="s">
        <v>367</v>
      </c>
      <c r="B3305" s="1"/>
      <c r="C3305" s="1" t="s">
        <v>3292</v>
      </c>
      <c r="D3305" s="1" t="s">
        <v>3388</v>
      </c>
      <c r="E3305" s="1"/>
      <c r="F3305">
        <v>0.8</v>
      </c>
      <c r="G3305">
        <v>2</v>
      </c>
      <c r="H3305">
        <v>-75</v>
      </c>
      <c r="I3305">
        <v>0</v>
      </c>
      <c r="J3305">
        <v>80</v>
      </c>
      <c r="K3305" s="2">
        <v>45737</v>
      </c>
    </row>
    <row r="3306" spans="1:11" x14ac:dyDescent="0.25">
      <c r="A3306" s="1" t="s">
        <v>367</v>
      </c>
      <c r="B3306" s="1"/>
      <c r="C3306" s="1" t="s">
        <v>3182</v>
      </c>
      <c r="D3306" s="1" t="s">
        <v>3388</v>
      </c>
      <c r="E3306" s="1"/>
      <c r="F3306">
        <v>0.4</v>
      </c>
      <c r="G3306">
        <v>2</v>
      </c>
      <c r="H3306">
        <v>-100</v>
      </c>
      <c r="I3306">
        <v>0</v>
      </c>
      <c r="J3306">
        <v>80</v>
      </c>
      <c r="K3306" s="2">
        <v>45737</v>
      </c>
    </row>
    <row r="3307" spans="1:11" x14ac:dyDescent="0.25">
      <c r="A3307" s="1" t="s">
        <v>367</v>
      </c>
      <c r="B3307" s="1"/>
      <c r="C3307" s="1" t="s">
        <v>2872</v>
      </c>
      <c r="D3307" s="1" t="s">
        <v>3388</v>
      </c>
      <c r="E3307" s="1"/>
      <c r="F3307">
        <v>0.4</v>
      </c>
      <c r="G3307">
        <v>1</v>
      </c>
      <c r="H3307">
        <v>-35</v>
      </c>
      <c r="I3307">
        <v>0</v>
      </c>
      <c r="J3307">
        <v>80</v>
      </c>
      <c r="K3307" s="2">
        <v>45737</v>
      </c>
    </row>
    <row r="3308" spans="1:11" x14ac:dyDescent="0.25">
      <c r="A3308" s="1" t="s">
        <v>367</v>
      </c>
      <c r="B3308" s="1"/>
      <c r="C3308" s="1" t="s">
        <v>2873</v>
      </c>
      <c r="D3308" s="1" t="s">
        <v>3473</v>
      </c>
      <c r="E3308" s="1"/>
      <c r="F3308">
        <v>14.8</v>
      </c>
      <c r="G3308">
        <v>28.2</v>
      </c>
      <c r="H3308">
        <v>-850</v>
      </c>
      <c r="I3308">
        <v>3</v>
      </c>
      <c r="J3308">
        <v>77</v>
      </c>
      <c r="K3308" s="2">
        <v>45775</v>
      </c>
    </row>
    <row r="3309" spans="1:11" x14ac:dyDescent="0.25">
      <c r="A3309" s="1" t="s">
        <v>367</v>
      </c>
      <c r="B3309" s="1"/>
      <c r="C3309" s="1" t="s">
        <v>2870</v>
      </c>
      <c r="D3309" s="1" t="s">
        <v>3391</v>
      </c>
      <c r="E3309" s="1"/>
      <c r="F3309">
        <v>0.9</v>
      </c>
      <c r="G3309">
        <v>0</v>
      </c>
      <c r="H3309">
        <v>55</v>
      </c>
      <c r="I3309">
        <v>0</v>
      </c>
      <c r="J3309">
        <v>77</v>
      </c>
      <c r="K3309" s="2">
        <v>45775</v>
      </c>
    </row>
    <row r="3310" spans="1:11" x14ac:dyDescent="0.25">
      <c r="A3310" s="1" t="s">
        <v>367</v>
      </c>
      <c r="B3310" s="1"/>
      <c r="C3310" s="1" t="s">
        <v>3154</v>
      </c>
      <c r="D3310" s="1" t="s">
        <v>3482</v>
      </c>
      <c r="E3310" s="1"/>
      <c r="F3310">
        <v>0</v>
      </c>
      <c r="G3310">
        <v>2</v>
      </c>
      <c r="H3310">
        <v>-125</v>
      </c>
      <c r="I3310">
        <v>0</v>
      </c>
      <c r="J3310">
        <v>19</v>
      </c>
      <c r="K3310" s="2">
        <v>45775</v>
      </c>
    </row>
    <row r="3311" spans="1:11" x14ac:dyDescent="0.25">
      <c r="A3311" s="1" t="s">
        <v>367</v>
      </c>
      <c r="B3311" s="1"/>
      <c r="C3311" s="1" t="s">
        <v>3293</v>
      </c>
      <c r="D3311" s="1" t="s">
        <v>3482</v>
      </c>
      <c r="E3311" s="1"/>
      <c r="F3311">
        <v>0</v>
      </c>
      <c r="G3311">
        <v>2.2999999999999998</v>
      </c>
      <c r="H3311">
        <v>-145</v>
      </c>
      <c r="I3311">
        <v>0</v>
      </c>
      <c r="J3311">
        <v>19</v>
      </c>
      <c r="K3311" s="2">
        <v>45775</v>
      </c>
    </row>
    <row r="3312" spans="1:11" x14ac:dyDescent="0.25">
      <c r="A3312" s="1" t="s">
        <v>367</v>
      </c>
      <c r="B3312" s="1"/>
      <c r="C3312" s="1" t="s">
        <v>2961</v>
      </c>
      <c r="D3312" s="1" t="s">
        <v>3462</v>
      </c>
      <c r="E3312" s="1"/>
      <c r="F3312">
        <v>0</v>
      </c>
      <c r="G3312">
        <v>6.9</v>
      </c>
      <c r="H3312">
        <v>-285</v>
      </c>
      <c r="I3312">
        <v>6</v>
      </c>
      <c r="J3312">
        <v>8</v>
      </c>
      <c r="K3312" s="2">
        <v>45783</v>
      </c>
    </row>
    <row r="3313" spans="1:11" x14ac:dyDescent="0.25">
      <c r="A3313" s="1" t="s">
        <v>367</v>
      </c>
      <c r="B3313" s="1"/>
      <c r="C3313" s="1" t="s">
        <v>2821</v>
      </c>
      <c r="D3313" s="1" t="s">
        <v>3476</v>
      </c>
      <c r="E3313" s="1"/>
      <c r="F3313">
        <v>1.8</v>
      </c>
      <c r="G3313">
        <v>0.5</v>
      </c>
      <c r="H3313">
        <v>95</v>
      </c>
      <c r="I3313">
        <v>0</v>
      </c>
      <c r="J3313">
        <v>71</v>
      </c>
      <c r="K3313" s="2">
        <v>45775</v>
      </c>
    </row>
    <row r="3314" spans="1:11" x14ac:dyDescent="0.25">
      <c r="A3314" s="1" t="s">
        <v>367</v>
      </c>
      <c r="B3314" s="1"/>
      <c r="C3314" s="1" t="s">
        <v>3290</v>
      </c>
      <c r="D3314" s="1" t="s">
        <v>3482</v>
      </c>
      <c r="E3314" s="1"/>
      <c r="F3314">
        <v>14.5</v>
      </c>
      <c r="G3314">
        <v>17.399999999999999</v>
      </c>
      <c r="H3314">
        <v>-175</v>
      </c>
      <c r="I3314">
        <v>0</v>
      </c>
      <c r="J3314">
        <v>71</v>
      </c>
      <c r="K3314" s="2">
        <v>45783</v>
      </c>
    </row>
    <row r="3315" spans="1:11" x14ac:dyDescent="0.25">
      <c r="A3315" s="1" t="s">
        <v>367</v>
      </c>
      <c r="B3315" s="1"/>
      <c r="C3315" s="1" t="s">
        <v>2864</v>
      </c>
      <c r="D3315" s="1" t="s">
        <v>3462</v>
      </c>
      <c r="E3315" s="1"/>
      <c r="F3315">
        <v>1</v>
      </c>
      <c r="G3315">
        <v>0</v>
      </c>
      <c r="H3315">
        <v>45</v>
      </c>
      <c r="I3315">
        <v>0</v>
      </c>
      <c r="J3315">
        <v>8</v>
      </c>
      <c r="K3315" s="2">
        <v>45783</v>
      </c>
    </row>
    <row r="3316" spans="1:11" x14ac:dyDescent="0.25">
      <c r="A3316" s="1" t="s">
        <v>367</v>
      </c>
      <c r="B3316" s="1"/>
      <c r="C3316" s="1" t="s">
        <v>3294</v>
      </c>
      <c r="D3316" s="1" t="s">
        <v>3372</v>
      </c>
      <c r="E3316" s="1"/>
      <c r="F3316">
        <v>1</v>
      </c>
      <c r="G3316">
        <v>0.2</v>
      </c>
      <c r="H3316">
        <v>45</v>
      </c>
      <c r="I3316">
        <v>0</v>
      </c>
      <c r="J3316">
        <v>71</v>
      </c>
      <c r="K3316" s="2">
        <v>45784</v>
      </c>
    </row>
    <row r="3317" spans="1:11" x14ac:dyDescent="0.25">
      <c r="A3317" s="1" t="s">
        <v>367</v>
      </c>
      <c r="B3317" s="1"/>
      <c r="C3317" s="1" t="s">
        <v>2923</v>
      </c>
      <c r="D3317" s="1" t="s">
        <v>3449</v>
      </c>
      <c r="E3317" s="1"/>
      <c r="F3317">
        <v>3.3</v>
      </c>
      <c r="G3317">
        <v>3.5</v>
      </c>
      <c r="H3317">
        <v>-10</v>
      </c>
      <c r="I3317">
        <v>0</v>
      </c>
      <c r="J3317">
        <v>71</v>
      </c>
      <c r="K3317" s="2">
        <v>45784</v>
      </c>
    </row>
    <row r="3318" spans="1:11" x14ac:dyDescent="0.25">
      <c r="A3318" s="1" t="s">
        <v>766</v>
      </c>
      <c r="B3318" s="1"/>
      <c r="C3318" s="1" t="s">
        <v>2808</v>
      </c>
      <c r="D3318" s="1" t="s">
        <v>3370</v>
      </c>
      <c r="E3318" s="1"/>
      <c r="F3318">
        <v>0</v>
      </c>
      <c r="G3318">
        <v>0</v>
      </c>
      <c r="H3318">
        <v>0</v>
      </c>
      <c r="I3318">
        <v>0</v>
      </c>
      <c r="J3318">
        <v>32</v>
      </c>
      <c r="K3318" s="2">
        <v>45775</v>
      </c>
    </row>
    <row r="3319" spans="1:11" x14ac:dyDescent="0.25">
      <c r="A3319" s="1" t="s">
        <v>766</v>
      </c>
      <c r="B3319" s="1"/>
      <c r="C3319" s="1" t="s">
        <v>3182</v>
      </c>
      <c r="D3319" s="1" t="s">
        <v>3388</v>
      </c>
      <c r="E3319" s="1"/>
      <c r="F3319">
        <v>0.5</v>
      </c>
      <c r="G3319">
        <v>1.5</v>
      </c>
      <c r="H3319">
        <v>-65</v>
      </c>
      <c r="I3319">
        <v>0</v>
      </c>
      <c r="J3319">
        <v>32</v>
      </c>
      <c r="K3319" s="2">
        <v>45776</v>
      </c>
    </row>
    <row r="3320" spans="1:11" x14ac:dyDescent="0.25">
      <c r="A3320" s="1" t="s">
        <v>766</v>
      </c>
      <c r="B3320" s="1"/>
      <c r="C3320" s="1" t="s">
        <v>3182</v>
      </c>
      <c r="D3320" s="1" t="s">
        <v>3388</v>
      </c>
      <c r="E3320" s="1"/>
      <c r="F3320">
        <v>0.2</v>
      </c>
      <c r="G3320">
        <v>1.5</v>
      </c>
      <c r="H3320">
        <v>-85</v>
      </c>
      <c r="I3320">
        <v>0</v>
      </c>
      <c r="J3320">
        <v>32</v>
      </c>
      <c r="K3320" s="2">
        <v>45776</v>
      </c>
    </row>
    <row r="3321" spans="1:11" x14ac:dyDescent="0.25">
      <c r="A3321" s="1" t="s">
        <v>766</v>
      </c>
      <c r="B3321" s="1"/>
      <c r="C3321" s="1" t="s">
        <v>2872</v>
      </c>
      <c r="D3321" s="1" t="s">
        <v>3388</v>
      </c>
      <c r="E3321" s="1"/>
      <c r="F3321">
        <v>0.1</v>
      </c>
      <c r="G3321">
        <v>11.6</v>
      </c>
      <c r="H3321">
        <v>-715</v>
      </c>
      <c r="I3321">
        <v>0</v>
      </c>
      <c r="J3321">
        <v>32</v>
      </c>
      <c r="K3321" s="2">
        <v>45776</v>
      </c>
    </row>
    <row r="3322" spans="1:11" x14ac:dyDescent="0.25">
      <c r="A3322" s="1" t="s">
        <v>766</v>
      </c>
      <c r="B3322" s="1"/>
      <c r="C3322" s="1" t="s">
        <v>2873</v>
      </c>
      <c r="D3322" s="1" t="s">
        <v>3473</v>
      </c>
      <c r="E3322" s="1"/>
      <c r="F3322">
        <v>6.8</v>
      </c>
      <c r="G3322">
        <v>16.2</v>
      </c>
      <c r="H3322">
        <v>-585</v>
      </c>
      <c r="I3322">
        <v>0</v>
      </c>
      <c r="J3322">
        <v>32</v>
      </c>
      <c r="K3322" s="2">
        <v>45778</v>
      </c>
    </row>
    <row r="3323" spans="1:11" x14ac:dyDescent="0.25">
      <c r="A3323" s="1" t="s">
        <v>766</v>
      </c>
      <c r="B3323" s="1"/>
      <c r="C3323" s="1" t="s">
        <v>2870</v>
      </c>
      <c r="D3323" s="1" t="s">
        <v>3391</v>
      </c>
      <c r="E3323" s="1"/>
      <c r="F3323">
        <v>0.5</v>
      </c>
      <c r="G3323">
        <v>0</v>
      </c>
      <c r="H3323">
        <v>35</v>
      </c>
      <c r="I3323">
        <v>0</v>
      </c>
      <c r="J3323">
        <v>32</v>
      </c>
      <c r="K3323" s="2">
        <v>45782</v>
      </c>
    </row>
    <row r="3324" spans="1:11" x14ac:dyDescent="0.25">
      <c r="A3324" s="1" t="s">
        <v>932</v>
      </c>
      <c r="B3324" s="1"/>
      <c r="C3324" s="1" t="s">
        <v>2808</v>
      </c>
      <c r="D3324" s="1" t="s">
        <v>3370</v>
      </c>
      <c r="E3324" s="1"/>
      <c r="F3324">
        <v>0</v>
      </c>
      <c r="G3324">
        <v>0</v>
      </c>
      <c r="H3324">
        <v>0</v>
      </c>
      <c r="I3324">
        <v>0</v>
      </c>
      <c r="J3324">
        <v>30</v>
      </c>
      <c r="K3324" s="2">
        <v>45785</v>
      </c>
    </row>
    <row r="3325" spans="1:11" x14ac:dyDescent="0.25">
      <c r="A3325" s="1" t="s">
        <v>932</v>
      </c>
      <c r="B3325" s="1"/>
      <c r="C3325" s="1" t="s">
        <v>3295</v>
      </c>
      <c r="D3325" s="1" t="s">
        <v>3412</v>
      </c>
      <c r="E3325" s="1"/>
      <c r="F3325">
        <v>2.2999999999999998</v>
      </c>
      <c r="G3325">
        <v>1.4</v>
      </c>
      <c r="H3325">
        <v>55</v>
      </c>
      <c r="I3325">
        <v>0</v>
      </c>
      <c r="J3325">
        <v>30</v>
      </c>
      <c r="K3325" s="2">
        <v>45785</v>
      </c>
    </row>
    <row r="3326" spans="1:11" x14ac:dyDescent="0.25">
      <c r="A3326" s="1" t="s">
        <v>932</v>
      </c>
      <c r="B3326" s="1"/>
      <c r="C3326" s="1" t="s">
        <v>3296</v>
      </c>
      <c r="D3326" s="1" t="s">
        <v>3414</v>
      </c>
      <c r="E3326" s="1"/>
      <c r="F3326">
        <v>3.3</v>
      </c>
      <c r="G3326">
        <v>1.5</v>
      </c>
      <c r="H3326">
        <v>110</v>
      </c>
      <c r="I3326">
        <v>0</v>
      </c>
      <c r="J3326">
        <v>30</v>
      </c>
      <c r="K3326" s="2">
        <v>45785</v>
      </c>
    </row>
    <row r="3327" spans="1:11" x14ac:dyDescent="0.25">
      <c r="A3327" s="1" t="s">
        <v>932</v>
      </c>
      <c r="B3327" s="1"/>
      <c r="C3327" s="1" t="s">
        <v>3182</v>
      </c>
      <c r="D3327" s="1" t="s">
        <v>3412</v>
      </c>
      <c r="E3327" s="1"/>
      <c r="F3327">
        <v>1</v>
      </c>
      <c r="G3327">
        <v>1.5</v>
      </c>
      <c r="H3327">
        <v>-30</v>
      </c>
      <c r="I3327">
        <v>0</v>
      </c>
      <c r="J3327">
        <v>30</v>
      </c>
      <c r="K3327" s="2">
        <v>45785</v>
      </c>
    </row>
    <row r="3328" spans="1:11" x14ac:dyDescent="0.25">
      <c r="A3328" s="1" t="s">
        <v>932</v>
      </c>
      <c r="B3328" s="1"/>
      <c r="C3328" s="1" t="s">
        <v>2872</v>
      </c>
      <c r="D3328" s="1" t="s">
        <v>3388</v>
      </c>
      <c r="E3328" s="1"/>
      <c r="F3328">
        <v>0.9</v>
      </c>
      <c r="G3328">
        <v>3.1</v>
      </c>
      <c r="H3328">
        <v>-140</v>
      </c>
      <c r="I3328">
        <v>0</v>
      </c>
      <c r="J3328">
        <v>30</v>
      </c>
      <c r="K3328" s="2">
        <v>45786</v>
      </c>
    </row>
    <row r="3329" spans="1:11" x14ac:dyDescent="0.25">
      <c r="A3329" s="1" t="s">
        <v>571</v>
      </c>
      <c r="B3329" s="1"/>
      <c r="C3329" s="1" t="s">
        <v>2808</v>
      </c>
      <c r="D3329" s="1" t="s">
        <v>3490</v>
      </c>
      <c r="E3329" s="1"/>
      <c r="F3329">
        <v>0</v>
      </c>
      <c r="G3329">
        <v>3.9</v>
      </c>
      <c r="H3329">
        <v>0</v>
      </c>
      <c r="I3329">
        <v>0</v>
      </c>
      <c r="J3329">
        <v>64.239999999999995</v>
      </c>
      <c r="K3329" s="2">
        <v>45777</v>
      </c>
    </row>
    <row r="3330" spans="1:11" x14ac:dyDescent="0.25">
      <c r="A3330" s="1" t="s">
        <v>571</v>
      </c>
      <c r="B3330" s="1"/>
      <c r="C3330" s="1" t="s">
        <v>3297</v>
      </c>
      <c r="D3330" s="1" t="s">
        <v>3494</v>
      </c>
      <c r="E3330" s="1"/>
      <c r="F3330">
        <v>0.9</v>
      </c>
      <c r="G3330">
        <v>11</v>
      </c>
      <c r="H3330">
        <v>-585</v>
      </c>
      <c r="I3330">
        <v>0.3</v>
      </c>
      <c r="J3330">
        <v>63.9</v>
      </c>
      <c r="K3330" s="2">
        <v>45778</v>
      </c>
    </row>
    <row r="3331" spans="1:11" x14ac:dyDescent="0.25">
      <c r="A3331" s="1" t="s">
        <v>571</v>
      </c>
      <c r="B3331" s="1"/>
      <c r="C3331" s="1" t="s">
        <v>3298</v>
      </c>
      <c r="D3331" s="1" t="s">
        <v>3492</v>
      </c>
      <c r="E3331" s="1"/>
      <c r="F3331">
        <v>0.1</v>
      </c>
      <c r="G3331">
        <v>0.1</v>
      </c>
      <c r="H3331">
        <v>10</v>
      </c>
      <c r="I3331">
        <v>0</v>
      </c>
      <c r="J3331">
        <v>63.94</v>
      </c>
      <c r="K3331" s="2">
        <v>45783</v>
      </c>
    </row>
    <row r="3332" spans="1:11" x14ac:dyDescent="0.25">
      <c r="A3332" s="1" t="s">
        <v>360</v>
      </c>
      <c r="B3332" s="1"/>
      <c r="C3332" s="1" t="s">
        <v>3285</v>
      </c>
      <c r="D3332" s="1" t="s">
        <v>3490</v>
      </c>
      <c r="E3332" s="1"/>
      <c r="F3332">
        <v>0</v>
      </c>
      <c r="G3332">
        <v>1.9</v>
      </c>
      <c r="H3332">
        <v>0</v>
      </c>
      <c r="I3332">
        <v>0</v>
      </c>
      <c r="J3332">
        <v>54.6</v>
      </c>
      <c r="K3332" s="2">
        <v>45747</v>
      </c>
    </row>
    <row r="3333" spans="1:11" x14ac:dyDescent="0.25">
      <c r="A3333" s="1" t="s">
        <v>360</v>
      </c>
      <c r="B3333" s="1"/>
      <c r="C3333" s="1" t="s">
        <v>3286</v>
      </c>
      <c r="D3333" s="1" t="s">
        <v>3491</v>
      </c>
      <c r="E3333" s="1"/>
      <c r="F3333">
        <v>0</v>
      </c>
      <c r="G3333">
        <v>2.8</v>
      </c>
      <c r="H3333">
        <v>-160</v>
      </c>
      <c r="I3333">
        <v>0.3</v>
      </c>
      <c r="J3333">
        <v>54.3</v>
      </c>
      <c r="K3333" s="2">
        <v>45747</v>
      </c>
    </row>
    <row r="3334" spans="1:11" x14ac:dyDescent="0.25">
      <c r="A3334" s="1" t="s">
        <v>360</v>
      </c>
      <c r="B3334" s="1"/>
      <c r="C3334" s="1" t="s">
        <v>3299</v>
      </c>
      <c r="D3334" s="1" t="s">
        <v>3492</v>
      </c>
      <c r="E3334" s="1"/>
      <c r="F3334">
        <v>0</v>
      </c>
      <c r="G3334">
        <v>0</v>
      </c>
      <c r="H3334">
        <v>0</v>
      </c>
      <c r="I3334">
        <v>0</v>
      </c>
      <c r="J3334">
        <v>54.3</v>
      </c>
      <c r="K3334" s="2">
        <v>45749</v>
      </c>
    </row>
    <row r="3335" spans="1:11" x14ac:dyDescent="0.25">
      <c r="A3335" s="1" t="s">
        <v>466</v>
      </c>
      <c r="B3335" s="1"/>
      <c r="C3335" s="1" t="s">
        <v>2808</v>
      </c>
      <c r="D3335" s="1" t="s">
        <v>3490</v>
      </c>
      <c r="E3335" s="1"/>
      <c r="F3335">
        <v>0</v>
      </c>
      <c r="G3335">
        <v>2.6</v>
      </c>
      <c r="H3335">
        <v>0</v>
      </c>
      <c r="I3335">
        <v>0</v>
      </c>
      <c r="J3335">
        <v>19.100000000000001</v>
      </c>
      <c r="K3335" s="2">
        <v>45765</v>
      </c>
    </row>
    <row r="3336" spans="1:11" x14ac:dyDescent="0.25">
      <c r="A3336" s="1" t="s">
        <v>466</v>
      </c>
      <c r="B3336" s="1"/>
      <c r="C3336" s="1" t="s">
        <v>3297</v>
      </c>
      <c r="D3336" s="1" t="s">
        <v>3494</v>
      </c>
      <c r="E3336" s="1"/>
      <c r="F3336">
        <v>0.2</v>
      </c>
      <c r="G3336">
        <v>8</v>
      </c>
      <c r="H3336">
        <v>-445</v>
      </c>
      <c r="I3336">
        <v>0.3</v>
      </c>
      <c r="J3336">
        <v>14.7</v>
      </c>
      <c r="K3336" s="2">
        <v>45765</v>
      </c>
    </row>
    <row r="3337" spans="1:11" x14ac:dyDescent="0.25">
      <c r="A3337" s="1" t="s">
        <v>466</v>
      </c>
      <c r="B3337" s="1"/>
      <c r="C3337" s="1" t="s">
        <v>3298</v>
      </c>
      <c r="D3337" s="1" t="s">
        <v>3492</v>
      </c>
      <c r="E3337" s="1"/>
      <c r="F3337">
        <v>0</v>
      </c>
      <c r="G3337">
        <v>0.2</v>
      </c>
      <c r="H3337">
        <v>-15</v>
      </c>
      <c r="I3337">
        <v>14.7</v>
      </c>
      <c r="J3337">
        <v>0</v>
      </c>
      <c r="K3337" s="2">
        <v>45775</v>
      </c>
    </row>
    <row r="3338" spans="1:11" x14ac:dyDescent="0.25">
      <c r="A3338" s="1" t="s">
        <v>778</v>
      </c>
      <c r="B3338" s="1"/>
      <c r="C3338" s="1" t="s">
        <v>2808</v>
      </c>
      <c r="D3338" s="1" t="s">
        <v>3490</v>
      </c>
      <c r="E3338" s="1"/>
      <c r="F3338">
        <v>0</v>
      </c>
      <c r="G3338">
        <v>4.9000000000000004</v>
      </c>
      <c r="H3338">
        <v>0</v>
      </c>
      <c r="I3338">
        <v>0</v>
      </c>
      <c r="J3338">
        <v>19.18</v>
      </c>
      <c r="K3338" s="2">
        <v>45778</v>
      </c>
    </row>
    <row r="3339" spans="1:11" x14ac:dyDescent="0.25">
      <c r="A3339" s="1" t="s">
        <v>778</v>
      </c>
      <c r="B3339" s="1"/>
      <c r="C3339" s="1" t="s">
        <v>3297</v>
      </c>
      <c r="D3339" s="1" t="s">
        <v>3494</v>
      </c>
      <c r="E3339" s="1"/>
      <c r="F3339">
        <v>0.2</v>
      </c>
      <c r="G3339">
        <v>0.9</v>
      </c>
      <c r="H3339">
        <v>-40</v>
      </c>
      <c r="I3339">
        <v>0.3</v>
      </c>
      <c r="J3339">
        <v>18.88</v>
      </c>
      <c r="K3339" s="2">
        <v>45778</v>
      </c>
    </row>
    <row r="3340" spans="1:11" x14ac:dyDescent="0.25">
      <c r="A3340" s="1" t="s">
        <v>851</v>
      </c>
      <c r="B3340" s="1"/>
      <c r="C3340" s="1" t="s">
        <v>3285</v>
      </c>
      <c r="D3340" s="1" t="s">
        <v>3490</v>
      </c>
      <c r="E3340" s="1"/>
      <c r="F3340">
        <v>0</v>
      </c>
      <c r="G3340">
        <v>0</v>
      </c>
      <c r="H3340">
        <v>0</v>
      </c>
      <c r="I3340">
        <v>0</v>
      </c>
      <c r="J3340">
        <v>18.55</v>
      </c>
      <c r="K3340" s="2">
        <v>45779</v>
      </c>
    </row>
    <row r="3341" spans="1:11" x14ac:dyDescent="0.25">
      <c r="A3341" s="1" t="s">
        <v>851</v>
      </c>
      <c r="B3341" s="1"/>
      <c r="C3341" s="1" t="s">
        <v>3286</v>
      </c>
      <c r="D3341" s="1" t="s">
        <v>3491</v>
      </c>
      <c r="E3341" s="1"/>
      <c r="F3341">
        <v>0</v>
      </c>
      <c r="G3341">
        <v>1</v>
      </c>
      <c r="H3341">
        <v>-55</v>
      </c>
      <c r="I3341">
        <v>0.3</v>
      </c>
      <c r="J3341">
        <v>18.2</v>
      </c>
      <c r="K3341" s="2">
        <v>45779</v>
      </c>
    </row>
    <row r="3342" spans="1:11" x14ac:dyDescent="0.25">
      <c r="A3342" s="1" t="s">
        <v>851</v>
      </c>
      <c r="B3342" s="1"/>
      <c r="C3342" s="1" t="s">
        <v>3287</v>
      </c>
      <c r="D3342" s="1" t="s">
        <v>3492</v>
      </c>
      <c r="E3342" s="1"/>
      <c r="F3342">
        <v>0</v>
      </c>
      <c r="G3342">
        <v>0</v>
      </c>
      <c r="H3342">
        <v>0</v>
      </c>
      <c r="I3342">
        <v>0</v>
      </c>
      <c r="J3342">
        <v>18.25</v>
      </c>
      <c r="K3342" s="2">
        <v>45783</v>
      </c>
    </row>
    <row r="3343" spans="1:11" x14ac:dyDescent="0.25">
      <c r="A3343" s="1" t="s">
        <v>328</v>
      </c>
      <c r="B3343" s="1"/>
      <c r="C3343" s="1" t="s">
        <v>3285</v>
      </c>
      <c r="D3343" s="1" t="s">
        <v>3490</v>
      </c>
      <c r="E3343" s="1"/>
      <c r="F3343">
        <v>0</v>
      </c>
      <c r="G3343">
        <v>3.4</v>
      </c>
      <c r="H3343">
        <v>0</v>
      </c>
      <c r="I3343">
        <v>0</v>
      </c>
      <c r="J3343">
        <v>17.57</v>
      </c>
      <c r="K3343" s="2">
        <v>45729</v>
      </c>
    </row>
    <row r="3344" spans="1:11" x14ac:dyDescent="0.25">
      <c r="A3344" s="1" t="s">
        <v>328</v>
      </c>
      <c r="B3344" s="1"/>
      <c r="C3344" s="1" t="s">
        <v>3286</v>
      </c>
      <c r="D3344" s="1" t="s">
        <v>3491</v>
      </c>
      <c r="E3344" s="1"/>
      <c r="F3344">
        <v>0</v>
      </c>
      <c r="G3344">
        <v>0.8</v>
      </c>
      <c r="H3344">
        <v>-45</v>
      </c>
      <c r="I3344">
        <v>0.3</v>
      </c>
      <c r="J3344">
        <v>17.27</v>
      </c>
      <c r="K3344" s="2">
        <v>45729</v>
      </c>
    </row>
    <row r="3345" spans="1:11" x14ac:dyDescent="0.25">
      <c r="A3345" s="1" t="s">
        <v>328</v>
      </c>
      <c r="B3345" s="1"/>
      <c r="C3345" s="1" t="s">
        <v>3300</v>
      </c>
      <c r="D3345" s="1" t="s">
        <v>3492</v>
      </c>
      <c r="E3345" s="1"/>
      <c r="F3345">
        <v>0</v>
      </c>
      <c r="G3345">
        <v>0</v>
      </c>
      <c r="H3345">
        <v>0</v>
      </c>
      <c r="I3345">
        <v>17.27</v>
      </c>
      <c r="J3345">
        <v>0</v>
      </c>
      <c r="K3345" s="2">
        <v>45730</v>
      </c>
    </row>
    <row r="3346" spans="1:11" x14ac:dyDescent="0.25">
      <c r="A3346" s="1" t="s">
        <v>396</v>
      </c>
      <c r="B3346" s="1"/>
      <c r="C3346" s="1" t="s">
        <v>3285</v>
      </c>
      <c r="D3346" s="1" t="s">
        <v>3490</v>
      </c>
      <c r="E3346" s="1"/>
      <c r="F3346">
        <v>0</v>
      </c>
      <c r="G3346">
        <v>0.3</v>
      </c>
      <c r="H3346">
        <v>0</v>
      </c>
      <c r="I3346">
        <v>0</v>
      </c>
      <c r="J3346">
        <v>25.33</v>
      </c>
      <c r="K3346" s="2">
        <v>45750</v>
      </c>
    </row>
    <row r="3347" spans="1:11" x14ac:dyDescent="0.25">
      <c r="A3347" s="1" t="s">
        <v>396</v>
      </c>
      <c r="B3347" s="1"/>
      <c r="C3347" s="1" t="s">
        <v>3286</v>
      </c>
      <c r="D3347" s="1" t="s">
        <v>3491</v>
      </c>
      <c r="E3347" s="1"/>
      <c r="F3347">
        <v>0</v>
      </c>
      <c r="G3347">
        <v>8.6999999999999993</v>
      </c>
      <c r="H3347">
        <v>-500</v>
      </c>
      <c r="I3347">
        <v>0.9</v>
      </c>
      <c r="J3347">
        <v>24.4</v>
      </c>
      <c r="K3347" s="2">
        <v>45756</v>
      </c>
    </row>
    <row r="3348" spans="1:11" x14ac:dyDescent="0.25">
      <c r="A3348" s="1" t="s">
        <v>396</v>
      </c>
      <c r="B3348" s="1"/>
      <c r="C3348" s="1" t="s">
        <v>3300</v>
      </c>
      <c r="D3348" s="1" t="s">
        <v>3492</v>
      </c>
      <c r="E3348" s="1"/>
      <c r="F3348">
        <v>0</v>
      </c>
      <c r="G3348">
        <v>0</v>
      </c>
      <c r="H3348">
        <v>0</v>
      </c>
      <c r="I3348">
        <v>0</v>
      </c>
      <c r="J3348">
        <v>23.8</v>
      </c>
      <c r="K3348" s="2">
        <v>45758</v>
      </c>
    </row>
    <row r="3349" spans="1:11" x14ac:dyDescent="0.25">
      <c r="A3349" s="1" t="s">
        <v>553</v>
      </c>
      <c r="B3349" s="1"/>
      <c r="C3349" s="1" t="s">
        <v>3285</v>
      </c>
      <c r="D3349" s="1" t="s">
        <v>3490</v>
      </c>
      <c r="E3349" s="1"/>
      <c r="F3349">
        <v>0</v>
      </c>
      <c r="G3349">
        <v>0</v>
      </c>
      <c r="H3349">
        <v>0</v>
      </c>
      <c r="I3349">
        <v>0</v>
      </c>
      <c r="J3349">
        <v>40.21</v>
      </c>
      <c r="K3349" s="2">
        <v>45756</v>
      </c>
    </row>
    <row r="3350" spans="1:11" x14ac:dyDescent="0.25">
      <c r="A3350" s="1" t="s">
        <v>553</v>
      </c>
      <c r="B3350" s="1"/>
      <c r="C3350" s="1" t="s">
        <v>3301</v>
      </c>
      <c r="D3350" s="1" t="s">
        <v>3494</v>
      </c>
      <c r="E3350" s="1"/>
      <c r="F3350">
        <v>0</v>
      </c>
      <c r="G3350">
        <v>0</v>
      </c>
      <c r="H3350">
        <v>0</v>
      </c>
      <c r="I3350">
        <v>0.3</v>
      </c>
      <c r="J3350">
        <v>39.909999999999997</v>
      </c>
      <c r="K3350" s="2">
        <v>45756</v>
      </c>
    </row>
    <row r="3351" spans="1:11" x14ac:dyDescent="0.25">
      <c r="A3351" s="1" t="s">
        <v>553</v>
      </c>
      <c r="B3351" s="1"/>
      <c r="C3351" s="1" t="s">
        <v>3302</v>
      </c>
      <c r="D3351" s="1" t="s">
        <v>3492</v>
      </c>
      <c r="E3351" s="1"/>
      <c r="F3351">
        <v>0</v>
      </c>
      <c r="G3351">
        <v>0</v>
      </c>
      <c r="H3351">
        <v>0</v>
      </c>
      <c r="I3351">
        <v>0</v>
      </c>
      <c r="J3351">
        <v>39.909999999999997</v>
      </c>
      <c r="K3351" s="2">
        <v>45757</v>
      </c>
    </row>
    <row r="3352" spans="1:11" x14ac:dyDescent="0.25">
      <c r="A3352" s="1" t="s">
        <v>651</v>
      </c>
      <c r="B3352" s="1"/>
      <c r="C3352" s="1" t="s">
        <v>3303</v>
      </c>
      <c r="D3352" s="1" t="s">
        <v>3495</v>
      </c>
      <c r="E3352" s="1"/>
      <c r="F3352">
        <v>0</v>
      </c>
      <c r="G3352">
        <v>0</v>
      </c>
      <c r="H3352">
        <v>0</v>
      </c>
      <c r="I3352">
        <v>0</v>
      </c>
      <c r="J3352">
        <v>9297.57</v>
      </c>
      <c r="K3352" s="2">
        <v>45775</v>
      </c>
    </row>
    <row r="3353" spans="1:11" x14ac:dyDescent="0.25">
      <c r="A3353" s="1" t="s">
        <v>651</v>
      </c>
      <c r="B3353" s="1"/>
      <c r="C3353" s="1" t="s">
        <v>3304</v>
      </c>
      <c r="D3353" s="1" t="s">
        <v>3495</v>
      </c>
      <c r="E3353" s="1"/>
      <c r="F3353">
        <v>1.5</v>
      </c>
      <c r="G3353">
        <v>0</v>
      </c>
      <c r="H3353">
        <v>95</v>
      </c>
      <c r="I3353">
        <v>0</v>
      </c>
      <c r="J3353">
        <v>9297.57</v>
      </c>
      <c r="K3353" s="2">
        <v>45775</v>
      </c>
    </row>
    <row r="3354" spans="1:11" x14ac:dyDescent="0.25">
      <c r="A3354" s="1" t="s">
        <v>651</v>
      </c>
      <c r="B3354" s="1"/>
      <c r="C3354" s="1" t="s">
        <v>3305</v>
      </c>
      <c r="D3354" s="1" t="s">
        <v>3492</v>
      </c>
      <c r="E3354" s="1"/>
      <c r="F3354">
        <v>1.5</v>
      </c>
      <c r="G3354">
        <v>0</v>
      </c>
      <c r="H3354">
        <v>155</v>
      </c>
      <c r="I3354">
        <v>0</v>
      </c>
      <c r="J3354">
        <v>9297.57</v>
      </c>
      <c r="K3354" s="2">
        <v>45772</v>
      </c>
    </row>
    <row r="3355" spans="1:11" x14ac:dyDescent="0.25">
      <c r="A3355" s="1" t="s">
        <v>831</v>
      </c>
      <c r="B3355" s="1"/>
      <c r="C3355" s="1" t="s">
        <v>3303</v>
      </c>
      <c r="D3355" s="1" t="s">
        <v>3495</v>
      </c>
      <c r="E3355" s="1"/>
      <c r="F3355">
        <v>0</v>
      </c>
      <c r="G3355">
        <v>0</v>
      </c>
      <c r="H3355">
        <v>0</v>
      </c>
      <c r="I3355">
        <v>0</v>
      </c>
      <c r="J3355">
        <v>9297.57</v>
      </c>
      <c r="K3355" s="2">
        <v>45779</v>
      </c>
    </row>
    <row r="3356" spans="1:11" x14ac:dyDescent="0.25">
      <c r="A3356" s="1" t="s">
        <v>831</v>
      </c>
      <c r="B3356" s="1"/>
      <c r="C3356" s="1" t="s">
        <v>3304</v>
      </c>
      <c r="D3356" s="1" t="s">
        <v>3495</v>
      </c>
      <c r="E3356" s="1"/>
      <c r="F3356">
        <v>1.5</v>
      </c>
      <c r="G3356">
        <v>0.2</v>
      </c>
      <c r="H3356">
        <v>85</v>
      </c>
      <c r="I3356">
        <v>10.57</v>
      </c>
      <c r="J3356">
        <v>9287</v>
      </c>
      <c r="K3356" s="2">
        <v>45782</v>
      </c>
    </row>
    <row r="3357" spans="1:11" x14ac:dyDescent="0.25">
      <c r="A3357" s="1" t="s">
        <v>831</v>
      </c>
      <c r="B3357" s="1"/>
      <c r="C3357" s="1" t="s">
        <v>3305</v>
      </c>
      <c r="D3357" s="1" t="s">
        <v>3492</v>
      </c>
      <c r="E3357" s="1"/>
      <c r="F3357">
        <v>1.5</v>
      </c>
      <c r="G3357">
        <v>0</v>
      </c>
      <c r="H3357">
        <v>160</v>
      </c>
      <c r="I3357">
        <v>0</v>
      </c>
      <c r="J3357">
        <v>9287</v>
      </c>
      <c r="K3357" s="2">
        <v>45782</v>
      </c>
    </row>
    <row r="3358" spans="1:11" x14ac:dyDescent="0.25">
      <c r="A3358" s="1" t="s">
        <v>952</v>
      </c>
      <c r="B3358" s="1"/>
      <c r="C3358" s="1" t="s">
        <v>3303</v>
      </c>
      <c r="D3358" s="1" t="s">
        <v>3495</v>
      </c>
      <c r="E3358" s="1"/>
      <c r="F3358">
        <v>0</v>
      </c>
      <c r="G3358">
        <v>0.2</v>
      </c>
      <c r="H3358">
        <v>-10</v>
      </c>
      <c r="I3358">
        <v>0</v>
      </c>
      <c r="J3358">
        <v>9297.57</v>
      </c>
      <c r="K3358" s="2">
        <v>45786</v>
      </c>
    </row>
    <row r="3359" spans="1:11" x14ac:dyDescent="0.25">
      <c r="A3359" s="1" t="s">
        <v>952</v>
      </c>
      <c r="B3359" s="1"/>
      <c r="C3359" s="1" t="s">
        <v>3304</v>
      </c>
      <c r="D3359" s="1" t="s">
        <v>3495</v>
      </c>
      <c r="E3359" s="1"/>
      <c r="F3359">
        <v>1.5</v>
      </c>
      <c r="G3359">
        <v>0.2</v>
      </c>
      <c r="H3359">
        <v>85</v>
      </c>
      <c r="I3359">
        <v>0</v>
      </c>
      <c r="J3359">
        <v>9297.57</v>
      </c>
      <c r="K3359" s="2">
        <v>45786</v>
      </c>
    </row>
    <row r="3360" spans="1:11" x14ac:dyDescent="0.25">
      <c r="A3360" s="1" t="s">
        <v>828</v>
      </c>
      <c r="B3360" s="1"/>
      <c r="C3360" s="1" t="s">
        <v>2808</v>
      </c>
      <c r="D3360" s="1" t="s">
        <v>3490</v>
      </c>
      <c r="E3360" s="1"/>
      <c r="F3360">
        <v>0</v>
      </c>
      <c r="G3360">
        <v>2.7</v>
      </c>
      <c r="H3360">
        <v>0</v>
      </c>
      <c r="I3360">
        <v>0</v>
      </c>
      <c r="J3360">
        <v>18.45</v>
      </c>
      <c r="K3360" s="2">
        <v>45784</v>
      </c>
    </row>
    <row r="3361" spans="1:11" x14ac:dyDescent="0.25">
      <c r="A3361" s="1" t="s">
        <v>828</v>
      </c>
      <c r="B3361" s="1"/>
      <c r="C3361" s="1" t="s">
        <v>3297</v>
      </c>
      <c r="D3361" s="1" t="s">
        <v>3494</v>
      </c>
      <c r="E3361" s="1"/>
      <c r="F3361">
        <v>0.3</v>
      </c>
      <c r="G3361">
        <v>2.1</v>
      </c>
      <c r="H3361">
        <v>-100</v>
      </c>
      <c r="I3361">
        <v>0.3</v>
      </c>
      <c r="J3361">
        <v>18.149999999999999</v>
      </c>
      <c r="K3361" s="2">
        <v>45784</v>
      </c>
    </row>
    <row r="3362" spans="1:11" x14ac:dyDescent="0.25">
      <c r="A3362" s="1" t="s">
        <v>828</v>
      </c>
      <c r="B3362" s="1"/>
      <c r="C3362" s="1" t="s">
        <v>3298</v>
      </c>
      <c r="D3362" s="1" t="s">
        <v>3492</v>
      </c>
      <c r="E3362" s="1"/>
      <c r="F3362">
        <v>0</v>
      </c>
      <c r="G3362">
        <v>0</v>
      </c>
      <c r="H3362">
        <v>5</v>
      </c>
      <c r="I3362">
        <v>0</v>
      </c>
      <c r="J3362">
        <v>18.149999999999999</v>
      </c>
      <c r="K3362" s="2">
        <v>45786</v>
      </c>
    </row>
    <row r="3363" spans="1:11" x14ac:dyDescent="0.25">
      <c r="A3363" s="1" t="s">
        <v>862</v>
      </c>
      <c r="B3363" s="1"/>
      <c r="C3363" s="1" t="s">
        <v>2808</v>
      </c>
      <c r="D3363" s="1" t="s">
        <v>3490</v>
      </c>
      <c r="E3363" s="1"/>
      <c r="F3363">
        <v>0</v>
      </c>
      <c r="G3363">
        <v>1.8</v>
      </c>
      <c r="H3363">
        <v>0</v>
      </c>
      <c r="I3363">
        <v>0</v>
      </c>
      <c r="J3363">
        <v>60</v>
      </c>
      <c r="K3363" s="2">
        <v>45783</v>
      </c>
    </row>
    <row r="3364" spans="1:11" x14ac:dyDescent="0.25">
      <c r="A3364" s="1" t="s">
        <v>862</v>
      </c>
      <c r="B3364" s="1"/>
      <c r="C3364" s="1" t="s">
        <v>3297</v>
      </c>
      <c r="D3364" s="1" t="s">
        <v>3494</v>
      </c>
      <c r="E3364" s="1"/>
      <c r="F3364">
        <v>1.2</v>
      </c>
      <c r="G3364">
        <v>0</v>
      </c>
      <c r="H3364">
        <v>70</v>
      </c>
      <c r="I3364">
        <v>0.3</v>
      </c>
      <c r="J3364">
        <v>59.7</v>
      </c>
      <c r="K3364" s="2">
        <v>45783</v>
      </c>
    </row>
    <row r="3365" spans="1:11" x14ac:dyDescent="0.25">
      <c r="A3365" s="1" t="s">
        <v>863</v>
      </c>
      <c r="B3365" s="1"/>
      <c r="C3365" s="1" t="s">
        <v>2808</v>
      </c>
      <c r="D3365" s="1" t="s">
        <v>3490</v>
      </c>
      <c r="E3365" s="1"/>
      <c r="F3365">
        <v>0</v>
      </c>
      <c r="G3365">
        <v>6.2</v>
      </c>
      <c r="H3365">
        <v>0</v>
      </c>
      <c r="I3365">
        <v>0</v>
      </c>
      <c r="J3365">
        <v>60</v>
      </c>
      <c r="K3365" s="2">
        <v>45789</v>
      </c>
    </row>
    <row r="3366" spans="1:11" x14ac:dyDescent="0.25">
      <c r="A3366" s="1" t="s">
        <v>284</v>
      </c>
      <c r="B3366" s="1"/>
      <c r="C3366" s="1" t="s">
        <v>3306</v>
      </c>
      <c r="D3366" s="1" t="s">
        <v>3469</v>
      </c>
      <c r="E3366" s="1"/>
      <c r="F3366">
        <v>0.5</v>
      </c>
      <c r="G3366">
        <v>0.7</v>
      </c>
      <c r="H3366">
        <v>-10</v>
      </c>
      <c r="I3366">
        <v>3</v>
      </c>
      <c r="J3366">
        <v>59.7</v>
      </c>
      <c r="K3366" s="2">
        <v>45737</v>
      </c>
    </row>
    <row r="3367" spans="1:11" x14ac:dyDescent="0.25">
      <c r="A3367" s="1" t="s">
        <v>740</v>
      </c>
      <c r="B3367" s="1"/>
      <c r="C3367" s="1" t="s">
        <v>2808</v>
      </c>
      <c r="D3367" s="1" t="s">
        <v>3496</v>
      </c>
      <c r="E3367" s="1"/>
      <c r="F3367">
        <v>0</v>
      </c>
      <c r="G3367">
        <v>2.4</v>
      </c>
      <c r="H3367">
        <v>-135</v>
      </c>
      <c r="I3367">
        <v>0</v>
      </c>
      <c r="J3367">
        <v>60</v>
      </c>
      <c r="K3367" s="2">
        <v>45771</v>
      </c>
    </row>
    <row r="3368" spans="1:11" x14ac:dyDescent="0.25">
      <c r="A3368" s="1" t="s">
        <v>740</v>
      </c>
      <c r="B3368" s="1"/>
      <c r="C3368" s="1" t="s">
        <v>3306</v>
      </c>
      <c r="D3368" s="1" t="s">
        <v>3469</v>
      </c>
      <c r="E3368" s="1"/>
      <c r="F3368">
        <v>0.5</v>
      </c>
      <c r="G3368">
        <v>2</v>
      </c>
      <c r="H3368">
        <v>-85</v>
      </c>
      <c r="I3368">
        <v>0.3</v>
      </c>
      <c r="J3368">
        <v>59.7</v>
      </c>
      <c r="K3368" s="2">
        <v>45771</v>
      </c>
    </row>
    <row r="3369" spans="1:11" x14ac:dyDescent="0.25">
      <c r="A3369" s="1" t="s">
        <v>740</v>
      </c>
      <c r="B3369" s="1"/>
      <c r="C3369" s="1" t="s">
        <v>3298</v>
      </c>
      <c r="D3369" s="1" t="s">
        <v>3492</v>
      </c>
      <c r="E3369" s="1"/>
      <c r="F3369">
        <v>0.2</v>
      </c>
      <c r="G3369">
        <v>0</v>
      </c>
      <c r="H3369">
        <v>25</v>
      </c>
      <c r="I3369">
        <v>0</v>
      </c>
      <c r="J3369">
        <v>59.7</v>
      </c>
      <c r="K3369" s="2">
        <v>45776</v>
      </c>
    </row>
    <row r="3370" spans="1:11" x14ac:dyDescent="0.25">
      <c r="A3370" s="1" t="s">
        <v>901</v>
      </c>
      <c r="B3370" s="1"/>
      <c r="C3370" s="1" t="s">
        <v>2808</v>
      </c>
      <c r="D3370" s="1" t="s">
        <v>3496</v>
      </c>
      <c r="E3370" s="1"/>
      <c r="F3370">
        <v>0</v>
      </c>
      <c r="G3370">
        <v>0.4</v>
      </c>
      <c r="H3370">
        <v>-20</v>
      </c>
      <c r="I3370">
        <v>0</v>
      </c>
      <c r="J3370">
        <v>60</v>
      </c>
      <c r="K3370" s="2">
        <v>45786</v>
      </c>
    </row>
    <row r="3371" spans="1:11" x14ac:dyDescent="0.25">
      <c r="A3371" s="1" t="s">
        <v>901</v>
      </c>
      <c r="B3371" s="1"/>
      <c r="C3371" s="1" t="s">
        <v>3306</v>
      </c>
      <c r="D3371" s="1" t="s">
        <v>3469</v>
      </c>
      <c r="E3371" s="1"/>
      <c r="F3371">
        <v>0.5</v>
      </c>
      <c r="G3371">
        <v>0.8</v>
      </c>
      <c r="H3371">
        <v>-15</v>
      </c>
      <c r="I3371">
        <v>0.3</v>
      </c>
      <c r="J3371">
        <v>59.7</v>
      </c>
      <c r="K3371" s="2">
        <v>45786</v>
      </c>
    </row>
    <row r="3372" spans="1:11" x14ac:dyDescent="0.25">
      <c r="A3372" s="1" t="s">
        <v>667</v>
      </c>
      <c r="B3372" s="1"/>
      <c r="C3372" s="1" t="s">
        <v>2808</v>
      </c>
      <c r="D3372" s="1" t="s">
        <v>3496</v>
      </c>
      <c r="E3372" s="1"/>
      <c r="F3372">
        <v>0</v>
      </c>
      <c r="G3372">
        <v>0.2</v>
      </c>
      <c r="H3372">
        <v>-5</v>
      </c>
      <c r="I3372">
        <v>0</v>
      </c>
      <c r="J3372">
        <v>50</v>
      </c>
      <c r="K3372" s="2">
        <v>45782</v>
      </c>
    </row>
    <row r="3373" spans="1:11" x14ac:dyDescent="0.25">
      <c r="A3373" s="1" t="s">
        <v>667</v>
      </c>
      <c r="B3373" s="1"/>
      <c r="C3373" s="1" t="s">
        <v>3306</v>
      </c>
      <c r="D3373" s="1" t="s">
        <v>3469</v>
      </c>
      <c r="E3373" s="1"/>
      <c r="F3373">
        <v>0.5</v>
      </c>
      <c r="G3373">
        <v>0.4</v>
      </c>
      <c r="H3373">
        <v>5</v>
      </c>
      <c r="I3373">
        <v>0.3</v>
      </c>
      <c r="J3373">
        <v>49.7</v>
      </c>
      <c r="K3373" s="2">
        <v>45782</v>
      </c>
    </row>
    <row r="3374" spans="1:11" x14ac:dyDescent="0.25">
      <c r="A3374" s="1" t="s">
        <v>667</v>
      </c>
      <c r="B3374" s="1"/>
      <c r="C3374" s="1" t="s">
        <v>3298</v>
      </c>
      <c r="D3374" s="1" t="s">
        <v>3492</v>
      </c>
      <c r="E3374" s="1"/>
      <c r="F3374">
        <v>0.2</v>
      </c>
      <c r="G3374">
        <v>0</v>
      </c>
      <c r="H3374">
        <v>25</v>
      </c>
      <c r="I3374">
        <v>0</v>
      </c>
      <c r="J3374">
        <v>49.7</v>
      </c>
      <c r="K3374" s="2">
        <v>45783</v>
      </c>
    </row>
    <row r="3375" spans="1:11" x14ac:dyDescent="0.25">
      <c r="A3375" s="1" t="s">
        <v>668</v>
      </c>
      <c r="B3375" s="1"/>
      <c r="C3375" s="1" t="s">
        <v>2808</v>
      </c>
      <c r="D3375" s="1" t="s">
        <v>3496</v>
      </c>
      <c r="E3375" s="1"/>
      <c r="F3375">
        <v>0</v>
      </c>
      <c r="G3375">
        <v>0.8</v>
      </c>
      <c r="H3375">
        <v>-45</v>
      </c>
      <c r="I3375">
        <v>0</v>
      </c>
      <c r="J3375">
        <v>50</v>
      </c>
      <c r="K3375" s="2">
        <v>45783</v>
      </c>
    </row>
    <row r="3376" spans="1:11" x14ac:dyDescent="0.25">
      <c r="A3376" s="1" t="s">
        <v>668</v>
      </c>
      <c r="B3376" s="1"/>
      <c r="C3376" s="1" t="s">
        <v>3306</v>
      </c>
      <c r="D3376" s="1" t="s">
        <v>3469</v>
      </c>
      <c r="E3376" s="1"/>
      <c r="F3376">
        <v>0.5</v>
      </c>
      <c r="G3376">
        <v>0.3</v>
      </c>
      <c r="H3376">
        <v>15</v>
      </c>
      <c r="I3376">
        <v>0.3</v>
      </c>
      <c r="J3376">
        <v>49.7</v>
      </c>
      <c r="K3376" s="2">
        <v>45783</v>
      </c>
    </row>
    <row r="3377" spans="1:11" x14ac:dyDescent="0.25">
      <c r="A3377" s="1" t="s">
        <v>668</v>
      </c>
      <c r="B3377" s="1"/>
      <c r="C3377" s="1" t="s">
        <v>3298</v>
      </c>
      <c r="D3377" s="1" t="s">
        <v>3492</v>
      </c>
      <c r="E3377" s="1"/>
      <c r="F3377">
        <v>0.2</v>
      </c>
      <c r="G3377">
        <v>0</v>
      </c>
      <c r="H3377">
        <v>25</v>
      </c>
      <c r="I3377">
        <v>0</v>
      </c>
      <c r="J3377">
        <v>49.7</v>
      </c>
      <c r="K3377" s="2">
        <v>45785</v>
      </c>
    </row>
    <row r="3378" spans="1:11" x14ac:dyDescent="0.25">
      <c r="A3378" s="1" t="s">
        <v>447</v>
      </c>
      <c r="B3378" s="1"/>
      <c r="C3378" s="1" t="s">
        <v>2808</v>
      </c>
      <c r="D3378" s="1" t="s">
        <v>3496</v>
      </c>
      <c r="E3378" s="1"/>
      <c r="F3378">
        <v>0</v>
      </c>
      <c r="G3378">
        <v>1</v>
      </c>
      <c r="H3378">
        <v>-55</v>
      </c>
      <c r="I3378">
        <v>0</v>
      </c>
      <c r="J3378">
        <v>40.159999999999997</v>
      </c>
      <c r="K3378" s="2">
        <v>45751</v>
      </c>
    </row>
    <row r="3379" spans="1:11" x14ac:dyDescent="0.25">
      <c r="A3379" s="1" t="s">
        <v>447</v>
      </c>
      <c r="B3379" s="1"/>
      <c r="C3379" s="1" t="s">
        <v>3306</v>
      </c>
      <c r="D3379" s="1" t="s">
        <v>3469</v>
      </c>
      <c r="E3379" s="1"/>
      <c r="F3379">
        <v>0.5</v>
      </c>
      <c r="G3379">
        <v>4.2</v>
      </c>
      <c r="H3379">
        <v>-215</v>
      </c>
      <c r="I3379">
        <v>0.3</v>
      </c>
      <c r="J3379">
        <v>39.700000000000003</v>
      </c>
      <c r="K3379" s="2">
        <v>45751</v>
      </c>
    </row>
    <row r="3380" spans="1:11" x14ac:dyDescent="0.25">
      <c r="A3380" s="1" t="s">
        <v>680</v>
      </c>
      <c r="B3380" s="1"/>
      <c r="C3380" s="1" t="s">
        <v>2808</v>
      </c>
      <c r="D3380" s="1" t="s">
        <v>3496</v>
      </c>
      <c r="E3380" s="1"/>
      <c r="F3380">
        <v>0</v>
      </c>
      <c r="G3380">
        <v>0.3</v>
      </c>
      <c r="H3380">
        <v>-15</v>
      </c>
      <c r="I3380">
        <v>0</v>
      </c>
      <c r="J3380">
        <v>40.159999999999997</v>
      </c>
      <c r="K3380" s="2">
        <v>45765</v>
      </c>
    </row>
    <row r="3381" spans="1:11" x14ac:dyDescent="0.25">
      <c r="A3381" s="1" t="s">
        <v>680</v>
      </c>
      <c r="B3381" s="1"/>
      <c r="C3381" s="1" t="s">
        <v>3306</v>
      </c>
      <c r="D3381" s="1" t="s">
        <v>3469</v>
      </c>
      <c r="E3381" s="1"/>
      <c r="F3381">
        <v>0.5</v>
      </c>
      <c r="G3381">
        <v>0.6</v>
      </c>
      <c r="H3381">
        <v>-5</v>
      </c>
      <c r="I3381">
        <v>0.3</v>
      </c>
      <c r="J3381">
        <v>39.86</v>
      </c>
      <c r="K3381" s="2">
        <v>45765</v>
      </c>
    </row>
    <row r="3382" spans="1:11" x14ac:dyDescent="0.25">
      <c r="A3382" s="1" t="s">
        <v>680</v>
      </c>
      <c r="B3382" s="1"/>
      <c r="C3382" s="1" t="s">
        <v>3298</v>
      </c>
      <c r="D3382" s="1" t="s">
        <v>3492</v>
      </c>
      <c r="E3382" s="1"/>
      <c r="F3382">
        <v>0.2</v>
      </c>
      <c r="G3382">
        <v>0</v>
      </c>
      <c r="H3382">
        <v>30</v>
      </c>
      <c r="I3382">
        <v>0</v>
      </c>
      <c r="J3382">
        <v>39.86</v>
      </c>
      <c r="K3382" s="2">
        <v>45770</v>
      </c>
    </row>
    <row r="3383" spans="1:11" x14ac:dyDescent="0.25">
      <c r="A3383" s="1" t="s">
        <v>498</v>
      </c>
      <c r="B3383" s="1"/>
      <c r="C3383" s="1" t="s">
        <v>2808</v>
      </c>
      <c r="D3383" s="1" t="s">
        <v>3496</v>
      </c>
      <c r="E3383" s="1"/>
      <c r="F3383">
        <v>0</v>
      </c>
      <c r="G3383">
        <v>1.1000000000000001</v>
      </c>
      <c r="H3383">
        <v>-60</v>
      </c>
      <c r="I3383">
        <v>0</v>
      </c>
      <c r="J3383">
        <v>14</v>
      </c>
      <c r="K3383" s="2">
        <v>45763</v>
      </c>
    </row>
    <row r="3384" spans="1:11" x14ac:dyDescent="0.25">
      <c r="A3384" s="1" t="s">
        <v>498</v>
      </c>
      <c r="B3384" s="1"/>
      <c r="C3384" s="1" t="s">
        <v>3306</v>
      </c>
      <c r="D3384" s="1" t="s">
        <v>3469</v>
      </c>
      <c r="E3384" s="1"/>
      <c r="F3384">
        <v>0.1</v>
      </c>
      <c r="G3384">
        <v>0.5</v>
      </c>
      <c r="H3384">
        <v>-15</v>
      </c>
      <c r="I3384">
        <v>0.3</v>
      </c>
      <c r="J3384">
        <v>13.7</v>
      </c>
      <c r="K3384" s="2">
        <v>45763</v>
      </c>
    </row>
    <row r="3385" spans="1:11" x14ac:dyDescent="0.25">
      <c r="A3385" s="1" t="s">
        <v>587</v>
      </c>
      <c r="B3385" s="1"/>
      <c r="C3385" s="1" t="s">
        <v>2808</v>
      </c>
      <c r="D3385" s="1" t="s">
        <v>3490</v>
      </c>
      <c r="E3385" s="1"/>
      <c r="F3385">
        <v>2</v>
      </c>
      <c r="G3385">
        <v>4.7</v>
      </c>
      <c r="H3385">
        <v>0</v>
      </c>
      <c r="I3385">
        <v>0</v>
      </c>
      <c r="J3385">
        <v>27.48</v>
      </c>
      <c r="K3385" s="2">
        <v>45772</v>
      </c>
    </row>
    <row r="3386" spans="1:11" x14ac:dyDescent="0.25">
      <c r="A3386" s="1" t="s">
        <v>587</v>
      </c>
      <c r="B3386" s="1"/>
      <c r="C3386" s="1" t="s">
        <v>3286</v>
      </c>
      <c r="D3386" s="1" t="s">
        <v>3491</v>
      </c>
      <c r="E3386" s="1"/>
      <c r="F3386">
        <v>0.5</v>
      </c>
      <c r="G3386">
        <v>1.5</v>
      </c>
      <c r="H3386">
        <v>-55</v>
      </c>
      <c r="I3386">
        <v>0.3</v>
      </c>
      <c r="J3386">
        <v>27.18</v>
      </c>
      <c r="K3386" s="2">
        <v>45772</v>
      </c>
    </row>
    <row r="3387" spans="1:11" x14ac:dyDescent="0.25">
      <c r="A3387" s="1" t="s">
        <v>587</v>
      </c>
      <c r="B3387" s="1"/>
      <c r="C3387" s="1" t="s">
        <v>3287</v>
      </c>
      <c r="D3387" s="1" t="s">
        <v>3492</v>
      </c>
      <c r="E3387" s="1"/>
      <c r="F3387">
        <v>0.8</v>
      </c>
      <c r="G3387">
        <v>0</v>
      </c>
      <c r="H3387">
        <v>80</v>
      </c>
      <c r="I3387">
        <v>0</v>
      </c>
      <c r="J3387">
        <v>19.7</v>
      </c>
      <c r="K3387" s="2">
        <v>45776</v>
      </c>
    </row>
    <row r="3388" spans="1:11" x14ac:dyDescent="0.25">
      <c r="A3388" s="1" t="s">
        <v>530</v>
      </c>
      <c r="B3388" s="1"/>
      <c r="C3388" s="1" t="s">
        <v>2808</v>
      </c>
      <c r="D3388" s="1" t="s">
        <v>3496</v>
      </c>
      <c r="E3388" s="1"/>
      <c r="F3388">
        <v>0</v>
      </c>
      <c r="G3388">
        <v>2.4</v>
      </c>
      <c r="H3388">
        <v>-140</v>
      </c>
      <c r="I3388">
        <v>0</v>
      </c>
      <c r="J3388">
        <v>3.04</v>
      </c>
      <c r="K3388" s="2">
        <v>45762</v>
      </c>
    </row>
    <row r="3389" spans="1:11" x14ac:dyDescent="0.25">
      <c r="A3389" s="1" t="s">
        <v>530</v>
      </c>
      <c r="B3389" s="1"/>
      <c r="C3389" s="1" t="s">
        <v>3307</v>
      </c>
      <c r="D3389" s="1" t="s">
        <v>3497</v>
      </c>
      <c r="E3389" s="1"/>
      <c r="F3389">
        <v>0.5</v>
      </c>
      <c r="G3389">
        <v>3.3</v>
      </c>
      <c r="H3389">
        <v>-160</v>
      </c>
      <c r="I3389">
        <v>0.3</v>
      </c>
      <c r="J3389">
        <v>3.1</v>
      </c>
      <c r="K3389" s="2">
        <v>45762</v>
      </c>
    </row>
    <row r="3390" spans="1:11" x14ac:dyDescent="0.25">
      <c r="A3390" s="1" t="s">
        <v>218</v>
      </c>
      <c r="B3390" s="1"/>
      <c r="C3390" s="1" t="s">
        <v>2808</v>
      </c>
      <c r="D3390" s="1" t="s">
        <v>3496</v>
      </c>
      <c r="E3390" s="1"/>
      <c r="F3390">
        <v>0</v>
      </c>
      <c r="G3390">
        <v>0.1</v>
      </c>
      <c r="H3390">
        <v>0</v>
      </c>
      <c r="I3390">
        <v>0</v>
      </c>
      <c r="J3390">
        <v>70.3</v>
      </c>
      <c r="K3390" s="2">
        <v>45740</v>
      </c>
    </row>
    <row r="3391" spans="1:11" x14ac:dyDescent="0.25">
      <c r="A3391" s="1" t="s">
        <v>218</v>
      </c>
      <c r="B3391" s="1"/>
      <c r="C3391" s="1" t="s">
        <v>3306</v>
      </c>
      <c r="D3391" s="1" t="s">
        <v>3469</v>
      </c>
      <c r="E3391" s="1"/>
      <c r="F3391">
        <v>0.7</v>
      </c>
      <c r="G3391">
        <v>0.9</v>
      </c>
      <c r="H3391">
        <v>-15</v>
      </c>
      <c r="I3391">
        <v>0.6</v>
      </c>
      <c r="J3391">
        <v>69.7</v>
      </c>
      <c r="K3391" s="2">
        <v>45740</v>
      </c>
    </row>
    <row r="3392" spans="1:11" x14ac:dyDescent="0.25">
      <c r="A3392" s="1" t="s">
        <v>218</v>
      </c>
      <c r="B3392" s="1"/>
      <c r="C3392" s="1" t="s">
        <v>3298</v>
      </c>
      <c r="D3392" s="1" t="s">
        <v>3492</v>
      </c>
      <c r="E3392" s="1"/>
      <c r="F3392">
        <v>1.3</v>
      </c>
      <c r="G3392">
        <v>0</v>
      </c>
      <c r="H3392">
        <v>140</v>
      </c>
      <c r="I3392">
        <v>0</v>
      </c>
      <c r="J3392">
        <v>67.7</v>
      </c>
      <c r="K3392" s="2">
        <v>45741</v>
      </c>
    </row>
    <row r="3393" spans="1:11" x14ac:dyDescent="0.25">
      <c r="A3393" s="1" t="s">
        <v>219</v>
      </c>
      <c r="B3393" s="1"/>
      <c r="C3393" s="1" t="s">
        <v>2808</v>
      </c>
      <c r="D3393" s="1" t="s">
        <v>3496</v>
      </c>
      <c r="E3393" s="1"/>
      <c r="F3393">
        <v>0</v>
      </c>
      <c r="G3393">
        <v>0.1</v>
      </c>
      <c r="H3393">
        <v>0</v>
      </c>
      <c r="I3393">
        <v>0</v>
      </c>
      <c r="J3393">
        <v>70.3</v>
      </c>
      <c r="K3393" s="2">
        <v>45740</v>
      </c>
    </row>
    <row r="3394" spans="1:11" x14ac:dyDescent="0.25">
      <c r="A3394" s="1" t="s">
        <v>219</v>
      </c>
      <c r="B3394" s="1"/>
      <c r="C3394" s="1" t="s">
        <v>3306</v>
      </c>
      <c r="D3394" s="1" t="s">
        <v>3469</v>
      </c>
      <c r="E3394" s="1"/>
      <c r="F3394">
        <v>0.7</v>
      </c>
      <c r="G3394">
        <v>1.2</v>
      </c>
      <c r="H3394">
        <v>-25</v>
      </c>
      <c r="I3394">
        <v>0.6</v>
      </c>
      <c r="J3394">
        <v>69.7</v>
      </c>
      <c r="K3394" s="2">
        <v>45740</v>
      </c>
    </row>
    <row r="3395" spans="1:11" x14ac:dyDescent="0.25">
      <c r="A3395" s="1" t="s">
        <v>219</v>
      </c>
      <c r="B3395" s="1"/>
      <c r="C3395" s="1" t="s">
        <v>3298</v>
      </c>
      <c r="D3395" s="1" t="s">
        <v>3492</v>
      </c>
      <c r="E3395" s="1"/>
      <c r="F3395">
        <v>1.3</v>
      </c>
      <c r="G3395">
        <v>0</v>
      </c>
      <c r="H3395">
        <v>140</v>
      </c>
      <c r="I3395">
        <v>0</v>
      </c>
      <c r="J3395">
        <v>67.7</v>
      </c>
      <c r="K3395" s="2">
        <v>45741</v>
      </c>
    </row>
    <row r="3396" spans="1:11" x14ac:dyDescent="0.25">
      <c r="A3396" s="1" t="s">
        <v>220</v>
      </c>
      <c r="B3396" s="1"/>
      <c r="C3396" s="1" t="s">
        <v>2808</v>
      </c>
      <c r="D3396" s="1" t="s">
        <v>3496</v>
      </c>
      <c r="E3396" s="1"/>
      <c r="F3396">
        <v>0</v>
      </c>
      <c r="G3396">
        <v>0.6</v>
      </c>
      <c r="H3396">
        <v>-30</v>
      </c>
      <c r="I3396">
        <v>0</v>
      </c>
      <c r="J3396">
        <v>70.3</v>
      </c>
      <c r="K3396" s="2">
        <v>45740</v>
      </c>
    </row>
    <row r="3397" spans="1:11" x14ac:dyDescent="0.25">
      <c r="A3397" s="1" t="s">
        <v>220</v>
      </c>
      <c r="B3397" s="1"/>
      <c r="C3397" s="1" t="s">
        <v>3306</v>
      </c>
      <c r="D3397" s="1" t="s">
        <v>3469</v>
      </c>
      <c r="E3397" s="1"/>
      <c r="F3397">
        <v>0.7</v>
      </c>
      <c r="G3397">
        <v>0.8</v>
      </c>
      <c r="H3397">
        <v>-5</v>
      </c>
      <c r="I3397">
        <v>0.6</v>
      </c>
      <c r="J3397">
        <v>69.7</v>
      </c>
      <c r="K3397" s="2">
        <v>45740</v>
      </c>
    </row>
    <row r="3398" spans="1:11" x14ac:dyDescent="0.25">
      <c r="A3398" s="1" t="s">
        <v>220</v>
      </c>
      <c r="B3398" s="1"/>
      <c r="C3398" s="1" t="s">
        <v>3298</v>
      </c>
      <c r="D3398" s="1" t="s">
        <v>3492</v>
      </c>
      <c r="E3398" s="1"/>
      <c r="F3398">
        <v>1.3</v>
      </c>
      <c r="G3398">
        <v>0</v>
      </c>
      <c r="H3398">
        <v>140</v>
      </c>
      <c r="I3398">
        <v>0</v>
      </c>
      <c r="J3398">
        <v>67.7</v>
      </c>
      <c r="K3398" s="2">
        <v>45741</v>
      </c>
    </row>
    <row r="3399" spans="1:11" x14ac:dyDescent="0.25">
      <c r="A3399" s="1" t="s">
        <v>221</v>
      </c>
      <c r="B3399" s="1"/>
      <c r="C3399" s="1" t="s">
        <v>2808</v>
      </c>
      <c r="D3399" s="1" t="s">
        <v>3496</v>
      </c>
      <c r="E3399" s="1"/>
      <c r="F3399">
        <v>0</v>
      </c>
      <c r="G3399">
        <v>0.6</v>
      </c>
      <c r="H3399">
        <v>-30</v>
      </c>
      <c r="I3399">
        <v>0</v>
      </c>
      <c r="J3399">
        <v>70.3</v>
      </c>
      <c r="K3399" s="2">
        <v>45740</v>
      </c>
    </row>
    <row r="3400" spans="1:11" x14ac:dyDescent="0.25">
      <c r="A3400" s="1" t="s">
        <v>221</v>
      </c>
      <c r="B3400" s="1"/>
      <c r="C3400" s="1" t="s">
        <v>3306</v>
      </c>
      <c r="D3400" s="1" t="s">
        <v>3469</v>
      </c>
      <c r="E3400" s="1"/>
      <c r="F3400">
        <v>0.7</v>
      </c>
      <c r="G3400">
        <v>1</v>
      </c>
      <c r="H3400">
        <v>-20</v>
      </c>
      <c r="I3400">
        <v>0.6</v>
      </c>
      <c r="J3400">
        <v>69.7</v>
      </c>
      <c r="K3400" s="2">
        <v>45740</v>
      </c>
    </row>
    <row r="3401" spans="1:11" x14ac:dyDescent="0.25">
      <c r="A3401" s="1" t="s">
        <v>221</v>
      </c>
      <c r="B3401" s="1"/>
      <c r="C3401" s="1" t="s">
        <v>3298</v>
      </c>
      <c r="D3401" s="1" t="s">
        <v>3492</v>
      </c>
      <c r="E3401" s="1"/>
      <c r="F3401">
        <v>1.3</v>
      </c>
      <c r="G3401">
        <v>0</v>
      </c>
      <c r="H3401">
        <v>145</v>
      </c>
      <c r="I3401">
        <v>0</v>
      </c>
      <c r="J3401">
        <v>67.7</v>
      </c>
      <c r="K3401" s="2">
        <v>45741</v>
      </c>
    </row>
    <row r="3402" spans="1:11" x14ac:dyDescent="0.25">
      <c r="A3402" s="1" t="s">
        <v>232</v>
      </c>
      <c r="B3402" s="1"/>
      <c r="C3402" s="1" t="s">
        <v>3298</v>
      </c>
      <c r="D3402" s="1" t="s">
        <v>3492</v>
      </c>
      <c r="E3402" s="1"/>
      <c r="F3402">
        <v>1.3</v>
      </c>
      <c r="G3402">
        <v>0</v>
      </c>
      <c r="H3402">
        <v>140</v>
      </c>
      <c r="I3402">
        <v>0</v>
      </c>
      <c r="J3402">
        <v>68</v>
      </c>
      <c r="K3402" s="2">
        <v>45730</v>
      </c>
    </row>
    <row r="3403" spans="1:11" x14ac:dyDescent="0.25">
      <c r="A3403" s="1" t="s">
        <v>458</v>
      </c>
      <c r="B3403" s="1"/>
      <c r="C3403" s="1" t="s">
        <v>2808</v>
      </c>
      <c r="D3403" s="1" t="s">
        <v>3496</v>
      </c>
      <c r="E3403" s="1"/>
      <c r="F3403">
        <v>0</v>
      </c>
      <c r="G3403">
        <v>1.8</v>
      </c>
      <c r="H3403">
        <v>-100</v>
      </c>
      <c r="I3403">
        <v>0</v>
      </c>
      <c r="J3403">
        <v>69.540000000000006</v>
      </c>
      <c r="K3403" s="2">
        <v>45777</v>
      </c>
    </row>
    <row r="3404" spans="1:11" x14ac:dyDescent="0.25">
      <c r="A3404" s="1" t="s">
        <v>458</v>
      </c>
      <c r="B3404" s="1"/>
      <c r="C3404" s="1" t="s">
        <v>3306</v>
      </c>
      <c r="D3404" s="1" t="s">
        <v>3469</v>
      </c>
      <c r="E3404" s="1"/>
      <c r="F3404">
        <v>0.7</v>
      </c>
      <c r="G3404">
        <v>2.2999999999999998</v>
      </c>
      <c r="H3404">
        <v>-90</v>
      </c>
      <c r="I3404">
        <v>0.6</v>
      </c>
      <c r="J3404">
        <v>68.94</v>
      </c>
      <c r="K3404" s="2">
        <v>45777</v>
      </c>
    </row>
    <row r="3405" spans="1:11" x14ac:dyDescent="0.25">
      <c r="A3405" s="1" t="s">
        <v>458</v>
      </c>
      <c r="B3405" s="1"/>
      <c r="C3405" s="1" t="s">
        <v>3298</v>
      </c>
      <c r="D3405" s="1" t="s">
        <v>3492</v>
      </c>
      <c r="E3405" s="1"/>
      <c r="F3405">
        <v>1.3</v>
      </c>
      <c r="G3405">
        <v>0</v>
      </c>
      <c r="H3405">
        <v>140</v>
      </c>
      <c r="I3405">
        <v>0</v>
      </c>
      <c r="J3405">
        <v>67.7</v>
      </c>
      <c r="K3405" s="2">
        <v>45779</v>
      </c>
    </row>
    <row r="3406" spans="1:11" x14ac:dyDescent="0.25">
      <c r="A3406" s="1" t="s">
        <v>459</v>
      </c>
      <c r="B3406" s="1"/>
      <c r="C3406" s="1" t="s">
        <v>2808</v>
      </c>
      <c r="D3406" s="1" t="s">
        <v>3496</v>
      </c>
      <c r="E3406" s="1"/>
      <c r="F3406">
        <v>0</v>
      </c>
      <c r="G3406">
        <v>0.5</v>
      </c>
      <c r="H3406">
        <v>-25</v>
      </c>
      <c r="I3406">
        <v>0</v>
      </c>
      <c r="J3406">
        <v>69.7</v>
      </c>
      <c r="K3406" s="2">
        <v>45777</v>
      </c>
    </row>
    <row r="3407" spans="1:11" x14ac:dyDescent="0.25">
      <c r="A3407" s="1" t="s">
        <v>459</v>
      </c>
      <c r="B3407" s="1"/>
      <c r="C3407" s="1" t="s">
        <v>3306</v>
      </c>
      <c r="D3407" s="1" t="s">
        <v>3469</v>
      </c>
      <c r="E3407" s="1"/>
      <c r="F3407">
        <v>0.7</v>
      </c>
      <c r="G3407">
        <v>2.5</v>
      </c>
      <c r="H3407">
        <v>-105</v>
      </c>
      <c r="I3407">
        <v>0.6</v>
      </c>
      <c r="J3407">
        <v>69.099999999999994</v>
      </c>
      <c r="K3407" s="2">
        <v>45777</v>
      </c>
    </row>
    <row r="3408" spans="1:11" x14ac:dyDescent="0.25">
      <c r="A3408" s="1" t="s">
        <v>459</v>
      </c>
      <c r="B3408" s="1"/>
      <c r="C3408" s="1" t="s">
        <v>3298</v>
      </c>
      <c r="D3408" s="1" t="s">
        <v>3492</v>
      </c>
      <c r="E3408" s="1"/>
      <c r="F3408">
        <v>1.3</v>
      </c>
      <c r="G3408">
        <v>0</v>
      </c>
      <c r="H3408">
        <v>140</v>
      </c>
      <c r="I3408">
        <v>0</v>
      </c>
      <c r="J3408">
        <v>67.7</v>
      </c>
      <c r="K3408" s="2">
        <v>45779</v>
      </c>
    </row>
    <row r="3409" spans="1:11" x14ac:dyDescent="0.25">
      <c r="A3409" s="1" t="s">
        <v>460</v>
      </c>
      <c r="B3409" s="1"/>
      <c r="C3409" s="1" t="s">
        <v>2808</v>
      </c>
      <c r="D3409" s="1" t="s">
        <v>3496</v>
      </c>
      <c r="E3409" s="1"/>
      <c r="F3409">
        <v>0</v>
      </c>
      <c r="G3409">
        <v>0.9</v>
      </c>
      <c r="H3409">
        <v>-50</v>
      </c>
      <c r="I3409">
        <v>0</v>
      </c>
      <c r="J3409">
        <v>68.3</v>
      </c>
      <c r="K3409" s="2">
        <v>45772</v>
      </c>
    </row>
    <row r="3410" spans="1:11" x14ac:dyDescent="0.25">
      <c r="A3410" s="1" t="s">
        <v>460</v>
      </c>
      <c r="B3410" s="1"/>
      <c r="C3410" s="1" t="s">
        <v>3306</v>
      </c>
      <c r="D3410" s="1" t="s">
        <v>3469</v>
      </c>
      <c r="E3410" s="1"/>
      <c r="F3410">
        <v>0.7</v>
      </c>
      <c r="G3410">
        <v>0.4</v>
      </c>
      <c r="H3410">
        <v>15</v>
      </c>
      <c r="I3410">
        <v>0.3</v>
      </c>
      <c r="J3410">
        <v>68</v>
      </c>
      <c r="K3410" s="2">
        <v>45772</v>
      </c>
    </row>
    <row r="3411" spans="1:11" x14ac:dyDescent="0.25">
      <c r="A3411" s="1" t="s">
        <v>460</v>
      </c>
      <c r="B3411" s="1"/>
      <c r="C3411" s="1" t="s">
        <v>3298</v>
      </c>
      <c r="D3411" s="1" t="s">
        <v>3492</v>
      </c>
      <c r="E3411" s="1"/>
      <c r="F3411">
        <v>1.3</v>
      </c>
      <c r="G3411">
        <v>0</v>
      </c>
      <c r="H3411">
        <v>140</v>
      </c>
      <c r="I3411">
        <v>0</v>
      </c>
      <c r="J3411">
        <v>68</v>
      </c>
      <c r="K3411" s="2">
        <v>45779</v>
      </c>
    </row>
    <row r="3412" spans="1:11" x14ac:dyDescent="0.25">
      <c r="A3412" s="1" t="s">
        <v>461</v>
      </c>
      <c r="B3412" s="1"/>
      <c r="C3412" s="1" t="s">
        <v>2808</v>
      </c>
      <c r="D3412" s="1" t="s">
        <v>3496</v>
      </c>
      <c r="E3412" s="1"/>
      <c r="F3412">
        <v>0</v>
      </c>
      <c r="G3412">
        <v>1.2</v>
      </c>
      <c r="H3412">
        <v>-65</v>
      </c>
      <c r="I3412">
        <v>0</v>
      </c>
      <c r="J3412">
        <v>69.599999999999994</v>
      </c>
      <c r="K3412" s="2">
        <v>45777</v>
      </c>
    </row>
    <row r="3413" spans="1:11" x14ac:dyDescent="0.25">
      <c r="A3413" s="1" t="s">
        <v>461</v>
      </c>
      <c r="B3413" s="1"/>
      <c r="C3413" s="1" t="s">
        <v>3306</v>
      </c>
      <c r="D3413" s="1" t="s">
        <v>3469</v>
      </c>
      <c r="E3413" s="1"/>
      <c r="F3413">
        <v>0.7</v>
      </c>
      <c r="G3413">
        <v>3.2</v>
      </c>
      <c r="H3413">
        <v>-140</v>
      </c>
      <c r="I3413">
        <v>0.6</v>
      </c>
      <c r="J3413">
        <v>69</v>
      </c>
      <c r="K3413" s="2">
        <v>45777</v>
      </c>
    </row>
    <row r="3414" spans="1:11" x14ac:dyDescent="0.25">
      <c r="A3414" s="1" t="s">
        <v>461</v>
      </c>
      <c r="B3414" s="1"/>
      <c r="C3414" s="1" t="s">
        <v>3298</v>
      </c>
      <c r="D3414" s="1" t="s">
        <v>3492</v>
      </c>
      <c r="E3414" s="1"/>
      <c r="F3414">
        <v>1.3</v>
      </c>
      <c r="G3414">
        <v>0</v>
      </c>
      <c r="H3414">
        <v>145</v>
      </c>
      <c r="I3414">
        <v>0</v>
      </c>
      <c r="J3414">
        <v>67.7</v>
      </c>
      <c r="K3414" s="2">
        <v>45779</v>
      </c>
    </row>
    <row r="3415" spans="1:11" x14ac:dyDescent="0.25">
      <c r="A3415" s="1" t="s">
        <v>560</v>
      </c>
      <c r="B3415" s="1"/>
      <c r="C3415" s="1" t="s">
        <v>2808</v>
      </c>
      <c r="D3415" s="1" t="s">
        <v>3496</v>
      </c>
      <c r="E3415" s="1"/>
      <c r="F3415">
        <v>0</v>
      </c>
      <c r="G3415">
        <v>1.4</v>
      </c>
      <c r="H3415">
        <v>-80</v>
      </c>
      <c r="I3415">
        <v>0</v>
      </c>
      <c r="J3415">
        <v>68.3</v>
      </c>
      <c r="K3415" s="2">
        <v>45782</v>
      </c>
    </row>
    <row r="3416" spans="1:11" x14ac:dyDescent="0.25">
      <c r="A3416" s="1" t="s">
        <v>560</v>
      </c>
      <c r="B3416" s="1"/>
      <c r="C3416" s="1" t="s">
        <v>3306</v>
      </c>
      <c r="D3416" s="1" t="s">
        <v>3469</v>
      </c>
      <c r="E3416" s="1"/>
      <c r="F3416">
        <v>0.7</v>
      </c>
      <c r="G3416">
        <v>1.4</v>
      </c>
      <c r="H3416">
        <v>-35</v>
      </c>
      <c r="I3416">
        <v>0.3</v>
      </c>
      <c r="J3416">
        <v>68</v>
      </c>
      <c r="K3416" s="2">
        <v>45782</v>
      </c>
    </row>
    <row r="3417" spans="1:11" x14ac:dyDescent="0.25">
      <c r="A3417" s="1" t="s">
        <v>560</v>
      </c>
      <c r="B3417" s="1"/>
      <c r="C3417" s="1" t="s">
        <v>3298</v>
      </c>
      <c r="D3417" s="1" t="s">
        <v>3492</v>
      </c>
      <c r="E3417" s="1"/>
      <c r="F3417">
        <v>1.3</v>
      </c>
      <c r="G3417">
        <v>0</v>
      </c>
      <c r="H3417">
        <v>140</v>
      </c>
      <c r="I3417">
        <v>0</v>
      </c>
      <c r="J3417">
        <v>68</v>
      </c>
      <c r="K3417" s="2">
        <v>45784</v>
      </c>
    </row>
    <row r="3418" spans="1:11" x14ac:dyDescent="0.25">
      <c r="A3418" s="1" t="s">
        <v>561</v>
      </c>
      <c r="B3418" s="1"/>
      <c r="C3418" s="1" t="s">
        <v>2808</v>
      </c>
      <c r="D3418" s="1" t="s">
        <v>3496</v>
      </c>
      <c r="E3418" s="1"/>
      <c r="F3418">
        <v>0</v>
      </c>
      <c r="G3418">
        <v>0.6</v>
      </c>
      <c r="H3418">
        <v>-30</v>
      </c>
      <c r="I3418">
        <v>0</v>
      </c>
      <c r="J3418">
        <v>68.3</v>
      </c>
      <c r="K3418" s="2">
        <v>45782</v>
      </c>
    </row>
    <row r="3419" spans="1:11" x14ac:dyDescent="0.25">
      <c r="A3419" s="1" t="s">
        <v>561</v>
      </c>
      <c r="B3419" s="1"/>
      <c r="C3419" s="1" t="s">
        <v>3306</v>
      </c>
      <c r="D3419" s="1" t="s">
        <v>3469</v>
      </c>
      <c r="E3419" s="1"/>
      <c r="F3419">
        <v>0.7</v>
      </c>
      <c r="G3419">
        <v>1.4</v>
      </c>
      <c r="H3419">
        <v>-35</v>
      </c>
      <c r="I3419">
        <v>0.3</v>
      </c>
      <c r="J3419">
        <v>68</v>
      </c>
      <c r="K3419" s="2">
        <v>45782</v>
      </c>
    </row>
    <row r="3420" spans="1:11" x14ac:dyDescent="0.25">
      <c r="A3420" s="1" t="s">
        <v>561</v>
      </c>
      <c r="B3420" s="1"/>
      <c r="C3420" s="1" t="s">
        <v>3298</v>
      </c>
      <c r="D3420" s="1" t="s">
        <v>3492</v>
      </c>
      <c r="E3420" s="1"/>
      <c r="F3420">
        <v>1.3</v>
      </c>
      <c r="G3420">
        <v>0</v>
      </c>
      <c r="H3420">
        <v>140</v>
      </c>
      <c r="I3420">
        <v>0</v>
      </c>
      <c r="J3420">
        <v>68</v>
      </c>
      <c r="K3420" s="2">
        <v>45784</v>
      </c>
    </row>
    <row r="3421" spans="1:11" x14ac:dyDescent="0.25">
      <c r="A3421" s="1" t="s">
        <v>562</v>
      </c>
      <c r="B3421" s="1"/>
      <c r="C3421" s="1" t="s">
        <v>2808</v>
      </c>
      <c r="D3421" s="1" t="s">
        <v>3496</v>
      </c>
      <c r="E3421" s="1"/>
      <c r="F3421">
        <v>0</v>
      </c>
      <c r="G3421">
        <v>0.1</v>
      </c>
      <c r="H3421">
        <v>0</v>
      </c>
      <c r="I3421">
        <v>0</v>
      </c>
      <c r="J3421">
        <v>68.3</v>
      </c>
      <c r="K3421" s="2">
        <v>45773</v>
      </c>
    </row>
    <row r="3422" spans="1:11" x14ac:dyDescent="0.25">
      <c r="A3422" s="1" t="s">
        <v>562</v>
      </c>
      <c r="B3422" s="1"/>
      <c r="C3422" s="1" t="s">
        <v>3306</v>
      </c>
      <c r="D3422" s="1" t="s">
        <v>3469</v>
      </c>
      <c r="E3422" s="1"/>
      <c r="F3422">
        <v>0.7</v>
      </c>
      <c r="G3422">
        <v>0</v>
      </c>
      <c r="H3422">
        <v>40</v>
      </c>
      <c r="I3422">
        <v>0.3</v>
      </c>
      <c r="J3422">
        <v>68</v>
      </c>
      <c r="K3422" s="2">
        <v>45773</v>
      </c>
    </row>
    <row r="3423" spans="1:11" x14ac:dyDescent="0.25">
      <c r="A3423" s="1" t="s">
        <v>562</v>
      </c>
      <c r="B3423" s="1"/>
      <c r="C3423" s="1" t="s">
        <v>3298</v>
      </c>
      <c r="D3423" s="1" t="s">
        <v>3492</v>
      </c>
      <c r="E3423" s="1"/>
      <c r="F3423">
        <v>1.3</v>
      </c>
      <c r="G3423">
        <v>0</v>
      </c>
      <c r="H3423">
        <v>140</v>
      </c>
      <c r="I3423">
        <v>0</v>
      </c>
      <c r="J3423">
        <v>68</v>
      </c>
      <c r="K3423" s="2">
        <v>45777</v>
      </c>
    </row>
    <row r="3424" spans="1:11" x14ac:dyDescent="0.25">
      <c r="A3424" s="1" t="s">
        <v>563</v>
      </c>
      <c r="B3424" s="1"/>
      <c r="C3424" s="1" t="s">
        <v>2808</v>
      </c>
      <c r="D3424" s="1" t="s">
        <v>3496</v>
      </c>
      <c r="E3424" s="1"/>
      <c r="F3424">
        <v>0</v>
      </c>
      <c r="G3424">
        <v>0.5</v>
      </c>
      <c r="H3424">
        <v>-30</v>
      </c>
      <c r="I3424">
        <v>0</v>
      </c>
      <c r="J3424">
        <v>68.3</v>
      </c>
      <c r="K3424" s="2">
        <v>45782</v>
      </c>
    </row>
    <row r="3425" spans="1:11" x14ac:dyDescent="0.25">
      <c r="A3425" s="1" t="s">
        <v>563</v>
      </c>
      <c r="B3425" s="1"/>
      <c r="C3425" s="1" t="s">
        <v>3306</v>
      </c>
      <c r="D3425" s="1" t="s">
        <v>3469</v>
      </c>
      <c r="E3425" s="1"/>
      <c r="F3425">
        <v>0.7</v>
      </c>
      <c r="G3425">
        <v>2.1</v>
      </c>
      <c r="H3425">
        <v>-80</v>
      </c>
      <c r="I3425">
        <v>0.3</v>
      </c>
      <c r="J3425">
        <v>68</v>
      </c>
      <c r="K3425" s="2">
        <v>45782</v>
      </c>
    </row>
    <row r="3426" spans="1:11" x14ac:dyDescent="0.25">
      <c r="A3426" s="1" t="s">
        <v>563</v>
      </c>
      <c r="B3426" s="1"/>
      <c r="C3426" s="1" t="s">
        <v>3298</v>
      </c>
      <c r="D3426" s="1" t="s">
        <v>3492</v>
      </c>
      <c r="E3426" s="1"/>
      <c r="F3426">
        <v>1.3</v>
      </c>
      <c r="G3426">
        <v>0</v>
      </c>
      <c r="H3426">
        <v>140</v>
      </c>
      <c r="I3426">
        <v>0</v>
      </c>
      <c r="J3426">
        <v>68</v>
      </c>
      <c r="K3426" s="2">
        <v>45784</v>
      </c>
    </row>
    <row r="3427" spans="1:11" x14ac:dyDescent="0.25">
      <c r="A3427" s="1" t="s">
        <v>564</v>
      </c>
      <c r="B3427" s="1"/>
      <c r="C3427" s="1" t="s">
        <v>2808</v>
      </c>
      <c r="D3427" s="1" t="s">
        <v>3496</v>
      </c>
      <c r="E3427" s="1"/>
      <c r="F3427">
        <v>0</v>
      </c>
      <c r="G3427">
        <v>3.1</v>
      </c>
      <c r="H3427">
        <v>-175</v>
      </c>
      <c r="I3427">
        <v>0</v>
      </c>
      <c r="J3427">
        <v>69.42</v>
      </c>
      <c r="K3427" s="2">
        <v>45777</v>
      </c>
    </row>
    <row r="3428" spans="1:11" x14ac:dyDescent="0.25">
      <c r="A3428" s="1" t="s">
        <v>564</v>
      </c>
      <c r="B3428" s="1"/>
      <c r="C3428" s="1" t="s">
        <v>3306</v>
      </c>
      <c r="D3428" s="1" t="s">
        <v>3469</v>
      </c>
      <c r="E3428" s="1"/>
      <c r="F3428">
        <v>0.7</v>
      </c>
      <c r="G3428">
        <v>1.8</v>
      </c>
      <c r="H3428">
        <v>-60</v>
      </c>
      <c r="I3428">
        <v>0.6</v>
      </c>
      <c r="J3428">
        <v>68.819999999999993</v>
      </c>
      <c r="K3428" s="2">
        <v>45777</v>
      </c>
    </row>
    <row r="3429" spans="1:11" x14ac:dyDescent="0.25">
      <c r="A3429" s="1" t="s">
        <v>564</v>
      </c>
      <c r="B3429" s="1"/>
      <c r="C3429" s="1" t="s">
        <v>3298</v>
      </c>
      <c r="D3429" s="1" t="s">
        <v>3492</v>
      </c>
      <c r="E3429" s="1"/>
      <c r="F3429">
        <v>1.3</v>
      </c>
      <c r="G3429">
        <v>0.1</v>
      </c>
      <c r="H3429">
        <v>135</v>
      </c>
      <c r="I3429">
        <v>0</v>
      </c>
      <c r="J3429">
        <v>67.7</v>
      </c>
      <c r="K3429" s="2">
        <v>45785</v>
      </c>
    </row>
    <row r="3430" spans="1:11" x14ac:dyDescent="0.25">
      <c r="A3430" s="1" t="s">
        <v>566</v>
      </c>
      <c r="B3430" s="1"/>
      <c r="C3430" s="1" t="s">
        <v>2808</v>
      </c>
      <c r="D3430" s="1" t="s">
        <v>3496</v>
      </c>
      <c r="E3430" s="1"/>
      <c r="F3430">
        <v>0</v>
      </c>
      <c r="G3430">
        <v>1</v>
      </c>
      <c r="H3430">
        <v>-55</v>
      </c>
      <c r="I3430">
        <v>0</v>
      </c>
      <c r="J3430">
        <v>68.3</v>
      </c>
      <c r="K3430" s="2">
        <v>45783</v>
      </c>
    </row>
    <row r="3431" spans="1:11" x14ac:dyDescent="0.25">
      <c r="A3431" s="1" t="s">
        <v>566</v>
      </c>
      <c r="B3431" s="1"/>
      <c r="C3431" s="1" t="s">
        <v>3306</v>
      </c>
      <c r="D3431" s="1" t="s">
        <v>3469</v>
      </c>
      <c r="E3431" s="1"/>
      <c r="F3431">
        <v>0.7</v>
      </c>
      <c r="G3431">
        <v>0.8</v>
      </c>
      <c r="H3431">
        <v>-5</v>
      </c>
      <c r="I3431">
        <v>0.3</v>
      </c>
      <c r="J3431">
        <v>68</v>
      </c>
      <c r="K3431" s="2">
        <v>45783</v>
      </c>
    </row>
    <row r="3432" spans="1:11" x14ac:dyDescent="0.25">
      <c r="A3432" s="1" t="s">
        <v>567</v>
      </c>
      <c r="B3432" s="1"/>
      <c r="C3432" s="1" t="s">
        <v>2808</v>
      </c>
      <c r="D3432" s="1" t="s">
        <v>3496</v>
      </c>
      <c r="E3432" s="1"/>
      <c r="F3432">
        <v>0</v>
      </c>
      <c r="G3432">
        <v>2.5</v>
      </c>
      <c r="H3432">
        <v>-140</v>
      </c>
      <c r="I3432">
        <v>0</v>
      </c>
      <c r="J3432">
        <v>68.3</v>
      </c>
      <c r="K3432" s="2">
        <v>45783</v>
      </c>
    </row>
    <row r="3433" spans="1:11" x14ac:dyDescent="0.25">
      <c r="A3433" s="1" t="s">
        <v>567</v>
      </c>
      <c r="B3433" s="1"/>
      <c r="C3433" s="1" t="s">
        <v>3306</v>
      </c>
      <c r="D3433" s="1" t="s">
        <v>3469</v>
      </c>
      <c r="E3433" s="1"/>
      <c r="F3433">
        <v>0.7</v>
      </c>
      <c r="G3433">
        <v>1.4</v>
      </c>
      <c r="H3433">
        <v>-40</v>
      </c>
      <c r="I3433">
        <v>0.3</v>
      </c>
      <c r="J3433">
        <v>68</v>
      </c>
      <c r="K3433" s="2">
        <v>45783</v>
      </c>
    </row>
    <row r="3434" spans="1:11" x14ac:dyDescent="0.25">
      <c r="A3434" s="1" t="s">
        <v>568</v>
      </c>
      <c r="B3434" s="1"/>
      <c r="C3434" s="1" t="s">
        <v>2808</v>
      </c>
      <c r="D3434" s="1" t="s">
        <v>3496</v>
      </c>
      <c r="E3434" s="1"/>
      <c r="F3434">
        <v>0</v>
      </c>
      <c r="G3434">
        <v>0</v>
      </c>
      <c r="H3434">
        <v>0</v>
      </c>
      <c r="I3434">
        <v>0</v>
      </c>
      <c r="J3434">
        <v>68.3</v>
      </c>
      <c r="K3434" s="2">
        <v>45773</v>
      </c>
    </row>
    <row r="3435" spans="1:11" x14ac:dyDescent="0.25">
      <c r="A3435" s="1" t="s">
        <v>568</v>
      </c>
      <c r="B3435" s="1"/>
      <c r="C3435" s="1" t="s">
        <v>3306</v>
      </c>
      <c r="D3435" s="1" t="s">
        <v>3469</v>
      </c>
      <c r="E3435" s="1"/>
      <c r="F3435">
        <v>0.7</v>
      </c>
      <c r="G3435">
        <v>0</v>
      </c>
      <c r="H3435">
        <v>40</v>
      </c>
      <c r="I3435">
        <v>0.3</v>
      </c>
      <c r="J3435">
        <v>68</v>
      </c>
      <c r="K3435" s="2">
        <v>45773</v>
      </c>
    </row>
    <row r="3436" spans="1:11" x14ac:dyDescent="0.25">
      <c r="A3436" s="1" t="s">
        <v>568</v>
      </c>
      <c r="B3436" s="1"/>
      <c r="C3436" s="1" t="s">
        <v>3298</v>
      </c>
      <c r="D3436" s="1" t="s">
        <v>3492</v>
      </c>
      <c r="E3436" s="1"/>
      <c r="F3436">
        <v>1.3</v>
      </c>
      <c r="G3436">
        <v>0</v>
      </c>
      <c r="H3436">
        <v>145</v>
      </c>
      <c r="I3436">
        <v>0</v>
      </c>
      <c r="J3436">
        <v>68</v>
      </c>
      <c r="K3436" s="2">
        <v>45777</v>
      </c>
    </row>
    <row r="3437" spans="1:11" x14ac:dyDescent="0.25">
      <c r="A3437" s="1" t="s">
        <v>569</v>
      </c>
      <c r="B3437" s="1"/>
      <c r="C3437" s="1" t="s">
        <v>2808</v>
      </c>
      <c r="D3437" s="1" t="s">
        <v>3496</v>
      </c>
      <c r="E3437" s="1"/>
      <c r="F3437">
        <v>0</v>
      </c>
      <c r="G3437">
        <v>2.2000000000000002</v>
      </c>
      <c r="H3437">
        <v>-125</v>
      </c>
      <c r="I3437">
        <v>0</v>
      </c>
      <c r="J3437">
        <v>69.5</v>
      </c>
      <c r="K3437" s="2">
        <v>45777</v>
      </c>
    </row>
    <row r="3438" spans="1:11" x14ac:dyDescent="0.25">
      <c r="A3438" s="1" t="s">
        <v>569</v>
      </c>
      <c r="B3438" s="1"/>
      <c r="C3438" s="1" t="s">
        <v>3306</v>
      </c>
      <c r="D3438" s="1" t="s">
        <v>3469</v>
      </c>
      <c r="E3438" s="1"/>
      <c r="F3438">
        <v>0.7</v>
      </c>
      <c r="G3438">
        <v>2.8</v>
      </c>
      <c r="H3438">
        <v>-120</v>
      </c>
      <c r="I3438">
        <v>0.6</v>
      </c>
      <c r="J3438">
        <v>68.900000000000006</v>
      </c>
      <c r="K3438" s="2">
        <v>45777</v>
      </c>
    </row>
    <row r="3439" spans="1:11" x14ac:dyDescent="0.25">
      <c r="A3439" s="1" t="s">
        <v>569</v>
      </c>
      <c r="B3439" s="1"/>
      <c r="C3439" s="1" t="s">
        <v>3298</v>
      </c>
      <c r="D3439" s="1" t="s">
        <v>3492</v>
      </c>
      <c r="E3439" s="1"/>
      <c r="F3439">
        <v>1.3</v>
      </c>
      <c r="G3439">
        <v>0</v>
      </c>
      <c r="H3439">
        <v>140</v>
      </c>
      <c r="I3439">
        <v>0</v>
      </c>
      <c r="J3439">
        <v>67.7</v>
      </c>
      <c r="K3439" s="2">
        <v>45785</v>
      </c>
    </row>
    <row r="3440" spans="1:11" x14ac:dyDescent="0.25">
      <c r="A3440" s="1" t="s">
        <v>875</v>
      </c>
      <c r="B3440" s="1"/>
      <c r="C3440" s="1" t="s">
        <v>2808</v>
      </c>
      <c r="D3440" s="1" t="s">
        <v>3496</v>
      </c>
      <c r="E3440" s="1"/>
      <c r="F3440">
        <v>0</v>
      </c>
      <c r="G3440">
        <v>0</v>
      </c>
      <c r="H3440">
        <v>0</v>
      </c>
      <c r="I3440">
        <v>0</v>
      </c>
      <c r="J3440">
        <v>68.3</v>
      </c>
      <c r="K3440" s="2">
        <v>45786</v>
      </c>
    </row>
    <row r="3441" spans="1:11" x14ac:dyDescent="0.25">
      <c r="A3441" s="1" t="s">
        <v>875</v>
      </c>
      <c r="B3441" s="1"/>
      <c r="C3441" s="1" t="s">
        <v>3306</v>
      </c>
      <c r="D3441" s="1" t="s">
        <v>3469</v>
      </c>
      <c r="E3441" s="1"/>
      <c r="F3441">
        <v>0.7</v>
      </c>
      <c r="G3441">
        <v>0</v>
      </c>
      <c r="H3441">
        <v>40</v>
      </c>
      <c r="I3441">
        <v>0.3</v>
      </c>
      <c r="J3441">
        <v>68</v>
      </c>
      <c r="K3441" s="2">
        <v>45786</v>
      </c>
    </row>
    <row r="3442" spans="1:11" x14ac:dyDescent="0.25">
      <c r="A3442" s="1" t="s">
        <v>876</v>
      </c>
      <c r="B3442" s="1"/>
      <c r="C3442" s="1" t="s">
        <v>2808</v>
      </c>
      <c r="D3442" s="1" t="s">
        <v>3496</v>
      </c>
      <c r="E3442" s="1"/>
      <c r="F3442">
        <v>0</v>
      </c>
      <c r="G3442">
        <v>0</v>
      </c>
      <c r="H3442">
        <v>0</v>
      </c>
      <c r="I3442">
        <v>0</v>
      </c>
      <c r="J3442">
        <v>68.3</v>
      </c>
      <c r="K3442" s="2">
        <v>45786</v>
      </c>
    </row>
    <row r="3443" spans="1:11" x14ac:dyDescent="0.25">
      <c r="A3443" s="1" t="s">
        <v>876</v>
      </c>
      <c r="B3443" s="1"/>
      <c r="C3443" s="1" t="s">
        <v>3306</v>
      </c>
      <c r="D3443" s="1" t="s">
        <v>3469</v>
      </c>
      <c r="E3443" s="1"/>
      <c r="F3443">
        <v>0.7</v>
      </c>
      <c r="G3443">
        <v>0</v>
      </c>
      <c r="H3443">
        <v>40</v>
      </c>
      <c r="I3443">
        <v>0.3</v>
      </c>
      <c r="J3443">
        <v>68</v>
      </c>
      <c r="K3443" s="2">
        <v>45786</v>
      </c>
    </row>
    <row r="3444" spans="1:11" x14ac:dyDescent="0.25">
      <c r="A3444" s="1" t="s">
        <v>877</v>
      </c>
      <c r="B3444" s="1"/>
      <c r="C3444" s="1" t="s">
        <v>2808</v>
      </c>
      <c r="D3444" s="1" t="s">
        <v>3496</v>
      </c>
      <c r="E3444" s="1"/>
      <c r="F3444">
        <v>0</v>
      </c>
      <c r="G3444">
        <v>0</v>
      </c>
      <c r="H3444">
        <v>0</v>
      </c>
      <c r="I3444">
        <v>0</v>
      </c>
      <c r="J3444">
        <v>68.3</v>
      </c>
      <c r="K3444" s="2">
        <v>45789</v>
      </c>
    </row>
    <row r="3445" spans="1:11" x14ac:dyDescent="0.25">
      <c r="A3445" s="1" t="s">
        <v>877</v>
      </c>
      <c r="B3445" s="1"/>
      <c r="C3445" s="1" t="s">
        <v>3306</v>
      </c>
      <c r="D3445" s="1" t="s">
        <v>3469</v>
      </c>
      <c r="E3445" s="1"/>
      <c r="F3445">
        <v>0.7</v>
      </c>
      <c r="G3445">
        <v>0</v>
      </c>
      <c r="H3445">
        <v>40</v>
      </c>
      <c r="I3445">
        <v>0.3</v>
      </c>
      <c r="J3445">
        <v>68</v>
      </c>
      <c r="K3445" s="2">
        <v>45789</v>
      </c>
    </row>
    <row r="3446" spans="1:11" x14ac:dyDescent="0.25">
      <c r="A3446" s="1" t="s">
        <v>878</v>
      </c>
      <c r="B3446" s="1"/>
      <c r="C3446" s="1" t="s">
        <v>2808</v>
      </c>
      <c r="D3446" s="1" t="s">
        <v>3496</v>
      </c>
      <c r="E3446" s="1"/>
      <c r="F3446">
        <v>0</v>
      </c>
      <c r="G3446">
        <v>0</v>
      </c>
      <c r="H3446">
        <v>0</v>
      </c>
      <c r="I3446">
        <v>0</v>
      </c>
      <c r="J3446">
        <v>68.3</v>
      </c>
      <c r="K3446" s="2">
        <v>45789</v>
      </c>
    </row>
    <row r="3447" spans="1:11" x14ac:dyDescent="0.25">
      <c r="A3447" s="1" t="s">
        <v>878</v>
      </c>
      <c r="B3447" s="1"/>
      <c r="C3447" s="1" t="s">
        <v>3306</v>
      </c>
      <c r="D3447" s="1" t="s">
        <v>3469</v>
      </c>
      <c r="E3447" s="1"/>
      <c r="F3447">
        <v>0.7</v>
      </c>
      <c r="G3447">
        <v>0</v>
      </c>
      <c r="H3447">
        <v>40</v>
      </c>
      <c r="I3447">
        <v>0.3</v>
      </c>
      <c r="J3447">
        <v>68</v>
      </c>
      <c r="K3447" s="2">
        <v>45789</v>
      </c>
    </row>
    <row r="3448" spans="1:11" x14ac:dyDescent="0.25">
      <c r="A3448" s="1" t="s">
        <v>283</v>
      </c>
      <c r="B3448" s="1"/>
      <c r="C3448" s="1" t="s">
        <v>3298</v>
      </c>
      <c r="D3448" s="1" t="s">
        <v>3492</v>
      </c>
      <c r="E3448" s="1"/>
      <c r="F3448">
        <v>0.3</v>
      </c>
      <c r="G3448">
        <v>0</v>
      </c>
      <c r="H3448">
        <v>40</v>
      </c>
      <c r="I3448">
        <v>0</v>
      </c>
      <c r="J3448">
        <v>16.68</v>
      </c>
      <c r="K3448" s="2">
        <v>45730</v>
      </c>
    </row>
    <row r="3449" spans="1:11" x14ac:dyDescent="0.25">
      <c r="A3449" s="1" t="s">
        <v>357</v>
      </c>
      <c r="B3449" s="1"/>
      <c r="C3449" s="1" t="s">
        <v>2808</v>
      </c>
      <c r="D3449" s="1" t="s">
        <v>3496</v>
      </c>
      <c r="E3449" s="1"/>
      <c r="F3449">
        <v>0</v>
      </c>
      <c r="G3449">
        <v>1.1000000000000001</v>
      </c>
      <c r="H3449">
        <v>-60</v>
      </c>
      <c r="I3449">
        <v>0</v>
      </c>
      <c r="J3449">
        <v>30.38</v>
      </c>
      <c r="K3449" s="2">
        <v>45730</v>
      </c>
    </row>
    <row r="3450" spans="1:11" x14ac:dyDescent="0.25">
      <c r="A3450" s="1" t="s">
        <v>357</v>
      </c>
      <c r="B3450" s="1"/>
      <c r="C3450" s="1" t="s">
        <v>3306</v>
      </c>
      <c r="D3450" s="1" t="s">
        <v>3469</v>
      </c>
      <c r="E3450" s="1"/>
      <c r="F3450">
        <v>0.3</v>
      </c>
      <c r="G3450">
        <v>2</v>
      </c>
      <c r="H3450">
        <v>-95</v>
      </c>
      <c r="I3450">
        <v>0.3</v>
      </c>
      <c r="J3450">
        <v>30.08</v>
      </c>
      <c r="K3450" s="2">
        <v>45730</v>
      </c>
    </row>
    <row r="3451" spans="1:11" x14ac:dyDescent="0.25">
      <c r="A3451" s="1" t="s">
        <v>357</v>
      </c>
      <c r="B3451" s="1"/>
      <c r="C3451" s="1" t="s">
        <v>3298</v>
      </c>
      <c r="D3451" s="1" t="s">
        <v>3492</v>
      </c>
      <c r="E3451" s="1"/>
      <c r="F3451">
        <v>0.6</v>
      </c>
      <c r="G3451">
        <v>0.1</v>
      </c>
      <c r="H3451">
        <v>60</v>
      </c>
      <c r="I3451">
        <v>0</v>
      </c>
      <c r="J3451">
        <v>30.08</v>
      </c>
      <c r="K3451" s="2">
        <v>45734</v>
      </c>
    </row>
    <row r="3452" spans="1:11" x14ac:dyDescent="0.25">
      <c r="A3452" s="1" t="s">
        <v>446</v>
      </c>
      <c r="B3452" s="1"/>
      <c r="C3452" s="1" t="s">
        <v>2808</v>
      </c>
      <c r="D3452" s="1" t="s">
        <v>3496</v>
      </c>
      <c r="E3452" s="1"/>
      <c r="F3452">
        <v>0</v>
      </c>
      <c r="G3452">
        <v>0.5</v>
      </c>
      <c r="H3452">
        <v>-25</v>
      </c>
      <c r="I3452">
        <v>0</v>
      </c>
      <c r="J3452">
        <v>33</v>
      </c>
      <c r="K3452" s="2">
        <v>45749</v>
      </c>
    </row>
    <row r="3453" spans="1:11" x14ac:dyDescent="0.25">
      <c r="A3453" s="1" t="s">
        <v>446</v>
      </c>
      <c r="B3453" s="1"/>
      <c r="C3453" s="1" t="s">
        <v>3306</v>
      </c>
      <c r="D3453" s="1" t="s">
        <v>3469</v>
      </c>
      <c r="E3453" s="1"/>
      <c r="F3453">
        <v>0.3</v>
      </c>
      <c r="G3453">
        <v>4.3</v>
      </c>
      <c r="H3453">
        <v>-225</v>
      </c>
      <c r="I3453">
        <v>0.3</v>
      </c>
      <c r="J3453">
        <v>32.700000000000003</v>
      </c>
      <c r="K3453" s="2">
        <v>45749</v>
      </c>
    </row>
    <row r="3454" spans="1:11" x14ac:dyDescent="0.25">
      <c r="A3454" s="1" t="s">
        <v>446</v>
      </c>
      <c r="B3454" s="1"/>
      <c r="C3454" s="1" t="s">
        <v>3298</v>
      </c>
      <c r="D3454" s="1" t="s">
        <v>3492</v>
      </c>
      <c r="E3454" s="1"/>
      <c r="F3454">
        <v>0.7</v>
      </c>
      <c r="G3454">
        <v>0</v>
      </c>
      <c r="H3454">
        <v>70</v>
      </c>
      <c r="I3454">
        <v>0</v>
      </c>
      <c r="J3454">
        <v>32.700000000000003</v>
      </c>
      <c r="K3454" s="2">
        <v>45755</v>
      </c>
    </row>
    <row r="3455" spans="1:11" x14ac:dyDescent="0.25">
      <c r="A3455" s="1" t="s">
        <v>296</v>
      </c>
      <c r="B3455" s="1"/>
      <c r="C3455" s="1" t="s">
        <v>3298</v>
      </c>
      <c r="D3455" s="1" t="s">
        <v>3492</v>
      </c>
      <c r="E3455" s="1"/>
      <c r="F3455">
        <v>0.8</v>
      </c>
      <c r="G3455">
        <v>0</v>
      </c>
      <c r="H3455">
        <v>90</v>
      </c>
      <c r="I3455">
        <v>0</v>
      </c>
      <c r="J3455">
        <v>41.7</v>
      </c>
      <c r="K3455" s="2">
        <v>45729</v>
      </c>
    </row>
    <row r="3456" spans="1:11" x14ac:dyDescent="0.25">
      <c r="A3456" s="1" t="s">
        <v>246</v>
      </c>
      <c r="B3456" s="1"/>
      <c r="C3456" s="1" t="s">
        <v>3298</v>
      </c>
      <c r="D3456" s="1" t="s">
        <v>3492</v>
      </c>
      <c r="E3456" s="1"/>
      <c r="F3456">
        <v>0.2</v>
      </c>
      <c r="G3456">
        <v>0</v>
      </c>
      <c r="H3456">
        <v>25</v>
      </c>
      <c r="I3456">
        <v>0</v>
      </c>
      <c r="J3456">
        <v>49.7</v>
      </c>
      <c r="K3456" s="2">
        <v>45729</v>
      </c>
    </row>
    <row r="3457" spans="1:11" x14ac:dyDescent="0.25">
      <c r="A3457" s="1" t="s">
        <v>250</v>
      </c>
      <c r="B3457" s="1"/>
      <c r="C3457" s="1" t="s">
        <v>3298</v>
      </c>
      <c r="D3457" s="1" t="s">
        <v>3492</v>
      </c>
      <c r="E3457" s="1"/>
      <c r="F3457">
        <v>0.2</v>
      </c>
      <c r="G3457">
        <v>0</v>
      </c>
      <c r="H3457">
        <v>30</v>
      </c>
      <c r="I3457">
        <v>0</v>
      </c>
      <c r="J3457">
        <v>49.7</v>
      </c>
      <c r="K3457" s="2">
        <v>45729</v>
      </c>
    </row>
    <row r="3458" spans="1:11" x14ac:dyDescent="0.25">
      <c r="A3458" s="1" t="s">
        <v>356</v>
      </c>
      <c r="B3458" s="1"/>
      <c r="C3458" s="1" t="s">
        <v>2808</v>
      </c>
      <c r="D3458" s="1" t="s">
        <v>3496</v>
      </c>
      <c r="E3458" s="1"/>
      <c r="F3458">
        <v>0</v>
      </c>
      <c r="G3458">
        <v>0.5</v>
      </c>
      <c r="H3458">
        <v>-30</v>
      </c>
      <c r="I3458">
        <v>0</v>
      </c>
      <c r="J3458">
        <v>50</v>
      </c>
      <c r="K3458" s="2">
        <v>45733</v>
      </c>
    </row>
    <row r="3459" spans="1:11" x14ac:dyDescent="0.25">
      <c r="A3459" s="1" t="s">
        <v>356</v>
      </c>
      <c r="B3459" s="1"/>
      <c r="C3459" s="1" t="s">
        <v>3306</v>
      </c>
      <c r="D3459" s="1" t="s">
        <v>3469</v>
      </c>
      <c r="E3459" s="1"/>
      <c r="F3459">
        <v>0.5</v>
      </c>
      <c r="G3459">
        <v>0.6</v>
      </c>
      <c r="H3459">
        <v>0</v>
      </c>
      <c r="I3459">
        <v>0.3</v>
      </c>
      <c r="J3459">
        <v>49.7</v>
      </c>
      <c r="K3459" s="2">
        <v>45733</v>
      </c>
    </row>
    <row r="3460" spans="1:11" x14ac:dyDescent="0.25">
      <c r="A3460" s="1" t="s">
        <v>356</v>
      </c>
      <c r="B3460" s="1"/>
      <c r="C3460" s="1" t="s">
        <v>3298</v>
      </c>
      <c r="D3460" s="1" t="s">
        <v>3492</v>
      </c>
      <c r="E3460" s="1"/>
      <c r="F3460">
        <v>0.2</v>
      </c>
      <c r="G3460">
        <v>0.1</v>
      </c>
      <c r="H3460">
        <v>20</v>
      </c>
      <c r="I3460">
        <v>0</v>
      </c>
      <c r="J3460">
        <v>49.7</v>
      </c>
      <c r="K3460" s="2">
        <v>45734</v>
      </c>
    </row>
    <row r="3461" spans="1:11" x14ac:dyDescent="0.25">
      <c r="A3461" s="1" t="s">
        <v>807</v>
      </c>
      <c r="B3461" s="1"/>
      <c r="C3461" s="1" t="s">
        <v>2808</v>
      </c>
      <c r="D3461" s="1" t="s">
        <v>3496</v>
      </c>
      <c r="E3461" s="1"/>
      <c r="F3461">
        <v>0</v>
      </c>
      <c r="G3461">
        <v>0.2</v>
      </c>
      <c r="H3461">
        <v>-5</v>
      </c>
      <c r="I3461">
        <v>0</v>
      </c>
      <c r="J3461">
        <v>50</v>
      </c>
      <c r="K3461" s="2">
        <v>45782</v>
      </c>
    </row>
    <row r="3462" spans="1:11" x14ac:dyDescent="0.25">
      <c r="A3462" s="1" t="s">
        <v>807</v>
      </c>
      <c r="B3462" s="1"/>
      <c r="C3462" s="1" t="s">
        <v>3306</v>
      </c>
      <c r="D3462" s="1" t="s">
        <v>3469</v>
      </c>
      <c r="E3462" s="1"/>
      <c r="F3462">
        <v>0.5</v>
      </c>
      <c r="G3462">
        <v>0.7</v>
      </c>
      <c r="H3462">
        <v>-10</v>
      </c>
      <c r="I3462">
        <v>0.3</v>
      </c>
      <c r="J3462">
        <v>49.7</v>
      </c>
      <c r="K3462" s="2">
        <v>45782</v>
      </c>
    </row>
    <row r="3463" spans="1:11" x14ac:dyDescent="0.25">
      <c r="A3463" s="1" t="s">
        <v>807</v>
      </c>
      <c r="B3463" s="1"/>
      <c r="C3463" s="1" t="s">
        <v>3298</v>
      </c>
      <c r="D3463" s="1" t="s">
        <v>3492</v>
      </c>
      <c r="E3463" s="1"/>
      <c r="F3463">
        <v>0.2</v>
      </c>
      <c r="G3463">
        <v>0</v>
      </c>
      <c r="H3463">
        <v>25</v>
      </c>
      <c r="I3463">
        <v>0</v>
      </c>
      <c r="J3463">
        <v>49.7</v>
      </c>
      <c r="K3463" s="2">
        <v>45784</v>
      </c>
    </row>
    <row r="3464" spans="1:11" x14ac:dyDescent="0.25">
      <c r="A3464" s="1" t="s">
        <v>870</v>
      </c>
      <c r="B3464" s="1"/>
      <c r="C3464" s="1" t="s">
        <v>2808</v>
      </c>
      <c r="D3464" s="1" t="s">
        <v>3496</v>
      </c>
      <c r="E3464" s="1"/>
      <c r="F3464">
        <v>0</v>
      </c>
      <c r="G3464">
        <v>0.2</v>
      </c>
      <c r="H3464">
        <v>-10</v>
      </c>
      <c r="I3464">
        <v>0</v>
      </c>
      <c r="J3464">
        <v>50</v>
      </c>
      <c r="K3464" s="2">
        <v>45782</v>
      </c>
    </row>
    <row r="3465" spans="1:11" x14ac:dyDescent="0.25">
      <c r="A3465" s="1" t="s">
        <v>870</v>
      </c>
      <c r="B3465" s="1"/>
      <c r="C3465" s="1" t="s">
        <v>3306</v>
      </c>
      <c r="D3465" s="1" t="s">
        <v>3469</v>
      </c>
      <c r="E3465" s="1"/>
      <c r="F3465">
        <v>0.5</v>
      </c>
      <c r="G3465">
        <v>0.6</v>
      </c>
      <c r="H3465">
        <v>-5</v>
      </c>
      <c r="I3465">
        <v>0.3</v>
      </c>
      <c r="J3465">
        <v>49.7</v>
      </c>
      <c r="K3465" s="2">
        <v>45782</v>
      </c>
    </row>
    <row r="3466" spans="1:11" x14ac:dyDescent="0.25">
      <c r="A3466" s="1" t="s">
        <v>870</v>
      </c>
      <c r="B3466" s="1"/>
      <c r="C3466" s="1" t="s">
        <v>3298</v>
      </c>
      <c r="D3466" s="1" t="s">
        <v>3492</v>
      </c>
      <c r="E3466" s="1"/>
      <c r="F3466">
        <v>0.2</v>
      </c>
      <c r="G3466">
        <v>0</v>
      </c>
      <c r="H3466">
        <v>25</v>
      </c>
      <c r="I3466">
        <v>0</v>
      </c>
      <c r="J3466">
        <v>49.7</v>
      </c>
      <c r="K3466" s="2">
        <v>45784</v>
      </c>
    </row>
    <row r="3467" spans="1:11" x14ac:dyDescent="0.25">
      <c r="A3467" s="1" t="s">
        <v>506</v>
      </c>
      <c r="B3467" s="1"/>
      <c r="C3467" s="1" t="s">
        <v>2808</v>
      </c>
      <c r="D3467" s="1" t="s">
        <v>3496</v>
      </c>
      <c r="E3467" s="1"/>
      <c r="F3467">
        <v>0</v>
      </c>
      <c r="G3467">
        <v>0.7</v>
      </c>
      <c r="H3467">
        <v>-35</v>
      </c>
      <c r="I3467">
        <v>0</v>
      </c>
      <c r="J3467">
        <v>21.6</v>
      </c>
      <c r="K3467" s="2">
        <v>45775</v>
      </c>
    </row>
    <row r="3468" spans="1:11" x14ac:dyDescent="0.25">
      <c r="A3468" s="1" t="s">
        <v>506</v>
      </c>
      <c r="B3468" s="1"/>
      <c r="C3468" s="1" t="s">
        <v>3306</v>
      </c>
      <c r="D3468" s="1" t="s">
        <v>3469</v>
      </c>
      <c r="E3468" s="1"/>
      <c r="F3468">
        <v>0.1</v>
      </c>
      <c r="G3468">
        <v>0.8</v>
      </c>
      <c r="H3468">
        <v>-30</v>
      </c>
      <c r="I3468">
        <v>0.6</v>
      </c>
      <c r="J3468">
        <v>21</v>
      </c>
      <c r="K3468" s="2">
        <v>45775</v>
      </c>
    </row>
    <row r="3469" spans="1:11" x14ac:dyDescent="0.25">
      <c r="A3469" s="1" t="s">
        <v>506</v>
      </c>
      <c r="B3469" s="1"/>
      <c r="C3469" s="1" t="s">
        <v>3298</v>
      </c>
      <c r="D3469" s="1" t="s">
        <v>3492</v>
      </c>
      <c r="E3469" s="1"/>
      <c r="F3469">
        <v>0.3</v>
      </c>
      <c r="G3469">
        <v>0</v>
      </c>
      <c r="H3469">
        <v>30</v>
      </c>
      <c r="I3469">
        <v>0</v>
      </c>
      <c r="J3469">
        <v>20.399999999999999</v>
      </c>
      <c r="K3469" s="2">
        <v>45777</v>
      </c>
    </row>
    <row r="3470" spans="1:11" x14ac:dyDescent="0.25">
      <c r="A3470" s="1" t="s">
        <v>770</v>
      </c>
      <c r="B3470" s="1"/>
      <c r="C3470" s="1" t="s">
        <v>2808</v>
      </c>
      <c r="D3470" s="1" t="s">
        <v>3496</v>
      </c>
      <c r="E3470" s="1"/>
      <c r="F3470">
        <v>0</v>
      </c>
      <c r="G3470">
        <v>0.2</v>
      </c>
      <c r="H3470">
        <v>-10</v>
      </c>
      <c r="I3470">
        <v>0</v>
      </c>
      <c r="J3470">
        <v>42.33</v>
      </c>
      <c r="K3470" s="2">
        <v>45776</v>
      </c>
    </row>
    <row r="3471" spans="1:11" x14ac:dyDescent="0.25">
      <c r="A3471" s="1" t="s">
        <v>770</v>
      </c>
      <c r="B3471" s="1"/>
      <c r="C3471" s="1" t="s">
        <v>3306</v>
      </c>
      <c r="D3471" s="1" t="s">
        <v>3469</v>
      </c>
      <c r="E3471" s="1"/>
      <c r="F3471">
        <v>0.3</v>
      </c>
      <c r="G3471">
        <v>0.5</v>
      </c>
      <c r="H3471">
        <v>-10</v>
      </c>
      <c r="I3471">
        <v>0.3</v>
      </c>
      <c r="J3471">
        <v>42.02</v>
      </c>
      <c r="K3471" s="2">
        <v>45776</v>
      </c>
    </row>
    <row r="3472" spans="1:11" x14ac:dyDescent="0.25">
      <c r="A3472" s="1" t="s">
        <v>770</v>
      </c>
      <c r="B3472" s="1"/>
      <c r="C3472" s="1" t="s">
        <v>3298</v>
      </c>
      <c r="D3472" s="1" t="s">
        <v>3492</v>
      </c>
      <c r="E3472" s="1"/>
      <c r="F3472">
        <v>0.6</v>
      </c>
      <c r="G3472">
        <v>0</v>
      </c>
      <c r="H3472">
        <v>65</v>
      </c>
      <c r="I3472">
        <v>0</v>
      </c>
      <c r="J3472">
        <v>42.03</v>
      </c>
      <c r="K3472" s="2">
        <v>45784</v>
      </c>
    </row>
    <row r="3473" spans="1:11" x14ac:dyDescent="0.25">
      <c r="A3473" s="1" t="s">
        <v>771</v>
      </c>
      <c r="B3473" s="1"/>
      <c r="C3473" s="1" t="s">
        <v>2808</v>
      </c>
      <c r="D3473" s="1" t="s">
        <v>3496</v>
      </c>
      <c r="E3473" s="1"/>
      <c r="F3473">
        <v>0</v>
      </c>
      <c r="G3473">
        <v>0.2</v>
      </c>
      <c r="H3473">
        <v>-10</v>
      </c>
      <c r="I3473">
        <v>0</v>
      </c>
      <c r="J3473">
        <v>16.5</v>
      </c>
      <c r="K3473" s="2">
        <v>45776</v>
      </c>
    </row>
    <row r="3474" spans="1:11" x14ac:dyDescent="0.25">
      <c r="A3474" s="1" t="s">
        <v>771</v>
      </c>
      <c r="B3474" s="1"/>
      <c r="C3474" s="1" t="s">
        <v>3306</v>
      </c>
      <c r="D3474" s="1" t="s">
        <v>3469</v>
      </c>
      <c r="E3474" s="1"/>
      <c r="F3474">
        <v>0.1</v>
      </c>
      <c r="G3474">
        <v>0.3</v>
      </c>
      <c r="H3474">
        <v>-10</v>
      </c>
      <c r="I3474">
        <v>0.3</v>
      </c>
      <c r="J3474">
        <v>16.3</v>
      </c>
      <c r="K3474" s="2">
        <v>45776</v>
      </c>
    </row>
    <row r="3475" spans="1:11" x14ac:dyDescent="0.25">
      <c r="A3475" s="1" t="s">
        <v>771</v>
      </c>
      <c r="B3475" s="1"/>
      <c r="C3475" s="1" t="s">
        <v>3298</v>
      </c>
      <c r="D3475" s="1" t="s">
        <v>3492</v>
      </c>
      <c r="E3475" s="1"/>
      <c r="F3475">
        <v>0.2</v>
      </c>
      <c r="G3475">
        <v>0</v>
      </c>
      <c r="H3475">
        <v>25</v>
      </c>
      <c r="I3475">
        <v>0</v>
      </c>
      <c r="J3475">
        <v>16.2</v>
      </c>
      <c r="K3475" s="2">
        <v>45784</v>
      </c>
    </row>
    <row r="3476" spans="1:11" x14ac:dyDescent="0.25">
      <c r="A3476" s="1" t="s">
        <v>258</v>
      </c>
      <c r="B3476" s="1"/>
      <c r="C3476" s="1" t="s">
        <v>2808</v>
      </c>
      <c r="D3476" s="1" t="s">
        <v>3496</v>
      </c>
      <c r="E3476" s="1"/>
      <c r="F3476">
        <v>0</v>
      </c>
      <c r="G3476">
        <v>0.5</v>
      </c>
      <c r="H3476">
        <v>-30</v>
      </c>
      <c r="I3476">
        <v>0</v>
      </c>
      <c r="J3476">
        <v>13.417</v>
      </c>
      <c r="K3476" s="2">
        <v>45729</v>
      </c>
    </row>
    <row r="3477" spans="1:11" x14ac:dyDescent="0.25">
      <c r="A3477" s="1" t="s">
        <v>258</v>
      </c>
      <c r="B3477" s="1"/>
      <c r="C3477" s="1" t="s">
        <v>3306</v>
      </c>
      <c r="D3477" s="1" t="s">
        <v>3469</v>
      </c>
      <c r="E3477" s="1"/>
      <c r="F3477">
        <v>0.1</v>
      </c>
      <c r="G3477">
        <v>0.6</v>
      </c>
      <c r="H3477">
        <v>-25</v>
      </c>
      <c r="I3477">
        <v>0.6</v>
      </c>
      <c r="J3477">
        <v>13.117000000000001</v>
      </c>
      <c r="K3477" s="2">
        <v>45729</v>
      </c>
    </row>
    <row r="3478" spans="1:11" x14ac:dyDescent="0.25">
      <c r="A3478" s="1" t="s">
        <v>258</v>
      </c>
      <c r="B3478" s="1"/>
      <c r="C3478" s="1" t="s">
        <v>3298</v>
      </c>
      <c r="D3478" s="1" t="s">
        <v>3492</v>
      </c>
      <c r="E3478" s="1"/>
      <c r="F3478">
        <v>0.2</v>
      </c>
      <c r="G3478">
        <v>0</v>
      </c>
      <c r="H3478">
        <v>25</v>
      </c>
      <c r="I3478">
        <v>0</v>
      </c>
      <c r="J3478">
        <v>11.417</v>
      </c>
      <c r="K3478" s="2">
        <v>45730</v>
      </c>
    </row>
    <row r="3479" spans="1:11" x14ac:dyDescent="0.25">
      <c r="A3479" s="1" t="s">
        <v>259</v>
      </c>
      <c r="B3479" s="1"/>
      <c r="C3479" s="1" t="s">
        <v>2808</v>
      </c>
      <c r="D3479" s="1" t="s">
        <v>3496</v>
      </c>
      <c r="E3479" s="1"/>
      <c r="F3479">
        <v>0</v>
      </c>
      <c r="G3479">
        <v>0.6</v>
      </c>
      <c r="H3479">
        <v>-30</v>
      </c>
      <c r="I3479">
        <v>0</v>
      </c>
      <c r="J3479">
        <v>17.239999999999998</v>
      </c>
      <c r="K3479" s="2">
        <v>45729</v>
      </c>
    </row>
    <row r="3480" spans="1:11" x14ac:dyDescent="0.25">
      <c r="A3480" s="1" t="s">
        <v>259</v>
      </c>
      <c r="B3480" s="1"/>
      <c r="C3480" s="1" t="s">
        <v>3306</v>
      </c>
      <c r="D3480" s="1" t="s">
        <v>3469</v>
      </c>
      <c r="E3480" s="1"/>
      <c r="F3480">
        <v>0.1</v>
      </c>
      <c r="G3480">
        <v>0.6</v>
      </c>
      <c r="H3480">
        <v>-25</v>
      </c>
      <c r="I3480">
        <v>0.6</v>
      </c>
      <c r="J3480">
        <v>16.64</v>
      </c>
      <c r="K3480" s="2">
        <v>45729</v>
      </c>
    </row>
    <row r="3481" spans="1:11" x14ac:dyDescent="0.25">
      <c r="A3481" s="1" t="s">
        <v>259</v>
      </c>
      <c r="B3481" s="1"/>
      <c r="C3481" s="1" t="s">
        <v>3298</v>
      </c>
      <c r="D3481" s="1" t="s">
        <v>3492</v>
      </c>
      <c r="E3481" s="1"/>
      <c r="F3481">
        <v>0.3</v>
      </c>
      <c r="G3481">
        <v>0</v>
      </c>
      <c r="H3481">
        <v>30</v>
      </c>
      <c r="I3481">
        <v>0</v>
      </c>
      <c r="J3481">
        <v>13.86</v>
      </c>
      <c r="K3481" s="2">
        <v>45730</v>
      </c>
    </row>
    <row r="3482" spans="1:11" x14ac:dyDescent="0.25">
      <c r="A3482" s="1" t="s">
        <v>374</v>
      </c>
      <c r="B3482" s="1"/>
      <c r="C3482" s="1" t="s">
        <v>2808</v>
      </c>
      <c r="D3482" s="1" t="s">
        <v>3496</v>
      </c>
      <c r="E3482" s="1"/>
      <c r="F3482">
        <v>0</v>
      </c>
      <c r="G3482">
        <v>3</v>
      </c>
      <c r="H3482">
        <v>-170</v>
      </c>
      <c r="I3482">
        <v>0</v>
      </c>
      <c r="J3482">
        <v>14</v>
      </c>
      <c r="K3482" s="2">
        <v>45736</v>
      </c>
    </row>
    <row r="3483" spans="1:11" x14ac:dyDescent="0.25">
      <c r="A3483" s="1" t="s">
        <v>374</v>
      </c>
      <c r="B3483" s="1"/>
      <c r="C3483" s="1" t="s">
        <v>3306</v>
      </c>
      <c r="D3483" s="1" t="s">
        <v>3469</v>
      </c>
      <c r="E3483" s="1"/>
      <c r="F3483">
        <v>0.1</v>
      </c>
      <c r="G3483">
        <v>0.9</v>
      </c>
      <c r="H3483">
        <v>-40</v>
      </c>
      <c r="I3483">
        <v>0.3</v>
      </c>
      <c r="J3483">
        <v>13.7</v>
      </c>
      <c r="K3483" s="2">
        <v>45736</v>
      </c>
    </row>
    <row r="3484" spans="1:11" x14ac:dyDescent="0.25">
      <c r="A3484" s="1" t="s">
        <v>374</v>
      </c>
      <c r="B3484" s="1"/>
      <c r="C3484" s="1" t="s">
        <v>3298</v>
      </c>
      <c r="D3484" s="1" t="s">
        <v>3492</v>
      </c>
      <c r="E3484" s="1"/>
      <c r="F3484">
        <v>0.3</v>
      </c>
      <c r="G3484">
        <v>0</v>
      </c>
      <c r="H3484">
        <v>30</v>
      </c>
      <c r="I3484">
        <v>0</v>
      </c>
      <c r="J3484">
        <v>13.7</v>
      </c>
      <c r="K3484" s="2">
        <v>45737</v>
      </c>
    </row>
    <row r="3485" spans="1:11" x14ac:dyDescent="0.25">
      <c r="A3485" s="1" t="s">
        <v>417</v>
      </c>
      <c r="B3485" s="1"/>
      <c r="C3485" s="1" t="s">
        <v>2808</v>
      </c>
      <c r="D3485" s="1" t="s">
        <v>3496</v>
      </c>
      <c r="E3485" s="1"/>
      <c r="F3485">
        <v>0</v>
      </c>
      <c r="G3485">
        <v>1</v>
      </c>
      <c r="H3485">
        <v>-55</v>
      </c>
      <c r="I3485">
        <v>0</v>
      </c>
      <c r="J3485">
        <v>43.997</v>
      </c>
      <c r="K3485" s="2">
        <v>45737</v>
      </c>
    </row>
    <row r="3486" spans="1:11" x14ac:dyDescent="0.25">
      <c r="A3486" s="1" t="s">
        <v>417</v>
      </c>
      <c r="B3486" s="1"/>
      <c r="C3486" s="1" t="s">
        <v>3306</v>
      </c>
      <c r="D3486" s="1" t="s">
        <v>3469</v>
      </c>
      <c r="E3486" s="1"/>
      <c r="F3486">
        <v>0.4</v>
      </c>
      <c r="G3486">
        <v>1.6</v>
      </c>
      <c r="H3486">
        <v>-65</v>
      </c>
      <c r="I3486">
        <v>0.3</v>
      </c>
      <c r="J3486">
        <v>43.697000000000003</v>
      </c>
      <c r="K3486" s="2">
        <v>45737</v>
      </c>
    </row>
    <row r="3487" spans="1:11" x14ac:dyDescent="0.25">
      <c r="A3487" s="1" t="s">
        <v>417</v>
      </c>
      <c r="B3487" s="1"/>
      <c r="C3487" s="1" t="s">
        <v>3298</v>
      </c>
      <c r="D3487" s="1" t="s">
        <v>3492</v>
      </c>
      <c r="E3487" s="1"/>
      <c r="F3487">
        <v>0.9</v>
      </c>
      <c r="G3487">
        <v>0</v>
      </c>
      <c r="H3487">
        <v>90</v>
      </c>
      <c r="I3487">
        <v>0</v>
      </c>
      <c r="J3487">
        <v>43.697000000000003</v>
      </c>
      <c r="K3487" s="2">
        <v>45741</v>
      </c>
    </row>
    <row r="3488" spans="1:11" x14ac:dyDescent="0.25">
      <c r="A3488" s="1" t="s">
        <v>418</v>
      </c>
      <c r="B3488" s="1"/>
      <c r="C3488" s="1" t="s">
        <v>2808</v>
      </c>
      <c r="D3488" s="1" t="s">
        <v>3496</v>
      </c>
      <c r="E3488" s="1"/>
      <c r="F3488">
        <v>0</v>
      </c>
      <c r="G3488">
        <v>1.4</v>
      </c>
      <c r="H3488">
        <v>-80</v>
      </c>
      <c r="I3488">
        <v>0</v>
      </c>
      <c r="J3488">
        <v>11</v>
      </c>
      <c r="K3488" s="2">
        <v>45747</v>
      </c>
    </row>
    <row r="3489" spans="1:11" x14ac:dyDescent="0.25">
      <c r="A3489" s="1" t="s">
        <v>418</v>
      </c>
      <c r="B3489" s="1"/>
      <c r="C3489" s="1" t="s">
        <v>3306</v>
      </c>
      <c r="D3489" s="1" t="s">
        <v>3469</v>
      </c>
      <c r="E3489" s="1"/>
      <c r="F3489">
        <v>0.1</v>
      </c>
      <c r="G3489">
        <v>0.7</v>
      </c>
      <c r="H3489">
        <v>-30</v>
      </c>
      <c r="I3489">
        <v>0.6</v>
      </c>
      <c r="J3489">
        <v>10.4</v>
      </c>
      <c r="K3489" s="2">
        <v>45747</v>
      </c>
    </row>
    <row r="3490" spans="1:11" x14ac:dyDescent="0.25">
      <c r="A3490" s="1" t="s">
        <v>418</v>
      </c>
      <c r="B3490" s="1"/>
      <c r="C3490" s="1" t="s">
        <v>3298</v>
      </c>
      <c r="D3490" s="1" t="s">
        <v>3492</v>
      </c>
      <c r="E3490" s="1"/>
      <c r="F3490">
        <v>0.2</v>
      </c>
      <c r="G3490">
        <v>0.1</v>
      </c>
      <c r="H3490">
        <v>15</v>
      </c>
      <c r="I3490">
        <v>0</v>
      </c>
      <c r="J3490">
        <v>9.4</v>
      </c>
      <c r="K3490" s="2">
        <v>45748</v>
      </c>
    </row>
    <row r="3491" spans="1:11" x14ac:dyDescent="0.25">
      <c r="A3491" s="1" t="s">
        <v>627</v>
      </c>
      <c r="B3491" s="1"/>
      <c r="C3491" s="1" t="s">
        <v>2808</v>
      </c>
      <c r="D3491" s="1" t="s">
        <v>3496</v>
      </c>
      <c r="E3491" s="1"/>
      <c r="F3491">
        <v>0</v>
      </c>
      <c r="G3491">
        <v>0.4</v>
      </c>
      <c r="H3491">
        <v>-20</v>
      </c>
      <c r="I3491">
        <v>0</v>
      </c>
      <c r="J3491">
        <v>71</v>
      </c>
      <c r="K3491" s="2">
        <v>45769</v>
      </c>
    </row>
    <row r="3492" spans="1:11" x14ac:dyDescent="0.25">
      <c r="A3492" s="1" t="s">
        <v>627</v>
      </c>
      <c r="B3492" s="1"/>
      <c r="C3492" s="1" t="s">
        <v>3306</v>
      </c>
      <c r="D3492" s="1" t="s">
        <v>3469</v>
      </c>
      <c r="E3492" s="1"/>
      <c r="F3492">
        <v>0.5</v>
      </c>
      <c r="G3492">
        <v>0.5</v>
      </c>
      <c r="H3492">
        <v>5</v>
      </c>
      <c r="I3492">
        <v>0.3</v>
      </c>
      <c r="J3492">
        <v>70.7</v>
      </c>
      <c r="K3492" s="2">
        <v>45769</v>
      </c>
    </row>
    <row r="3493" spans="1:11" x14ac:dyDescent="0.25">
      <c r="A3493" s="1" t="s">
        <v>627</v>
      </c>
      <c r="B3493" s="1"/>
      <c r="C3493" s="1" t="s">
        <v>3298</v>
      </c>
      <c r="D3493" s="1" t="s">
        <v>3492</v>
      </c>
      <c r="E3493" s="1"/>
      <c r="F3493">
        <v>1</v>
      </c>
      <c r="G3493">
        <v>0</v>
      </c>
      <c r="H3493">
        <v>105</v>
      </c>
      <c r="I3493">
        <v>0</v>
      </c>
      <c r="J3493">
        <v>70.7</v>
      </c>
      <c r="K3493" s="2">
        <v>45778</v>
      </c>
    </row>
    <row r="3494" spans="1:11" x14ac:dyDescent="0.25">
      <c r="A3494" s="1" t="s">
        <v>628</v>
      </c>
      <c r="B3494" s="1"/>
      <c r="C3494" s="1" t="s">
        <v>2808</v>
      </c>
      <c r="D3494" s="1" t="s">
        <v>3496</v>
      </c>
      <c r="E3494" s="1"/>
      <c r="F3494">
        <v>0</v>
      </c>
      <c r="G3494">
        <v>1.8</v>
      </c>
      <c r="H3494">
        <v>-105</v>
      </c>
      <c r="I3494">
        <v>0</v>
      </c>
      <c r="J3494">
        <v>71</v>
      </c>
      <c r="K3494" s="2">
        <v>45770</v>
      </c>
    </row>
    <row r="3495" spans="1:11" x14ac:dyDescent="0.25">
      <c r="A3495" s="1" t="s">
        <v>628</v>
      </c>
      <c r="B3495" s="1"/>
      <c r="C3495" s="1" t="s">
        <v>3306</v>
      </c>
      <c r="D3495" s="1" t="s">
        <v>3469</v>
      </c>
      <c r="E3495" s="1"/>
      <c r="F3495">
        <v>0.5</v>
      </c>
      <c r="G3495">
        <v>0.2</v>
      </c>
      <c r="H3495">
        <v>20</v>
      </c>
      <c r="I3495">
        <v>0.3</v>
      </c>
      <c r="J3495">
        <v>70.7</v>
      </c>
      <c r="K3495" s="2">
        <v>45770</v>
      </c>
    </row>
    <row r="3496" spans="1:11" x14ac:dyDescent="0.25">
      <c r="A3496" s="1" t="s">
        <v>628</v>
      </c>
      <c r="B3496" s="1"/>
      <c r="C3496" s="1" t="s">
        <v>3298</v>
      </c>
      <c r="D3496" s="1" t="s">
        <v>3492</v>
      </c>
      <c r="E3496" s="1"/>
      <c r="F3496">
        <v>1</v>
      </c>
      <c r="G3496">
        <v>0</v>
      </c>
      <c r="H3496">
        <v>105</v>
      </c>
      <c r="I3496">
        <v>0</v>
      </c>
      <c r="J3496">
        <v>70.7</v>
      </c>
      <c r="K3496" s="2">
        <v>45778</v>
      </c>
    </row>
    <row r="3497" spans="1:11" x14ac:dyDescent="0.25">
      <c r="A3497" s="1" t="s">
        <v>629</v>
      </c>
      <c r="B3497" s="1"/>
      <c r="C3497" s="1" t="s">
        <v>2808</v>
      </c>
      <c r="D3497" s="1" t="s">
        <v>3496</v>
      </c>
      <c r="E3497" s="1"/>
      <c r="F3497">
        <v>0</v>
      </c>
      <c r="G3497">
        <v>1.9</v>
      </c>
      <c r="H3497">
        <v>-105</v>
      </c>
      <c r="I3497">
        <v>0</v>
      </c>
      <c r="J3497">
        <v>71</v>
      </c>
      <c r="K3497" s="2">
        <v>45770</v>
      </c>
    </row>
    <row r="3498" spans="1:11" x14ac:dyDescent="0.25">
      <c r="A3498" s="1" t="s">
        <v>629</v>
      </c>
      <c r="B3498" s="1"/>
      <c r="C3498" s="1" t="s">
        <v>3306</v>
      </c>
      <c r="D3498" s="1" t="s">
        <v>3469</v>
      </c>
      <c r="E3498" s="1"/>
      <c r="F3498">
        <v>0.5</v>
      </c>
      <c r="G3498">
        <v>0.3</v>
      </c>
      <c r="H3498">
        <v>15</v>
      </c>
      <c r="I3498">
        <v>0.3</v>
      </c>
      <c r="J3498">
        <v>70.7</v>
      </c>
      <c r="K3498" s="2">
        <v>45770</v>
      </c>
    </row>
    <row r="3499" spans="1:11" x14ac:dyDescent="0.25">
      <c r="A3499" s="1" t="s">
        <v>629</v>
      </c>
      <c r="B3499" s="1"/>
      <c r="C3499" s="1" t="s">
        <v>3298</v>
      </c>
      <c r="D3499" s="1" t="s">
        <v>3492</v>
      </c>
      <c r="E3499" s="1"/>
      <c r="F3499">
        <v>1</v>
      </c>
      <c r="G3499">
        <v>0</v>
      </c>
      <c r="H3499">
        <v>105</v>
      </c>
      <c r="I3499">
        <v>0</v>
      </c>
      <c r="J3499">
        <v>70.7</v>
      </c>
      <c r="K3499" s="2">
        <v>45783</v>
      </c>
    </row>
    <row r="3500" spans="1:11" x14ac:dyDescent="0.25">
      <c r="A3500" s="1" t="s">
        <v>630</v>
      </c>
      <c r="B3500" s="1"/>
      <c r="C3500" s="1" t="s">
        <v>2808</v>
      </c>
      <c r="D3500" s="1" t="s">
        <v>3496</v>
      </c>
      <c r="E3500" s="1"/>
      <c r="F3500">
        <v>0</v>
      </c>
      <c r="G3500">
        <v>1.9</v>
      </c>
      <c r="H3500">
        <v>-105</v>
      </c>
      <c r="I3500">
        <v>0</v>
      </c>
      <c r="J3500">
        <v>71</v>
      </c>
      <c r="K3500" s="2">
        <v>45770</v>
      </c>
    </row>
    <row r="3501" spans="1:11" x14ac:dyDescent="0.25">
      <c r="A3501" s="1" t="s">
        <v>630</v>
      </c>
      <c r="B3501" s="1"/>
      <c r="C3501" s="1" t="s">
        <v>3306</v>
      </c>
      <c r="D3501" s="1" t="s">
        <v>3469</v>
      </c>
      <c r="E3501" s="1"/>
      <c r="F3501">
        <v>0.5</v>
      </c>
      <c r="G3501">
        <v>0.3</v>
      </c>
      <c r="H3501">
        <v>15</v>
      </c>
      <c r="I3501">
        <v>0.3</v>
      </c>
      <c r="J3501">
        <v>70.7</v>
      </c>
      <c r="K3501" s="2">
        <v>45770</v>
      </c>
    </row>
    <row r="3502" spans="1:11" x14ac:dyDescent="0.25">
      <c r="A3502" s="1" t="s">
        <v>630</v>
      </c>
      <c r="B3502" s="1"/>
      <c r="C3502" s="1" t="s">
        <v>3298</v>
      </c>
      <c r="D3502" s="1" t="s">
        <v>3492</v>
      </c>
      <c r="E3502" s="1"/>
      <c r="F3502">
        <v>1</v>
      </c>
      <c r="G3502">
        <v>0</v>
      </c>
      <c r="H3502">
        <v>105</v>
      </c>
      <c r="I3502">
        <v>0</v>
      </c>
      <c r="J3502">
        <v>70.7</v>
      </c>
      <c r="K3502" s="2">
        <v>45783</v>
      </c>
    </row>
    <row r="3503" spans="1:11" x14ac:dyDescent="0.25">
      <c r="A3503" s="1" t="s">
        <v>873</v>
      </c>
      <c r="B3503" s="1"/>
      <c r="C3503" s="1" t="s">
        <v>2808</v>
      </c>
      <c r="D3503" s="1" t="s">
        <v>3496</v>
      </c>
      <c r="E3503" s="1"/>
      <c r="F3503">
        <v>0</v>
      </c>
      <c r="G3503">
        <v>1.1000000000000001</v>
      </c>
      <c r="H3503">
        <v>-60</v>
      </c>
      <c r="I3503">
        <v>0</v>
      </c>
      <c r="J3503">
        <v>71</v>
      </c>
      <c r="K3503" s="2">
        <v>45784</v>
      </c>
    </row>
    <row r="3504" spans="1:11" x14ac:dyDescent="0.25">
      <c r="A3504" s="1" t="s">
        <v>873</v>
      </c>
      <c r="B3504" s="1"/>
      <c r="C3504" s="1" t="s">
        <v>3306</v>
      </c>
      <c r="D3504" s="1" t="s">
        <v>3469</v>
      </c>
      <c r="E3504" s="1"/>
      <c r="F3504">
        <v>0.5</v>
      </c>
      <c r="G3504">
        <v>0.3</v>
      </c>
      <c r="H3504">
        <v>10</v>
      </c>
      <c r="I3504">
        <v>0.3</v>
      </c>
      <c r="J3504">
        <v>70.7</v>
      </c>
      <c r="K3504" s="2">
        <v>45784</v>
      </c>
    </row>
    <row r="3505" spans="1:11" x14ac:dyDescent="0.25">
      <c r="A3505" s="1" t="s">
        <v>874</v>
      </c>
      <c r="B3505" s="1"/>
      <c r="C3505" s="1" t="s">
        <v>2808</v>
      </c>
      <c r="D3505" s="1" t="s">
        <v>3496</v>
      </c>
      <c r="E3505" s="1"/>
      <c r="F3505">
        <v>0</v>
      </c>
      <c r="G3505">
        <v>1.2</v>
      </c>
      <c r="H3505">
        <v>-70</v>
      </c>
      <c r="I3505">
        <v>0</v>
      </c>
      <c r="J3505">
        <v>71</v>
      </c>
      <c r="K3505" s="2">
        <v>45784</v>
      </c>
    </row>
    <row r="3506" spans="1:11" x14ac:dyDescent="0.25">
      <c r="A3506" s="1" t="s">
        <v>874</v>
      </c>
      <c r="B3506" s="1"/>
      <c r="C3506" s="1" t="s">
        <v>3306</v>
      </c>
      <c r="D3506" s="1" t="s">
        <v>3469</v>
      </c>
      <c r="E3506" s="1"/>
      <c r="F3506">
        <v>0.5</v>
      </c>
      <c r="G3506">
        <v>0.6</v>
      </c>
      <c r="H3506">
        <v>-5</v>
      </c>
      <c r="I3506">
        <v>0.3</v>
      </c>
      <c r="J3506">
        <v>70.7</v>
      </c>
      <c r="K3506" s="2">
        <v>45784</v>
      </c>
    </row>
    <row r="3507" spans="1:11" x14ac:dyDescent="0.25">
      <c r="A3507" s="1" t="s">
        <v>861</v>
      </c>
      <c r="B3507" s="1"/>
      <c r="C3507" s="1" t="s">
        <v>2808</v>
      </c>
      <c r="D3507" s="1" t="s">
        <v>3496</v>
      </c>
      <c r="E3507" s="1"/>
      <c r="F3507">
        <v>0</v>
      </c>
      <c r="G3507">
        <v>0.2</v>
      </c>
      <c r="H3507">
        <v>-10</v>
      </c>
      <c r="I3507">
        <v>0</v>
      </c>
      <c r="J3507">
        <v>2</v>
      </c>
      <c r="K3507" s="2">
        <v>45786</v>
      </c>
    </row>
    <row r="3508" spans="1:11" x14ac:dyDescent="0.25">
      <c r="A3508" s="1" t="s">
        <v>861</v>
      </c>
      <c r="B3508" s="1"/>
      <c r="C3508" s="1" t="s">
        <v>3306</v>
      </c>
      <c r="D3508" s="1" t="s">
        <v>3469</v>
      </c>
      <c r="E3508" s="1"/>
      <c r="F3508">
        <v>0</v>
      </c>
      <c r="G3508">
        <v>0.2</v>
      </c>
      <c r="H3508">
        <v>-10</v>
      </c>
      <c r="I3508">
        <v>0.3</v>
      </c>
      <c r="J3508">
        <v>1.7</v>
      </c>
      <c r="K3508" s="2">
        <v>45786</v>
      </c>
    </row>
    <row r="3509" spans="1:11" x14ac:dyDescent="0.25">
      <c r="A3509" s="1" t="s">
        <v>910</v>
      </c>
      <c r="B3509" s="1"/>
      <c r="C3509" s="1" t="s">
        <v>2808</v>
      </c>
      <c r="D3509" s="1" t="s">
        <v>3496</v>
      </c>
      <c r="E3509" s="1"/>
      <c r="F3509">
        <v>0</v>
      </c>
      <c r="G3509">
        <v>0.2</v>
      </c>
      <c r="H3509">
        <v>-10</v>
      </c>
      <c r="I3509">
        <v>0</v>
      </c>
      <c r="J3509">
        <v>5</v>
      </c>
      <c r="K3509" s="2">
        <v>45786</v>
      </c>
    </row>
    <row r="3510" spans="1:11" x14ac:dyDescent="0.25">
      <c r="A3510" s="1" t="s">
        <v>910</v>
      </c>
      <c r="B3510" s="1"/>
      <c r="C3510" s="1" t="s">
        <v>3306</v>
      </c>
      <c r="D3510" s="1" t="s">
        <v>3469</v>
      </c>
      <c r="E3510" s="1"/>
      <c r="F3510">
        <v>0</v>
      </c>
      <c r="G3510">
        <v>0.6</v>
      </c>
      <c r="H3510">
        <v>-30</v>
      </c>
      <c r="I3510">
        <v>0.3</v>
      </c>
      <c r="J3510">
        <v>4.7</v>
      </c>
      <c r="K3510" s="2">
        <v>45786</v>
      </c>
    </row>
    <row r="3511" spans="1:11" x14ac:dyDescent="0.25">
      <c r="A3511" s="1" t="s">
        <v>956</v>
      </c>
      <c r="B3511" s="1"/>
      <c r="C3511" s="1" t="s">
        <v>2808</v>
      </c>
      <c r="D3511" s="1" t="s">
        <v>3496</v>
      </c>
      <c r="E3511" s="1"/>
      <c r="F3511">
        <v>0</v>
      </c>
      <c r="G3511">
        <v>0</v>
      </c>
      <c r="H3511">
        <v>0</v>
      </c>
      <c r="I3511">
        <v>0</v>
      </c>
      <c r="J3511">
        <v>4.28</v>
      </c>
      <c r="K3511" s="2">
        <v>45786</v>
      </c>
    </row>
    <row r="3512" spans="1:11" x14ac:dyDescent="0.25">
      <c r="A3512" s="1" t="s">
        <v>956</v>
      </c>
      <c r="B3512" s="1"/>
      <c r="C3512" s="1" t="s">
        <v>3306</v>
      </c>
      <c r="D3512" s="1" t="s">
        <v>3469</v>
      </c>
      <c r="E3512" s="1"/>
      <c r="F3512">
        <v>0</v>
      </c>
      <c r="G3512">
        <v>0</v>
      </c>
      <c r="H3512">
        <v>5</v>
      </c>
      <c r="I3512">
        <v>0.3</v>
      </c>
      <c r="J3512">
        <v>4.28</v>
      </c>
      <c r="K3512" s="2">
        <v>45786</v>
      </c>
    </row>
    <row r="3513" spans="1:11" x14ac:dyDescent="0.25">
      <c r="A3513" s="1" t="s">
        <v>239</v>
      </c>
      <c r="B3513" s="1"/>
      <c r="C3513" s="1" t="s">
        <v>2808</v>
      </c>
      <c r="D3513" s="1" t="s">
        <v>3496</v>
      </c>
      <c r="E3513" s="1"/>
      <c r="F3513">
        <v>0</v>
      </c>
      <c r="G3513">
        <v>1</v>
      </c>
      <c r="H3513">
        <v>-55</v>
      </c>
      <c r="I3513">
        <v>0</v>
      </c>
      <c r="J3513">
        <v>60</v>
      </c>
      <c r="K3513" s="2">
        <v>45741</v>
      </c>
    </row>
    <row r="3514" spans="1:11" x14ac:dyDescent="0.25">
      <c r="A3514" s="1" t="s">
        <v>239</v>
      </c>
      <c r="B3514" s="1"/>
      <c r="C3514" s="1" t="s">
        <v>3306</v>
      </c>
      <c r="D3514" s="1" t="s">
        <v>3469</v>
      </c>
      <c r="E3514" s="1"/>
      <c r="F3514">
        <v>0.4</v>
      </c>
      <c r="G3514">
        <v>0.9</v>
      </c>
      <c r="H3514">
        <v>-20</v>
      </c>
      <c r="I3514">
        <v>0.3</v>
      </c>
      <c r="J3514">
        <v>59.7</v>
      </c>
      <c r="K3514" s="2">
        <v>45741</v>
      </c>
    </row>
    <row r="3515" spans="1:11" x14ac:dyDescent="0.25">
      <c r="A3515" s="1" t="s">
        <v>239</v>
      </c>
      <c r="B3515" s="1"/>
      <c r="C3515" s="1" t="s">
        <v>3298</v>
      </c>
      <c r="D3515" s="1" t="s">
        <v>3492</v>
      </c>
      <c r="E3515" s="1"/>
      <c r="F3515">
        <v>0.8</v>
      </c>
      <c r="G3515">
        <v>0</v>
      </c>
      <c r="H3515">
        <v>90</v>
      </c>
      <c r="I3515">
        <v>0</v>
      </c>
      <c r="J3515">
        <v>59.7</v>
      </c>
      <c r="K3515" s="2">
        <v>45743</v>
      </c>
    </row>
    <row r="3516" spans="1:11" x14ac:dyDescent="0.25">
      <c r="A3516" s="1" t="s">
        <v>321</v>
      </c>
      <c r="B3516" s="1"/>
      <c r="C3516" s="1" t="s">
        <v>2808</v>
      </c>
      <c r="D3516" s="1" t="s">
        <v>3496</v>
      </c>
      <c r="E3516" s="1"/>
      <c r="F3516">
        <v>0</v>
      </c>
      <c r="G3516">
        <v>0.5</v>
      </c>
      <c r="H3516">
        <v>-25</v>
      </c>
      <c r="I3516">
        <v>0</v>
      </c>
      <c r="J3516">
        <v>78</v>
      </c>
      <c r="K3516" s="2">
        <v>45743</v>
      </c>
    </row>
    <row r="3517" spans="1:11" x14ac:dyDescent="0.25">
      <c r="A3517" s="1" t="s">
        <v>321</v>
      </c>
      <c r="B3517" s="1"/>
      <c r="C3517" s="1" t="s">
        <v>3306</v>
      </c>
      <c r="D3517" s="1" t="s">
        <v>3469</v>
      </c>
      <c r="E3517" s="1"/>
      <c r="F3517">
        <v>0.5</v>
      </c>
      <c r="G3517">
        <v>0.1</v>
      </c>
      <c r="H3517">
        <v>30</v>
      </c>
      <c r="I3517">
        <v>0.3</v>
      </c>
      <c r="J3517">
        <v>77.7</v>
      </c>
      <c r="K3517" s="2">
        <v>45743</v>
      </c>
    </row>
    <row r="3518" spans="1:11" x14ac:dyDescent="0.25">
      <c r="A3518" s="1" t="s">
        <v>321</v>
      </c>
      <c r="B3518" s="1"/>
      <c r="C3518" s="1" t="s">
        <v>3298</v>
      </c>
      <c r="D3518" s="1" t="s">
        <v>3492</v>
      </c>
      <c r="E3518" s="1"/>
      <c r="F3518">
        <v>1.1000000000000001</v>
      </c>
      <c r="G3518">
        <v>0</v>
      </c>
      <c r="H3518">
        <v>115</v>
      </c>
      <c r="I3518">
        <v>0</v>
      </c>
      <c r="J3518">
        <v>77.7</v>
      </c>
      <c r="K3518" s="2">
        <v>45748</v>
      </c>
    </row>
    <row r="3519" spans="1:11" x14ac:dyDescent="0.25">
      <c r="A3519" s="1" t="s">
        <v>930</v>
      </c>
      <c r="B3519" s="1"/>
      <c r="C3519" s="1" t="s">
        <v>2808</v>
      </c>
      <c r="D3519" s="1" t="s">
        <v>3496</v>
      </c>
      <c r="E3519" s="1"/>
      <c r="F3519">
        <v>0</v>
      </c>
      <c r="G3519">
        <v>0.4</v>
      </c>
      <c r="H3519">
        <v>-20</v>
      </c>
      <c r="I3519">
        <v>0</v>
      </c>
      <c r="J3519">
        <v>8</v>
      </c>
      <c r="K3519" s="2">
        <v>45786</v>
      </c>
    </row>
    <row r="3520" spans="1:11" x14ac:dyDescent="0.25">
      <c r="A3520" s="1" t="s">
        <v>930</v>
      </c>
      <c r="B3520" s="1"/>
      <c r="C3520" s="1" t="s">
        <v>3306</v>
      </c>
      <c r="D3520" s="1" t="s">
        <v>3469</v>
      </c>
      <c r="E3520" s="1"/>
      <c r="F3520">
        <v>0.1</v>
      </c>
      <c r="G3520">
        <v>0.4</v>
      </c>
      <c r="H3520">
        <v>-20</v>
      </c>
      <c r="I3520">
        <v>0.3</v>
      </c>
      <c r="J3520">
        <v>7.7</v>
      </c>
      <c r="K3520" s="2">
        <v>45786</v>
      </c>
    </row>
    <row r="3521" spans="1:11" x14ac:dyDescent="0.25">
      <c r="A3521" s="1" t="s">
        <v>467</v>
      </c>
      <c r="B3521" s="1"/>
      <c r="C3521" s="1" t="s">
        <v>2808</v>
      </c>
      <c r="D3521" s="1" t="s">
        <v>3496</v>
      </c>
      <c r="E3521" s="1"/>
      <c r="F3521">
        <v>0</v>
      </c>
      <c r="G3521">
        <v>0.7</v>
      </c>
      <c r="H3521">
        <v>-35</v>
      </c>
      <c r="I3521">
        <v>0</v>
      </c>
      <c r="J3521">
        <v>73.02</v>
      </c>
      <c r="K3521" s="2">
        <v>45776</v>
      </c>
    </row>
    <row r="3522" spans="1:11" x14ac:dyDescent="0.25">
      <c r="A3522" s="1" t="s">
        <v>467</v>
      </c>
      <c r="B3522" s="1"/>
      <c r="C3522" s="1" t="s">
        <v>3306</v>
      </c>
      <c r="D3522" s="1" t="s">
        <v>3469</v>
      </c>
      <c r="E3522" s="1"/>
      <c r="F3522">
        <v>0.5</v>
      </c>
      <c r="G3522">
        <v>1.4</v>
      </c>
      <c r="H3522">
        <v>-50</v>
      </c>
      <c r="I3522">
        <v>0.6</v>
      </c>
      <c r="J3522">
        <v>71.7</v>
      </c>
      <c r="K3522" s="2">
        <v>45776</v>
      </c>
    </row>
    <row r="3523" spans="1:11" x14ac:dyDescent="0.25">
      <c r="A3523" s="1" t="s">
        <v>467</v>
      </c>
      <c r="B3523" s="1"/>
      <c r="C3523" s="1" t="s">
        <v>3298</v>
      </c>
      <c r="D3523" s="1" t="s">
        <v>3492</v>
      </c>
      <c r="E3523" s="1"/>
      <c r="F3523">
        <v>1</v>
      </c>
      <c r="G3523">
        <v>0</v>
      </c>
      <c r="H3523">
        <v>105</v>
      </c>
      <c r="I3523">
        <v>0</v>
      </c>
      <c r="J3523">
        <v>71.400000000000006</v>
      </c>
      <c r="K3523" s="2">
        <v>45779</v>
      </c>
    </row>
    <row r="3524" spans="1:11" x14ac:dyDescent="0.25">
      <c r="A3524" s="1" t="s">
        <v>468</v>
      </c>
      <c r="B3524" s="1"/>
      <c r="C3524" s="1" t="s">
        <v>2808</v>
      </c>
      <c r="D3524" s="1" t="s">
        <v>3496</v>
      </c>
      <c r="E3524" s="1"/>
      <c r="F3524">
        <v>0</v>
      </c>
      <c r="G3524">
        <v>3.9</v>
      </c>
      <c r="H3524">
        <v>-225</v>
      </c>
      <c r="I3524">
        <v>0</v>
      </c>
      <c r="J3524">
        <v>72</v>
      </c>
      <c r="K3524" s="2">
        <v>45778</v>
      </c>
    </row>
    <row r="3525" spans="1:11" x14ac:dyDescent="0.25">
      <c r="A3525" s="1" t="s">
        <v>468</v>
      </c>
      <c r="B3525" s="1"/>
      <c r="C3525" s="1" t="s">
        <v>3306</v>
      </c>
      <c r="D3525" s="1" t="s">
        <v>3469</v>
      </c>
      <c r="E3525" s="1"/>
      <c r="F3525">
        <v>0.5</v>
      </c>
      <c r="G3525">
        <v>0.5</v>
      </c>
      <c r="H3525">
        <v>0</v>
      </c>
      <c r="I3525">
        <v>0.3</v>
      </c>
      <c r="J3525">
        <v>71.7</v>
      </c>
      <c r="K3525" s="2">
        <v>45778</v>
      </c>
    </row>
    <row r="3526" spans="1:11" x14ac:dyDescent="0.25">
      <c r="A3526" s="1" t="s">
        <v>468</v>
      </c>
      <c r="B3526" s="1"/>
      <c r="C3526" s="1" t="s">
        <v>3298</v>
      </c>
      <c r="D3526" s="1" t="s">
        <v>3492</v>
      </c>
      <c r="E3526" s="1"/>
      <c r="F3526">
        <v>1</v>
      </c>
      <c r="G3526">
        <v>0</v>
      </c>
      <c r="H3526">
        <v>105</v>
      </c>
      <c r="I3526">
        <v>0</v>
      </c>
      <c r="J3526">
        <v>71.7</v>
      </c>
      <c r="K3526" s="2">
        <v>45783</v>
      </c>
    </row>
    <row r="3527" spans="1:11" x14ac:dyDescent="0.25">
      <c r="A3527" s="1" t="s">
        <v>557</v>
      </c>
      <c r="B3527" s="1"/>
      <c r="C3527" s="1" t="s">
        <v>2808</v>
      </c>
      <c r="D3527" s="1" t="s">
        <v>3496</v>
      </c>
      <c r="E3527" s="1"/>
      <c r="F3527">
        <v>0</v>
      </c>
      <c r="G3527">
        <v>1.5</v>
      </c>
      <c r="H3527">
        <v>-85</v>
      </c>
      <c r="I3527">
        <v>0</v>
      </c>
      <c r="J3527">
        <v>72.7</v>
      </c>
      <c r="K3527" s="2">
        <v>45776</v>
      </c>
    </row>
    <row r="3528" spans="1:11" x14ac:dyDescent="0.25">
      <c r="A3528" s="1" t="s">
        <v>557</v>
      </c>
      <c r="B3528" s="1"/>
      <c r="C3528" s="1" t="s">
        <v>3306</v>
      </c>
      <c r="D3528" s="1" t="s">
        <v>3469</v>
      </c>
      <c r="E3528" s="1"/>
      <c r="F3528">
        <v>0.5</v>
      </c>
      <c r="G3528">
        <v>1.6</v>
      </c>
      <c r="H3528">
        <v>-60</v>
      </c>
      <c r="I3528">
        <v>0.6</v>
      </c>
      <c r="J3528">
        <v>72.42</v>
      </c>
      <c r="K3528" s="2">
        <v>45776</v>
      </c>
    </row>
    <row r="3529" spans="1:11" x14ac:dyDescent="0.25">
      <c r="A3529" s="1" t="s">
        <v>557</v>
      </c>
      <c r="B3529" s="1"/>
      <c r="C3529" s="1" t="s">
        <v>3298</v>
      </c>
      <c r="D3529" s="1" t="s">
        <v>3492</v>
      </c>
      <c r="E3529" s="1"/>
      <c r="F3529">
        <v>1</v>
      </c>
      <c r="G3529">
        <v>0</v>
      </c>
      <c r="H3529">
        <v>105</v>
      </c>
      <c r="I3529">
        <v>0</v>
      </c>
      <c r="J3529">
        <v>71.400000000000006</v>
      </c>
      <c r="K3529" s="2">
        <v>45779</v>
      </c>
    </row>
    <row r="3530" spans="1:11" x14ac:dyDescent="0.25">
      <c r="A3530" s="1" t="s">
        <v>558</v>
      </c>
      <c r="B3530" s="1"/>
      <c r="C3530" s="1" t="s">
        <v>2808</v>
      </c>
      <c r="D3530" s="1" t="s">
        <v>3496</v>
      </c>
      <c r="E3530" s="1"/>
      <c r="F3530">
        <v>0</v>
      </c>
      <c r="G3530">
        <v>0.3</v>
      </c>
      <c r="H3530">
        <v>-15</v>
      </c>
      <c r="I3530">
        <v>0</v>
      </c>
      <c r="J3530">
        <v>72</v>
      </c>
      <c r="K3530" s="2">
        <v>45778</v>
      </c>
    </row>
    <row r="3531" spans="1:11" x14ac:dyDescent="0.25">
      <c r="A3531" s="1" t="s">
        <v>558</v>
      </c>
      <c r="B3531" s="1"/>
      <c r="C3531" s="1" t="s">
        <v>3306</v>
      </c>
      <c r="D3531" s="1" t="s">
        <v>3469</v>
      </c>
      <c r="E3531" s="1"/>
      <c r="F3531">
        <v>0.5</v>
      </c>
      <c r="G3531">
        <v>0.6</v>
      </c>
      <c r="H3531">
        <v>0</v>
      </c>
      <c r="I3531">
        <v>0.3</v>
      </c>
      <c r="J3531">
        <v>71.7</v>
      </c>
      <c r="K3531" s="2">
        <v>45778</v>
      </c>
    </row>
    <row r="3532" spans="1:11" x14ac:dyDescent="0.25">
      <c r="A3532" s="1" t="s">
        <v>558</v>
      </c>
      <c r="B3532" s="1"/>
      <c r="C3532" s="1" t="s">
        <v>3298</v>
      </c>
      <c r="D3532" s="1" t="s">
        <v>3492</v>
      </c>
      <c r="E3532" s="1"/>
      <c r="F3532">
        <v>1</v>
      </c>
      <c r="G3532">
        <v>0</v>
      </c>
      <c r="H3532">
        <v>105</v>
      </c>
      <c r="I3532">
        <v>0</v>
      </c>
      <c r="J3532">
        <v>71.7</v>
      </c>
      <c r="K3532" s="2">
        <v>45783</v>
      </c>
    </row>
    <row r="3533" spans="1:11" x14ac:dyDescent="0.25">
      <c r="A3533" s="1" t="s">
        <v>559</v>
      </c>
      <c r="B3533" s="1"/>
      <c r="C3533" s="1" t="s">
        <v>2808</v>
      </c>
      <c r="D3533" s="1" t="s">
        <v>3496</v>
      </c>
      <c r="E3533" s="1"/>
      <c r="F3533">
        <v>0</v>
      </c>
      <c r="G3533">
        <v>1</v>
      </c>
      <c r="H3533">
        <v>-55</v>
      </c>
      <c r="I3533">
        <v>0</v>
      </c>
      <c r="J3533">
        <v>72</v>
      </c>
      <c r="K3533" s="2">
        <v>45778</v>
      </c>
    </row>
    <row r="3534" spans="1:11" x14ac:dyDescent="0.25">
      <c r="A3534" s="1" t="s">
        <v>559</v>
      </c>
      <c r="B3534" s="1"/>
      <c r="C3534" s="1" t="s">
        <v>3306</v>
      </c>
      <c r="D3534" s="1" t="s">
        <v>3469</v>
      </c>
      <c r="E3534" s="1"/>
      <c r="F3534">
        <v>0.5</v>
      </c>
      <c r="G3534">
        <v>1.9</v>
      </c>
      <c r="H3534">
        <v>-75</v>
      </c>
      <c r="I3534">
        <v>0.3</v>
      </c>
      <c r="J3534">
        <v>71.7</v>
      </c>
      <c r="K3534" s="2">
        <v>45778</v>
      </c>
    </row>
    <row r="3535" spans="1:11" x14ac:dyDescent="0.25">
      <c r="A3535" s="1" t="s">
        <v>559</v>
      </c>
      <c r="B3535" s="1"/>
      <c r="C3535" s="1" t="s">
        <v>3298</v>
      </c>
      <c r="D3535" s="1" t="s">
        <v>3492</v>
      </c>
      <c r="E3535" s="1"/>
      <c r="F3535">
        <v>1</v>
      </c>
      <c r="G3535">
        <v>0</v>
      </c>
      <c r="H3535">
        <v>105</v>
      </c>
      <c r="I3535">
        <v>0</v>
      </c>
      <c r="J3535">
        <v>71.7</v>
      </c>
      <c r="K3535" s="2">
        <v>45783</v>
      </c>
    </row>
    <row r="3536" spans="1:11" x14ac:dyDescent="0.25">
      <c r="A3536" s="1" t="s">
        <v>752</v>
      </c>
      <c r="B3536" s="1"/>
      <c r="C3536" s="1" t="s">
        <v>2808</v>
      </c>
      <c r="D3536" s="1" t="s">
        <v>3496</v>
      </c>
      <c r="E3536" s="1"/>
      <c r="F3536">
        <v>0</v>
      </c>
      <c r="G3536">
        <v>0.2</v>
      </c>
      <c r="H3536">
        <v>-5</v>
      </c>
      <c r="I3536">
        <v>0</v>
      </c>
      <c r="J3536">
        <v>72</v>
      </c>
      <c r="K3536" s="2">
        <v>45778</v>
      </c>
    </row>
    <row r="3537" spans="1:11" x14ac:dyDescent="0.25">
      <c r="A3537" s="1" t="s">
        <v>752</v>
      </c>
      <c r="B3537" s="1"/>
      <c r="C3537" s="1" t="s">
        <v>3306</v>
      </c>
      <c r="D3537" s="1" t="s">
        <v>3469</v>
      </c>
      <c r="E3537" s="1"/>
      <c r="F3537">
        <v>0.5</v>
      </c>
      <c r="G3537">
        <v>0.7</v>
      </c>
      <c r="H3537">
        <v>-5</v>
      </c>
      <c r="I3537">
        <v>0.3</v>
      </c>
      <c r="J3537">
        <v>71.7</v>
      </c>
      <c r="K3537" s="2">
        <v>45778</v>
      </c>
    </row>
    <row r="3538" spans="1:11" x14ac:dyDescent="0.25">
      <c r="A3538" s="1" t="s">
        <v>753</v>
      </c>
      <c r="B3538" s="1"/>
      <c r="C3538" s="1" t="s">
        <v>2808</v>
      </c>
      <c r="D3538" s="1" t="s">
        <v>3496</v>
      </c>
      <c r="E3538" s="1"/>
      <c r="F3538">
        <v>0</v>
      </c>
      <c r="G3538">
        <v>0.8</v>
      </c>
      <c r="H3538">
        <v>-40</v>
      </c>
      <c r="I3538">
        <v>0</v>
      </c>
      <c r="J3538">
        <v>72</v>
      </c>
      <c r="K3538" s="2">
        <v>45779</v>
      </c>
    </row>
    <row r="3539" spans="1:11" x14ac:dyDescent="0.25">
      <c r="A3539" s="1" t="s">
        <v>753</v>
      </c>
      <c r="B3539" s="1"/>
      <c r="C3539" s="1" t="s">
        <v>3306</v>
      </c>
      <c r="D3539" s="1" t="s">
        <v>3469</v>
      </c>
      <c r="E3539" s="1"/>
      <c r="F3539">
        <v>0.5</v>
      </c>
      <c r="G3539">
        <v>3.2</v>
      </c>
      <c r="H3539">
        <v>-155</v>
      </c>
      <c r="I3539">
        <v>0.3</v>
      </c>
      <c r="J3539">
        <v>71.7</v>
      </c>
      <c r="K3539" s="2">
        <v>45779</v>
      </c>
    </row>
    <row r="3540" spans="1:11" x14ac:dyDescent="0.25">
      <c r="A3540" s="1" t="s">
        <v>614</v>
      </c>
      <c r="B3540" s="1"/>
      <c r="C3540" s="1" t="s">
        <v>2808</v>
      </c>
      <c r="D3540" s="1" t="s">
        <v>3496</v>
      </c>
      <c r="E3540" s="1"/>
      <c r="F3540">
        <v>0</v>
      </c>
      <c r="G3540">
        <v>0.9</v>
      </c>
      <c r="H3540">
        <v>-45</v>
      </c>
      <c r="I3540">
        <v>0</v>
      </c>
      <c r="J3540">
        <v>38</v>
      </c>
      <c r="K3540" s="2">
        <v>45763</v>
      </c>
    </row>
    <row r="3541" spans="1:11" x14ac:dyDescent="0.25">
      <c r="A3541" s="1" t="s">
        <v>614</v>
      </c>
      <c r="B3541" s="1"/>
      <c r="C3541" s="1" t="s">
        <v>3306</v>
      </c>
      <c r="D3541" s="1" t="s">
        <v>3469</v>
      </c>
      <c r="E3541" s="1"/>
      <c r="F3541">
        <v>0.3</v>
      </c>
      <c r="G3541">
        <v>0.5</v>
      </c>
      <c r="H3541">
        <v>-10</v>
      </c>
      <c r="I3541">
        <v>0.3</v>
      </c>
      <c r="J3541">
        <v>37.700000000000003</v>
      </c>
      <c r="K3541" s="2">
        <v>45763</v>
      </c>
    </row>
    <row r="3542" spans="1:11" x14ac:dyDescent="0.25">
      <c r="A3542" s="1" t="s">
        <v>614</v>
      </c>
      <c r="B3542" s="1"/>
      <c r="C3542" s="1" t="s">
        <v>3298</v>
      </c>
      <c r="D3542" s="1" t="s">
        <v>3492</v>
      </c>
      <c r="E3542" s="1"/>
      <c r="F3542">
        <v>0.5</v>
      </c>
      <c r="G3542">
        <v>0</v>
      </c>
      <c r="H3542">
        <v>55</v>
      </c>
      <c r="I3542">
        <v>0</v>
      </c>
      <c r="J3542">
        <v>37.700000000000003</v>
      </c>
      <c r="K3542" s="2">
        <v>45770</v>
      </c>
    </row>
    <row r="3543" spans="1:11" x14ac:dyDescent="0.25">
      <c r="A3543" s="1" t="s">
        <v>355</v>
      </c>
      <c r="B3543" s="1"/>
      <c r="C3543" s="1" t="s">
        <v>2808</v>
      </c>
      <c r="D3543" s="1" t="s">
        <v>3496</v>
      </c>
      <c r="E3543" s="1"/>
      <c r="F3543">
        <v>0</v>
      </c>
      <c r="G3543">
        <v>0</v>
      </c>
      <c r="H3543">
        <v>0</v>
      </c>
      <c r="I3543">
        <v>0</v>
      </c>
      <c r="J3543">
        <v>57</v>
      </c>
      <c r="K3543" s="2">
        <v>45748</v>
      </c>
    </row>
    <row r="3544" spans="1:11" x14ac:dyDescent="0.25">
      <c r="A3544" s="1" t="s">
        <v>355</v>
      </c>
      <c r="B3544" s="1"/>
      <c r="C3544" s="1" t="s">
        <v>3306</v>
      </c>
      <c r="D3544" s="1" t="s">
        <v>3469</v>
      </c>
      <c r="E3544" s="1"/>
      <c r="F3544">
        <v>0.4</v>
      </c>
      <c r="G3544">
        <v>0.5</v>
      </c>
      <c r="H3544">
        <v>-5</v>
      </c>
      <c r="I3544">
        <v>0.3</v>
      </c>
      <c r="J3544">
        <v>56.7</v>
      </c>
      <c r="K3544" s="2">
        <v>45748</v>
      </c>
    </row>
    <row r="3545" spans="1:11" x14ac:dyDescent="0.25">
      <c r="A3545" s="1" t="s">
        <v>355</v>
      </c>
      <c r="B3545" s="1"/>
      <c r="C3545" s="1" t="s">
        <v>3298</v>
      </c>
      <c r="D3545" s="1" t="s">
        <v>3492</v>
      </c>
      <c r="E3545" s="1"/>
      <c r="F3545">
        <v>0.8</v>
      </c>
      <c r="G3545">
        <v>0</v>
      </c>
      <c r="H3545">
        <v>85</v>
      </c>
      <c r="I3545">
        <v>0</v>
      </c>
      <c r="J3545">
        <v>56.7</v>
      </c>
      <c r="K3545" s="2">
        <v>45749</v>
      </c>
    </row>
    <row r="3546" spans="1:11" x14ac:dyDescent="0.25">
      <c r="A3546" s="1" t="s">
        <v>451</v>
      </c>
      <c r="B3546" s="1"/>
      <c r="C3546" s="1" t="s">
        <v>2808</v>
      </c>
      <c r="D3546" s="1" t="s">
        <v>3496</v>
      </c>
      <c r="E3546" s="1"/>
      <c r="F3546">
        <v>0</v>
      </c>
      <c r="G3546">
        <v>1.2</v>
      </c>
      <c r="H3546">
        <v>-65</v>
      </c>
      <c r="I3546">
        <v>0</v>
      </c>
      <c r="J3546">
        <v>57</v>
      </c>
      <c r="K3546" s="2">
        <v>45748</v>
      </c>
    </row>
    <row r="3547" spans="1:11" x14ac:dyDescent="0.25">
      <c r="A3547" s="1" t="s">
        <v>451</v>
      </c>
      <c r="B3547" s="1"/>
      <c r="C3547" s="1" t="s">
        <v>3306</v>
      </c>
      <c r="D3547" s="1" t="s">
        <v>3469</v>
      </c>
      <c r="E3547" s="1"/>
      <c r="F3547">
        <v>0.4</v>
      </c>
      <c r="G3547">
        <v>0.7</v>
      </c>
      <c r="H3547">
        <v>-15</v>
      </c>
      <c r="I3547">
        <v>0.3</v>
      </c>
      <c r="J3547">
        <v>56.7</v>
      </c>
      <c r="K3547" s="2">
        <v>45748</v>
      </c>
    </row>
    <row r="3548" spans="1:11" x14ac:dyDescent="0.25">
      <c r="A3548" s="1" t="s">
        <v>451</v>
      </c>
      <c r="B3548" s="1"/>
      <c r="C3548" s="1" t="s">
        <v>3298</v>
      </c>
      <c r="D3548" s="1" t="s">
        <v>3492</v>
      </c>
      <c r="E3548" s="1"/>
      <c r="F3548">
        <v>0.8</v>
      </c>
      <c r="G3548">
        <v>0</v>
      </c>
      <c r="H3548">
        <v>85</v>
      </c>
      <c r="I3548">
        <v>0</v>
      </c>
      <c r="J3548">
        <v>56.7</v>
      </c>
      <c r="K3548" s="2">
        <v>45751</v>
      </c>
    </row>
    <row r="3549" spans="1:11" x14ac:dyDescent="0.25">
      <c r="A3549" s="1" t="s">
        <v>871</v>
      </c>
      <c r="B3549" s="1"/>
      <c r="C3549" s="1" t="s">
        <v>2808</v>
      </c>
      <c r="D3549" s="1" t="s">
        <v>3496</v>
      </c>
      <c r="E3549" s="1"/>
      <c r="F3549">
        <v>0</v>
      </c>
      <c r="G3549">
        <v>1.3</v>
      </c>
      <c r="H3549">
        <v>-70</v>
      </c>
      <c r="I3549">
        <v>0</v>
      </c>
      <c r="J3549">
        <v>57</v>
      </c>
      <c r="K3549" s="2">
        <v>45784</v>
      </c>
    </row>
    <row r="3550" spans="1:11" x14ac:dyDescent="0.25">
      <c r="A3550" s="1" t="s">
        <v>871</v>
      </c>
      <c r="B3550" s="1"/>
      <c r="C3550" s="1" t="s">
        <v>3306</v>
      </c>
      <c r="D3550" s="1" t="s">
        <v>3469</v>
      </c>
      <c r="E3550" s="1"/>
      <c r="F3550">
        <v>0.4</v>
      </c>
      <c r="G3550">
        <v>2.6</v>
      </c>
      <c r="H3550">
        <v>-125</v>
      </c>
      <c r="I3550">
        <v>0.3</v>
      </c>
      <c r="J3550">
        <v>56.7</v>
      </c>
      <c r="K3550" s="2">
        <v>45784</v>
      </c>
    </row>
    <row r="3551" spans="1:11" x14ac:dyDescent="0.25">
      <c r="A3551" s="1" t="s">
        <v>448</v>
      </c>
      <c r="B3551" s="1"/>
      <c r="C3551" s="1" t="s">
        <v>2808</v>
      </c>
      <c r="D3551" s="1" t="s">
        <v>3496</v>
      </c>
      <c r="E3551" s="1"/>
      <c r="F3551">
        <v>0</v>
      </c>
      <c r="G3551">
        <v>1</v>
      </c>
      <c r="H3551">
        <v>-55</v>
      </c>
      <c r="I3551">
        <v>0</v>
      </c>
      <c r="J3551">
        <v>60</v>
      </c>
      <c r="K3551" s="2">
        <v>45761</v>
      </c>
    </row>
    <row r="3552" spans="1:11" x14ac:dyDescent="0.25">
      <c r="A3552" s="1" t="s">
        <v>240</v>
      </c>
      <c r="B3552" s="1"/>
      <c r="C3552" s="1" t="s">
        <v>2808</v>
      </c>
      <c r="D3552" s="1" t="s">
        <v>3496</v>
      </c>
      <c r="E3552" s="1"/>
      <c r="F3552">
        <v>0</v>
      </c>
      <c r="G3552">
        <v>0.6</v>
      </c>
      <c r="H3552">
        <v>-30</v>
      </c>
      <c r="I3552">
        <v>0</v>
      </c>
      <c r="J3552">
        <v>22</v>
      </c>
      <c r="K3552" s="2">
        <v>45741</v>
      </c>
    </row>
    <row r="3553" spans="1:11" x14ac:dyDescent="0.25">
      <c r="A3553" s="1" t="s">
        <v>240</v>
      </c>
      <c r="B3553" s="1"/>
      <c r="C3553" s="1" t="s">
        <v>3306</v>
      </c>
      <c r="D3553" s="1" t="s">
        <v>3469</v>
      </c>
      <c r="E3553" s="1"/>
      <c r="F3553">
        <v>0.1</v>
      </c>
      <c r="G3553">
        <v>0.2</v>
      </c>
      <c r="H3553">
        <v>0</v>
      </c>
      <c r="I3553">
        <v>0.3</v>
      </c>
      <c r="J3553">
        <v>21.7</v>
      </c>
      <c r="K3553" s="2">
        <v>45741</v>
      </c>
    </row>
    <row r="3554" spans="1:11" x14ac:dyDescent="0.25">
      <c r="A3554" s="1" t="s">
        <v>240</v>
      </c>
      <c r="B3554" s="1"/>
      <c r="C3554" s="1" t="s">
        <v>3298</v>
      </c>
      <c r="D3554" s="1" t="s">
        <v>3492</v>
      </c>
      <c r="E3554" s="1"/>
      <c r="F3554">
        <v>0.3</v>
      </c>
      <c r="G3554">
        <v>0</v>
      </c>
      <c r="H3554">
        <v>35</v>
      </c>
      <c r="I3554">
        <v>0</v>
      </c>
      <c r="J3554">
        <v>21.7</v>
      </c>
      <c r="K3554" s="2">
        <v>45743</v>
      </c>
    </row>
    <row r="3555" spans="1:11" x14ac:dyDescent="0.25">
      <c r="A3555" s="1" t="s">
        <v>497</v>
      </c>
      <c r="B3555" s="1"/>
      <c r="C3555" s="1" t="s">
        <v>2808</v>
      </c>
      <c r="D3555" s="1" t="s">
        <v>3496</v>
      </c>
      <c r="E3555" s="1"/>
      <c r="F3555">
        <v>0</v>
      </c>
      <c r="G3555">
        <v>1</v>
      </c>
      <c r="H3555">
        <v>-55</v>
      </c>
      <c r="I3555">
        <v>0</v>
      </c>
      <c r="J3555">
        <v>81</v>
      </c>
      <c r="K3555" s="2">
        <v>45776</v>
      </c>
    </row>
    <row r="3556" spans="1:11" x14ac:dyDescent="0.25">
      <c r="A3556" s="1" t="s">
        <v>497</v>
      </c>
      <c r="B3556" s="1"/>
      <c r="C3556" s="1" t="s">
        <v>3306</v>
      </c>
      <c r="D3556" s="1" t="s">
        <v>3469</v>
      </c>
      <c r="E3556" s="1"/>
      <c r="F3556">
        <v>0.5</v>
      </c>
      <c r="G3556">
        <v>3.4</v>
      </c>
      <c r="H3556">
        <v>-165</v>
      </c>
      <c r="I3556">
        <v>0.6</v>
      </c>
      <c r="J3556">
        <v>80.400000000000006</v>
      </c>
      <c r="K3556" s="2">
        <v>45776</v>
      </c>
    </row>
    <row r="3557" spans="1:11" x14ac:dyDescent="0.25">
      <c r="A3557" s="1" t="s">
        <v>497</v>
      </c>
      <c r="B3557" s="1"/>
      <c r="C3557" s="1" t="s">
        <v>3298</v>
      </c>
      <c r="D3557" s="1" t="s">
        <v>3492</v>
      </c>
      <c r="E3557" s="1"/>
      <c r="F3557">
        <v>1</v>
      </c>
      <c r="G3557">
        <v>0</v>
      </c>
      <c r="H3557">
        <v>110</v>
      </c>
      <c r="I3557">
        <v>0</v>
      </c>
      <c r="J3557">
        <v>76.400000000000006</v>
      </c>
      <c r="K3557" s="2">
        <v>45777</v>
      </c>
    </row>
    <row r="3558" spans="1:11" x14ac:dyDescent="0.25">
      <c r="A3558" s="1" t="s">
        <v>294</v>
      </c>
      <c r="B3558" s="1"/>
      <c r="C3558" s="1" t="s">
        <v>2808</v>
      </c>
      <c r="D3558" s="1" t="s">
        <v>3496</v>
      </c>
      <c r="E3558" s="1"/>
      <c r="F3558">
        <v>0</v>
      </c>
      <c r="G3558">
        <v>0.8</v>
      </c>
      <c r="H3558">
        <v>-45</v>
      </c>
      <c r="I3558">
        <v>0</v>
      </c>
      <c r="J3558">
        <v>60</v>
      </c>
      <c r="K3558" s="2">
        <v>45742</v>
      </c>
    </row>
    <row r="3559" spans="1:11" x14ac:dyDescent="0.25">
      <c r="A3559" s="1" t="s">
        <v>294</v>
      </c>
      <c r="B3559" s="1"/>
      <c r="C3559" s="1" t="s">
        <v>3306</v>
      </c>
      <c r="D3559" s="1" t="s">
        <v>3469</v>
      </c>
      <c r="E3559" s="1"/>
      <c r="F3559">
        <v>0.4</v>
      </c>
      <c r="G3559">
        <v>0.7</v>
      </c>
      <c r="H3559">
        <v>-15</v>
      </c>
      <c r="I3559">
        <v>3</v>
      </c>
      <c r="J3559">
        <v>59.7</v>
      </c>
      <c r="K3559" s="2">
        <v>45742</v>
      </c>
    </row>
    <row r="3560" spans="1:11" x14ac:dyDescent="0.25">
      <c r="A3560" s="1" t="s">
        <v>294</v>
      </c>
      <c r="B3560" s="1"/>
      <c r="C3560" s="1" t="s">
        <v>3298</v>
      </c>
      <c r="D3560" s="1" t="s">
        <v>3492</v>
      </c>
      <c r="E3560" s="1"/>
      <c r="F3560">
        <v>0.8</v>
      </c>
      <c r="G3560">
        <v>0</v>
      </c>
      <c r="H3560">
        <v>85</v>
      </c>
      <c r="I3560">
        <v>0</v>
      </c>
      <c r="J3560">
        <v>57</v>
      </c>
      <c r="K3560" s="2">
        <v>45744</v>
      </c>
    </row>
    <row r="3561" spans="1:11" x14ac:dyDescent="0.25">
      <c r="A3561" s="1" t="s">
        <v>607</v>
      </c>
      <c r="B3561" s="1"/>
      <c r="C3561" s="1" t="s">
        <v>2808</v>
      </c>
      <c r="D3561" s="1" t="s">
        <v>3496</v>
      </c>
      <c r="E3561" s="1"/>
      <c r="F3561">
        <v>0</v>
      </c>
      <c r="G3561">
        <v>0.8</v>
      </c>
      <c r="H3561">
        <v>-45</v>
      </c>
      <c r="I3561">
        <v>0</v>
      </c>
      <c r="J3561">
        <v>60</v>
      </c>
      <c r="K3561" s="2">
        <v>45778</v>
      </c>
    </row>
    <row r="3562" spans="1:11" x14ac:dyDescent="0.25">
      <c r="A3562" s="1" t="s">
        <v>607</v>
      </c>
      <c r="B3562" s="1"/>
      <c r="C3562" s="1" t="s">
        <v>3306</v>
      </c>
      <c r="D3562" s="1" t="s">
        <v>3469</v>
      </c>
      <c r="E3562" s="1"/>
      <c r="F3562">
        <v>0.4</v>
      </c>
      <c r="G3562">
        <v>1.8</v>
      </c>
      <c r="H3562">
        <v>-80</v>
      </c>
      <c r="I3562">
        <v>0.3</v>
      </c>
      <c r="J3562">
        <v>59.7</v>
      </c>
      <c r="K3562" s="2">
        <v>45778</v>
      </c>
    </row>
    <row r="3563" spans="1:11" x14ac:dyDescent="0.25">
      <c r="A3563" s="1" t="s">
        <v>607</v>
      </c>
      <c r="B3563" s="1"/>
      <c r="C3563" s="1" t="s">
        <v>3298</v>
      </c>
      <c r="D3563" s="1" t="s">
        <v>3492</v>
      </c>
      <c r="E3563" s="1"/>
      <c r="F3563">
        <v>0.8</v>
      </c>
      <c r="G3563">
        <v>0</v>
      </c>
      <c r="H3563">
        <v>85</v>
      </c>
      <c r="I3563">
        <v>0</v>
      </c>
      <c r="J3563">
        <v>59.7</v>
      </c>
      <c r="K3563" s="2">
        <v>45783</v>
      </c>
    </row>
    <row r="3564" spans="1:11" x14ac:dyDescent="0.25">
      <c r="A3564" s="1" t="s">
        <v>608</v>
      </c>
      <c r="B3564" s="1"/>
      <c r="C3564" s="1" t="s">
        <v>2808</v>
      </c>
      <c r="D3564" s="1" t="s">
        <v>3496</v>
      </c>
      <c r="E3564" s="1"/>
      <c r="F3564">
        <v>0</v>
      </c>
      <c r="G3564">
        <v>0.9</v>
      </c>
      <c r="H3564">
        <v>-50</v>
      </c>
      <c r="I3564">
        <v>0</v>
      </c>
      <c r="J3564">
        <v>60</v>
      </c>
      <c r="K3564" s="2">
        <v>45778</v>
      </c>
    </row>
    <row r="3565" spans="1:11" x14ac:dyDescent="0.25">
      <c r="A3565" s="1" t="s">
        <v>608</v>
      </c>
      <c r="B3565" s="1"/>
      <c r="C3565" s="1" t="s">
        <v>3306</v>
      </c>
      <c r="D3565" s="1" t="s">
        <v>3469</v>
      </c>
      <c r="E3565" s="1"/>
      <c r="F3565">
        <v>0.4</v>
      </c>
      <c r="G3565">
        <v>0.7</v>
      </c>
      <c r="H3565">
        <v>-15</v>
      </c>
      <c r="I3565">
        <v>0.3</v>
      </c>
      <c r="J3565">
        <v>59.7</v>
      </c>
      <c r="K3565" s="2">
        <v>45778</v>
      </c>
    </row>
    <row r="3566" spans="1:11" x14ac:dyDescent="0.25">
      <c r="A3566" s="1" t="s">
        <v>608</v>
      </c>
      <c r="B3566" s="1"/>
      <c r="C3566" s="1" t="s">
        <v>3298</v>
      </c>
      <c r="D3566" s="1" t="s">
        <v>3492</v>
      </c>
      <c r="E3566" s="1"/>
      <c r="F3566">
        <v>0.8</v>
      </c>
      <c r="G3566">
        <v>0</v>
      </c>
      <c r="H3566">
        <v>85</v>
      </c>
      <c r="I3566">
        <v>0</v>
      </c>
      <c r="J3566">
        <v>59.7</v>
      </c>
      <c r="K3566" s="2">
        <v>45783</v>
      </c>
    </row>
    <row r="3567" spans="1:11" x14ac:dyDescent="0.25">
      <c r="A3567" s="1" t="s">
        <v>609</v>
      </c>
      <c r="B3567" s="1"/>
      <c r="C3567" s="1" t="s">
        <v>2808</v>
      </c>
      <c r="D3567" s="1" t="s">
        <v>3496</v>
      </c>
      <c r="E3567" s="1"/>
      <c r="F3567">
        <v>0</v>
      </c>
      <c r="G3567">
        <v>0.4</v>
      </c>
      <c r="H3567">
        <v>-20</v>
      </c>
      <c r="I3567">
        <v>0</v>
      </c>
      <c r="J3567">
        <v>60</v>
      </c>
      <c r="K3567" s="2">
        <v>45779</v>
      </c>
    </row>
    <row r="3568" spans="1:11" x14ac:dyDescent="0.25">
      <c r="A3568" s="1" t="s">
        <v>609</v>
      </c>
      <c r="B3568" s="1"/>
      <c r="C3568" s="1" t="s">
        <v>3306</v>
      </c>
      <c r="D3568" s="1" t="s">
        <v>3469</v>
      </c>
      <c r="E3568" s="1"/>
      <c r="F3568">
        <v>0.4</v>
      </c>
      <c r="G3568">
        <v>0.6</v>
      </c>
      <c r="H3568">
        <v>-10</v>
      </c>
      <c r="I3568">
        <v>0.3</v>
      </c>
      <c r="J3568">
        <v>59.7</v>
      </c>
      <c r="K3568" s="2">
        <v>45779</v>
      </c>
    </row>
    <row r="3569" spans="1:11" x14ac:dyDescent="0.25">
      <c r="A3569" s="1" t="s">
        <v>609</v>
      </c>
      <c r="B3569" s="1"/>
      <c r="C3569" s="1" t="s">
        <v>3298</v>
      </c>
      <c r="D3569" s="1" t="s">
        <v>3492</v>
      </c>
      <c r="E3569" s="1"/>
      <c r="F3569">
        <v>0.8</v>
      </c>
      <c r="G3569">
        <v>0</v>
      </c>
      <c r="H3569">
        <v>85</v>
      </c>
      <c r="I3569">
        <v>0</v>
      </c>
      <c r="J3569">
        <v>59.7</v>
      </c>
      <c r="K3569" s="2">
        <v>45783</v>
      </c>
    </row>
    <row r="3570" spans="1:11" x14ac:dyDescent="0.25">
      <c r="A3570" s="1" t="s">
        <v>610</v>
      </c>
      <c r="B3570" s="1"/>
      <c r="C3570" s="1" t="s">
        <v>2808</v>
      </c>
      <c r="D3570" s="1" t="s">
        <v>3496</v>
      </c>
      <c r="E3570" s="1"/>
      <c r="F3570">
        <v>0</v>
      </c>
      <c r="G3570">
        <v>0.4</v>
      </c>
      <c r="H3570">
        <v>-20</v>
      </c>
      <c r="I3570">
        <v>0</v>
      </c>
      <c r="J3570">
        <v>60</v>
      </c>
      <c r="K3570" s="2">
        <v>45779</v>
      </c>
    </row>
    <row r="3571" spans="1:11" x14ac:dyDescent="0.25">
      <c r="A3571" s="1" t="s">
        <v>610</v>
      </c>
      <c r="B3571" s="1"/>
      <c r="C3571" s="1" t="s">
        <v>3306</v>
      </c>
      <c r="D3571" s="1" t="s">
        <v>3469</v>
      </c>
      <c r="E3571" s="1"/>
      <c r="F3571">
        <v>0.4</v>
      </c>
      <c r="G3571">
        <v>0.6</v>
      </c>
      <c r="H3571">
        <v>-10</v>
      </c>
      <c r="I3571">
        <v>0.3</v>
      </c>
      <c r="J3571">
        <v>59.7</v>
      </c>
      <c r="K3571" s="2">
        <v>45779</v>
      </c>
    </row>
    <row r="3572" spans="1:11" x14ac:dyDescent="0.25">
      <c r="A3572" s="1" t="s">
        <v>610</v>
      </c>
      <c r="B3572" s="1"/>
      <c r="C3572" s="1" t="s">
        <v>3298</v>
      </c>
      <c r="D3572" s="1" t="s">
        <v>3492</v>
      </c>
      <c r="E3572" s="1"/>
      <c r="F3572">
        <v>0.8</v>
      </c>
      <c r="G3572">
        <v>0</v>
      </c>
      <c r="H3572">
        <v>85</v>
      </c>
      <c r="I3572">
        <v>0</v>
      </c>
      <c r="J3572">
        <v>59.7</v>
      </c>
      <c r="K3572" s="2">
        <v>45783</v>
      </c>
    </row>
    <row r="3573" spans="1:11" x14ac:dyDescent="0.25">
      <c r="A3573" s="1" t="s">
        <v>611</v>
      </c>
      <c r="B3573" s="1"/>
      <c r="C3573" s="1" t="s">
        <v>2808</v>
      </c>
      <c r="D3573" s="1" t="s">
        <v>3496</v>
      </c>
      <c r="E3573" s="1"/>
      <c r="F3573">
        <v>0</v>
      </c>
      <c r="G3573">
        <v>2.9</v>
      </c>
      <c r="H3573">
        <v>-165</v>
      </c>
      <c r="I3573">
        <v>0</v>
      </c>
      <c r="J3573">
        <v>60</v>
      </c>
      <c r="K3573" s="2">
        <v>45779</v>
      </c>
    </row>
    <row r="3574" spans="1:11" x14ac:dyDescent="0.25">
      <c r="A3574" s="1" t="s">
        <v>611</v>
      </c>
      <c r="B3574" s="1"/>
      <c r="C3574" s="1" t="s">
        <v>3306</v>
      </c>
      <c r="D3574" s="1" t="s">
        <v>3469</v>
      </c>
      <c r="E3574" s="1"/>
      <c r="F3574">
        <v>0.4</v>
      </c>
      <c r="G3574">
        <v>0.6</v>
      </c>
      <c r="H3574">
        <v>-10</v>
      </c>
      <c r="I3574">
        <v>0.3</v>
      </c>
      <c r="J3574">
        <v>59.7</v>
      </c>
      <c r="K3574" s="2">
        <v>45779</v>
      </c>
    </row>
    <row r="3575" spans="1:11" x14ac:dyDescent="0.25">
      <c r="A3575" s="1" t="s">
        <v>611</v>
      </c>
      <c r="B3575" s="1"/>
      <c r="C3575" s="1" t="s">
        <v>3298</v>
      </c>
      <c r="D3575" s="1" t="s">
        <v>3492</v>
      </c>
      <c r="E3575" s="1"/>
      <c r="F3575">
        <v>0.8</v>
      </c>
      <c r="G3575">
        <v>0</v>
      </c>
      <c r="H3575">
        <v>85</v>
      </c>
      <c r="I3575">
        <v>0</v>
      </c>
      <c r="J3575">
        <v>59.7</v>
      </c>
      <c r="K3575" s="2">
        <v>45783</v>
      </c>
    </row>
    <row r="3576" spans="1:11" x14ac:dyDescent="0.25">
      <c r="A3576" s="1" t="s">
        <v>612</v>
      </c>
      <c r="B3576" s="1"/>
      <c r="C3576" s="1" t="s">
        <v>2808</v>
      </c>
      <c r="D3576" s="1" t="s">
        <v>3496</v>
      </c>
      <c r="E3576" s="1"/>
      <c r="F3576">
        <v>0</v>
      </c>
      <c r="G3576">
        <v>0</v>
      </c>
      <c r="H3576">
        <v>0</v>
      </c>
      <c r="I3576">
        <v>0</v>
      </c>
      <c r="J3576">
        <v>60</v>
      </c>
      <c r="K3576" s="2">
        <v>45785</v>
      </c>
    </row>
    <row r="3577" spans="1:11" x14ac:dyDescent="0.25">
      <c r="A3577" s="1" t="s">
        <v>612</v>
      </c>
      <c r="B3577" s="1"/>
      <c r="C3577" s="1" t="s">
        <v>3306</v>
      </c>
      <c r="D3577" s="1" t="s">
        <v>3469</v>
      </c>
      <c r="E3577" s="1"/>
      <c r="F3577">
        <v>0.4</v>
      </c>
      <c r="G3577">
        <v>0.5</v>
      </c>
      <c r="H3577">
        <v>-5</v>
      </c>
      <c r="I3577">
        <v>0.3</v>
      </c>
      <c r="J3577">
        <v>59.7</v>
      </c>
      <c r="K3577" s="2">
        <v>45785</v>
      </c>
    </row>
    <row r="3578" spans="1:11" x14ac:dyDescent="0.25">
      <c r="A3578" s="1" t="s">
        <v>748</v>
      </c>
      <c r="B3578" s="1"/>
      <c r="C3578" s="1" t="s">
        <v>2808</v>
      </c>
      <c r="D3578" s="1" t="s">
        <v>3496</v>
      </c>
      <c r="E3578" s="1"/>
      <c r="F3578">
        <v>0</v>
      </c>
      <c r="G3578">
        <v>0.1</v>
      </c>
      <c r="H3578">
        <v>0</v>
      </c>
      <c r="I3578">
        <v>0</v>
      </c>
      <c r="J3578">
        <v>60</v>
      </c>
      <c r="K3578" s="2">
        <v>45785</v>
      </c>
    </row>
    <row r="3579" spans="1:11" x14ac:dyDescent="0.25">
      <c r="A3579" s="1" t="s">
        <v>748</v>
      </c>
      <c r="B3579" s="1"/>
      <c r="C3579" s="1" t="s">
        <v>3306</v>
      </c>
      <c r="D3579" s="1" t="s">
        <v>3469</v>
      </c>
      <c r="E3579" s="1"/>
      <c r="F3579">
        <v>0.4</v>
      </c>
      <c r="G3579">
        <v>0.6</v>
      </c>
      <c r="H3579">
        <v>-10</v>
      </c>
      <c r="I3579">
        <v>0.3</v>
      </c>
      <c r="J3579">
        <v>59.7</v>
      </c>
      <c r="K3579" s="2">
        <v>45785</v>
      </c>
    </row>
    <row r="3580" spans="1:11" x14ac:dyDescent="0.25">
      <c r="A3580" s="1" t="s">
        <v>749</v>
      </c>
      <c r="B3580" s="1"/>
      <c r="C3580" s="1" t="s">
        <v>2808</v>
      </c>
      <c r="D3580" s="1" t="s">
        <v>3496</v>
      </c>
      <c r="E3580" s="1"/>
      <c r="F3580">
        <v>0</v>
      </c>
      <c r="G3580">
        <v>0</v>
      </c>
      <c r="H3580">
        <v>0</v>
      </c>
      <c r="I3580">
        <v>0</v>
      </c>
      <c r="J3580">
        <v>60</v>
      </c>
      <c r="K3580" s="2">
        <v>45785</v>
      </c>
    </row>
    <row r="3581" spans="1:11" x14ac:dyDescent="0.25">
      <c r="A3581" s="1" t="s">
        <v>749</v>
      </c>
      <c r="B3581" s="1"/>
      <c r="C3581" s="1" t="s">
        <v>3306</v>
      </c>
      <c r="D3581" s="1" t="s">
        <v>3469</v>
      </c>
      <c r="E3581" s="1"/>
      <c r="F3581">
        <v>0.4</v>
      </c>
      <c r="G3581">
        <v>1</v>
      </c>
      <c r="H3581">
        <v>-30</v>
      </c>
      <c r="I3581">
        <v>0.3</v>
      </c>
      <c r="J3581">
        <v>59.7</v>
      </c>
      <c r="K3581" s="2">
        <v>45785</v>
      </c>
    </row>
    <row r="3582" spans="1:11" x14ac:dyDescent="0.25">
      <c r="A3582" s="1" t="s">
        <v>750</v>
      </c>
      <c r="B3582" s="1"/>
      <c r="C3582" s="1" t="s">
        <v>2808</v>
      </c>
      <c r="D3582" s="1" t="s">
        <v>3496</v>
      </c>
      <c r="E3582" s="1"/>
      <c r="F3582">
        <v>0</v>
      </c>
      <c r="G3582">
        <v>0.9</v>
      </c>
      <c r="H3582">
        <v>-50</v>
      </c>
      <c r="I3582">
        <v>0</v>
      </c>
      <c r="J3582">
        <v>60</v>
      </c>
      <c r="K3582" s="2">
        <v>45785</v>
      </c>
    </row>
    <row r="3583" spans="1:11" x14ac:dyDescent="0.25">
      <c r="A3583" s="1" t="s">
        <v>750</v>
      </c>
      <c r="B3583" s="1"/>
      <c r="C3583" s="1" t="s">
        <v>3306</v>
      </c>
      <c r="D3583" s="1" t="s">
        <v>3469</v>
      </c>
      <c r="E3583" s="1"/>
      <c r="F3583">
        <v>0.4</v>
      </c>
      <c r="G3583">
        <v>2.4</v>
      </c>
      <c r="H3583">
        <v>-110</v>
      </c>
      <c r="I3583">
        <v>0.3</v>
      </c>
      <c r="J3583">
        <v>59.7</v>
      </c>
      <c r="K3583" s="2">
        <v>45785</v>
      </c>
    </row>
    <row r="3584" spans="1:11" x14ac:dyDescent="0.25">
      <c r="A3584" s="1" t="s">
        <v>751</v>
      </c>
      <c r="B3584" s="1"/>
      <c r="C3584" s="1" t="s">
        <v>2808</v>
      </c>
      <c r="D3584" s="1" t="s">
        <v>3496</v>
      </c>
      <c r="E3584" s="1"/>
      <c r="F3584">
        <v>0</v>
      </c>
      <c r="G3584">
        <v>0.9</v>
      </c>
      <c r="H3584">
        <v>-50</v>
      </c>
      <c r="I3584">
        <v>0</v>
      </c>
      <c r="J3584">
        <v>60</v>
      </c>
      <c r="K3584" s="2">
        <v>45785</v>
      </c>
    </row>
    <row r="3585" spans="1:11" x14ac:dyDescent="0.25">
      <c r="A3585" s="1" t="s">
        <v>751</v>
      </c>
      <c r="B3585" s="1"/>
      <c r="C3585" s="1" t="s">
        <v>3306</v>
      </c>
      <c r="D3585" s="1" t="s">
        <v>3469</v>
      </c>
      <c r="E3585" s="1"/>
      <c r="F3585">
        <v>0.4</v>
      </c>
      <c r="G3585">
        <v>0.8</v>
      </c>
      <c r="H3585">
        <v>-20</v>
      </c>
      <c r="I3585">
        <v>0.3</v>
      </c>
      <c r="J3585">
        <v>59.7</v>
      </c>
      <c r="K3585" s="2">
        <v>45785</v>
      </c>
    </row>
    <row r="3586" spans="1:11" x14ac:dyDescent="0.25">
      <c r="A3586" s="1" t="s">
        <v>754</v>
      </c>
      <c r="B3586" s="1"/>
      <c r="C3586" s="1" t="s">
        <v>2808</v>
      </c>
      <c r="D3586" s="1" t="s">
        <v>3496</v>
      </c>
      <c r="E3586" s="1"/>
      <c r="F3586">
        <v>0</v>
      </c>
      <c r="G3586">
        <v>0.9</v>
      </c>
      <c r="H3586">
        <v>-50</v>
      </c>
      <c r="I3586">
        <v>0</v>
      </c>
      <c r="J3586">
        <v>60</v>
      </c>
      <c r="K3586" s="2">
        <v>45785</v>
      </c>
    </row>
    <row r="3587" spans="1:11" x14ac:dyDescent="0.25">
      <c r="A3587" s="1" t="s">
        <v>754</v>
      </c>
      <c r="B3587" s="1"/>
      <c r="C3587" s="1" t="s">
        <v>3306</v>
      </c>
      <c r="D3587" s="1" t="s">
        <v>3469</v>
      </c>
      <c r="E3587" s="1"/>
      <c r="F3587">
        <v>0.4</v>
      </c>
      <c r="G3587">
        <v>1.2</v>
      </c>
      <c r="H3587">
        <v>-40</v>
      </c>
      <c r="I3587">
        <v>0.3</v>
      </c>
      <c r="J3587">
        <v>59.7</v>
      </c>
      <c r="K3587" s="2">
        <v>45785</v>
      </c>
    </row>
    <row r="3588" spans="1:11" x14ac:dyDescent="0.25">
      <c r="A3588" s="1" t="s">
        <v>755</v>
      </c>
      <c r="B3588" s="1"/>
      <c r="C3588" s="1" t="s">
        <v>2808</v>
      </c>
      <c r="D3588" s="1" t="s">
        <v>3496</v>
      </c>
      <c r="E3588" s="1"/>
      <c r="F3588">
        <v>0</v>
      </c>
      <c r="G3588">
        <v>0.4</v>
      </c>
      <c r="H3588">
        <v>-20</v>
      </c>
      <c r="I3588">
        <v>0</v>
      </c>
      <c r="J3588">
        <v>60</v>
      </c>
      <c r="K3588" s="2">
        <v>45786</v>
      </c>
    </row>
    <row r="3589" spans="1:11" x14ac:dyDescent="0.25">
      <c r="A3589" s="1" t="s">
        <v>755</v>
      </c>
      <c r="B3589" s="1"/>
      <c r="C3589" s="1" t="s">
        <v>3306</v>
      </c>
      <c r="D3589" s="1" t="s">
        <v>3469</v>
      </c>
      <c r="E3589" s="1"/>
      <c r="F3589">
        <v>0.4</v>
      </c>
      <c r="G3589">
        <v>0.6</v>
      </c>
      <c r="H3589">
        <v>-10</v>
      </c>
      <c r="I3589">
        <v>0.3</v>
      </c>
      <c r="J3589">
        <v>59.7</v>
      </c>
      <c r="K3589" s="2">
        <v>45786</v>
      </c>
    </row>
    <row r="3590" spans="1:11" x14ac:dyDescent="0.25">
      <c r="A3590" s="1" t="s">
        <v>375</v>
      </c>
      <c r="B3590" s="1"/>
      <c r="C3590" s="1" t="s">
        <v>2808</v>
      </c>
      <c r="D3590" s="1" t="s">
        <v>3496</v>
      </c>
      <c r="E3590" s="1"/>
      <c r="F3590">
        <v>0</v>
      </c>
      <c r="G3590">
        <v>1.2</v>
      </c>
      <c r="H3590">
        <v>-70</v>
      </c>
      <c r="I3590">
        <v>0</v>
      </c>
      <c r="J3590">
        <v>50</v>
      </c>
      <c r="K3590" s="2">
        <v>45733</v>
      </c>
    </row>
    <row r="3591" spans="1:11" x14ac:dyDescent="0.25">
      <c r="A3591" s="1" t="s">
        <v>375</v>
      </c>
      <c r="B3591" s="1"/>
      <c r="C3591" s="1" t="s">
        <v>3306</v>
      </c>
      <c r="D3591" s="1" t="s">
        <v>3469</v>
      </c>
      <c r="E3591" s="1"/>
      <c r="F3591">
        <v>0.5</v>
      </c>
      <c r="G3591">
        <v>0.5</v>
      </c>
      <c r="H3591">
        <v>5</v>
      </c>
      <c r="I3591">
        <v>0.3</v>
      </c>
      <c r="J3591">
        <v>49.7</v>
      </c>
      <c r="K3591" s="2">
        <v>45733</v>
      </c>
    </row>
    <row r="3592" spans="1:11" x14ac:dyDescent="0.25">
      <c r="A3592" s="1" t="s">
        <v>375</v>
      </c>
      <c r="B3592" s="1"/>
      <c r="C3592" s="1" t="s">
        <v>3298</v>
      </c>
      <c r="D3592" s="1" t="s">
        <v>3492</v>
      </c>
      <c r="E3592" s="1"/>
      <c r="F3592">
        <v>1</v>
      </c>
      <c r="G3592">
        <v>0</v>
      </c>
      <c r="H3592">
        <v>105</v>
      </c>
      <c r="I3592">
        <v>0</v>
      </c>
      <c r="J3592">
        <v>49.7</v>
      </c>
      <c r="K3592" s="2">
        <v>45737</v>
      </c>
    </row>
    <row r="3593" spans="1:11" x14ac:dyDescent="0.25">
      <c r="A3593" s="1" t="s">
        <v>376</v>
      </c>
      <c r="B3593" s="1"/>
      <c r="C3593" s="1" t="s">
        <v>2808</v>
      </c>
      <c r="D3593" s="1" t="s">
        <v>3496</v>
      </c>
      <c r="E3593" s="1"/>
      <c r="F3593">
        <v>0</v>
      </c>
      <c r="G3593">
        <v>1</v>
      </c>
      <c r="H3593">
        <v>-55</v>
      </c>
      <c r="I3593">
        <v>0</v>
      </c>
      <c r="J3593">
        <v>50</v>
      </c>
      <c r="K3593" s="2">
        <v>45733</v>
      </c>
    </row>
    <row r="3594" spans="1:11" x14ac:dyDescent="0.25">
      <c r="A3594" s="1" t="s">
        <v>376</v>
      </c>
      <c r="B3594" s="1"/>
      <c r="C3594" s="1" t="s">
        <v>3306</v>
      </c>
      <c r="D3594" s="1" t="s">
        <v>3469</v>
      </c>
      <c r="E3594" s="1"/>
      <c r="F3594">
        <v>0.5</v>
      </c>
      <c r="G3594">
        <v>0.2</v>
      </c>
      <c r="H3594">
        <v>20</v>
      </c>
      <c r="I3594">
        <v>0.3</v>
      </c>
      <c r="J3594">
        <v>49.7</v>
      </c>
      <c r="K3594" s="2">
        <v>45733</v>
      </c>
    </row>
    <row r="3595" spans="1:11" x14ac:dyDescent="0.25">
      <c r="A3595" s="1" t="s">
        <v>376</v>
      </c>
      <c r="B3595" s="1"/>
      <c r="C3595" s="1" t="s">
        <v>3298</v>
      </c>
      <c r="D3595" s="1" t="s">
        <v>3492</v>
      </c>
      <c r="E3595" s="1"/>
      <c r="F3595">
        <v>1</v>
      </c>
      <c r="G3595">
        <v>0</v>
      </c>
      <c r="H3595">
        <v>105</v>
      </c>
      <c r="I3595">
        <v>0</v>
      </c>
      <c r="J3595">
        <v>49.7</v>
      </c>
      <c r="K3595" s="2">
        <v>45737</v>
      </c>
    </row>
    <row r="3596" spans="1:11" x14ac:dyDescent="0.25">
      <c r="A3596" s="1" t="s">
        <v>808</v>
      </c>
      <c r="B3596" s="1"/>
      <c r="C3596" s="1" t="s">
        <v>2808</v>
      </c>
      <c r="D3596" s="1" t="s">
        <v>3496</v>
      </c>
      <c r="E3596" s="1"/>
      <c r="F3596">
        <v>0</v>
      </c>
      <c r="G3596">
        <v>0.7</v>
      </c>
      <c r="H3596">
        <v>-40</v>
      </c>
      <c r="I3596">
        <v>0</v>
      </c>
      <c r="J3596">
        <v>50</v>
      </c>
      <c r="K3596" s="2">
        <v>45779</v>
      </c>
    </row>
    <row r="3597" spans="1:11" x14ac:dyDescent="0.25">
      <c r="A3597" s="1" t="s">
        <v>808</v>
      </c>
      <c r="B3597" s="1"/>
      <c r="C3597" s="1" t="s">
        <v>3306</v>
      </c>
      <c r="D3597" s="1" t="s">
        <v>3469</v>
      </c>
      <c r="E3597" s="1"/>
      <c r="F3597">
        <v>0.5</v>
      </c>
      <c r="G3597">
        <v>0.5</v>
      </c>
      <c r="H3597">
        <v>0</v>
      </c>
      <c r="I3597">
        <v>0.3</v>
      </c>
      <c r="J3597">
        <v>49.7</v>
      </c>
      <c r="K3597" s="2">
        <v>45779</v>
      </c>
    </row>
    <row r="3598" spans="1:11" x14ac:dyDescent="0.25">
      <c r="A3598" s="1" t="s">
        <v>808</v>
      </c>
      <c r="B3598" s="1"/>
      <c r="C3598" s="1" t="s">
        <v>3298</v>
      </c>
      <c r="D3598" s="1" t="s">
        <v>3492</v>
      </c>
      <c r="E3598" s="1"/>
      <c r="F3598">
        <v>1</v>
      </c>
      <c r="G3598">
        <v>0</v>
      </c>
      <c r="H3598">
        <v>105</v>
      </c>
      <c r="I3598">
        <v>0</v>
      </c>
      <c r="J3598">
        <v>49.7</v>
      </c>
      <c r="K3598" s="2">
        <v>45784</v>
      </c>
    </row>
    <row r="3599" spans="1:11" x14ac:dyDescent="0.25">
      <c r="A3599" s="1" t="s">
        <v>902</v>
      </c>
      <c r="B3599" s="1"/>
      <c r="C3599" s="1" t="s">
        <v>2808</v>
      </c>
      <c r="D3599" s="1" t="s">
        <v>3496</v>
      </c>
      <c r="E3599" s="1"/>
      <c r="F3599">
        <v>0</v>
      </c>
      <c r="G3599">
        <v>0.2</v>
      </c>
      <c r="H3599">
        <v>-10</v>
      </c>
      <c r="I3599">
        <v>0</v>
      </c>
      <c r="J3599">
        <v>4</v>
      </c>
      <c r="K3599" s="2">
        <v>45786</v>
      </c>
    </row>
    <row r="3600" spans="1:11" x14ac:dyDescent="0.25">
      <c r="A3600" s="1" t="s">
        <v>902</v>
      </c>
      <c r="B3600" s="1"/>
      <c r="C3600" s="1" t="s">
        <v>3306</v>
      </c>
      <c r="D3600" s="1" t="s">
        <v>3469</v>
      </c>
      <c r="E3600" s="1"/>
      <c r="F3600">
        <v>0</v>
      </c>
      <c r="G3600">
        <v>0.8</v>
      </c>
      <c r="H3600">
        <v>-40</v>
      </c>
      <c r="I3600">
        <v>0.3</v>
      </c>
      <c r="J3600">
        <v>3.7</v>
      </c>
      <c r="K3600" s="2">
        <v>45786</v>
      </c>
    </row>
    <row r="3601" spans="1:11" x14ac:dyDescent="0.25">
      <c r="A3601" s="1" t="s">
        <v>452</v>
      </c>
      <c r="B3601" s="1"/>
      <c r="C3601" s="1" t="s">
        <v>2808</v>
      </c>
      <c r="D3601" s="1" t="s">
        <v>3496</v>
      </c>
      <c r="E3601" s="1"/>
      <c r="F3601">
        <v>0</v>
      </c>
      <c r="G3601">
        <v>0.6</v>
      </c>
      <c r="H3601">
        <v>-30</v>
      </c>
      <c r="I3601">
        <v>0</v>
      </c>
      <c r="J3601">
        <v>6</v>
      </c>
      <c r="K3601" s="2">
        <v>45744</v>
      </c>
    </row>
    <row r="3602" spans="1:11" x14ac:dyDescent="0.25">
      <c r="A3602" s="1" t="s">
        <v>452</v>
      </c>
      <c r="B3602" s="1"/>
      <c r="C3602" s="1" t="s">
        <v>3308</v>
      </c>
      <c r="D3602" s="1" t="s">
        <v>3498</v>
      </c>
      <c r="E3602" s="1"/>
      <c r="F3602">
        <v>0.1</v>
      </c>
      <c r="G3602">
        <v>1.7</v>
      </c>
      <c r="H3602">
        <v>-90</v>
      </c>
      <c r="I3602">
        <v>0.3</v>
      </c>
      <c r="J3602">
        <v>5.7</v>
      </c>
      <c r="K3602" s="2">
        <v>45744</v>
      </c>
    </row>
    <row r="3603" spans="1:11" x14ac:dyDescent="0.25">
      <c r="A3603" s="1" t="s">
        <v>452</v>
      </c>
      <c r="B3603" s="1"/>
      <c r="C3603" s="1" t="s">
        <v>3298</v>
      </c>
      <c r="D3603" s="1" t="s">
        <v>3492</v>
      </c>
      <c r="E3603" s="1"/>
      <c r="F3603">
        <v>0.1</v>
      </c>
      <c r="G3603">
        <v>0</v>
      </c>
      <c r="H3603">
        <v>15</v>
      </c>
      <c r="I3603">
        <v>0</v>
      </c>
      <c r="J3603">
        <v>5.7</v>
      </c>
      <c r="K3603" s="2">
        <v>45749</v>
      </c>
    </row>
    <row r="3604" spans="1:11" x14ac:dyDescent="0.25">
      <c r="A3604" s="1" t="s">
        <v>454</v>
      </c>
      <c r="B3604" s="1"/>
      <c r="C3604" s="1" t="s">
        <v>2808</v>
      </c>
      <c r="D3604" s="1" t="s">
        <v>3496</v>
      </c>
      <c r="E3604" s="1"/>
      <c r="F3604">
        <v>0</v>
      </c>
      <c r="G3604">
        <v>0.6</v>
      </c>
      <c r="H3604">
        <v>-30</v>
      </c>
      <c r="I3604">
        <v>0</v>
      </c>
      <c r="J3604">
        <v>6</v>
      </c>
      <c r="K3604" s="2">
        <v>45744</v>
      </c>
    </row>
    <row r="3605" spans="1:11" x14ac:dyDescent="0.25">
      <c r="A3605" s="1" t="s">
        <v>454</v>
      </c>
      <c r="B3605" s="1"/>
      <c r="C3605" s="1" t="s">
        <v>3308</v>
      </c>
      <c r="D3605" s="1" t="s">
        <v>3498</v>
      </c>
      <c r="E3605" s="1"/>
      <c r="F3605">
        <v>0.1</v>
      </c>
      <c r="G3605">
        <v>0</v>
      </c>
      <c r="H3605">
        <v>5</v>
      </c>
      <c r="I3605">
        <v>0.3</v>
      </c>
      <c r="J3605">
        <v>5.7</v>
      </c>
      <c r="K3605" s="2">
        <v>45744</v>
      </c>
    </row>
    <row r="3606" spans="1:11" x14ac:dyDescent="0.25">
      <c r="A3606" s="1" t="s">
        <v>454</v>
      </c>
      <c r="B3606" s="1"/>
      <c r="C3606" s="1" t="s">
        <v>3298</v>
      </c>
      <c r="D3606" s="1" t="s">
        <v>3492</v>
      </c>
      <c r="E3606" s="1"/>
      <c r="F3606">
        <v>0.1</v>
      </c>
      <c r="G3606">
        <v>0</v>
      </c>
      <c r="H3606">
        <v>15</v>
      </c>
      <c r="I3606">
        <v>0</v>
      </c>
      <c r="J3606">
        <v>5.7</v>
      </c>
      <c r="K3606" s="2">
        <v>45748</v>
      </c>
    </row>
    <row r="3607" spans="1:11" x14ac:dyDescent="0.25">
      <c r="A3607" s="1" t="s">
        <v>299</v>
      </c>
      <c r="B3607" s="1"/>
      <c r="C3607" s="1" t="s">
        <v>3308</v>
      </c>
      <c r="D3607" s="1" t="s">
        <v>3498</v>
      </c>
      <c r="E3607" s="1"/>
      <c r="F3607">
        <v>0.1</v>
      </c>
      <c r="G3607">
        <v>0.2</v>
      </c>
      <c r="H3607">
        <v>-10</v>
      </c>
      <c r="I3607">
        <v>0.3</v>
      </c>
      <c r="J3607">
        <v>5.7</v>
      </c>
      <c r="K3607" s="2">
        <v>45729</v>
      </c>
    </row>
    <row r="3608" spans="1:11" x14ac:dyDescent="0.25">
      <c r="A3608" s="1" t="s">
        <v>299</v>
      </c>
      <c r="B3608" s="1"/>
      <c r="C3608" s="1" t="s">
        <v>3298</v>
      </c>
      <c r="D3608" s="1" t="s">
        <v>3492</v>
      </c>
      <c r="E3608" s="1"/>
      <c r="F3608">
        <v>0.1</v>
      </c>
      <c r="G3608">
        <v>0</v>
      </c>
      <c r="H3608">
        <v>15</v>
      </c>
      <c r="I3608">
        <v>0</v>
      </c>
      <c r="J3608">
        <v>5.7</v>
      </c>
      <c r="K3608" s="2">
        <v>45730</v>
      </c>
    </row>
    <row r="3609" spans="1:11" x14ac:dyDescent="0.25">
      <c r="A3609" s="1" t="s">
        <v>502</v>
      </c>
      <c r="B3609" s="1"/>
      <c r="C3609" s="1" t="s">
        <v>2808</v>
      </c>
      <c r="D3609" s="1" t="s">
        <v>3496</v>
      </c>
      <c r="E3609" s="1"/>
      <c r="F3609">
        <v>0</v>
      </c>
      <c r="G3609">
        <v>0.6</v>
      </c>
      <c r="H3609">
        <v>-30</v>
      </c>
      <c r="I3609">
        <v>0</v>
      </c>
      <c r="J3609">
        <v>40</v>
      </c>
      <c r="K3609" s="2">
        <v>45750</v>
      </c>
    </row>
    <row r="3610" spans="1:11" x14ac:dyDescent="0.25">
      <c r="A3610" s="1" t="s">
        <v>502</v>
      </c>
      <c r="B3610" s="1"/>
      <c r="C3610" s="1" t="s">
        <v>3306</v>
      </c>
      <c r="D3610" s="1" t="s">
        <v>3469</v>
      </c>
      <c r="E3610" s="1"/>
      <c r="F3610">
        <v>0.4</v>
      </c>
      <c r="G3610">
        <v>0.9</v>
      </c>
      <c r="H3610">
        <v>-25</v>
      </c>
      <c r="I3610">
        <v>0.3</v>
      </c>
      <c r="J3610">
        <v>39.700000000000003</v>
      </c>
      <c r="K3610" s="2">
        <v>45750</v>
      </c>
    </row>
    <row r="3611" spans="1:11" x14ac:dyDescent="0.25">
      <c r="A3611" s="1" t="s">
        <v>502</v>
      </c>
      <c r="B3611" s="1"/>
      <c r="C3611" s="1" t="s">
        <v>3298</v>
      </c>
      <c r="D3611" s="1" t="s">
        <v>3492</v>
      </c>
      <c r="E3611" s="1"/>
      <c r="F3611">
        <v>0.8</v>
      </c>
      <c r="G3611">
        <v>0</v>
      </c>
      <c r="H3611">
        <v>85</v>
      </c>
      <c r="I3611">
        <v>0</v>
      </c>
      <c r="J3611">
        <v>39.700000000000003</v>
      </c>
      <c r="K3611" s="2">
        <v>45756</v>
      </c>
    </row>
    <row r="3612" spans="1:11" x14ac:dyDescent="0.25">
      <c r="A3612" s="1" t="s">
        <v>503</v>
      </c>
      <c r="B3612" s="1"/>
      <c r="C3612" s="1" t="s">
        <v>2808</v>
      </c>
      <c r="D3612" s="1" t="s">
        <v>3496</v>
      </c>
      <c r="E3612" s="1"/>
      <c r="F3612">
        <v>0</v>
      </c>
      <c r="G3612">
        <v>0.6</v>
      </c>
      <c r="H3612">
        <v>-30</v>
      </c>
      <c r="I3612">
        <v>0</v>
      </c>
      <c r="J3612">
        <v>40</v>
      </c>
      <c r="K3612" s="2">
        <v>45750</v>
      </c>
    </row>
    <row r="3613" spans="1:11" x14ac:dyDescent="0.25">
      <c r="A3613" s="1" t="s">
        <v>503</v>
      </c>
      <c r="B3613" s="1"/>
      <c r="C3613" s="1" t="s">
        <v>3306</v>
      </c>
      <c r="D3613" s="1" t="s">
        <v>3469</v>
      </c>
      <c r="E3613" s="1"/>
      <c r="F3613">
        <v>0.4</v>
      </c>
      <c r="G3613">
        <v>3.2</v>
      </c>
      <c r="H3613">
        <v>-160</v>
      </c>
      <c r="I3613">
        <v>0.3</v>
      </c>
      <c r="J3613">
        <v>39.700000000000003</v>
      </c>
      <c r="K3613" s="2">
        <v>45750</v>
      </c>
    </row>
    <row r="3614" spans="1:11" x14ac:dyDescent="0.25">
      <c r="A3614" s="1" t="s">
        <v>503</v>
      </c>
      <c r="B3614" s="1"/>
      <c r="C3614" s="1" t="s">
        <v>3298</v>
      </c>
      <c r="D3614" s="1" t="s">
        <v>3492</v>
      </c>
      <c r="E3614" s="1"/>
      <c r="F3614">
        <v>0.8</v>
      </c>
      <c r="G3614">
        <v>0</v>
      </c>
      <c r="H3614">
        <v>85</v>
      </c>
      <c r="I3614">
        <v>0</v>
      </c>
      <c r="J3614">
        <v>39.700000000000003</v>
      </c>
      <c r="K3614" s="2">
        <v>45756</v>
      </c>
    </row>
    <row r="3615" spans="1:11" x14ac:dyDescent="0.25">
      <c r="A3615" s="1" t="s">
        <v>501</v>
      </c>
      <c r="B3615" s="1"/>
      <c r="C3615" s="1" t="s">
        <v>2808</v>
      </c>
      <c r="D3615" s="1" t="s">
        <v>3496</v>
      </c>
      <c r="E3615" s="1"/>
      <c r="F3615">
        <v>0</v>
      </c>
      <c r="G3615">
        <v>0.6</v>
      </c>
      <c r="H3615">
        <v>-30</v>
      </c>
      <c r="I3615">
        <v>0</v>
      </c>
      <c r="J3615">
        <v>40</v>
      </c>
      <c r="K3615" s="2">
        <v>45750</v>
      </c>
    </row>
    <row r="3616" spans="1:11" x14ac:dyDescent="0.25">
      <c r="A3616" s="1" t="s">
        <v>501</v>
      </c>
      <c r="B3616" s="1"/>
      <c r="C3616" s="1" t="s">
        <v>3306</v>
      </c>
      <c r="D3616" s="1" t="s">
        <v>3469</v>
      </c>
      <c r="E3616" s="1"/>
      <c r="F3616">
        <v>0.4</v>
      </c>
      <c r="G3616">
        <v>0.5</v>
      </c>
      <c r="H3616">
        <v>-5</v>
      </c>
      <c r="I3616">
        <v>0.3</v>
      </c>
      <c r="J3616">
        <v>39.700000000000003</v>
      </c>
      <c r="K3616" s="2">
        <v>45750</v>
      </c>
    </row>
    <row r="3617" spans="1:11" x14ac:dyDescent="0.25">
      <c r="A3617" s="1" t="s">
        <v>501</v>
      </c>
      <c r="B3617" s="1"/>
      <c r="C3617" s="1" t="s">
        <v>3298</v>
      </c>
      <c r="D3617" s="1" t="s">
        <v>3492</v>
      </c>
      <c r="E3617" s="1"/>
      <c r="F3617">
        <v>0.8</v>
      </c>
      <c r="G3617">
        <v>0</v>
      </c>
      <c r="H3617">
        <v>85</v>
      </c>
      <c r="I3617">
        <v>0</v>
      </c>
      <c r="J3617">
        <v>39.700000000000003</v>
      </c>
      <c r="K3617" s="2">
        <v>45756</v>
      </c>
    </row>
    <row r="3618" spans="1:11" x14ac:dyDescent="0.25">
      <c r="A3618" s="1" t="s">
        <v>302</v>
      </c>
      <c r="B3618" s="1"/>
      <c r="C3618" s="1" t="s">
        <v>3298</v>
      </c>
      <c r="D3618" s="1" t="s">
        <v>3492</v>
      </c>
      <c r="E3618" s="1"/>
      <c r="F3618">
        <v>0.8</v>
      </c>
      <c r="G3618">
        <v>0</v>
      </c>
      <c r="H3618">
        <v>85</v>
      </c>
      <c r="I3618">
        <v>0</v>
      </c>
      <c r="J3618">
        <v>39.700000000000003</v>
      </c>
      <c r="K3618" s="2">
        <v>45729</v>
      </c>
    </row>
    <row r="3619" spans="1:11" x14ac:dyDescent="0.25">
      <c r="A3619" s="1" t="s">
        <v>303</v>
      </c>
      <c r="B3619" s="1"/>
      <c r="C3619" s="1" t="s">
        <v>3298</v>
      </c>
      <c r="D3619" s="1" t="s">
        <v>3492</v>
      </c>
      <c r="E3619" s="1"/>
      <c r="F3619">
        <v>0.8</v>
      </c>
      <c r="G3619">
        <v>0</v>
      </c>
      <c r="H3619">
        <v>85</v>
      </c>
      <c r="I3619">
        <v>0</v>
      </c>
      <c r="J3619">
        <v>39.700000000000003</v>
      </c>
      <c r="K3619" s="2">
        <v>45729</v>
      </c>
    </row>
    <row r="3620" spans="1:11" x14ac:dyDescent="0.25">
      <c r="A3620" s="1" t="s">
        <v>282</v>
      </c>
      <c r="B3620" s="1"/>
      <c r="C3620" s="1" t="s">
        <v>3298</v>
      </c>
      <c r="D3620" s="1" t="s">
        <v>3492</v>
      </c>
      <c r="E3620" s="1"/>
      <c r="F3620">
        <v>0.8</v>
      </c>
      <c r="G3620">
        <v>0</v>
      </c>
      <c r="H3620">
        <v>85</v>
      </c>
      <c r="I3620">
        <v>0</v>
      </c>
      <c r="J3620">
        <v>39.700000000000003</v>
      </c>
      <c r="K3620" s="2">
        <v>45729</v>
      </c>
    </row>
    <row r="3621" spans="1:11" x14ac:dyDescent="0.25">
      <c r="A3621" s="1" t="s">
        <v>315</v>
      </c>
      <c r="B3621" s="1"/>
      <c r="C3621" s="1" t="s">
        <v>3298</v>
      </c>
      <c r="D3621" s="1" t="s">
        <v>3492</v>
      </c>
      <c r="E3621" s="1"/>
      <c r="F3621">
        <v>0.8</v>
      </c>
      <c r="G3621">
        <v>0</v>
      </c>
      <c r="H3621">
        <v>85</v>
      </c>
      <c r="I3621">
        <v>0</v>
      </c>
      <c r="J3621">
        <v>39.700000000000003</v>
      </c>
      <c r="K3621" s="2">
        <v>45729</v>
      </c>
    </row>
    <row r="3622" spans="1:11" x14ac:dyDescent="0.25">
      <c r="A3622" s="1" t="s">
        <v>316</v>
      </c>
      <c r="B3622" s="1"/>
      <c r="C3622" s="1" t="s">
        <v>3298</v>
      </c>
      <c r="D3622" s="1" t="s">
        <v>3492</v>
      </c>
      <c r="E3622" s="1"/>
      <c r="F3622">
        <v>0.8</v>
      </c>
      <c r="G3622">
        <v>0</v>
      </c>
      <c r="H3622">
        <v>85</v>
      </c>
      <c r="I3622">
        <v>0</v>
      </c>
      <c r="J3622">
        <v>39.700000000000003</v>
      </c>
      <c r="K3622" s="2">
        <v>45730</v>
      </c>
    </row>
    <row r="3623" spans="1:11" x14ac:dyDescent="0.25">
      <c r="A3623" s="1" t="s">
        <v>317</v>
      </c>
      <c r="B3623" s="1"/>
      <c r="C3623" s="1" t="s">
        <v>2808</v>
      </c>
      <c r="D3623" s="1" t="s">
        <v>3496</v>
      </c>
      <c r="E3623" s="1"/>
      <c r="F3623">
        <v>0</v>
      </c>
      <c r="G3623">
        <v>2.1</v>
      </c>
      <c r="H3623">
        <v>-120</v>
      </c>
      <c r="I3623">
        <v>0</v>
      </c>
      <c r="J3623">
        <v>40</v>
      </c>
      <c r="K3623" s="2">
        <v>45750</v>
      </c>
    </row>
    <row r="3624" spans="1:11" x14ac:dyDescent="0.25">
      <c r="A3624" s="1" t="s">
        <v>317</v>
      </c>
      <c r="B3624" s="1"/>
      <c r="C3624" s="1" t="s">
        <v>3306</v>
      </c>
      <c r="D3624" s="1" t="s">
        <v>3469</v>
      </c>
      <c r="E3624" s="1"/>
      <c r="F3624">
        <v>0.4</v>
      </c>
      <c r="G3624">
        <v>0.5</v>
      </c>
      <c r="H3624">
        <v>0</v>
      </c>
      <c r="I3624">
        <v>0.3</v>
      </c>
      <c r="J3624">
        <v>39.700000000000003</v>
      </c>
      <c r="K3624" s="2">
        <v>45750</v>
      </c>
    </row>
    <row r="3625" spans="1:11" x14ac:dyDescent="0.25">
      <c r="A3625" s="1" t="s">
        <v>317</v>
      </c>
      <c r="B3625" s="1"/>
      <c r="C3625" s="1" t="s">
        <v>3298</v>
      </c>
      <c r="D3625" s="1" t="s">
        <v>3492</v>
      </c>
      <c r="E3625" s="1"/>
      <c r="F3625">
        <v>0.8</v>
      </c>
      <c r="G3625">
        <v>0</v>
      </c>
      <c r="H3625">
        <v>85</v>
      </c>
      <c r="I3625">
        <v>0</v>
      </c>
      <c r="J3625">
        <v>39.700000000000003</v>
      </c>
      <c r="K3625" s="2">
        <v>45756</v>
      </c>
    </row>
    <row r="3626" spans="1:11" x14ac:dyDescent="0.25">
      <c r="A3626" s="1" t="s">
        <v>345</v>
      </c>
      <c r="B3626" s="1"/>
      <c r="C3626" s="1" t="s">
        <v>2808</v>
      </c>
      <c r="D3626" s="1" t="s">
        <v>3496</v>
      </c>
      <c r="E3626" s="1"/>
      <c r="F3626">
        <v>0</v>
      </c>
      <c r="G3626">
        <v>1.2</v>
      </c>
      <c r="H3626">
        <v>-65</v>
      </c>
      <c r="I3626">
        <v>0</v>
      </c>
      <c r="J3626">
        <v>40</v>
      </c>
      <c r="K3626" s="2">
        <v>45750</v>
      </c>
    </row>
    <row r="3627" spans="1:11" x14ac:dyDescent="0.25">
      <c r="A3627" s="1" t="s">
        <v>345</v>
      </c>
      <c r="B3627" s="1"/>
      <c r="C3627" s="1" t="s">
        <v>3306</v>
      </c>
      <c r="D3627" s="1" t="s">
        <v>3469</v>
      </c>
      <c r="E3627" s="1"/>
      <c r="F3627">
        <v>0.4</v>
      </c>
      <c r="G3627">
        <v>0.6</v>
      </c>
      <c r="H3627">
        <v>-10</v>
      </c>
      <c r="I3627">
        <v>0.3</v>
      </c>
      <c r="J3627">
        <v>39.700000000000003</v>
      </c>
      <c r="K3627" s="2">
        <v>45750</v>
      </c>
    </row>
    <row r="3628" spans="1:11" x14ac:dyDescent="0.25">
      <c r="A3628" s="1" t="s">
        <v>345</v>
      </c>
      <c r="B3628" s="1"/>
      <c r="C3628" s="1" t="s">
        <v>3298</v>
      </c>
      <c r="D3628" s="1" t="s">
        <v>3492</v>
      </c>
      <c r="E3628" s="1"/>
      <c r="F3628">
        <v>0.8</v>
      </c>
      <c r="G3628">
        <v>0</v>
      </c>
      <c r="H3628">
        <v>85</v>
      </c>
      <c r="I3628">
        <v>0</v>
      </c>
      <c r="J3628">
        <v>39.700000000000003</v>
      </c>
      <c r="K3628" s="2">
        <v>45756</v>
      </c>
    </row>
    <row r="3629" spans="1:11" x14ac:dyDescent="0.25">
      <c r="A3629" s="1" t="s">
        <v>346</v>
      </c>
      <c r="B3629" s="1"/>
      <c r="C3629" s="1" t="s">
        <v>2808</v>
      </c>
      <c r="D3629" s="1" t="s">
        <v>3496</v>
      </c>
      <c r="E3629" s="1"/>
      <c r="F3629">
        <v>0</v>
      </c>
      <c r="G3629">
        <v>1.2</v>
      </c>
      <c r="H3629">
        <v>-65</v>
      </c>
      <c r="I3629">
        <v>0</v>
      </c>
      <c r="J3629">
        <v>40</v>
      </c>
      <c r="K3629" s="2">
        <v>45750</v>
      </c>
    </row>
    <row r="3630" spans="1:11" x14ac:dyDescent="0.25">
      <c r="A3630" s="1" t="s">
        <v>346</v>
      </c>
      <c r="B3630" s="1"/>
      <c r="C3630" s="1" t="s">
        <v>3306</v>
      </c>
      <c r="D3630" s="1" t="s">
        <v>3469</v>
      </c>
      <c r="E3630" s="1"/>
      <c r="F3630">
        <v>0.4</v>
      </c>
      <c r="G3630">
        <v>0.6</v>
      </c>
      <c r="H3630">
        <v>-10</v>
      </c>
      <c r="I3630">
        <v>0.3</v>
      </c>
      <c r="J3630">
        <v>39.700000000000003</v>
      </c>
      <c r="K3630" s="2">
        <v>45750</v>
      </c>
    </row>
    <row r="3631" spans="1:11" x14ac:dyDescent="0.25">
      <c r="A3631" s="1" t="s">
        <v>346</v>
      </c>
      <c r="B3631" s="1"/>
      <c r="C3631" s="1" t="s">
        <v>3298</v>
      </c>
      <c r="D3631" s="1" t="s">
        <v>3492</v>
      </c>
      <c r="E3631" s="1"/>
      <c r="F3631">
        <v>0.8</v>
      </c>
      <c r="G3631">
        <v>0</v>
      </c>
      <c r="H3631">
        <v>85</v>
      </c>
      <c r="I3631">
        <v>0</v>
      </c>
      <c r="J3631">
        <v>39.700000000000003</v>
      </c>
      <c r="K3631" s="2">
        <v>45756</v>
      </c>
    </row>
    <row r="3632" spans="1:11" x14ac:dyDescent="0.25">
      <c r="A3632" s="1" t="s">
        <v>347</v>
      </c>
      <c r="B3632" s="1"/>
      <c r="C3632" s="1" t="s">
        <v>2808</v>
      </c>
      <c r="D3632" s="1" t="s">
        <v>3496</v>
      </c>
      <c r="E3632" s="1"/>
      <c r="F3632">
        <v>0</v>
      </c>
      <c r="G3632">
        <v>0.2</v>
      </c>
      <c r="H3632">
        <v>-10</v>
      </c>
      <c r="I3632">
        <v>0</v>
      </c>
      <c r="J3632">
        <v>40</v>
      </c>
      <c r="K3632" s="2">
        <v>45751</v>
      </c>
    </row>
    <row r="3633" spans="1:11" x14ac:dyDescent="0.25">
      <c r="A3633" s="1" t="s">
        <v>347</v>
      </c>
      <c r="B3633" s="1"/>
      <c r="C3633" s="1" t="s">
        <v>3306</v>
      </c>
      <c r="D3633" s="1" t="s">
        <v>3469</v>
      </c>
      <c r="E3633" s="1"/>
      <c r="F3633">
        <v>0.4</v>
      </c>
      <c r="G3633">
        <v>0.6</v>
      </c>
      <c r="H3633">
        <v>-10</v>
      </c>
      <c r="I3633">
        <v>0.3</v>
      </c>
      <c r="J3633">
        <v>39.700000000000003</v>
      </c>
      <c r="K3633" s="2">
        <v>45751</v>
      </c>
    </row>
    <row r="3634" spans="1:11" x14ac:dyDescent="0.25">
      <c r="A3634" s="1" t="s">
        <v>347</v>
      </c>
      <c r="B3634" s="1"/>
      <c r="C3634" s="1" t="s">
        <v>3298</v>
      </c>
      <c r="D3634" s="1" t="s">
        <v>3492</v>
      </c>
      <c r="E3634" s="1"/>
      <c r="F3634">
        <v>0.8</v>
      </c>
      <c r="G3634">
        <v>0</v>
      </c>
      <c r="H3634">
        <v>85</v>
      </c>
      <c r="I3634">
        <v>0</v>
      </c>
      <c r="J3634">
        <v>39.700000000000003</v>
      </c>
      <c r="K3634" s="2">
        <v>45756</v>
      </c>
    </row>
    <row r="3635" spans="1:11" x14ac:dyDescent="0.25">
      <c r="A3635" s="1" t="s">
        <v>507</v>
      </c>
      <c r="B3635" s="1"/>
      <c r="C3635" s="1" t="s">
        <v>2808</v>
      </c>
      <c r="D3635" s="1" t="s">
        <v>3496</v>
      </c>
      <c r="E3635" s="1"/>
      <c r="F3635">
        <v>0</v>
      </c>
      <c r="G3635">
        <v>0.7</v>
      </c>
      <c r="H3635">
        <v>-35</v>
      </c>
      <c r="I3635">
        <v>0</v>
      </c>
      <c r="J3635">
        <v>40</v>
      </c>
      <c r="K3635" s="2">
        <v>45755</v>
      </c>
    </row>
    <row r="3636" spans="1:11" x14ac:dyDescent="0.25">
      <c r="A3636" s="1" t="s">
        <v>507</v>
      </c>
      <c r="B3636" s="1"/>
      <c r="C3636" s="1" t="s">
        <v>3306</v>
      </c>
      <c r="D3636" s="1" t="s">
        <v>3469</v>
      </c>
      <c r="E3636" s="1"/>
      <c r="F3636">
        <v>0.4</v>
      </c>
      <c r="G3636">
        <v>0.9</v>
      </c>
      <c r="H3636">
        <v>-30</v>
      </c>
      <c r="I3636">
        <v>0.3</v>
      </c>
      <c r="J3636">
        <v>39.700000000000003</v>
      </c>
      <c r="K3636" s="2">
        <v>45755</v>
      </c>
    </row>
    <row r="3637" spans="1:11" x14ac:dyDescent="0.25">
      <c r="A3637" s="1" t="s">
        <v>507</v>
      </c>
      <c r="B3637" s="1"/>
      <c r="C3637" s="1" t="s">
        <v>3298</v>
      </c>
      <c r="D3637" s="1" t="s">
        <v>3492</v>
      </c>
      <c r="E3637" s="1"/>
      <c r="F3637">
        <v>0.8</v>
      </c>
      <c r="G3637">
        <v>0</v>
      </c>
      <c r="H3637">
        <v>85</v>
      </c>
      <c r="I3637">
        <v>0</v>
      </c>
      <c r="J3637">
        <v>39.700000000000003</v>
      </c>
      <c r="K3637" s="2">
        <v>45757</v>
      </c>
    </row>
    <row r="3638" spans="1:11" x14ac:dyDescent="0.25">
      <c r="A3638" s="1" t="s">
        <v>508</v>
      </c>
      <c r="B3638" s="1"/>
      <c r="C3638" s="1" t="s">
        <v>2808</v>
      </c>
      <c r="D3638" s="1" t="s">
        <v>3496</v>
      </c>
      <c r="E3638" s="1"/>
      <c r="F3638">
        <v>0</v>
      </c>
      <c r="G3638">
        <v>0.8</v>
      </c>
      <c r="H3638">
        <v>-45</v>
      </c>
      <c r="I3638">
        <v>0</v>
      </c>
      <c r="J3638">
        <v>40</v>
      </c>
      <c r="K3638" s="2">
        <v>45763</v>
      </c>
    </row>
    <row r="3639" spans="1:11" x14ac:dyDescent="0.25">
      <c r="A3639" s="1" t="s">
        <v>508</v>
      </c>
      <c r="B3639" s="1"/>
      <c r="C3639" s="1" t="s">
        <v>3306</v>
      </c>
      <c r="D3639" s="1" t="s">
        <v>3469</v>
      </c>
      <c r="E3639" s="1"/>
      <c r="F3639">
        <v>0.4</v>
      </c>
      <c r="G3639">
        <v>0.9</v>
      </c>
      <c r="H3639">
        <v>-25</v>
      </c>
      <c r="I3639">
        <v>0.3</v>
      </c>
      <c r="J3639">
        <v>39.700000000000003</v>
      </c>
      <c r="K3639" s="2">
        <v>45763</v>
      </c>
    </row>
    <row r="3640" spans="1:11" x14ac:dyDescent="0.25">
      <c r="A3640" s="1" t="s">
        <v>508</v>
      </c>
      <c r="B3640" s="1"/>
      <c r="C3640" s="1" t="s">
        <v>3298</v>
      </c>
      <c r="D3640" s="1" t="s">
        <v>3492</v>
      </c>
      <c r="E3640" s="1"/>
      <c r="F3640">
        <v>0.8</v>
      </c>
      <c r="G3640">
        <v>0</v>
      </c>
      <c r="H3640">
        <v>85</v>
      </c>
      <c r="I3640">
        <v>0</v>
      </c>
      <c r="J3640">
        <v>39.700000000000003</v>
      </c>
      <c r="K3640" s="2">
        <v>45764</v>
      </c>
    </row>
    <row r="3641" spans="1:11" x14ac:dyDescent="0.25">
      <c r="A3641" s="1" t="s">
        <v>509</v>
      </c>
      <c r="B3641" s="1"/>
      <c r="C3641" s="1" t="s">
        <v>2808</v>
      </c>
      <c r="D3641" s="1" t="s">
        <v>3496</v>
      </c>
      <c r="E3641" s="1"/>
      <c r="F3641">
        <v>0</v>
      </c>
      <c r="G3641">
        <v>0.3</v>
      </c>
      <c r="H3641">
        <v>-15</v>
      </c>
      <c r="I3641">
        <v>0</v>
      </c>
      <c r="J3641">
        <v>40</v>
      </c>
      <c r="K3641" s="2">
        <v>45768</v>
      </c>
    </row>
    <row r="3642" spans="1:11" x14ac:dyDescent="0.25">
      <c r="A3642" s="1" t="s">
        <v>509</v>
      </c>
      <c r="B3642" s="1"/>
      <c r="C3642" s="1" t="s">
        <v>3306</v>
      </c>
      <c r="D3642" s="1" t="s">
        <v>3469</v>
      </c>
      <c r="E3642" s="1"/>
      <c r="F3642">
        <v>0.4</v>
      </c>
      <c r="G3642">
        <v>0.4</v>
      </c>
      <c r="H3642">
        <v>5</v>
      </c>
      <c r="I3642">
        <v>0.3</v>
      </c>
      <c r="J3642">
        <v>39.700000000000003</v>
      </c>
      <c r="K3642" s="2">
        <v>45768</v>
      </c>
    </row>
    <row r="3643" spans="1:11" x14ac:dyDescent="0.25">
      <c r="A3643" s="1" t="s">
        <v>509</v>
      </c>
      <c r="B3643" s="1"/>
      <c r="C3643" s="1" t="s">
        <v>3298</v>
      </c>
      <c r="D3643" s="1" t="s">
        <v>3492</v>
      </c>
      <c r="E3643" s="1"/>
      <c r="F3643">
        <v>0.8</v>
      </c>
      <c r="G3643">
        <v>0</v>
      </c>
      <c r="H3643">
        <v>85</v>
      </c>
      <c r="I3643">
        <v>0</v>
      </c>
      <c r="J3643">
        <v>39.700000000000003</v>
      </c>
      <c r="K3643" s="2">
        <v>45771</v>
      </c>
    </row>
    <row r="3644" spans="1:11" x14ac:dyDescent="0.25">
      <c r="A3644" s="1" t="s">
        <v>510</v>
      </c>
      <c r="B3644" s="1"/>
      <c r="C3644" s="1" t="s">
        <v>2808</v>
      </c>
      <c r="D3644" s="1" t="s">
        <v>3496</v>
      </c>
      <c r="E3644" s="1"/>
      <c r="F3644">
        <v>0</v>
      </c>
      <c r="G3644">
        <v>0.7</v>
      </c>
      <c r="H3644">
        <v>-35</v>
      </c>
      <c r="I3644">
        <v>0</v>
      </c>
      <c r="J3644">
        <v>40</v>
      </c>
      <c r="K3644" s="2">
        <v>45770</v>
      </c>
    </row>
    <row r="3645" spans="1:11" x14ac:dyDescent="0.25">
      <c r="A3645" s="1" t="s">
        <v>510</v>
      </c>
      <c r="B3645" s="1"/>
      <c r="C3645" s="1" t="s">
        <v>3306</v>
      </c>
      <c r="D3645" s="1" t="s">
        <v>3469</v>
      </c>
      <c r="E3645" s="1"/>
      <c r="F3645">
        <v>0.4</v>
      </c>
      <c r="G3645">
        <v>0.5</v>
      </c>
      <c r="H3645">
        <v>-5</v>
      </c>
      <c r="I3645">
        <v>2.5</v>
      </c>
      <c r="J3645">
        <v>37.5</v>
      </c>
      <c r="K3645" s="2">
        <v>45770</v>
      </c>
    </row>
    <row r="3646" spans="1:11" x14ac:dyDescent="0.25">
      <c r="A3646" s="1" t="s">
        <v>510</v>
      </c>
      <c r="B3646" s="1"/>
      <c r="C3646" s="1" t="s">
        <v>3298</v>
      </c>
      <c r="D3646" s="1" t="s">
        <v>3492</v>
      </c>
      <c r="E3646" s="1"/>
      <c r="F3646">
        <v>0.8</v>
      </c>
      <c r="G3646">
        <v>0</v>
      </c>
      <c r="H3646">
        <v>85</v>
      </c>
      <c r="I3646">
        <v>0</v>
      </c>
      <c r="J3646">
        <v>37.5</v>
      </c>
      <c r="K3646" s="2">
        <v>45771</v>
      </c>
    </row>
    <row r="3647" spans="1:11" x14ac:dyDescent="0.25">
      <c r="A3647" s="1" t="s">
        <v>511</v>
      </c>
      <c r="B3647" s="1"/>
      <c r="C3647" s="1" t="s">
        <v>2808</v>
      </c>
      <c r="D3647" s="1" t="s">
        <v>3496</v>
      </c>
      <c r="E3647" s="1"/>
      <c r="F3647">
        <v>0</v>
      </c>
      <c r="G3647">
        <v>0.7</v>
      </c>
      <c r="H3647">
        <v>-35</v>
      </c>
      <c r="I3647">
        <v>0</v>
      </c>
      <c r="J3647">
        <v>40</v>
      </c>
      <c r="K3647" s="2">
        <v>45770</v>
      </c>
    </row>
    <row r="3648" spans="1:11" x14ac:dyDescent="0.25">
      <c r="A3648" s="1" t="s">
        <v>511</v>
      </c>
      <c r="B3648" s="1"/>
      <c r="C3648" s="1" t="s">
        <v>3306</v>
      </c>
      <c r="D3648" s="1" t="s">
        <v>3469</v>
      </c>
      <c r="E3648" s="1"/>
      <c r="F3648">
        <v>0.4</v>
      </c>
      <c r="G3648">
        <v>0.5</v>
      </c>
      <c r="H3648">
        <v>-5</v>
      </c>
      <c r="I3648">
        <v>2.5</v>
      </c>
      <c r="J3648">
        <v>37.5</v>
      </c>
      <c r="K3648" s="2">
        <v>45770</v>
      </c>
    </row>
    <row r="3649" spans="1:11" x14ac:dyDescent="0.25">
      <c r="A3649" s="1" t="s">
        <v>511</v>
      </c>
      <c r="B3649" s="1"/>
      <c r="C3649" s="1" t="s">
        <v>3298</v>
      </c>
      <c r="D3649" s="1" t="s">
        <v>3492</v>
      </c>
      <c r="E3649" s="1"/>
      <c r="F3649">
        <v>0.8</v>
      </c>
      <c r="G3649">
        <v>0</v>
      </c>
      <c r="H3649">
        <v>85</v>
      </c>
      <c r="I3649">
        <v>0</v>
      </c>
      <c r="J3649">
        <v>37.5</v>
      </c>
      <c r="K3649" s="2">
        <v>45772</v>
      </c>
    </row>
    <row r="3650" spans="1:11" x14ac:dyDescent="0.25">
      <c r="A3650" s="1" t="s">
        <v>512</v>
      </c>
      <c r="B3650" s="1"/>
      <c r="C3650" s="1" t="s">
        <v>2808</v>
      </c>
      <c r="D3650" s="1" t="s">
        <v>3496</v>
      </c>
      <c r="E3650" s="1"/>
      <c r="F3650">
        <v>0</v>
      </c>
      <c r="G3650">
        <v>0.5</v>
      </c>
      <c r="H3650">
        <v>-25</v>
      </c>
      <c r="I3650">
        <v>0</v>
      </c>
      <c r="J3650">
        <v>40</v>
      </c>
      <c r="K3650" s="2">
        <v>45770</v>
      </c>
    </row>
    <row r="3651" spans="1:11" x14ac:dyDescent="0.25">
      <c r="A3651" s="1" t="s">
        <v>512</v>
      </c>
      <c r="B3651" s="1"/>
      <c r="C3651" s="1" t="s">
        <v>3306</v>
      </c>
      <c r="D3651" s="1" t="s">
        <v>3469</v>
      </c>
      <c r="E3651" s="1"/>
      <c r="F3651">
        <v>0.4</v>
      </c>
      <c r="G3651">
        <v>0.5</v>
      </c>
      <c r="H3651">
        <v>-5</v>
      </c>
      <c r="I3651">
        <v>2.5</v>
      </c>
      <c r="J3651">
        <v>37.5</v>
      </c>
      <c r="K3651" s="2">
        <v>45770</v>
      </c>
    </row>
    <row r="3652" spans="1:11" x14ac:dyDescent="0.25">
      <c r="A3652" s="1" t="s">
        <v>512</v>
      </c>
      <c r="B3652" s="1"/>
      <c r="C3652" s="1" t="s">
        <v>3298</v>
      </c>
      <c r="D3652" s="1" t="s">
        <v>3492</v>
      </c>
      <c r="E3652" s="1"/>
      <c r="F3652">
        <v>0.8</v>
      </c>
      <c r="G3652">
        <v>0</v>
      </c>
      <c r="H3652">
        <v>85</v>
      </c>
      <c r="I3652">
        <v>0</v>
      </c>
      <c r="J3652">
        <v>37.5</v>
      </c>
      <c r="K3652" s="2">
        <v>45772</v>
      </c>
    </row>
    <row r="3653" spans="1:11" x14ac:dyDescent="0.25">
      <c r="A3653" s="1" t="s">
        <v>513</v>
      </c>
      <c r="B3653" s="1"/>
      <c r="C3653" s="1" t="s">
        <v>2808</v>
      </c>
      <c r="D3653" s="1" t="s">
        <v>3496</v>
      </c>
      <c r="E3653" s="1"/>
      <c r="F3653">
        <v>0</v>
      </c>
      <c r="G3653">
        <v>0.1</v>
      </c>
      <c r="H3653">
        <v>-5</v>
      </c>
      <c r="I3653">
        <v>0</v>
      </c>
      <c r="J3653">
        <v>40</v>
      </c>
      <c r="K3653" s="2">
        <v>45770</v>
      </c>
    </row>
    <row r="3654" spans="1:11" x14ac:dyDescent="0.25">
      <c r="A3654" s="1" t="s">
        <v>513</v>
      </c>
      <c r="B3654" s="1"/>
      <c r="C3654" s="1" t="s">
        <v>3306</v>
      </c>
      <c r="D3654" s="1" t="s">
        <v>3469</v>
      </c>
      <c r="E3654" s="1"/>
      <c r="F3654">
        <v>0.4</v>
      </c>
      <c r="G3654">
        <v>0.3</v>
      </c>
      <c r="H3654">
        <v>10</v>
      </c>
      <c r="I3654">
        <v>2.5</v>
      </c>
      <c r="J3654">
        <v>37.5</v>
      </c>
      <c r="K3654" s="2">
        <v>45770</v>
      </c>
    </row>
    <row r="3655" spans="1:11" x14ac:dyDescent="0.25">
      <c r="A3655" s="1" t="s">
        <v>513</v>
      </c>
      <c r="B3655" s="1"/>
      <c r="C3655" s="1" t="s">
        <v>3298</v>
      </c>
      <c r="D3655" s="1" t="s">
        <v>3492</v>
      </c>
      <c r="E3655" s="1"/>
      <c r="F3655">
        <v>0.8</v>
      </c>
      <c r="G3655">
        <v>0</v>
      </c>
      <c r="H3655">
        <v>85</v>
      </c>
      <c r="I3655">
        <v>0</v>
      </c>
      <c r="J3655">
        <v>37.5</v>
      </c>
      <c r="K3655" s="2">
        <v>45772</v>
      </c>
    </row>
    <row r="3656" spans="1:11" x14ac:dyDescent="0.25">
      <c r="A3656" s="1" t="s">
        <v>514</v>
      </c>
      <c r="B3656" s="1"/>
      <c r="C3656" s="1" t="s">
        <v>2808</v>
      </c>
      <c r="D3656" s="1" t="s">
        <v>3496</v>
      </c>
      <c r="E3656" s="1"/>
      <c r="F3656">
        <v>0</v>
      </c>
      <c r="G3656">
        <v>0.1</v>
      </c>
      <c r="H3656">
        <v>0</v>
      </c>
      <c r="I3656">
        <v>0</v>
      </c>
      <c r="J3656">
        <v>40</v>
      </c>
      <c r="K3656" s="2">
        <v>45784</v>
      </c>
    </row>
    <row r="3657" spans="1:11" x14ac:dyDescent="0.25">
      <c r="A3657" s="1" t="s">
        <v>514</v>
      </c>
      <c r="B3657" s="1"/>
      <c r="C3657" s="1" t="s">
        <v>3306</v>
      </c>
      <c r="D3657" s="1" t="s">
        <v>3469</v>
      </c>
      <c r="E3657" s="1"/>
      <c r="F3657">
        <v>0.4</v>
      </c>
      <c r="G3657">
        <v>0.4</v>
      </c>
      <c r="H3657">
        <v>0</v>
      </c>
      <c r="I3657">
        <v>0.3</v>
      </c>
      <c r="J3657">
        <v>39.700000000000003</v>
      </c>
      <c r="K3657" s="2">
        <v>45784</v>
      </c>
    </row>
    <row r="3658" spans="1:11" x14ac:dyDescent="0.25">
      <c r="A3658" s="1" t="s">
        <v>903</v>
      </c>
      <c r="B3658" s="1"/>
      <c r="C3658" s="1" t="s">
        <v>2808</v>
      </c>
      <c r="D3658" s="1" t="s">
        <v>3496</v>
      </c>
      <c r="E3658" s="1"/>
      <c r="F3658">
        <v>0</v>
      </c>
      <c r="G3658">
        <v>0.2</v>
      </c>
      <c r="H3658">
        <v>-10</v>
      </c>
      <c r="I3658">
        <v>0</v>
      </c>
      <c r="J3658">
        <v>46.14</v>
      </c>
      <c r="K3658" s="2">
        <v>45783</v>
      </c>
    </row>
    <row r="3659" spans="1:11" x14ac:dyDescent="0.25">
      <c r="A3659" s="1" t="s">
        <v>903</v>
      </c>
      <c r="B3659" s="1"/>
      <c r="C3659" s="1" t="s">
        <v>3306</v>
      </c>
      <c r="D3659" s="1" t="s">
        <v>3469</v>
      </c>
      <c r="E3659" s="1"/>
      <c r="F3659">
        <v>0.5</v>
      </c>
      <c r="G3659">
        <v>0.6</v>
      </c>
      <c r="H3659">
        <v>-10</v>
      </c>
      <c r="I3659">
        <v>0.3</v>
      </c>
      <c r="J3659">
        <v>45.84</v>
      </c>
      <c r="K3659" s="2">
        <v>45783</v>
      </c>
    </row>
    <row r="3660" spans="1:11" x14ac:dyDescent="0.25">
      <c r="A3660" s="1" t="s">
        <v>903</v>
      </c>
      <c r="B3660" s="1"/>
      <c r="C3660" s="1" t="s">
        <v>3298</v>
      </c>
      <c r="D3660" s="1" t="s">
        <v>3492</v>
      </c>
      <c r="E3660" s="1"/>
      <c r="F3660">
        <v>0.9</v>
      </c>
      <c r="G3660">
        <v>0</v>
      </c>
      <c r="H3660">
        <v>95</v>
      </c>
      <c r="I3660">
        <v>0</v>
      </c>
      <c r="J3660">
        <v>45.76</v>
      </c>
      <c r="K3660" s="2">
        <v>45785</v>
      </c>
    </row>
    <row r="3661" spans="1:11" x14ac:dyDescent="0.25">
      <c r="A3661" s="1" t="s">
        <v>904</v>
      </c>
      <c r="B3661" s="1"/>
      <c r="C3661" s="1" t="s">
        <v>2808</v>
      </c>
      <c r="D3661" s="1" t="s">
        <v>3496</v>
      </c>
      <c r="E3661" s="1"/>
      <c r="F3661">
        <v>0</v>
      </c>
      <c r="G3661">
        <v>0.2</v>
      </c>
      <c r="H3661">
        <v>-10</v>
      </c>
      <c r="I3661">
        <v>0</v>
      </c>
      <c r="J3661">
        <v>43.56</v>
      </c>
      <c r="K3661" s="2">
        <v>45783</v>
      </c>
    </row>
    <row r="3662" spans="1:11" x14ac:dyDescent="0.25">
      <c r="A3662" s="1" t="s">
        <v>904</v>
      </c>
      <c r="B3662" s="1"/>
      <c r="C3662" s="1" t="s">
        <v>3306</v>
      </c>
      <c r="D3662" s="1" t="s">
        <v>3469</v>
      </c>
      <c r="E3662" s="1"/>
      <c r="F3662">
        <v>0.5</v>
      </c>
      <c r="G3662">
        <v>0.4</v>
      </c>
      <c r="H3662">
        <v>5</v>
      </c>
      <c r="I3662">
        <v>0.3</v>
      </c>
      <c r="J3662">
        <v>43.26</v>
      </c>
      <c r="K3662" s="2">
        <v>45783</v>
      </c>
    </row>
    <row r="3663" spans="1:11" x14ac:dyDescent="0.25">
      <c r="A3663" s="1" t="s">
        <v>904</v>
      </c>
      <c r="B3663" s="1"/>
      <c r="C3663" s="1" t="s">
        <v>3298</v>
      </c>
      <c r="D3663" s="1" t="s">
        <v>3492</v>
      </c>
      <c r="E3663" s="1"/>
      <c r="F3663">
        <v>0.9</v>
      </c>
      <c r="G3663">
        <v>0</v>
      </c>
      <c r="H3663">
        <v>95</v>
      </c>
      <c r="I3663">
        <v>0</v>
      </c>
      <c r="J3663">
        <v>45.49</v>
      </c>
      <c r="K3663" s="2">
        <v>45785</v>
      </c>
    </row>
    <row r="3664" spans="1:11" x14ac:dyDescent="0.25">
      <c r="A3664" s="1" t="s">
        <v>905</v>
      </c>
      <c r="B3664" s="1"/>
      <c r="C3664" s="1" t="s">
        <v>2808</v>
      </c>
      <c r="D3664" s="1" t="s">
        <v>3496</v>
      </c>
      <c r="E3664" s="1"/>
      <c r="F3664">
        <v>0</v>
      </c>
      <c r="G3664">
        <v>0.2</v>
      </c>
      <c r="H3664">
        <v>-10</v>
      </c>
      <c r="I3664">
        <v>0</v>
      </c>
      <c r="J3664">
        <v>43.56</v>
      </c>
      <c r="K3664" s="2">
        <v>45783</v>
      </c>
    </row>
    <row r="3665" spans="1:11" x14ac:dyDescent="0.25">
      <c r="A3665" s="1" t="s">
        <v>905</v>
      </c>
      <c r="B3665" s="1"/>
      <c r="C3665" s="1" t="s">
        <v>3306</v>
      </c>
      <c r="D3665" s="1" t="s">
        <v>3469</v>
      </c>
      <c r="E3665" s="1"/>
      <c r="F3665">
        <v>0.5</v>
      </c>
      <c r="G3665">
        <v>0.6</v>
      </c>
      <c r="H3665">
        <v>-5</v>
      </c>
      <c r="I3665">
        <v>0.3</v>
      </c>
      <c r="J3665">
        <v>43.26</v>
      </c>
      <c r="K3665" s="2">
        <v>45783</v>
      </c>
    </row>
    <row r="3666" spans="1:11" x14ac:dyDescent="0.25">
      <c r="A3666" s="1" t="s">
        <v>879</v>
      </c>
      <c r="B3666" s="1"/>
      <c r="C3666" s="1" t="s">
        <v>2808</v>
      </c>
      <c r="D3666" s="1" t="s">
        <v>3496</v>
      </c>
      <c r="E3666" s="1"/>
      <c r="F3666">
        <v>0</v>
      </c>
      <c r="G3666">
        <v>0.7</v>
      </c>
      <c r="H3666">
        <v>-40</v>
      </c>
      <c r="I3666">
        <v>0</v>
      </c>
      <c r="J3666">
        <v>40</v>
      </c>
      <c r="K3666" s="2">
        <v>45779</v>
      </c>
    </row>
    <row r="3667" spans="1:11" x14ac:dyDescent="0.25">
      <c r="A3667" s="1" t="s">
        <v>879</v>
      </c>
      <c r="B3667" s="1"/>
      <c r="C3667" s="1" t="s">
        <v>3306</v>
      </c>
      <c r="D3667" s="1" t="s">
        <v>3469</v>
      </c>
      <c r="E3667" s="1"/>
      <c r="F3667">
        <v>0.4</v>
      </c>
      <c r="G3667">
        <v>1</v>
      </c>
      <c r="H3667">
        <v>-30</v>
      </c>
      <c r="I3667">
        <v>0.3</v>
      </c>
      <c r="J3667">
        <v>39.700000000000003</v>
      </c>
      <c r="K3667" s="2">
        <v>45779</v>
      </c>
    </row>
    <row r="3668" spans="1:11" x14ac:dyDescent="0.25">
      <c r="A3668" s="1" t="s">
        <v>879</v>
      </c>
      <c r="B3668" s="1"/>
      <c r="C3668" s="1" t="s">
        <v>3298</v>
      </c>
      <c r="D3668" s="1" t="s">
        <v>3492</v>
      </c>
      <c r="E3668" s="1"/>
      <c r="F3668">
        <v>0.8</v>
      </c>
      <c r="G3668">
        <v>0</v>
      </c>
      <c r="H3668">
        <v>85</v>
      </c>
      <c r="I3668">
        <v>0</v>
      </c>
      <c r="J3668">
        <v>39.700000000000003</v>
      </c>
      <c r="K3668" s="2">
        <v>45783</v>
      </c>
    </row>
    <row r="3669" spans="1:11" x14ac:dyDescent="0.25">
      <c r="A3669" s="1" t="s">
        <v>880</v>
      </c>
      <c r="B3669" s="1"/>
      <c r="C3669" s="1" t="s">
        <v>2808</v>
      </c>
      <c r="D3669" s="1" t="s">
        <v>3496</v>
      </c>
      <c r="E3669" s="1"/>
      <c r="F3669">
        <v>0</v>
      </c>
      <c r="G3669">
        <v>0.1</v>
      </c>
      <c r="H3669">
        <v>0</v>
      </c>
      <c r="I3669">
        <v>0</v>
      </c>
      <c r="J3669">
        <v>40</v>
      </c>
      <c r="K3669" s="2">
        <v>45784</v>
      </c>
    </row>
    <row r="3670" spans="1:11" x14ac:dyDescent="0.25">
      <c r="A3670" s="1" t="s">
        <v>880</v>
      </c>
      <c r="B3670" s="1"/>
      <c r="C3670" s="1" t="s">
        <v>3306</v>
      </c>
      <c r="D3670" s="1" t="s">
        <v>3469</v>
      </c>
      <c r="E3670" s="1"/>
      <c r="F3670">
        <v>0.4</v>
      </c>
      <c r="G3670">
        <v>0.4</v>
      </c>
      <c r="H3670">
        <v>5</v>
      </c>
      <c r="I3670">
        <v>0.3</v>
      </c>
      <c r="J3670">
        <v>39.700000000000003</v>
      </c>
      <c r="K3670" s="2">
        <v>45784</v>
      </c>
    </row>
    <row r="3671" spans="1:11" x14ac:dyDescent="0.25">
      <c r="A3671" s="1" t="s">
        <v>881</v>
      </c>
      <c r="B3671" s="1"/>
      <c r="C3671" s="1" t="s">
        <v>2808</v>
      </c>
      <c r="D3671" s="1" t="s">
        <v>3496</v>
      </c>
      <c r="E3671" s="1"/>
      <c r="F3671">
        <v>0</v>
      </c>
      <c r="G3671">
        <v>0.1</v>
      </c>
      <c r="H3671">
        <v>-5</v>
      </c>
      <c r="I3671">
        <v>0</v>
      </c>
      <c r="J3671">
        <v>40</v>
      </c>
      <c r="K3671" s="2">
        <v>45784</v>
      </c>
    </row>
    <row r="3672" spans="1:11" x14ac:dyDescent="0.25">
      <c r="A3672" s="1" t="s">
        <v>881</v>
      </c>
      <c r="B3672" s="1"/>
      <c r="C3672" s="1" t="s">
        <v>3306</v>
      </c>
      <c r="D3672" s="1" t="s">
        <v>3469</v>
      </c>
      <c r="E3672" s="1"/>
      <c r="F3672">
        <v>0.4</v>
      </c>
      <c r="G3672">
        <v>0.4</v>
      </c>
      <c r="H3672">
        <v>0</v>
      </c>
      <c r="I3672">
        <v>0.3</v>
      </c>
      <c r="J3672">
        <v>39.700000000000003</v>
      </c>
      <c r="K3672" s="2">
        <v>45784</v>
      </c>
    </row>
    <row r="3673" spans="1:11" x14ac:dyDescent="0.25">
      <c r="A3673" s="1" t="s">
        <v>123</v>
      </c>
      <c r="B3673" s="1"/>
      <c r="C3673" s="1" t="s">
        <v>2808</v>
      </c>
      <c r="D3673" s="1" t="s">
        <v>3496</v>
      </c>
      <c r="E3673" s="1"/>
      <c r="F3673">
        <v>0</v>
      </c>
      <c r="G3673">
        <v>0.2</v>
      </c>
      <c r="H3673">
        <v>-10</v>
      </c>
      <c r="I3673">
        <v>0</v>
      </c>
      <c r="J3673">
        <v>1.8</v>
      </c>
      <c r="K3673" s="2">
        <v>45769</v>
      </c>
    </row>
    <row r="3674" spans="1:11" x14ac:dyDescent="0.25">
      <c r="A3674" s="1" t="s">
        <v>123</v>
      </c>
      <c r="B3674" s="1"/>
      <c r="C3674" s="1" t="s">
        <v>3308</v>
      </c>
      <c r="D3674" s="1" t="s">
        <v>3498</v>
      </c>
      <c r="E3674" s="1"/>
      <c r="F3674">
        <v>0.1</v>
      </c>
      <c r="G3674">
        <v>0.7</v>
      </c>
      <c r="H3674">
        <v>-35</v>
      </c>
      <c r="I3674">
        <v>0.3</v>
      </c>
      <c r="J3674">
        <v>1.5</v>
      </c>
      <c r="K3674" s="2">
        <v>45769</v>
      </c>
    </row>
    <row r="3675" spans="1:11" x14ac:dyDescent="0.25">
      <c r="A3675" s="1" t="s">
        <v>123</v>
      </c>
      <c r="B3675" s="1"/>
      <c r="C3675" s="1" t="s">
        <v>3298</v>
      </c>
      <c r="D3675" s="1" t="s">
        <v>3492</v>
      </c>
      <c r="E3675" s="1"/>
      <c r="F3675">
        <v>0.1</v>
      </c>
      <c r="G3675">
        <v>0.1</v>
      </c>
      <c r="H3675">
        <v>5</v>
      </c>
      <c r="I3675">
        <v>0</v>
      </c>
      <c r="J3675">
        <v>1.5</v>
      </c>
      <c r="K3675" s="2">
        <v>45771</v>
      </c>
    </row>
    <row r="3676" spans="1:11" x14ac:dyDescent="0.25">
      <c r="A3676" s="1" t="s">
        <v>124</v>
      </c>
      <c r="B3676" s="1"/>
      <c r="C3676" s="1" t="s">
        <v>2808</v>
      </c>
      <c r="D3676" s="1" t="s">
        <v>3496</v>
      </c>
      <c r="E3676" s="1"/>
      <c r="F3676">
        <v>0</v>
      </c>
      <c r="G3676">
        <v>0.1</v>
      </c>
      <c r="H3676">
        <v>-5</v>
      </c>
      <c r="I3676">
        <v>0</v>
      </c>
      <c r="J3676">
        <v>2</v>
      </c>
      <c r="K3676" s="2">
        <v>45768</v>
      </c>
    </row>
    <row r="3677" spans="1:11" x14ac:dyDescent="0.25">
      <c r="A3677" s="1" t="s">
        <v>124</v>
      </c>
      <c r="B3677" s="1"/>
      <c r="C3677" s="1" t="s">
        <v>3308</v>
      </c>
      <c r="D3677" s="1" t="s">
        <v>3498</v>
      </c>
      <c r="E3677" s="1"/>
      <c r="F3677">
        <v>0</v>
      </c>
      <c r="G3677">
        <v>0</v>
      </c>
      <c r="H3677">
        <v>5</v>
      </c>
      <c r="I3677">
        <v>0.3</v>
      </c>
      <c r="J3677">
        <v>1.7</v>
      </c>
      <c r="K3677" s="2">
        <v>45769</v>
      </c>
    </row>
    <row r="3678" spans="1:11" x14ac:dyDescent="0.25">
      <c r="A3678" s="1" t="s">
        <v>124</v>
      </c>
      <c r="B3678" s="1"/>
      <c r="C3678" s="1" t="s">
        <v>3298</v>
      </c>
      <c r="D3678" s="1" t="s">
        <v>3492</v>
      </c>
      <c r="E3678" s="1"/>
      <c r="F3678">
        <v>0</v>
      </c>
      <c r="G3678">
        <v>0</v>
      </c>
      <c r="H3678">
        <v>5</v>
      </c>
      <c r="I3678">
        <v>0</v>
      </c>
      <c r="J3678">
        <v>1.7</v>
      </c>
      <c r="K3678" s="2">
        <v>45771</v>
      </c>
    </row>
    <row r="3679" spans="1:11" x14ac:dyDescent="0.25">
      <c r="A3679" s="1" t="s">
        <v>125</v>
      </c>
      <c r="B3679" s="1"/>
      <c r="C3679" s="1" t="s">
        <v>2808</v>
      </c>
      <c r="D3679" s="1" t="s">
        <v>3496</v>
      </c>
      <c r="E3679" s="1"/>
      <c r="F3679">
        <v>0</v>
      </c>
      <c r="G3679">
        <v>0.1</v>
      </c>
      <c r="H3679">
        <v>-5</v>
      </c>
      <c r="I3679">
        <v>0</v>
      </c>
      <c r="J3679">
        <v>2</v>
      </c>
      <c r="K3679" s="2">
        <v>45768</v>
      </c>
    </row>
    <row r="3680" spans="1:11" x14ac:dyDescent="0.25">
      <c r="A3680" s="1" t="s">
        <v>125</v>
      </c>
      <c r="B3680" s="1"/>
      <c r="C3680" s="1" t="s">
        <v>3308</v>
      </c>
      <c r="D3680" s="1" t="s">
        <v>3498</v>
      </c>
      <c r="E3680" s="1"/>
      <c r="F3680">
        <v>0</v>
      </c>
      <c r="G3680">
        <v>0</v>
      </c>
      <c r="H3680">
        <v>5</v>
      </c>
      <c r="I3680">
        <v>0.3</v>
      </c>
      <c r="J3680">
        <v>1.7</v>
      </c>
      <c r="K3680" s="2">
        <v>45769</v>
      </c>
    </row>
    <row r="3681" spans="1:11" x14ac:dyDescent="0.25">
      <c r="A3681" s="1" t="s">
        <v>125</v>
      </c>
      <c r="B3681" s="1"/>
      <c r="C3681" s="1" t="s">
        <v>3298</v>
      </c>
      <c r="D3681" s="1" t="s">
        <v>3492</v>
      </c>
      <c r="E3681" s="1"/>
      <c r="F3681">
        <v>0</v>
      </c>
      <c r="G3681">
        <v>0</v>
      </c>
      <c r="H3681">
        <v>5</v>
      </c>
      <c r="I3681">
        <v>0</v>
      </c>
      <c r="J3681">
        <v>1.7</v>
      </c>
      <c r="K3681" s="2">
        <v>45771</v>
      </c>
    </row>
    <row r="3682" spans="1:11" x14ac:dyDescent="0.25">
      <c r="A3682" s="1" t="s">
        <v>542</v>
      </c>
      <c r="B3682" s="1"/>
      <c r="C3682" s="1" t="s">
        <v>3285</v>
      </c>
      <c r="D3682" s="1" t="s">
        <v>3490</v>
      </c>
      <c r="E3682" s="1"/>
      <c r="F3682">
        <v>0</v>
      </c>
      <c r="G3682">
        <v>16</v>
      </c>
      <c r="H3682">
        <v>0</v>
      </c>
      <c r="I3682">
        <v>0</v>
      </c>
      <c r="J3682">
        <v>24.84</v>
      </c>
      <c r="K3682" s="2">
        <v>45783</v>
      </c>
    </row>
    <row r="3683" spans="1:11" x14ac:dyDescent="0.25">
      <c r="A3683" s="1" t="s">
        <v>542</v>
      </c>
      <c r="B3683" s="1"/>
      <c r="C3683" s="1" t="s">
        <v>3301</v>
      </c>
      <c r="D3683" s="1" t="s">
        <v>3494</v>
      </c>
      <c r="E3683" s="1"/>
      <c r="F3683">
        <v>0</v>
      </c>
      <c r="G3683">
        <v>5.5</v>
      </c>
      <c r="H3683">
        <v>-315</v>
      </c>
      <c r="I3683">
        <v>0.6</v>
      </c>
      <c r="J3683">
        <v>24.24</v>
      </c>
      <c r="K3683" s="2">
        <v>45783</v>
      </c>
    </row>
    <row r="3684" spans="1:11" x14ac:dyDescent="0.25">
      <c r="A3684" s="1" t="s">
        <v>542</v>
      </c>
      <c r="B3684" s="1"/>
      <c r="C3684" s="1" t="s">
        <v>3287</v>
      </c>
      <c r="D3684" s="1" t="s">
        <v>3492</v>
      </c>
      <c r="E3684" s="1"/>
      <c r="F3684">
        <v>0</v>
      </c>
      <c r="G3684">
        <v>0.1</v>
      </c>
      <c r="H3684">
        <v>-5</v>
      </c>
      <c r="I3684">
        <v>0</v>
      </c>
      <c r="J3684">
        <v>23.49</v>
      </c>
      <c r="K3684" s="2">
        <v>45785</v>
      </c>
    </row>
    <row r="3685" spans="1:11" x14ac:dyDescent="0.25">
      <c r="A3685" s="1" t="s">
        <v>756</v>
      </c>
      <c r="B3685" s="1"/>
      <c r="C3685" s="1" t="s">
        <v>3285</v>
      </c>
      <c r="D3685" s="1" t="s">
        <v>3490</v>
      </c>
      <c r="E3685" s="1"/>
      <c r="F3685">
        <v>0</v>
      </c>
      <c r="G3685">
        <v>5.4</v>
      </c>
      <c r="H3685">
        <v>0</v>
      </c>
      <c r="I3685">
        <v>0</v>
      </c>
      <c r="J3685">
        <v>52</v>
      </c>
      <c r="K3685" s="2">
        <v>45775</v>
      </c>
    </row>
    <row r="3686" spans="1:11" x14ac:dyDescent="0.25">
      <c r="A3686" s="1" t="s">
        <v>756</v>
      </c>
      <c r="B3686" s="1"/>
      <c r="C3686" s="1" t="s">
        <v>3309</v>
      </c>
      <c r="D3686" s="1" t="s">
        <v>3491</v>
      </c>
      <c r="E3686" s="1"/>
      <c r="F3686">
        <v>0</v>
      </c>
      <c r="G3686">
        <v>3.3</v>
      </c>
      <c r="H3686">
        <v>-190</v>
      </c>
      <c r="I3686">
        <v>0.3</v>
      </c>
      <c r="J3686">
        <v>51.7</v>
      </c>
      <c r="K3686" s="2">
        <v>45775</v>
      </c>
    </row>
    <row r="3687" spans="1:11" x14ac:dyDescent="0.25">
      <c r="A3687" s="1" t="s">
        <v>298</v>
      </c>
      <c r="B3687" s="1"/>
      <c r="C3687" s="1" t="s">
        <v>2808</v>
      </c>
      <c r="D3687" s="1" t="s">
        <v>3490</v>
      </c>
      <c r="E3687" s="1"/>
      <c r="F3687">
        <v>0</v>
      </c>
      <c r="G3687">
        <v>0.1</v>
      </c>
      <c r="H3687">
        <v>0</v>
      </c>
      <c r="I3687">
        <v>0</v>
      </c>
      <c r="J3687">
        <v>59</v>
      </c>
      <c r="K3687" s="2">
        <v>45733</v>
      </c>
    </row>
    <row r="3688" spans="1:11" x14ac:dyDescent="0.25">
      <c r="A3688" s="1" t="s">
        <v>298</v>
      </c>
      <c r="B3688" s="1"/>
      <c r="C3688" s="1" t="s">
        <v>3310</v>
      </c>
      <c r="D3688" s="1" t="s">
        <v>3494</v>
      </c>
      <c r="E3688" s="1"/>
      <c r="F3688">
        <v>0.9</v>
      </c>
      <c r="G3688">
        <v>0.7</v>
      </c>
      <c r="H3688">
        <v>10</v>
      </c>
      <c r="I3688">
        <v>1</v>
      </c>
      <c r="J3688">
        <v>58</v>
      </c>
      <c r="K3688" s="2">
        <v>45733</v>
      </c>
    </row>
    <row r="3689" spans="1:11" x14ac:dyDescent="0.25">
      <c r="A3689" s="1" t="s">
        <v>490</v>
      </c>
      <c r="B3689" s="1"/>
      <c r="C3689" s="1" t="s">
        <v>2808</v>
      </c>
      <c r="D3689" s="1" t="s">
        <v>3490</v>
      </c>
      <c r="E3689" s="1"/>
      <c r="F3689">
        <v>0</v>
      </c>
      <c r="G3689">
        <v>2.2000000000000002</v>
      </c>
      <c r="H3689">
        <v>0</v>
      </c>
      <c r="I3689">
        <v>0</v>
      </c>
      <c r="J3689">
        <v>59</v>
      </c>
      <c r="K3689" s="2">
        <v>45779</v>
      </c>
    </row>
    <row r="3690" spans="1:11" x14ac:dyDescent="0.25">
      <c r="A3690" s="1" t="s">
        <v>490</v>
      </c>
      <c r="B3690" s="1"/>
      <c r="C3690" s="1" t="s">
        <v>3310</v>
      </c>
      <c r="D3690" s="1" t="s">
        <v>3494</v>
      </c>
      <c r="E3690" s="1"/>
      <c r="F3690">
        <v>0.9</v>
      </c>
      <c r="G3690">
        <v>1.1000000000000001</v>
      </c>
      <c r="H3690">
        <v>-10</v>
      </c>
      <c r="I3690">
        <v>1</v>
      </c>
      <c r="J3690">
        <v>58</v>
      </c>
      <c r="K3690" s="2">
        <v>45779</v>
      </c>
    </row>
    <row r="3691" spans="1:11" x14ac:dyDescent="0.25">
      <c r="A3691" s="1" t="s">
        <v>759</v>
      </c>
      <c r="B3691" s="1"/>
      <c r="C3691" s="1" t="s">
        <v>2808</v>
      </c>
      <c r="D3691" s="1" t="s">
        <v>3490</v>
      </c>
      <c r="E3691" s="1"/>
      <c r="F3691">
        <v>0</v>
      </c>
      <c r="G3691">
        <v>1</v>
      </c>
      <c r="H3691">
        <v>0</v>
      </c>
      <c r="I3691">
        <v>0</v>
      </c>
      <c r="J3691">
        <v>59</v>
      </c>
      <c r="K3691" s="2">
        <v>45785</v>
      </c>
    </row>
    <row r="3692" spans="1:11" x14ac:dyDescent="0.25">
      <c r="A3692" s="1" t="s">
        <v>759</v>
      </c>
      <c r="B3692" s="1"/>
      <c r="C3692" s="1" t="s">
        <v>3310</v>
      </c>
      <c r="D3692" s="1" t="s">
        <v>3494</v>
      </c>
      <c r="E3692" s="1"/>
      <c r="F3692">
        <v>0.9</v>
      </c>
      <c r="G3692">
        <v>0.7</v>
      </c>
      <c r="H3692">
        <v>10</v>
      </c>
      <c r="I3692">
        <v>1</v>
      </c>
      <c r="J3692">
        <v>58</v>
      </c>
      <c r="K3692" s="2">
        <v>45785</v>
      </c>
    </row>
    <row r="3693" spans="1:11" x14ac:dyDescent="0.25">
      <c r="A3693" s="1" t="s">
        <v>760</v>
      </c>
      <c r="B3693" s="1"/>
      <c r="C3693" s="1" t="s">
        <v>2808</v>
      </c>
      <c r="D3693" s="1" t="s">
        <v>3490</v>
      </c>
      <c r="E3693" s="1"/>
      <c r="F3693">
        <v>0</v>
      </c>
      <c r="G3693">
        <v>1</v>
      </c>
      <c r="H3693">
        <v>0</v>
      </c>
      <c r="I3693">
        <v>0</v>
      </c>
      <c r="J3693">
        <v>59</v>
      </c>
      <c r="K3693" s="2">
        <v>45785</v>
      </c>
    </row>
    <row r="3694" spans="1:11" x14ac:dyDescent="0.25">
      <c r="A3694" s="1" t="s">
        <v>760</v>
      </c>
      <c r="B3694" s="1"/>
      <c r="C3694" s="1" t="s">
        <v>3310</v>
      </c>
      <c r="D3694" s="1" t="s">
        <v>3494</v>
      </c>
      <c r="E3694" s="1"/>
      <c r="F3694">
        <v>0.9</v>
      </c>
      <c r="G3694">
        <v>2.6</v>
      </c>
      <c r="H3694">
        <v>-95</v>
      </c>
      <c r="I3694">
        <v>1</v>
      </c>
      <c r="J3694">
        <v>58</v>
      </c>
      <c r="K3694" s="2">
        <v>45785</v>
      </c>
    </row>
    <row r="3695" spans="1:11" x14ac:dyDescent="0.25">
      <c r="A3695" s="1" t="s">
        <v>761</v>
      </c>
      <c r="B3695" s="1"/>
      <c r="C3695" s="1" t="s">
        <v>2808</v>
      </c>
      <c r="D3695" s="1" t="s">
        <v>3490</v>
      </c>
      <c r="E3695" s="1"/>
      <c r="F3695">
        <v>0</v>
      </c>
      <c r="G3695">
        <v>0.9</v>
      </c>
      <c r="H3695">
        <v>0</v>
      </c>
      <c r="I3695">
        <v>0</v>
      </c>
      <c r="J3695">
        <v>59</v>
      </c>
      <c r="K3695" s="2">
        <v>45785</v>
      </c>
    </row>
    <row r="3696" spans="1:11" x14ac:dyDescent="0.25">
      <c r="A3696" s="1" t="s">
        <v>761</v>
      </c>
      <c r="B3696" s="1"/>
      <c r="C3696" s="1" t="s">
        <v>3310</v>
      </c>
      <c r="D3696" s="1" t="s">
        <v>3494</v>
      </c>
      <c r="E3696" s="1"/>
      <c r="F3696">
        <v>0.9</v>
      </c>
      <c r="G3696">
        <v>0</v>
      </c>
      <c r="H3696">
        <v>55</v>
      </c>
      <c r="I3696">
        <v>1</v>
      </c>
      <c r="J3696">
        <v>58</v>
      </c>
      <c r="K3696" s="2">
        <v>45786</v>
      </c>
    </row>
    <row r="3697" spans="1:11" x14ac:dyDescent="0.25">
      <c r="A3697" s="1" t="s">
        <v>373</v>
      </c>
      <c r="B3697" s="1"/>
      <c r="C3697" s="1" t="s">
        <v>2808</v>
      </c>
      <c r="D3697" s="1" t="s">
        <v>3490</v>
      </c>
      <c r="E3697" s="1"/>
      <c r="F3697">
        <v>0</v>
      </c>
      <c r="G3697">
        <v>0.9</v>
      </c>
      <c r="H3697">
        <v>0</v>
      </c>
      <c r="I3697">
        <v>0</v>
      </c>
      <c r="J3697">
        <v>78.48</v>
      </c>
      <c r="K3697" s="2">
        <v>45742</v>
      </c>
    </row>
    <row r="3698" spans="1:11" x14ac:dyDescent="0.25">
      <c r="A3698" s="1" t="s">
        <v>373</v>
      </c>
      <c r="B3698" s="1"/>
      <c r="C3698" s="1" t="s">
        <v>3311</v>
      </c>
      <c r="D3698" s="1" t="s">
        <v>3491</v>
      </c>
      <c r="E3698" s="1"/>
      <c r="F3698">
        <v>1</v>
      </c>
      <c r="G3698">
        <v>2.1</v>
      </c>
      <c r="H3698">
        <v>-60</v>
      </c>
      <c r="I3698">
        <v>0.3</v>
      </c>
      <c r="J3698">
        <v>78.180000000000007</v>
      </c>
      <c r="K3698" s="2">
        <v>45743</v>
      </c>
    </row>
    <row r="3699" spans="1:11" x14ac:dyDescent="0.25">
      <c r="A3699" s="1" t="s">
        <v>549</v>
      </c>
      <c r="B3699" s="1"/>
      <c r="C3699" s="1" t="s">
        <v>2808</v>
      </c>
      <c r="D3699" s="1" t="s">
        <v>3496</v>
      </c>
      <c r="E3699" s="1"/>
      <c r="F3699">
        <v>0</v>
      </c>
      <c r="G3699">
        <v>1</v>
      </c>
      <c r="H3699">
        <v>-55</v>
      </c>
      <c r="I3699">
        <v>0</v>
      </c>
      <c r="J3699">
        <v>60</v>
      </c>
      <c r="K3699" s="2">
        <v>45761</v>
      </c>
    </row>
    <row r="3700" spans="1:11" x14ac:dyDescent="0.25">
      <c r="A3700" s="1" t="s">
        <v>549</v>
      </c>
      <c r="B3700" s="1"/>
      <c r="C3700" s="1" t="s">
        <v>3306</v>
      </c>
      <c r="D3700" s="1" t="s">
        <v>3469</v>
      </c>
      <c r="E3700" s="1"/>
      <c r="F3700">
        <v>0.6</v>
      </c>
      <c r="G3700">
        <v>2.6</v>
      </c>
      <c r="H3700">
        <v>-115</v>
      </c>
      <c r="I3700">
        <v>0.3</v>
      </c>
      <c r="J3700">
        <v>59.7</v>
      </c>
      <c r="K3700" s="2">
        <v>45761</v>
      </c>
    </row>
    <row r="3701" spans="1:11" x14ac:dyDescent="0.25">
      <c r="A3701" s="1" t="s">
        <v>358</v>
      </c>
      <c r="B3701" s="1"/>
      <c r="C3701" s="1" t="s">
        <v>2808</v>
      </c>
      <c r="D3701" s="1" t="s">
        <v>3496</v>
      </c>
      <c r="E3701" s="1"/>
      <c r="F3701">
        <v>0</v>
      </c>
      <c r="G3701">
        <v>1.6</v>
      </c>
      <c r="H3701">
        <v>-90</v>
      </c>
      <c r="I3701">
        <v>0</v>
      </c>
      <c r="J3701">
        <v>5.8940000000000001</v>
      </c>
      <c r="K3701" s="2">
        <v>45747</v>
      </c>
    </row>
    <row r="3702" spans="1:11" x14ac:dyDescent="0.25">
      <c r="A3702" s="1" t="s">
        <v>358</v>
      </c>
      <c r="B3702" s="1"/>
      <c r="C3702" s="1" t="s">
        <v>3306</v>
      </c>
      <c r="D3702" s="1" t="s">
        <v>3469</v>
      </c>
      <c r="E3702" s="1"/>
      <c r="F3702">
        <v>0.1</v>
      </c>
      <c r="G3702">
        <v>1.4</v>
      </c>
      <c r="H3702">
        <v>-75</v>
      </c>
      <c r="I3702">
        <v>0.9</v>
      </c>
      <c r="J3702">
        <v>4.9939999999999998</v>
      </c>
      <c r="K3702" s="2">
        <v>45747</v>
      </c>
    </row>
    <row r="3703" spans="1:11" x14ac:dyDescent="0.25">
      <c r="A3703" s="1" t="s">
        <v>358</v>
      </c>
      <c r="B3703" s="1"/>
      <c r="C3703" s="1" t="s">
        <v>3298</v>
      </c>
      <c r="D3703" s="1" t="s">
        <v>3492</v>
      </c>
      <c r="E3703" s="1"/>
      <c r="F3703">
        <v>0</v>
      </c>
      <c r="G3703">
        <v>0</v>
      </c>
      <c r="H3703">
        <v>0</v>
      </c>
      <c r="I3703">
        <v>4.8040000000000003</v>
      </c>
      <c r="J3703">
        <v>0</v>
      </c>
      <c r="K3703" s="2">
        <v>45750</v>
      </c>
    </row>
    <row r="3704" spans="1:11" x14ac:dyDescent="0.25">
      <c r="A3704" s="1" t="s">
        <v>515</v>
      </c>
      <c r="B3704" s="1"/>
      <c r="C3704" s="1" t="s">
        <v>2808</v>
      </c>
      <c r="D3704" s="1" t="s">
        <v>3496</v>
      </c>
      <c r="E3704" s="1"/>
      <c r="F3704">
        <v>0</v>
      </c>
      <c r="G3704">
        <v>0.5</v>
      </c>
      <c r="H3704">
        <v>-25</v>
      </c>
      <c r="I3704">
        <v>0</v>
      </c>
      <c r="J3704">
        <v>5.7039999999999997</v>
      </c>
      <c r="K3704" s="2">
        <v>45754</v>
      </c>
    </row>
    <row r="3705" spans="1:11" x14ac:dyDescent="0.25">
      <c r="A3705" s="1" t="s">
        <v>515</v>
      </c>
      <c r="B3705" s="1"/>
      <c r="C3705" s="1" t="s">
        <v>3306</v>
      </c>
      <c r="D3705" s="1" t="s">
        <v>3469</v>
      </c>
      <c r="E3705" s="1"/>
      <c r="F3705">
        <v>0.1</v>
      </c>
      <c r="G3705">
        <v>0.6</v>
      </c>
      <c r="H3705">
        <v>-30</v>
      </c>
      <c r="I3705">
        <v>0.3</v>
      </c>
      <c r="J3705">
        <v>5.4039999999999999</v>
      </c>
      <c r="K3705" s="2">
        <v>45754</v>
      </c>
    </row>
    <row r="3706" spans="1:11" x14ac:dyDescent="0.25">
      <c r="A3706" s="1" t="s">
        <v>515</v>
      </c>
      <c r="B3706" s="1"/>
      <c r="C3706" s="1" t="s">
        <v>3298</v>
      </c>
      <c r="D3706" s="1" t="s">
        <v>3492</v>
      </c>
      <c r="E3706" s="1"/>
      <c r="F3706">
        <v>0</v>
      </c>
      <c r="G3706">
        <v>0</v>
      </c>
      <c r="H3706">
        <v>5</v>
      </c>
      <c r="I3706">
        <v>0</v>
      </c>
      <c r="J3706">
        <v>5.4039999999999999</v>
      </c>
      <c r="K3706" s="2">
        <v>45756</v>
      </c>
    </row>
    <row r="3707" spans="1:11" x14ac:dyDescent="0.25">
      <c r="A3707" s="1" t="s">
        <v>556</v>
      </c>
      <c r="B3707" s="1"/>
      <c r="C3707" s="1" t="s">
        <v>2808</v>
      </c>
      <c r="D3707" s="1" t="s">
        <v>3496</v>
      </c>
      <c r="E3707" s="1"/>
      <c r="F3707">
        <v>0</v>
      </c>
      <c r="G3707">
        <v>1.3</v>
      </c>
      <c r="H3707">
        <v>-75</v>
      </c>
      <c r="I3707">
        <v>0</v>
      </c>
      <c r="J3707">
        <v>5</v>
      </c>
      <c r="K3707" s="2">
        <v>45761</v>
      </c>
    </row>
    <row r="3708" spans="1:11" x14ac:dyDescent="0.25">
      <c r="A3708" s="1" t="s">
        <v>556</v>
      </c>
      <c r="B3708" s="1"/>
      <c r="C3708" s="1" t="s">
        <v>3306</v>
      </c>
      <c r="D3708" s="1" t="s">
        <v>3469</v>
      </c>
      <c r="E3708" s="1"/>
      <c r="F3708">
        <v>0</v>
      </c>
      <c r="G3708">
        <v>0</v>
      </c>
      <c r="H3708">
        <v>5</v>
      </c>
      <c r="I3708">
        <v>0.3</v>
      </c>
      <c r="J3708">
        <v>4.7</v>
      </c>
      <c r="K3708" s="2">
        <v>45761</v>
      </c>
    </row>
    <row r="3709" spans="1:11" x14ac:dyDescent="0.25">
      <c r="A3709" s="1" t="s">
        <v>199</v>
      </c>
      <c r="B3709" s="1"/>
      <c r="C3709" s="1" t="s">
        <v>3298</v>
      </c>
      <c r="D3709" s="1" t="s">
        <v>3492</v>
      </c>
      <c r="E3709" s="1"/>
      <c r="F3709">
        <v>0</v>
      </c>
      <c r="G3709">
        <v>0</v>
      </c>
      <c r="H3709">
        <v>5</v>
      </c>
      <c r="I3709">
        <v>5.7</v>
      </c>
      <c r="J3709">
        <v>0</v>
      </c>
      <c r="K3709" s="2">
        <v>45747</v>
      </c>
    </row>
    <row r="3710" spans="1:11" x14ac:dyDescent="0.25">
      <c r="A3710" s="1" t="s">
        <v>613</v>
      </c>
      <c r="B3710" s="1"/>
      <c r="C3710" s="1" t="s">
        <v>2808</v>
      </c>
      <c r="D3710" s="1" t="s">
        <v>3496</v>
      </c>
      <c r="E3710" s="1"/>
      <c r="F3710">
        <v>0</v>
      </c>
      <c r="G3710">
        <v>2.4</v>
      </c>
      <c r="H3710">
        <v>-135</v>
      </c>
      <c r="I3710">
        <v>0</v>
      </c>
      <c r="J3710">
        <v>3.1</v>
      </c>
      <c r="K3710" s="2">
        <v>45771</v>
      </c>
    </row>
    <row r="3711" spans="1:11" x14ac:dyDescent="0.25">
      <c r="A3711" s="1" t="s">
        <v>613</v>
      </c>
      <c r="B3711" s="1"/>
      <c r="C3711" s="1" t="s">
        <v>3306</v>
      </c>
      <c r="D3711" s="1" t="s">
        <v>3469</v>
      </c>
      <c r="E3711" s="1"/>
      <c r="F3711">
        <v>0</v>
      </c>
      <c r="G3711">
        <v>0.2</v>
      </c>
      <c r="H3711">
        <v>-5</v>
      </c>
      <c r="I3711">
        <v>0.3</v>
      </c>
      <c r="J3711">
        <v>2.69</v>
      </c>
      <c r="K3711" s="2">
        <v>45771</v>
      </c>
    </row>
    <row r="3712" spans="1:11" x14ac:dyDescent="0.25">
      <c r="A3712" s="1" t="s">
        <v>613</v>
      </c>
      <c r="B3712" s="1"/>
      <c r="C3712" s="1" t="s">
        <v>3298</v>
      </c>
      <c r="D3712" s="1" t="s">
        <v>3492</v>
      </c>
      <c r="E3712" s="1"/>
      <c r="F3712">
        <v>0</v>
      </c>
      <c r="G3712">
        <v>0</v>
      </c>
      <c r="H3712">
        <v>5</v>
      </c>
      <c r="I3712">
        <v>0</v>
      </c>
      <c r="J3712">
        <v>2.8</v>
      </c>
      <c r="K3712" s="2">
        <v>45777</v>
      </c>
    </row>
    <row r="3713" spans="1:11" x14ac:dyDescent="0.25">
      <c r="A3713" s="1" t="s">
        <v>911</v>
      </c>
      <c r="B3713" s="1"/>
      <c r="C3713" s="1" t="s">
        <v>2808</v>
      </c>
      <c r="D3713" s="1" t="s">
        <v>3496</v>
      </c>
      <c r="E3713" s="1"/>
      <c r="F3713">
        <v>0</v>
      </c>
      <c r="G3713">
        <v>0</v>
      </c>
      <c r="H3713">
        <v>0</v>
      </c>
      <c r="I3713">
        <v>0</v>
      </c>
      <c r="J3713">
        <v>3</v>
      </c>
      <c r="K3713" s="2">
        <v>45789</v>
      </c>
    </row>
    <row r="3714" spans="1:11" x14ac:dyDescent="0.25">
      <c r="A3714" s="1" t="s">
        <v>911</v>
      </c>
      <c r="B3714" s="1"/>
      <c r="C3714" s="1" t="s">
        <v>3306</v>
      </c>
      <c r="D3714" s="1" t="s">
        <v>3469</v>
      </c>
      <c r="E3714" s="1"/>
      <c r="F3714">
        <v>0</v>
      </c>
      <c r="G3714">
        <v>0</v>
      </c>
      <c r="H3714">
        <v>5</v>
      </c>
      <c r="I3714">
        <v>0.3</v>
      </c>
      <c r="J3714">
        <v>2.7</v>
      </c>
      <c r="K3714" s="2">
        <v>45789</v>
      </c>
    </row>
    <row r="3715" spans="1:11" x14ac:dyDescent="0.25">
      <c r="A3715" s="1" t="s">
        <v>395</v>
      </c>
      <c r="B3715" s="1"/>
      <c r="C3715" s="1" t="s">
        <v>2808</v>
      </c>
      <c r="D3715" s="1" t="s">
        <v>3496</v>
      </c>
      <c r="E3715" s="1"/>
      <c r="F3715">
        <v>0</v>
      </c>
      <c r="G3715">
        <v>6.3</v>
      </c>
      <c r="H3715">
        <v>-360</v>
      </c>
      <c r="I3715">
        <v>0</v>
      </c>
      <c r="J3715">
        <v>38.54</v>
      </c>
      <c r="K3715" s="2">
        <v>45740</v>
      </c>
    </row>
    <row r="3716" spans="1:11" x14ac:dyDescent="0.25">
      <c r="A3716" s="1" t="s">
        <v>395</v>
      </c>
      <c r="B3716" s="1"/>
      <c r="C3716" s="1" t="s">
        <v>3306</v>
      </c>
      <c r="D3716" s="1" t="s">
        <v>3469</v>
      </c>
      <c r="E3716" s="1"/>
      <c r="F3716">
        <v>0.4</v>
      </c>
      <c r="G3716">
        <v>0</v>
      </c>
      <c r="H3716">
        <v>25</v>
      </c>
      <c r="I3716">
        <v>0.6</v>
      </c>
      <c r="J3716">
        <v>37.94</v>
      </c>
      <c r="K3716" s="2">
        <v>45740</v>
      </c>
    </row>
    <row r="3717" spans="1:11" x14ac:dyDescent="0.25">
      <c r="A3717" s="1" t="s">
        <v>395</v>
      </c>
      <c r="B3717" s="1"/>
      <c r="C3717" s="1" t="s">
        <v>3298</v>
      </c>
      <c r="D3717" s="1" t="s">
        <v>3492</v>
      </c>
      <c r="E3717" s="1"/>
      <c r="F3717">
        <v>0.2</v>
      </c>
      <c r="G3717">
        <v>0</v>
      </c>
      <c r="H3717">
        <v>20</v>
      </c>
      <c r="I3717">
        <v>0</v>
      </c>
      <c r="J3717">
        <v>37.4</v>
      </c>
      <c r="K3717" s="2">
        <v>45743</v>
      </c>
    </row>
    <row r="3718" spans="1:11" x14ac:dyDescent="0.25">
      <c r="A3718" s="1" t="s">
        <v>173</v>
      </c>
      <c r="B3718" s="1"/>
      <c r="C3718" s="1" t="s">
        <v>3312</v>
      </c>
      <c r="D3718" s="1" t="s">
        <v>3372</v>
      </c>
      <c r="E3718" s="1"/>
      <c r="F3718">
        <v>1</v>
      </c>
      <c r="G3718">
        <v>0</v>
      </c>
      <c r="H3718">
        <v>55</v>
      </c>
      <c r="I3718">
        <v>0</v>
      </c>
      <c r="J3718">
        <v>25</v>
      </c>
      <c r="K3718" s="2">
        <v>45782</v>
      </c>
    </row>
    <row r="3719" spans="1:11" x14ac:dyDescent="0.25">
      <c r="A3719" s="1" t="s">
        <v>173</v>
      </c>
      <c r="B3719" s="1"/>
      <c r="C3719" s="1" t="s">
        <v>3313</v>
      </c>
      <c r="D3719" s="1" t="s">
        <v>3389</v>
      </c>
      <c r="E3719" s="1"/>
      <c r="F3719">
        <v>0</v>
      </c>
      <c r="G3719">
        <v>0</v>
      </c>
      <c r="H3719">
        <v>-350</v>
      </c>
      <c r="I3719">
        <v>0</v>
      </c>
      <c r="J3719">
        <v>25</v>
      </c>
      <c r="K3719" s="2">
        <v>45779</v>
      </c>
    </row>
    <row r="3720" spans="1:11" x14ac:dyDescent="0.25">
      <c r="A3720" s="1" t="s">
        <v>173</v>
      </c>
      <c r="B3720" s="1"/>
      <c r="C3720" s="1" t="s">
        <v>3314</v>
      </c>
      <c r="D3720" s="1" t="s">
        <v>3372</v>
      </c>
      <c r="E3720" s="1"/>
      <c r="F3720">
        <v>1</v>
      </c>
      <c r="G3720">
        <v>0</v>
      </c>
      <c r="H3720">
        <v>55</v>
      </c>
      <c r="I3720">
        <v>0</v>
      </c>
      <c r="J3720">
        <v>25</v>
      </c>
      <c r="K3720" s="2">
        <v>45779</v>
      </c>
    </row>
    <row r="3721" spans="1:11" x14ac:dyDescent="0.25">
      <c r="A3721" s="1" t="s">
        <v>173</v>
      </c>
      <c r="B3721" s="1"/>
      <c r="C3721" s="1" t="s">
        <v>2817</v>
      </c>
      <c r="D3721" s="1" t="s">
        <v>3377</v>
      </c>
      <c r="E3721" s="1"/>
      <c r="F3721">
        <v>1.9</v>
      </c>
      <c r="G3721">
        <v>0</v>
      </c>
      <c r="H3721">
        <v>95</v>
      </c>
      <c r="I3721">
        <v>0</v>
      </c>
      <c r="J3721">
        <v>25</v>
      </c>
      <c r="K3721" s="2">
        <v>45782</v>
      </c>
    </row>
    <row r="3722" spans="1:11" x14ac:dyDescent="0.25">
      <c r="A3722" s="1" t="s">
        <v>177</v>
      </c>
      <c r="B3722" s="1"/>
      <c r="C3722" s="1" t="s">
        <v>3312</v>
      </c>
      <c r="D3722" s="1" t="s">
        <v>3372</v>
      </c>
      <c r="E3722" s="1"/>
      <c r="F3722">
        <v>1</v>
      </c>
      <c r="G3722">
        <v>0</v>
      </c>
      <c r="H3722">
        <v>55</v>
      </c>
      <c r="I3722">
        <v>0</v>
      </c>
      <c r="J3722">
        <v>25</v>
      </c>
      <c r="K3722" s="2">
        <v>45782</v>
      </c>
    </row>
    <row r="3723" spans="1:11" x14ac:dyDescent="0.25">
      <c r="A3723" s="1" t="s">
        <v>793</v>
      </c>
      <c r="B3723" s="1"/>
      <c r="C3723" s="1" t="s">
        <v>3211</v>
      </c>
      <c r="D3723" s="1" t="s">
        <v>3370</v>
      </c>
      <c r="E3723" s="1"/>
      <c r="F3723">
        <v>0</v>
      </c>
      <c r="G3723">
        <v>0</v>
      </c>
      <c r="H3723">
        <v>0</v>
      </c>
      <c r="I3723">
        <v>0</v>
      </c>
      <c r="J3723">
        <v>200</v>
      </c>
      <c r="K3723" s="2">
        <v>45777</v>
      </c>
    </row>
    <row r="3724" spans="1:11" x14ac:dyDescent="0.25">
      <c r="A3724" s="1" t="s">
        <v>619</v>
      </c>
      <c r="B3724" s="1"/>
      <c r="C3724" s="1" t="s">
        <v>2808</v>
      </c>
      <c r="D3724" s="1" t="s">
        <v>3370</v>
      </c>
      <c r="E3724" s="1"/>
      <c r="F3724">
        <v>0</v>
      </c>
      <c r="G3724">
        <v>0</v>
      </c>
      <c r="H3724">
        <v>0</v>
      </c>
      <c r="I3724">
        <v>0</v>
      </c>
      <c r="J3724">
        <v>1</v>
      </c>
      <c r="K3724" s="2">
        <v>45772</v>
      </c>
    </row>
    <row r="3725" spans="1:11" x14ac:dyDescent="0.25">
      <c r="A3725" s="1" t="s">
        <v>619</v>
      </c>
      <c r="B3725" s="1"/>
      <c r="C3725" s="1" t="s">
        <v>3134</v>
      </c>
      <c r="D3725" s="1" t="s">
        <v>3478</v>
      </c>
      <c r="E3725" s="1"/>
      <c r="F3725">
        <v>0</v>
      </c>
      <c r="G3725">
        <v>0</v>
      </c>
      <c r="H3725">
        <v>5</v>
      </c>
      <c r="I3725">
        <v>0</v>
      </c>
      <c r="J3725">
        <v>1</v>
      </c>
      <c r="K3725" s="2">
        <v>45763</v>
      </c>
    </row>
    <row r="3726" spans="1:11" x14ac:dyDescent="0.25">
      <c r="A3726" s="1" t="s">
        <v>619</v>
      </c>
      <c r="B3726" s="1"/>
      <c r="C3726" s="1" t="s">
        <v>3268</v>
      </c>
      <c r="D3726" s="1" t="s">
        <v>3438</v>
      </c>
      <c r="E3726" s="1"/>
      <c r="F3726">
        <v>0.5</v>
      </c>
      <c r="G3726">
        <v>0.7</v>
      </c>
      <c r="H3726">
        <v>-10</v>
      </c>
      <c r="I3726">
        <v>0</v>
      </c>
      <c r="J3726">
        <v>1</v>
      </c>
      <c r="K3726" s="2">
        <v>45763</v>
      </c>
    </row>
    <row r="3727" spans="1:11" x14ac:dyDescent="0.25">
      <c r="A3727" s="1" t="s">
        <v>619</v>
      </c>
      <c r="B3727" s="1"/>
      <c r="C3727" s="1" t="s">
        <v>3019</v>
      </c>
      <c r="D3727" s="1" t="s">
        <v>3437</v>
      </c>
      <c r="E3727" s="1"/>
      <c r="F3727">
        <v>0.8</v>
      </c>
      <c r="G3727">
        <v>0.6</v>
      </c>
      <c r="H3727">
        <v>10</v>
      </c>
      <c r="I3727">
        <v>0</v>
      </c>
      <c r="J3727">
        <v>1</v>
      </c>
      <c r="K3727" s="2">
        <v>45770</v>
      </c>
    </row>
    <row r="3728" spans="1:11" x14ac:dyDescent="0.25">
      <c r="A3728" s="1" t="s">
        <v>619</v>
      </c>
      <c r="B3728" s="1"/>
      <c r="C3728" s="1" t="s">
        <v>3268</v>
      </c>
      <c r="D3728" s="1" t="s">
        <v>3438</v>
      </c>
      <c r="E3728" s="1"/>
      <c r="F3728">
        <v>0.3</v>
      </c>
      <c r="G3728">
        <v>0.3</v>
      </c>
      <c r="H3728">
        <v>5</v>
      </c>
      <c r="I3728">
        <v>0</v>
      </c>
      <c r="J3728">
        <v>1</v>
      </c>
      <c r="K3728" s="2">
        <v>45770</v>
      </c>
    </row>
    <row r="3729" spans="1:11" x14ac:dyDescent="0.25">
      <c r="A3729" s="1" t="s">
        <v>619</v>
      </c>
      <c r="B3729" s="1"/>
      <c r="C3729" s="1" t="s">
        <v>3315</v>
      </c>
      <c r="D3729" s="1" t="s">
        <v>3438</v>
      </c>
      <c r="E3729" s="1"/>
      <c r="F3729">
        <v>0.3</v>
      </c>
      <c r="G3729">
        <v>1</v>
      </c>
      <c r="H3729">
        <v>-40</v>
      </c>
      <c r="I3729">
        <v>0</v>
      </c>
      <c r="J3729">
        <v>1</v>
      </c>
      <c r="K3729" s="2">
        <v>45771</v>
      </c>
    </row>
    <row r="3730" spans="1:11" x14ac:dyDescent="0.25">
      <c r="A3730" s="1" t="s">
        <v>619</v>
      </c>
      <c r="B3730" s="1"/>
      <c r="C3730" s="1" t="s">
        <v>3004</v>
      </c>
      <c r="D3730" s="1" t="s">
        <v>3438</v>
      </c>
      <c r="E3730" s="1"/>
      <c r="F3730">
        <v>1.7</v>
      </c>
      <c r="G3730">
        <v>0.5</v>
      </c>
      <c r="H3730">
        <v>75</v>
      </c>
      <c r="I3730">
        <v>0</v>
      </c>
      <c r="J3730">
        <v>1</v>
      </c>
      <c r="K3730" s="2">
        <v>45771</v>
      </c>
    </row>
    <row r="3731" spans="1:11" x14ac:dyDescent="0.25">
      <c r="A3731" s="1" t="s">
        <v>619</v>
      </c>
      <c r="B3731" s="1"/>
      <c r="C3731" s="1" t="s">
        <v>3316</v>
      </c>
      <c r="D3731" s="1" t="s">
        <v>3480</v>
      </c>
      <c r="E3731" s="1"/>
      <c r="F3731">
        <v>0.5</v>
      </c>
      <c r="G3731">
        <v>0</v>
      </c>
      <c r="H3731">
        <v>35</v>
      </c>
      <c r="I3731">
        <v>0</v>
      </c>
      <c r="J3731">
        <v>1</v>
      </c>
      <c r="K3731" s="2">
        <v>45775</v>
      </c>
    </row>
    <row r="3732" spans="1:11" x14ac:dyDescent="0.25">
      <c r="A3732" s="1" t="s">
        <v>619</v>
      </c>
      <c r="B3732" s="1"/>
      <c r="C3732" s="1" t="s">
        <v>2924</v>
      </c>
      <c r="D3732" s="1" t="s">
        <v>3444</v>
      </c>
      <c r="E3732" s="1"/>
      <c r="F3732">
        <v>0</v>
      </c>
      <c r="G3732">
        <v>0.3</v>
      </c>
      <c r="H3732">
        <v>-20</v>
      </c>
      <c r="I3732">
        <v>0</v>
      </c>
      <c r="J3732">
        <v>1</v>
      </c>
      <c r="K3732" s="2">
        <v>45775</v>
      </c>
    </row>
    <row r="3733" spans="1:11" x14ac:dyDescent="0.25">
      <c r="A3733" s="1" t="s">
        <v>619</v>
      </c>
      <c r="B3733" s="1"/>
      <c r="C3733" s="1" t="s">
        <v>3317</v>
      </c>
      <c r="D3733" s="1" t="s">
        <v>3451</v>
      </c>
      <c r="E3733" s="1"/>
      <c r="F3733">
        <v>0.5</v>
      </c>
      <c r="G3733">
        <v>0</v>
      </c>
      <c r="H3733">
        <v>30</v>
      </c>
      <c r="I3733">
        <v>0</v>
      </c>
      <c r="J3733">
        <v>1</v>
      </c>
      <c r="K3733" s="2">
        <v>45775</v>
      </c>
    </row>
    <row r="3734" spans="1:11" x14ac:dyDescent="0.25">
      <c r="A3734" s="1" t="s">
        <v>620</v>
      </c>
      <c r="B3734" s="1"/>
      <c r="C3734" s="1" t="s">
        <v>2808</v>
      </c>
      <c r="D3734" s="1" t="s">
        <v>3370</v>
      </c>
      <c r="E3734" s="1"/>
      <c r="F3734">
        <v>0</v>
      </c>
      <c r="G3734">
        <v>0</v>
      </c>
      <c r="H3734">
        <v>0</v>
      </c>
      <c r="I3734">
        <v>0</v>
      </c>
      <c r="J3734">
        <v>1</v>
      </c>
      <c r="K3734" s="2">
        <v>45772</v>
      </c>
    </row>
    <row r="3735" spans="1:11" x14ac:dyDescent="0.25">
      <c r="A3735" s="1" t="s">
        <v>620</v>
      </c>
      <c r="B3735" s="1"/>
      <c r="C3735" s="1" t="s">
        <v>3134</v>
      </c>
      <c r="D3735" s="1" t="s">
        <v>3478</v>
      </c>
      <c r="E3735" s="1"/>
      <c r="F3735">
        <v>0</v>
      </c>
      <c r="G3735">
        <v>0</v>
      </c>
      <c r="H3735">
        <v>5</v>
      </c>
      <c r="I3735">
        <v>0</v>
      </c>
      <c r="J3735">
        <v>1</v>
      </c>
      <c r="K3735" s="2">
        <v>45763</v>
      </c>
    </row>
    <row r="3736" spans="1:11" x14ac:dyDescent="0.25">
      <c r="A3736" s="1" t="s">
        <v>620</v>
      </c>
      <c r="B3736" s="1"/>
      <c r="C3736" s="1" t="s">
        <v>3268</v>
      </c>
      <c r="D3736" s="1" t="s">
        <v>3438</v>
      </c>
      <c r="E3736" s="1"/>
      <c r="F3736">
        <v>0.5</v>
      </c>
      <c r="G3736">
        <v>0.7</v>
      </c>
      <c r="H3736">
        <v>-10</v>
      </c>
      <c r="I3736">
        <v>0</v>
      </c>
      <c r="J3736">
        <v>1</v>
      </c>
      <c r="K3736" s="2">
        <v>45763</v>
      </c>
    </row>
    <row r="3737" spans="1:11" x14ac:dyDescent="0.25">
      <c r="A3737" s="1" t="s">
        <v>620</v>
      </c>
      <c r="B3737" s="1"/>
      <c r="C3737" s="1" t="s">
        <v>3019</v>
      </c>
      <c r="D3737" s="1" t="s">
        <v>3437</v>
      </c>
      <c r="E3737" s="1"/>
      <c r="F3737">
        <v>0.8</v>
      </c>
      <c r="G3737">
        <v>0.6</v>
      </c>
      <c r="H3737">
        <v>10</v>
      </c>
      <c r="I3737">
        <v>0</v>
      </c>
      <c r="J3737">
        <v>1</v>
      </c>
      <c r="K3737" s="2">
        <v>45770</v>
      </c>
    </row>
    <row r="3738" spans="1:11" x14ac:dyDescent="0.25">
      <c r="A3738" s="1" t="s">
        <v>620</v>
      </c>
      <c r="B3738" s="1"/>
      <c r="C3738" s="1" t="s">
        <v>3268</v>
      </c>
      <c r="D3738" s="1" t="s">
        <v>3438</v>
      </c>
      <c r="E3738" s="1"/>
      <c r="F3738">
        <v>0.3</v>
      </c>
      <c r="G3738">
        <v>0.3</v>
      </c>
      <c r="H3738">
        <v>5</v>
      </c>
      <c r="I3738">
        <v>0</v>
      </c>
      <c r="J3738">
        <v>1</v>
      </c>
      <c r="K3738" s="2">
        <v>45770</v>
      </c>
    </row>
    <row r="3739" spans="1:11" x14ac:dyDescent="0.25">
      <c r="A3739" s="1" t="s">
        <v>620</v>
      </c>
      <c r="B3739" s="1"/>
      <c r="C3739" s="1" t="s">
        <v>3315</v>
      </c>
      <c r="D3739" s="1" t="s">
        <v>3438</v>
      </c>
      <c r="E3739" s="1"/>
      <c r="F3739">
        <v>0.3</v>
      </c>
      <c r="G3739">
        <v>1</v>
      </c>
      <c r="H3739">
        <v>-40</v>
      </c>
      <c r="I3739">
        <v>0</v>
      </c>
      <c r="J3739">
        <v>1</v>
      </c>
      <c r="K3739" s="2">
        <v>45771</v>
      </c>
    </row>
    <row r="3740" spans="1:11" x14ac:dyDescent="0.25">
      <c r="A3740" s="1" t="s">
        <v>620</v>
      </c>
      <c r="B3740" s="1"/>
      <c r="C3740" s="1" t="s">
        <v>3004</v>
      </c>
      <c r="D3740" s="1" t="s">
        <v>3438</v>
      </c>
      <c r="E3740" s="1"/>
      <c r="F3740">
        <v>1.7</v>
      </c>
      <c r="G3740">
        <v>0.4</v>
      </c>
      <c r="H3740">
        <v>80</v>
      </c>
      <c r="I3740">
        <v>0</v>
      </c>
      <c r="J3740">
        <v>1</v>
      </c>
      <c r="K3740" s="2">
        <v>45771</v>
      </c>
    </row>
    <row r="3741" spans="1:11" x14ac:dyDescent="0.25">
      <c r="A3741" s="1" t="s">
        <v>620</v>
      </c>
      <c r="B3741" s="1"/>
      <c r="C3741" s="1" t="s">
        <v>3316</v>
      </c>
      <c r="D3741" s="1" t="s">
        <v>3480</v>
      </c>
      <c r="E3741" s="1"/>
      <c r="F3741">
        <v>0.5</v>
      </c>
      <c r="G3741">
        <v>0</v>
      </c>
      <c r="H3741">
        <v>35</v>
      </c>
      <c r="I3741">
        <v>0</v>
      </c>
      <c r="J3741">
        <v>1</v>
      </c>
      <c r="K3741" s="2">
        <v>45775</v>
      </c>
    </row>
    <row r="3742" spans="1:11" x14ac:dyDescent="0.25">
      <c r="A3742" s="1" t="s">
        <v>620</v>
      </c>
      <c r="B3742" s="1"/>
      <c r="C3742" s="1" t="s">
        <v>2924</v>
      </c>
      <c r="D3742" s="1" t="s">
        <v>3444</v>
      </c>
      <c r="E3742" s="1"/>
      <c r="F3742">
        <v>0</v>
      </c>
      <c r="G3742">
        <v>0.3</v>
      </c>
      <c r="H3742">
        <v>-20</v>
      </c>
      <c r="I3742">
        <v>0</v>
      </c>
      <c r="J3742">
        <v>1</v>
      </c>
      <c r="K3742" s="2">
        <v>45775</v>
      </c>
    </row>
    <row r="3743" spans="1:11" x14ac:dyDescent="0.25">
      <c r="A3743" s="1" t="s">
        <v>620</v>
      </c>
      <c r="B3743" s="1"/>
      <c r="C3743" s="1" t="s">
        <v>3317</v>
      </c>
      <c r="D3743" s="1" t="s">
        <v>3451</v>
      </c>
      <c r="E3743" s="1"/>
      <c r="F3743">
        <v>0.5</v>
      </c>
      <c r="G3743">
        <v>0</v>
      </c>
      <c r="H3743">
        <v>30</v>
      </c>
      <c r="I3743">
        <v>0</v>
      </c>
      <c r="J3743">
        <v>1</v>
      </c>
      <c r="K3743" s="2">
        <v>45775</v>
      </c>
    </row>
    <row r="3744" spans="1:11" x14ac:dyDescent="0.25">
      <c r="A3744" s="1" t="s">
        <v>621</v>
      </c>
      <c r="B3744" s="1"/>
      <c r="C3744" s="1" t="s">
        <v>2808</v>
      </c>
      <c r="D3744" s="1" t="s">
        <v>3370</v>
      </c>
      <c r="E3744" s="1"/>
      <c r="F3744">
        <v>0</v>
      </c>
      <c r="G3744">
        <v>0</v>
      </c>
      <c r="H3744">
        <v>0</v>
      </c>
      <c r="I3744">
        <v>0</v>
      </c>
      <c r="J3744">
        <v>1</v>
      </c>
      <c r="K3744" s="2">
        <v>45774</v>
      </c>
    </row>
    <row r="3745" spans="1:11" x14ac:dyDescent="0.25">
      <c r="A3745" s="1" t="s">
        <v>621</v>
      </c>
      <c r="B3745" s="1"/>
      <c r="C3745" s="1" t="s">
        <v>3134</v>
      </c>
      <c r="D3745" s="1" t="s">
        <v>3478</v>
      </c>
      <c r="E3745" s="1"/>
      <c r="F3745">
        <v>0</v>
      </c>
      <c r="G3745">
        <v>0</v>
      </c>
      <c r="H3745">
        <v>5</v>
      </c>
      <c r="I3745">
        <v>0</v>
      </c>
      <c r="J3745">
        <v>1</v>
      </c>
      <c r="K3745" s="2">
        <v>45771</v>
      </c>
    </row>
    <row r="3746" spans="1:11" x14ac:dyDescent="0.25">
      <c r="A3746" s="1" t="s">
        <v>621</v>
      </c>
      <c r="B3746" s="1"/>
      <c r="C3746" s="1" t="s">
        <v>3268</v>
      </c>
      <c r="D3746" s="1" t="s">
        <v>3438</v>
      </c>
      <c r="E3746" s="1"/>
      <c r="F3746">
        <v>0.5</v>
      </c>
      <c r="G3746">
        <v>0</v>
      </c>
      <c r="H3746">
        <v>35</v>
      </c>
      <c r="I3746">
        <v>0</v>
      </c>
      <c r="J3746">
        <v>1</v>
      </c>
      <c r="K3746" s="2">
        <v>45771</v>
      </c>
    </row>
    <row r="3747" spans="1:11" x14ac:dyDescent="0.25">
      <c r="A3747" s="1" t="s">
        <v>621</v>
      </c>
      <c r="B3747" s="1"/>
      <c r="C3747" s="1" t="s">
        <v>3019</v>
      </c>
      <c r="D3747" s="1" t="s">
        <v>3437</v>
      </c>
      <c r="E3747" s="1"/>
      <c r="F3747">
        <v>0.8</v>
      </c>
      <c r="G3747">
        <v>0.1</v>
      </c>
      <c r="H3747">
        <v>45</v>
      </c>
      <c r="I3747">
        <v>0</v>
      </c>
      <c r="J3747">
        <v>1</v>
      </c>
      <c r="K3747" s="2">
        <v>45775</v>
      </c>
    </row>
    <row r="3748" spans="1:11" x14ac:dyDescent="0.25">
      <c r="A3748" s="1" t="s">
        <v>621</v>
      </c>
      <c r="B3748" s="1"/>
      <c r="C3748" s="1" t="s">
        <v>3268</v>
      </c>
      <c r="D3748" s="1" t="s">
        <v>3438</v>
      </c>
      <c r="E3748" s="1"/>
      <c r="F3748">
        <v>0.3</v>
      </c>
      <c r="G3748">
        <v>0.2</v>
      </c>
      <c r="H3748">
        <v>5</v>
      </c>
      <c r="I3748">
        <v>0</v>
      </c>
      <c r="J3748">
        <v>1</v>
      </c>
      <c r="K3748" s="2">
        <v>45771</v>
      </c>
    </row>
    <row r="3749" spans="1:11" x14ac:dyDescent="0.25">
      <c r="A3749" s="1" t="s">
        <v>621</v>
      </c>
      <c r="B3749" s="1"/>
      <c r="C3749" s="1" t="s">
        <v>3315</v>
      </c>
      <c r="D3749" s="1" t="s">
        <v>3438</v>
      </c>
      <c r="E3749" s="1"/>
      <c r="F3749">
        <v>0.3</v>
      </c>
      <c r="G3749">
        <v>0.8</v>
      </c>
      <c r="H3749">
        <v>-25</v>
      </c>
      <c r="I3749">
        <v>0</v>
      </c>
      <c r="J3749">
        <v>1</v>
      </c>
      <c r="K3749" s="2">
        <v>45772</v>
      </c>
    </row>
    <row r="3750" spans="1:11" x14ac:dyDescent="0.25">
      <c r="A3750" s="1" t="s">
        <v>621</v>
      </c>
      <c r="B3750" s="1"/>
      <c r="C3750" s="1" t="s">
        <v>3004</v>
      </c>
      <c r="D3750" s="1" t="s">
        <v>3438</v>
      </c>
      <c r="E3750" s="1"/>
      <c r="F3750">
        <v>1.7</v>
      </c>
      <c r="G3750">
        <v>1.1000000000000001</v>
      </c>
      <c r="H3750">
        <v>40</v>
      </c>
      <c r="I3750">
        <v>0</v>
      </c>
      <c r="J3750">
        <v>1</v>
      </c>
      <c r="K3750" s="2">
        <v>45773</v>
      </c>
    </row>
    <row r="3751" spans="1:11" x14ac:dyDescent="0.25">
      <c r="A3751" s="1" t="s">
        <v>621</v>
      </c>
      <c r="B3751" s="1"/>
      <c r="C3751" s="1" t="s">
        <v>3316</v>
      </c>
      <c r="D3751" s="1" t="s">
        <v>3480</v>
      </c>
      <c r="E3751" s="1"/>
      <c r="F3751">
        <v>0.5</v>
      </c>
      <c r="G3751">
        <v>0.8</v>
      </c>
      <c r="H3751">
        <v>-20</v>
      </c>
      <c r="I3751">
        <v>0</v>
      </c>
      <c r="J3751">
        <v>1</v>
      </c>
      <c r="K3751" s="2">
        <v>45775</v>
      </c>
    </row>
    <row r="3752" spans="1:11" x14ac:dyDescent="0.25">
      <c r="A3752" s="1" t="s">
        <v>621</v>
      </c>
      <c r="B3752" s="1"/>
      <c r="C3752" s="1" t="s">
        <v>2924</v>
      </c>
      <c r="D3752" s="1" t="s">
        <v>3444</v>
      </c>
      <c r="E3752" s="1"/>
      <c r="F3752">
        <v>0</v>
      </c>
      <c r="G3752">
        <v>0.3</v>
      </c>
      <c r="H3752">
        <v>-15</v>
      </c>
      <c r="I3752">
        <v>0</v>
      </c>
      <c r="J3752">
        <v>1</v>
      </c>
      <c r="K3752" s="2">
        <v>45775</v>
      </c>
    </row>
    <row r="3753" spans="1:11" x14ac:dyDescent="0.25">
      <c r="A3753" s="1" t="s">
        <v>621</v>
      </c>
      <c r="B3753" s="1"/>
      <c r="C3753" s="1" t="s">
        <v>3317</v>
      </c>
      <c r="D3753" s="1" t="s">
        <v>3451</v>
      </c>
      <c r="E3753" s="1"/>
      <c r="F3753">
        <v>0.5</v>
      </c>
      <c r="G3753">
        <v>0</v>
      </c>
      <c r="H3753">
        <v>30</v>
      </c>
      <c r="I3753">
        <v>0</v>
      </c>
      <c r="J3753">
        <v>1</v>
      </c>
      <c r="K3753" s="2">
        <v>45775</v>
      </c>
    </row>
    <row r="3754" spans="1:11" x14ac:dyDescent="0.25">
      <c r="A3754" s="1" t="s">
        <v>622</v>
      </c>
      <c r="B3754" s="1"/>
      <c r="C3754" s="1" t="s">
        <v>2808</v>
      </c>
      <c r="D3754" s="1" t="s">
        <v>3370</v>
      </c>
      <c r="E3754" s="1"/>
      <c r="F3754">
        <v>0</v>
      </c>
      <c r="G3754">
        <v>0</v>
      </c>
      <c r="H3754">
        <v>0</v>
      </c>
      <c r="I3754">
        <v>0</v>
      </c>
      <c r="J3754">
        <v>1</v>
      </c>
      <c r="K3754" s="2">
        <v>45774</v>
      </c>
    </row>
    <row r="3755" spans="1:11" x14ac:dyDescent="0.25">
      <c r="A3755" s="1" t="s">
        <v>622</v>
      </c>
      <c r="B3755" s="1"/>
      <c r="C3755" s="1" t="s">
        <v>3134</v>
      </c>
      <c r="D3755" s="1" t="s">
        <v>3478</v>
      </c>
      <c r="E3755" s="1"/>
      <c r="F3755">
        <v>0</v>
      </c>
      <c r="G3755">
        <v>0</v>
      </c>
      <c r="H3755">
        <v>5</v>
      </c>
      <c r="I3755">
        <v>0</v>
      </c>
      <c r="J3755">
        <v>1</v>
      </c>
      <c r="K3755" s="2">
        <v>45771</v>
      </c>
    </row>
    <row r="3756" spans="1:11" x14ac:dyDescent="0.25">
      <c r="A3756" s="1" t="s">
        <v>622</v>
      </c>
      <c r="B3756" s="1"/>
      <c r="C3756" s="1" t="s">
        <v>3268</v>
      </c>
      <c r="D3756" s="1" t="s">
        <v>3438</v>
      </c>
      <c r="E3756" s="1"/>
      <c r="F3756">
        <v>0.5</v>
      </c>
      <c r="G3756">
        <v>0</v>
      </c>
      <c r="H3756">
        <v>35</v>
      </c>
      <c r="I3756">
        <v>0</v>
      </c>
      <c r="J3756">
        <v>1</v>
      </c>
      <c r="K3756" s="2">
        <v>45771</v>
      </c>
    </row>
    <row r="3757" spans="1:11" x14ac:dyDescent="0.25">
      <c r="A3757" s="1" t="s">
        <v>622</v>
      </c>
      <c r="B3757" s="1"/>
      <c r="C3757" s="1" t="s">
        <v>3019</v>
      </c>
      <c r="D3757" s="1" t="s">
        <v>3437</v>
      </c>
      <c r="E3757" s="1"/>
      <c r="F3757">
        <v>0.8</v>
      </c>
      <c r="G3757">
        <v>0.1</v>
      </c>
      <c r="H3757">
        <v>45</v>
      </c>
      <c r="I3757">
        <v>0</v>
      </c>
      <c r="J3757">
        <v>1</v>
      </c>
      <c r="K3757" s="2">
        <v>45775</v>
      </c>
    </row>
    <row r="3758" spans="1:11" x14ac:dyDescent="0.25">
      <c r="A3758" s="1" t="s">
        <v>622</v>
      </c>
      <c r="B3758" s="1"/>
      <c r="C3758" s="1" t="s">
        <v>3268</v>
      </c>
      <c r="D3758" s="1" t="s">
        <v>3438</v>
      </c>
      <c r="E3758" s="1"/>
      <c r="F3758">
        <v>0.3</v>
      </c>
      <c r="G3758">
        <v>0.2</v>
      </c>
      <c r="H3758">
        <v>5</v>
      </c>
      <c r="I3758">
        <v>0</v>
      </c>
      <c r="J3758">
        <v>1</v>
      </c>
      <c r="K3758" s="2">
        <v>45771</v>
      </c>
    </row>
    <row r="3759" spans="1:11" x14ac:dyDescent="0.25">
      <c r="A3759" s="1" t="s">
        <v>622</v>
      </c>
      <c r="B3759" s="1"/>
      <c r="C3759" s="1" t="s">
        <v>3315</v>
      </c>
      <c r="D3759" s="1" t="s">
        <v>3438</v>
      </c>
      <c r="E3759" s="1"/>
      <c r="F3759">
        <v>0.3</v>
      </c>
      <c r="G3759">
        <v>0.8</v>
      </c>
      <c r="H3759">
        <v>-25</v>
      </c>
      <c r="I3759">
        <v>0</v>
      </c>
      <c r="J3759">
        <v>1</v>
      </c>
      <c r="K3759" s="2">
        <v>45772</v>
      </c>
    </row>
    <row r="3760" spans="1:11" x14ac:dyDescent="0.25">
      <c r="A3760" s="1" t="s">
        <v>622</v>
      </c>
      <c r="B3760" s="1"/>
      <c r="C3760" s="1" t="s">
        <v>3004</v>
      </c>
      <c r="D3760" s="1" t="s">
        <v>3438</v>
      </c>
      <c r="E3760" s="1"/>
      <c r="F3760">
        <v>1.7</v>
      </c>
      <c r="G3760">
        <v>1.1000000000000001</v>
      </c>
      <c r="H3760">
        <v>35</v>
      </c>
      <c r="I3760">
        <v>0</v>
      </c>
      <c r="J3760">
        <v>1</v>
      </c>
      <c r="K3760" s="2">
        <v>45773</v>
      </c>
    </row>
    <row r="3761" spans="1:11" x14ac:dyDescent="0.25">
      <c r="A3761" s="1" t="s">
        <v>622</v>
      </c>
      <c r="B3761" s="1"/>
      <c r="C3761" s="1" t="s">
        <v>3316</v>
      </c>
      <c r="D3761" s="1" t="s">
        <v>3480</v>
      </c>
      <c r="E3761" s="1"/>
      <c r="F3761">
        <v>0.5</v>
      </c>
      <c r="G3761">
        <v>0.8</v>
      </c>
      <c r="H3761">
        <v>-20</v>
      </c>
      <c r="I3761">
        <v>0</v>
      </c>
      <c r="J3761">
        <v>1</v>
      </c>
      <c r="K3761" s="2">
        <v>45775</v>
      </c>
    </row>
    <row r="3762" spans="1:11" x14ac:dyDescent="0.25">
      <c r="A3762" s="1" t="s">
        <v>622</v>
      </c>
      <c r="B3762" s="1"/>
      <c r="C3762" s="1" t="s">
        <v>2924</v>
      </c>
      <c r="D3762" s="1" t="s">
        <v>3444</v>
      </c>
      <c r="E3762" s="1"/>
      <c r="F3762">
        <v>0</v>
      </c>
      <c r="G3762">
        <v>0.3</v>
      </c>
      <c r="H3762">
        <v>-15</v>
      </c>
      <c r="I3762">
        <v>0</v>
      </c>
      <c r="J3762">
        <v>1</v>
      </c>
      <c r="K3762" s="2">
        <v>45775</v>
      </c>
    </row>
    <row r="3763" spans="1:11" x14ac:dyDescent="0.25">
      <c r="A3763" s="1" t="s">
        <v>622</v>
      </c>
      <c r="B3763" s="1"/>
      <c r="C3763" s="1" t="s">
        <v>3317</v>
      </c>
      <c r="D3763" s="1" t="s">
        <v>3451</v>
      </c>
      <c r="E3763" s="1"/>
      <c r="F3763">
        <v>0.5</v>
      </c>
      <c r="G3763">
        <v>0</v>
      </c>
      <c r="H3763">
        <v>30</v>
      </c>
      <c r="I3763">
        <v>0</v>
      </c>
      <c r="J3763">
        <v>1</v>
      </c>
      <c r="K3763" s="2">
        <v>45775</v>
      </c>
    </row>
    <row r="3764" spans="1:11" x14ac:dyDescent="0.25">
      <c r="A3764" s="1" t="s">
        <v>623</v>
      </c>
      <c r="B3764" s="1"/>
      <c r="C3764" s="1" t="s">
        <v>2808</v>
      </c>
      <c r="D3764" s="1" t="s">
        <v>3370</v>
      </c>
      <c r="E3764" s="1"/>
      <c r="F3764">
        <v>0</v>
      </c>
      <c r="G3764">
        <v>0</v>
      </c>
      <c r="H3764">
        <v>0</v>
      </c>
      <c r="I3764">
        <v>0</v>
      </c>
      <c r="J3764">
        <v>1</v>
      </c>
      <c r="K3764" s="2">
        <v>45776</v>
      </c>
    </row>
    <row r="3765" spans="1:11" x14ac:dyDescent="0.25">
      <c r="A3765" s="1" t="s">
        <v>623</v>
      </c>
      <c r="B3765" s="1"/>
      <c r="C3765" s="1" t="s">
        <v>3134</v>
      </c>
      <c r="D3765" s="1" t="s">
        <v>3478</v>
      </c>
      <c r="E3765" s="1"/>
      <c r="F3765">
        <v>0</v>
      </c>
      <c r="G3765">
        <v>0</v>
      </c>
      <c r="H3765">
        <v>5</v>
      </c>
      <c r="I3765">
        <v>0</v>
      </c>
      <c r="J3765">
        <v>1</v>
      </c>
      <c r="K3765" s="2">
        <v>45771</v>
      </c>
    </row>
    <row r="3766" spans="1:11" x14ac:dyDescent="0.25">
      <c r="A3766" s="1" t="s">
        <v>623</v>
      </c>
      <c r="B3766" s="1"/>
      <c r="C3766" s="1" t="s">
        <v>3268</v>
      </c>
      <c r="D3766" s="1" t="s">
        <v>3438</v>
      </c>
      <c r="E3766" s="1"/>
      <c r="F3766">
        <v>0.5</v>
      </c>
      <c r="G3766">
        <v>2.5</v>
      </c>
      <c r="H3766">
        <v>-120</v>
      </c>
      <c r="I3766">
        <v>0</v>
      </c>
      <c r="J3766">
        <v>1</v>
      </c>
      <c r="K3766" s="2">
        <v>45772</v>
      </c>
    </row>
    <row r="3767" spans="1:11" x14ac:dyDescent="0.25">
      <c r="A3767" s="1" t="s">
        <v>623</v>
      </c>
      <c r="B3767" s="1"/>
      <c r="C3767" s="1" t="s">
        <v>3019</v>
      </c>
      <c r="D3767" s="1" t="s">
        <v>3437</v>
      </c>
      <c r="E3767" s="1"/>
      <c r="F3767">
        <v>0.8</v>
      </c>
      <c r="G3767">
        <v>0</v>
      </c>
      <c r="H3767">
        <v>50</v>
      </c>
      <c r="I3767">
        <v>0</v>
      </c>
      <c r="J3767">
        <v>1</v>
      </c>
      <c r="K3767" s="2">
        <v>45772</v>
      </c>
    </row>
    <row r="3768" spans="1:11" x14ac:dyDescent="0.25">
      <c r="A3768" s="1" t="s">
        <v>623</v>
      </c>
      <c r="B3768" s="1"/>
      <c r="C3768" s="1" t="s">
        <v>3268</v>
      </c>
      <c r="D3768" s="1" t="s">
        <v>3438</v>
      </c>
      <c r="E3768" s="1"/>
      <c r="F3768">
        <v>0.3</v>
      </c>
      <c r="G3768">
        <v>0.2</v>
      </c>
      <c r="H3768">
        <v>5</v>
      </c>
      <c r="I3768">
        <v>0</v>
      </c>
      <c r="J3768">
        <v>1</v>
      </c>
      <c r="K3768" s="2">
        <v>45772</v>
      </c>
    </row>
    <row r="3769" spans="1:11" x14ac:dyDescent="0.25">
      <c r="A3769" s="1" t="s">
        <v>623</v>
      </c>
      <c r="B3769" s="1"/>
      <c r="C3769" s="1" t="s">
        <v>3315</v>
      </c>
      <c r="D3769" s="1" t="s">
        <v>3438</v>
      </c>
      <c r="E3769" s="1"/>
      <c r="F3769">
        <v>0.3</v>
      </c>
      <c r="G3769">
        <v>0.2</v>
      </c>
      <c r="H3769">
        <v>10</v>
      </c>
      <c r="I3769">
        <v>0</v>
      </c>
      <c r="J3769">
        <v>1</v>
      </c>
      <c r="K3769" s="2">
        <v>45772</v>
      </c>
    </row>
    <row r="3770" spans="1:11" x14ac:dyDescent="0.25">
      <c r="A3770" s="1" t="s">
        <v>623</v>
      </c>
      <c r="B3770" s="1"/>
      <c r="C3770" s="1" t="s">
        <v>3004</v>
      </c>
      <c r="D3770" s="1" t="s">
        <v>3438</v>
      </c>
      <c r="E3770" s="1"/>
      <c r="F3770">
        <v>1.7</v>
      </c>
      <c r="G3770">
        <v>1.5</v>
      </c>
      <c r="H3770">
        <v>15</v>
      </c>
      <c r="I3770">
        <v>0</v>
      </c>
      <c r="J3770">
        <v>1</v>
      </c>
      <c r="K3770" s="2">
        <v>45775</v>
      </c>
    </row>
    <row r="3771" spans="1:11" x14ac:dyDescent="0.25">
      <c r="A3771" s="1" t="s">
        <v>623</v>
      </c>
      <c r="B3771" s="1"/>
      <c r="C3771" s="1" t="s">
        <v>3316</v>
      </c>
      <c r="D3771" s="1" t="s">
        <v>3480</v>
      </c>
      <c r="E3771" s="1"/>
      <c r="F3771">
        <v>0.5</v>
      </c>
      <c r="G3771">
        <v>0</v>
      </c>
      <c r="H3771">
        <v>35</v>
      </c>
      <c r="I3771">
        <v>0</v>
      </c>
      <c r="J3771">
        <v>1</v>
      </c>
      <c r="K3771" s="2">
        <v>45776</v>
      </c>
    </row>
    <row r="3772" spans="1:11" x14ac:dyDescent="0.25">
      <c r="A3772" s="1" t="s">
        <v>623</v>
      </c>
      <c r="B3772" s="1"/>
      <c r="C3772" s="1" t="s">
        <v>2924</v>
      </c>
      <c r="D3772" s="1" t="s">
        <v>3444</v>
      </c>
      <c r="E3772" s="1"/>
      <c r="F3772">
        <v>0</v>
      </c>
      <c r="G3772">
        <v>0.4</v>
      </c>
      <c r="H3772">
        <v>-20</v>
      </c>
      <c r="I3772">
        <v>0</v>
      </c>
      <c r="J3772">
        <v>1</v>
      </c>
      <c r="K3772" s="2">
        <v>45778</v>
      </c>
    </row>
    <row r="3773" spans="1:11" x14ac:dyDescent="0.25">
      <c r="A3773" s="1" t="s">
        <v>623</v>
      </c>
      <c r="B3773" s="1"/>
      <c r="C3773" s="1" t="s">
        <v>3317</v>
      </c>
      <c r="D3773" s="1" t="s">
        <v>3451</v>
      </c>
      <c r="E3773" s="1"/>
      <c r="F3773">
        <v>0.5</v>
      </c>
      <c r="G3773">
        <v>0</v>
      </c>
      <c r="H3773">
        <v>30</v>
      </c>
      <c r="I3773">
        <v>0</v>
      </c>
      <c r="J3773">
        <v>1</v>
      </c>
      <c r="K3773" s="2">
        <v>45778</v>
      </c>
    </row>
    <row r="3774" spans="1:11" x14ac:dyDescent="0.25">
      <c r="A3774" s="1" t="s">
        <v>624</v>
      </c>
      <c r="B3774" s="1"/>
      <c r="C3774" s="1" t="s">
        <v>2808</v>
      </c>
      <c r="D3774" s="1" t="s">
        <v>3370</v>
      </c>
      <c r="E3774" s="1"/>
      <c r="F3774">
        <v>0</v>
      </c>
      <c r="G3774">
        <v>0</v>
      </c>
      <c r="H3774">
        <v>0</v>
      </c>
      <c r="I3774">
        <v>0</v>
      </c>
      <c r="J3774">
        <v>1</v>
      </c>
      <c r="K3774" s="2">
        <v>45776</v>
      </c>
    </row>
    <row r="3775" spans="1:11" x14ac:dyDescent="0.25">
      <c r="A3775" s="1" t="s">
        <v>624</v>
      </c>
      <c r="B3775" s="1"/>
      <c r="C3775" s="1" t="s">
        <v>3134</v>
      </c>
      <c r="D3775" s="1" t="s">
        <v>3478</v>
      </c>
      <c r="E3775" s="1"/>
      <c r="F3775">
        <v>0</v>
      </c>
      <c r="G3775">
        <v>0</v>
      </c>
      <c r="H3775">
        <v>5</v>
      </c>
      <c r="I3775">
        <v>0</v>
      </c>
      <c r="J3775">
        <v>1</v>
      </c>
      <c r="K3775" s="2">
        <v>45771</v>
      </c>
    </row>
    <row r="3776" spans="1:11" x14ac:dyDescent="0.25">
      <c r="A3776" s="1" t="s">
        <v>624</v>
      </c>
      <c r="B3776" s="1"/>
      <c r="C3776" s="1" t="s">
        <v>3268</v>
      </c>
      <c r="D3776" s="1" t="s">
        <v>3438</v>
      </c>
      <c r="E3776" s="1"/>
      <c r="F3776">
        <v>0.5</v>
      </c>
      <c r="G3776">
        <v>2.5</v>
      </c>
      <c r="H3776">
        <v>-120</v>
      </c>
      <c r="I3776">
        <v>0</v>
      </c>
      <c r="J3776">
        <v>1</v>
      </c>
      <c r="K3776" s="2">
        <v>45772</v>
      </c>
    </row>
    <row r="3777" spans="1:11" x14ac:dyDescent="0.25">
      <c r="A3777" s="1" t="s">
        <v>624</v>
      </c>
      <c r="B3777" s="1"/>
      <c r="C3777" s="1" t="s">
        <v>3019</v>
      </c>
      <c r="D3777" s="1" t="s">
        <v>3437</v>
      </c>
      <c r="E3777" s="1"/>
      <c r="F3777">
        <v>0.8</v>
      </c>
      <c r="G3777">
        <v>0</v>
      </c>
      <c r="H3777">
        <v>50</v>
      </c>
      <c r="I3777">
        <v>0</v>
      </c>
      <c r="J3777">
        <v>1</v>
      </c>
      <c r="K3777" s="2">
        <v>45772</v>
      </c>
    </row>
    <row r="3778" spans="1:11" x14ac:dyDescent="0.25">
      <c r="A3778" s="1" t="s">
        <v>624</v>
      </c>
      <c r="B3778" s="1"/>
      <c r="C3778" s="1" t="s">
        <v>3268</v>
      </c>
      <c r="D3778" s="1" t="s">
        <v>3438</v>
      </c>
      <c r="E3778" s="1"/>
      <c r="F3778">
        <v>0.3</v>
      </c>
      <c r="G3778">
        <v>0.2</v>
      </c>
      <c r="H3778">
        <v>5</v>
      </c>
      <c r="I3778">
        <v>0</v>
      </c>
      <c r="J3778">
        <v>1</v>
      </c>
      <c r="K3778" s="2">
        <v>45772</v>
      </c>
    </row>
    <row r="3779" spans="1:11" x14ac:dyDescent="0.25">
      <c r="A3779" s="1" t="s">
        <v>624</v>
      </c>
      <c r="B3779" s="1"/>
      <c r="C3779" s="1" t="s">
        <v>3315</v>
      </c>
      <c r="D3779" s="1" t="s">
        <v>3438</v>
      </c>
      <c r="E3779" s="1"/>
      <c r="F3779">
        <v>0.3</v>
      </c>
      <c r="G3779">
        <v>0.2</v>
      </c>
      <c r="H3779">
        <v>10</v>
      </c>
      <c r="I3779">
        <v>0</v>
      </c>
      <c r="J3779">
        <v>1</v>
      </c>
      <c r="K3779" s="2">
        <v>45772</v>
      </c>
    </row>
    <row r="3780" spans="1:11" x14ac:dyDescent="0.25">
      <c r="A3780" s="1" t="s">
        <v>624</v>
      </c>
      <c r="B3780" s="1"/>
      <c r="C3780" s="1" t="s">
        <v>3004</v>
      </c>
      <c r="D3780" s="1" t="s">
        <v>3438</v>
      </c>
      <c r="E3780" s="1"/>
      <c r="F3780">
        <v>1.7</v>
      </c>
      <c r="G3780">
        <v>0.8</v>
      </c>
      <c r="H3780">
        <v>55</v>
      </c>
      <c r="I3780">
        <v>0</v>
      </c>
      <c r="J3780">
        <v>1</v>
      </c>
      <c r="K3780" s="2">
        <v>45775</v>
      </c>
    </row>
    <row r="3781" spans="1:11" x14ac:dyDescent="0.25">
      <c r="A3781" s="1" t="s">
        <v>624</v>
      </c>
      <c r="B3781" s="1"/>
      <c r="C3781" s="1" t="s">
        <v>3316</v>
      </c>
      <c r="D3781" s="1" t="s">
        <v>3480</v>
      </c>
      <c r="E3781" s="1"/>
      <c r="F3781">
        <v>0.5</v>
      </c>
      <c r="G3781">
        <v>0</v>
      </c>
      <c r="H3781">
        <v>35</v>
      </c>
      <c r="I3781">
        <v>0</v>
      </c>
      <c r="J3781">
        <v>1</v>
      </c>
      <c r="K3781" s="2">
        <v>45776</v>
      </c>
    </row>
    <row r="3782" spans="1:11" x14ac:dyDescent="0.25">
      <c r="A3782" s="1" t="s">
        <v>624</v>
      </c>
      <c r="B3782" s="1"/>
      <c r="C3782" s="1" t="s">
        <v>2924</v>
      </c>
      <c r="D3782" s="1" t="s">
        <v>3444</v>
      </c>
      <c r="E3782" s="1"/>
      <c r="F3782">
        <v>0</v>
      </c>
      <c r="G3782">
        <v>0.4</v>
      </c>
      <c r="H3782">
        <v>-20</v>
      </c>
      <c r="I3782">
        <v>0</v>
      </c>
      <c r="J3782">
        <v>1</v>
      </c>
      <c r="K3782" s="2">
        <v>45778</v>
      </c>
    </row>
    <row r="3783" spans="1:11" x14ac:dyDescent="0.25">
      <c r="A3783" s="1" t="s">
        <v>624</v>
      </c>
      <c r="B3783" s="1"/>
      <c r="C3783" s="1" t="s">
        <v>3317</v>
      </c>
      <c r="D3783" s="1" t="s">
        <v>3451</v>
      </c>
      <c r="E3783" s="1"/>
      <c r="F3783">
        <v>0.5</v>
      </c>
      <c r="G3783">
        <v>0</v>
      </c>
      <c r="H3783">
        <v>30</v>
      </c>
      <c r="I3783">
        <v>0</v>
      </c>
      <c r="J3783">
        <v>1</v>
      </c>
      <c r="K3783" s="2">
        <v>45778</v>
      </c>
    </row>
    <row r="3784" spans="1:11" x14ac:dyDescent="0.25">
      <c r="A3784" s="1" t="s">
        <v>625</v>
      </c>
      <c r="B3784" s="1"/>
      <c r="C3784" s="1" t="s">
        <v>2808</v>
      </c>
      <c r="D3784" s="1" t="s">
        <v>3370</v>
      </c>
      <c r="E3784" s="1"/>
      <c r="F3784">
        <v>0</v>
      </c>
      <c r="G3784">
        <v>0</v>
      </c>
      <c r="H3784">
        <v>0</v>
      </c>
      <c r="I3784">
        <v>0</v>
      </c>
      <c r="J3784">
        <v>1</v>
      </c>
      <c r="K3784" s="2">
        <v>45777</v>
      </c>
    </row>
    <row r="3785" spans="1:11" x14ac:dyDescent="0.25">
      <c r="A3785" s="1" t="s">
        <v>625</v>
      </c>
      <c r="B3785" s="1"/>
      <c r="C3785" s="1" t="s">
        <v>3134</v>
      </c>
      <c r="D3785" s="1" t="s">
        <v>3478</v>
      </c>
      <c r="E3785" s="1"/>
      <c r="F3785">
        <v>0</v>
      </c>
      <c r="G3785">
        <v>0</v>
      </c>
      <c r="H3785">
        <v>5</v>
      </c>
      <c r="I3785">
        <v>0</v>
      </c>
      <c r="J3785">
        <v>1</v>
      </c>
      <c r="K3785" s="2">
        <v>45775</v>
      </c>
    </row>
    <row r="3786" spans="1:11" x14ac:dyDescent="0.25">
      <c r="A3786" s="1" t="s">
        <v>625</v>
      </c>
      <c r="B3786" s="1"/>
      <c r="C3786" s="1" t="s">
        <v>3268</v>
      </c>
      <c r="D3786" s="1" t="s">
        <v>3438</v>
      </c>
      <c r="E3786" s="1"/>
      <c r="F3786">
        <v>0.5</v>
      </c>
      <c r="G3786">
        <v>0.1</v>
      </c>
      <c r="H3786">
        <v>30</v>
      </c>
      <c r="I3786">
        <v>0</v>
      </c>
      <c r="J3786">
        <v>1</v>
      </c>
      <c r="K3786" s="2">
        <v>45775</v>
      </c>
    </row>
    <row r="3787" spans="1:11" x14ac:dyDescent="0.25">
      <c r="A3787" s="1" t="s">
        <v>625</v>
      </c>
      <c r="B3787" s="1"/>
      <c r="C3787" s="1" t="s">
        <v>3019</v>
      </c>
      <c r="D3787" s="1" t="s">
        <v>3437</v>
      </c>
      <c r="E3787" s="1"/>
      <c r="F3787">
        <v>0.8</v>
      </c>
      <c r="G3787">
        <v>0.6</v>
      </c>
      <c r="H3787">
        <v>15</v>
      </c>
      <c r="I3787">
        <v>0</v>
      </c>
      <c r="J3787">
        <v>1</v>
      </c>
      <c r="K3787" s="2">
        <v>45775</v>
      </c>
    </row>
    <row r="3788" spans="1:11" x14ac:dyDescent="0.25">
      <c r="A3788" s="1" t="s">
        <v>625</v>
      </c>
      <c r="B3788" s="1"/>
      <c r="C3788" s="1" t="s">
        <v>3268</v>
      </c>
      <c r="D3788" s="1" t="s">
        <v>3438</v>
      </c>
      <c r="E3788" s="1"/>
      <c r="F3788">
        <v>0.3</v>
      </c>
      <c r="G3788">
        <v>0.1</v>
      </c>
      <c r="H3788">
        <v>15</v>
      </c>
      <c r="I3788">
        <v>0</v>
      </c>
      <c r="J3788">
        <v>1</v>
      </c>
      <c r="K3788" s="2">
        <v>45775</v>
      </c>
    </row>
    <row r="3789" spans="1:11" x14ac:dyDescent="0.25">
      <c r="A3789" s="1" t="s">
        <v>625</v>
      </c>
      <c r="B3789" s="1"/>
      <c r="C3789" s="1" t="s">
        <v>3315</v>
      </c>
      <c r="D3789" s="1" t="s">
        <v>3438</v>
      </c>
      <c r="E3789" s="1"/>
      <c r="F3789">
        <v>0.3</v>
      </c>
      <c r="G3789">
        <v>0.4</v>
      </c>
      <c r="H3789">
        <v>0</v>
      </c>
      <c r="I3789">
        <v>0</v>
      </c>
      <c r="J3789">
        <v>1</v>
      </c>
      <c r="K3789" s="2">
        <v>45775</v>
      </c>
    </row>
    <row r="3790" spans="1:11" x14ac:dyDescent="0.25">
      <c r="A3790" s="1" t="s">
        <v>625</v>
      </c>
      <c r="B3790" s="1"/>
      <c r="C3790" s="1" t="s">
        <v>3004</v>
      </c>
      <c r="D3790" s="1" t="s">
        <v>3438</v>
      </c>
      <c r="E3790" s="1"/>
      <c r="F3790">
        <v>1.7</v>
      </c>
      <c r="G3790">
        <v>0.5</v>
      </c>
      <c r="H3790">
        <v>75</v>
      </c>
      <c r="I3790">
        <v>0</v>
      </c>
      <c r="J3790">
        <v>1</v>
      </c>
      <c r="K3790" s="2">
        <v>45776</v>
      </c>
    </row>
    <row r="3791" spans="1:11" x14ac:dyDescent="0.25">
      <c r="A3791" s="1" t="s">
        <v>625</v>
      </c>
      <c r="B3791" s="1"/>
      <c r="C3791" s="1" t="s">
        <v>3316</v>
      </c>
      <c r="D3791" s="1" t="s">
        <v>3480</v>
      </c>
      <c r="E3791" s="1"/>
      <c r="F3791">
        <v>0.5</v>
      </c>
      <c r="G3791">
        <v>0.4</v>
      </c>
      <c r="H3791">
        <v>10</v>
      </c>
      <c r="I3791">
        <v>0</v>
      </c>
      <c r="J3791">
        <v>1</v>
      </c>
      <c r="K3791" s="2">
        <v>45777</v>
      </c>
    </row>
    <row r="3792" spans="1:11" x14ac:dyDescent="0.25">
      <c r="A3792" s="1" t="s">
        <v>625</v>
      </c>
      <c r="B3792" s="1"/>
      <c r="C3792" s="1" t="s">
        <v>2924</v>
      </c>
      <c r="D3792" s="1" t="s">
        <v>3444</v>
      </c>
      <c r="E3792" s="1"/>
      <c r="F3792">
        <v>0</v>
      </c>
      <c r="G3792">
        <v>0.2</v>
      </c>
      <c r="H3792">
        <v>-10</v>
      </c>
      <c r="I3792">
        <v>0</v>
      </c>
      <c r="J3792">
        <v>1</v>
      </c>
      <c r="K3792" s="2">
        <v>45778</v>
      </c>
    </row>
    <row r="3793" spans="1:11" x14ac:dyDescent="0.25">
      <c r="A3793" s="1" t="s">
        <v>625</v>
      </c>
      <c r="B3793" s="1"/>
      <c r="C3793" s="1" t="s">
        <v>3317</v>
      </c>
      <c r="D3793" s="1" t="s">
        <v>3451</v>
      </c>
      <c r="E3793" s="1"/>
      <c r="F3793">
        <v>0.5</v>
      </c>
      <c r="G3793">
        <v>0</v>
      </c>
      <c r="H3793">
        <v>30</v>
      </c>
      <c r="I3793">
        <v>0</v>
      </c>
      <c r="J3793">
        <v>1</v>
      </c>
      <c r="K3793" s="2">
        <v>45778</v>
      </c>
    </row>
    <row r="3794" spans="1:11" x14ac:dyDescent="0.25">
      <c r="A3794" s="1" t="s">
        <v>626</v>
      </c>
      <c r="B3794" s="1"/>
      <c r="C3794" s="1" t="s">
        <v>2808</v>
      </c>
      <c r="D3794" s="1" t="s">
        <v>3370</v>
      </c>
      <c r="E3794" s="1"/>
      <c r="F3794">
        <v>0</v>
      </c>
      <c r="G3794">
        <v>0</v>
      </c>
      <c r="H3794">
        <v>0</v>
      </c>
      <c r="I3794">
        <v>0</v>
      </c>
      <c r="J3794">
        <v>1</v>
      </c>
      <c r="K3794" s="2">
        <v>45777</v>
      </c>
    </row>
    <row r="3795" spans="1:11" x14ac:dyDescent="0.25">
      <c r="A3795" s="1" t="s">
        <v>626</v>
      </c>
      <c r="B3795" s="1"/>
      <c r="C3795" s="1" t="s">
        <v>3134</v>
      </c>
      <c r="D3795" s="1" t="s">
        <v>3478</v>
      </c>
      <c r="E3795" s="1"/>
      <c r="F3795">
        <v>0</v>
      </c>
      <c r="G3795">
        <v>0</v>
      </c>
      <c r="H3795">
        <v>5</v>
      </c>
      <c r="I3795">
        <v>0</v>
      </c>
      <c r="J3795">
        <v>1</v>
      </c>
      <c r="K3795" s="2">
        <v>45775</v>
      </c>
    </row>
    <row r="3796" spans="1:11" x14ac:dyDescent="0.25">
      <c r="A3796" s="1" t="s">
        <v>626</v>
      </c>
      <c r="B3796" s="1"/>
      <c r="C3796" s="1" t="s">
        <v>3268</v>
      </c>
      <c r="D3796" s="1" t="s">
        <v>3438</v>
      </c>
      <c r="E3796" s="1"/>
      <c r="F3796">
        <v>0.5</v>
      </c>
      <c r="G3796">
        <v>0.1</v>
      </c>
      <c r="H3796">
        <v>30</v>
      </c>
      <c r="I3796">
        <v>0</v>
      </c>
      <c r="J3796">
        <v>1</v>
      </c>
      <c r="K3796" s="2">
        <v>45775</v>
      </c>
    </row>
    <row r="3797" spans="1:11" x14ac:dyDescent="0.25">
      <c r="A3797" s="1" t="s">
        <v>626</v>
      </c>
      <c r="B3797" s="1"/>
      <c r="C3797" s="1" t="s">
        <v>3019</v>
      </c>
      <c r="D3797" s="1" t="s">
        <v>3437</v>
      </c>
      <c r="E3797" s="1"/>
      <c r="F3797">
        <v>0.8</v>
      </c>
      <c r="G3797">
        <v>0.6</v>
      </c>
      <c r="H3797">
        <v>15</v>
      </c>
      <c r="I3797">
        <v>0</v>
      </c>
      <c r="J3797">
        <v>1</v>
      </c>
      <c r="K3797" s="2">
        <v>45775</v>
      </c>
    </row>
    <row r="3798" spans="1:11" x14ac:dyDescent="0.25">
      <c r="A3798" s="1" t="s">
        <v>626</v>
      </c>
      <c r="B3798" s="1"/>
      <c r="C3798" s="1" t="s">
        <v>3268</v>
      </c>
      <c r="D3798" s="1" t="s">
        <v>3438</v>
      </c>
      <c r="E3798" s="1"/>
      <c r="F3798">
        <v>0.3</v>
      </c>
      <c r="G3798">
        <v>0.1</v>
      </c>
      <c r="H3798">
        <v>15</v>
      </c>
      <c r="I3798">
        <v>0</v>
      </c>
      <c r="J3798">
        <v>1</v>
      </c>
      <c r="K3798" s="2">
        <v>45775</v>
      </c>
    </row>
    <row r="3799" spans="1:11" x14ac:dyDescent="0.25">
      <c r="A3799" s="1" t="s">
        <v>626</v>
      </c>
      <c r="B3799" s="1"/>
      <c r="C3799" s="1" t="s">
        <v>3315</v>
      </c>
      <c r="D3799" s="1" t="s">
        <v>3438</v>
      </c>
      <c r="E3799" s="1"/>
      <c r="F3799">
        <v>0.3</v>
      </c>
      <c r="G3799">
        <v>0.2</v>
      </c>
      <c r="H3799">
        <v>15</v>
      </c>
      <c r="I3799">
        <v>0</v>
      </c>
      <c r="J3799">
        <v>1</v>
      </c>
      <c r="K3799" s="2">
        <v>45775</v>
      </c>
    </row>
    <row r="3800" spans="1:11" x14ac:dyDescent="0.25">
      <c r="A3800" s="1" t="s">
        <v>626</v>
      </c>
      <c r="B3800" s="1"/>
      <c r="C3800" s="1" t="s">
        <v>3004</v>
      </c>
      <c r="D3800" s="1" t="s">
        <v>3438</v>
      </c>
      <c r="E3800" s="1"/>
      <c r="F3800">
        <v>1.7</v>
      </c>
      <c r="G3800">
        <v>0.5</v>
      </c>
      <c r="H3800">
        <v>75</v>
      </c>
      <c r="I3800">
        <v>0</v>
      </c>
      <c r="J3800">
        <v>1</v>
      </c>
      <c r="K3800" s="2">
        <v>45776</v>
      </c>
    </row>
    <row r="3801" spans="1:11" x14ac:dyDescent="0.25">
      <c r="A3801" s="1" t="s">
        <v>626</v>
      </c>
      <c r="B3801" s="1"/>
      <c r="C3801" s="1" t="s">
        <v>3316</v>
      </c>
      <c r="D3801" s="1" t="s">
        <v>3480</v>
      </c>
      <c r="E3801" s="1"/>
      <c r="F3801">
        <v>0.5</v>
      </c>
      <c r="G3801">
        <v>0</v>
      </c>
      <c r="H3801">
        <v>35</v>
      </c>
      <c r="I3801">
        <v>0</v>
      </c>
      <c r="J3801">
        <v>1</v>
      </c>
      <c r="K3801" s="2">
        <v>45777</v>
      </c>
    </row>
    <row r="3802" spans="1:11" x14ac:dyDescent="0.25">
      <c r="A3802" s="1" t="s">
        <v>626</v>
      </c>
      <c r="B3802" s="1"/>
      <c r="C3802" s="1" t="s">
        <v>2924</v>
      </c>
      <c r="D3802" s="1" t="s">
        <v>3444</v>
      </c>
      <c r="E3802" s="1"/>
      <c r="F3802">
        <v>0</v>
      </c>
      <c r="G3802">
        <v>0.2</v>
      </c>
      <c r="H3802">
        <v>-10</v>
      </c>
      <c r="I3802">
        <v>0</v>
      </c>
      <c r="J3802">
        <v>1</v>
      </c>
      <c r="K3802" s="2">
        <v>45778</v>
      </c>
    </row>
    <row r="3803" spans="1:11" x14ac:dyDescent="0.25">
      <c r="A3803" s="1" t="s">
        <v>626</v>
      </c>
      <c r="B3803" s="1"/>
      <c r="C3803" s="1" t="s">
        <v>3317</v>
      </c>
      <c r="D3803" s="1" t="s">
        <v>3451</v>
      </c>
      <c r="E3803" s="1"/>
      <c r="F3803">
        <v>0.5</v>
      </c>
      <c r="G3803">
        <v>0</v>
      </c>
      <c r="H3803">
        <v>30</v>
      </c>
      <c r="I3803">
        <v>0</v>
      </c>
      <c r="J3803">
        <v>1</v>
      </c>
      <c r="K3803" s="2">
        <v>45778</v>
      </c>
    </row>
    <row r="3804" spans="1:11" x14ac:dyDescent="0.25">
      <c r="A3804" s="1" t="s">
        <v>773</v>
      </c>
      <c r="B3804" s="1"/>
      <c r="C3804" s="1" t="s">
        <v>2808</v>
      </c>
      <c r="D3804" s="1" t="s">
        <v>3370</v>
      </c>
      <c r="E3804" s="1"/>
      <c r="F3804">
        <v>0</v>
      </c>
      <c r="G3804">
        <v>0</v>
      </c>
      <c r="H3804">
        <v>0</v>
      </c>
      <c r="I3804">
        <v>0</v>
      </c>
      <c r="J3804">
        <v>1</v>
      </c>
      <c r="K3804" s="2">
        <v>45777</v>
      </c>
    </row>
    <row r="3805" spans="1:11" x14ac:dyDescent="0.25">
      <c r="A3805" s="1" t="s">
        <v>773</v>
      </c>
      <c r="B3805" s="1"/>
      <c r="C3805" s="1" t="s">
        <v>3134</v>
      </c>
      <c r="D3805" s="1" t="s">
        <v>3478</v>
      </c>
      <c r="E3805" s="1"/>
      <c r="F3805">
        <v>0</v>
      </c>
      <c r="G3805">
        <v>0</v>
      </c>
      <c r="H3805">
        <v>5</v>
      </c>
      <c r="I3805">
        <v>0</v>
      </c>
      <c r="J3805">
        <v>1</v>
      </c>
      <c r="K3805" s="2">
        <v>45775</v>
      </c>
    </row>
    <row r="3806" spans="1:11" x14ac:dyDescent="0.25">
      <c r="A3806" s="1" t="s">
        <v>773</v>
      </c>
      <c r="B3806" s="1"/>
      <c r="C3806" s="1" t="s">
        <v>3268</v>
      </c>
      <c r="D3806" s="1" t="s">
        <v>3438</v>
      </c>
      <c r="E3806" s="1"/>
      <c r="F3806">
        <v>0.5</v>
      </c>
      <c r="G3806">
        <v>0.2</v>
      </c>
      <c r="H3806">
        <v>20</v>
      </c>
      <c r="I3806">
        <v>0</v>
      </c>
      <c r="J3806">
        <v>1</v>
      </c>
      <c r="K3806" s="2">
        <v>45775</v>
      </c>
    </row>
    <row r="3807" spans="1:11" x14ac:dyDescent="0.25">
      <c r="A3807" s="1" t="s">
        <v>773</v>
      </c>
      <c r="B3807" s="1"/>
      <c r="C3807" s="1" t="s">
        <v>3019</v>
      </c>
      <c r="D3807" s="1" t="s">
        <v>3437</v>
      </c>
      <c r="E3807" s="1"/>
      <c r="F3807">
        <v>0.8</v>
      </c>
      <c r="G3807">
        <v>0.3</v>
      </c>
      <c r="H3807">
        <v>30</v>
      </c>
      <c r="I3807">
        <v>0</v>
      </c>
      <c r="J3807">
        <v>1</v>
      </c>
      <c r="K3807" s="2">
        <v>45775</v>
      </c>
    </row>
    <row r="3808" spans="1:11" x14ac:dyDescent="0.25">
      <c r="A3808" s="1" t="s">
        <v>773</v>
      </c>
      <c r="B3808" s="1"/>
      <c r="C3808" s="1" t="s">
        <v>3268</v>
      </c>
      <c r="D3808" s="1" t="s">
        <v>3438</v>
      </c>
      <c r="E3808" s="1"/>
      <c r="F3808">
        <v>0.3</v>
      </c>
      <c r="G3808">
        <v>0.2</v>
      </c>
      <c r="H3808">
        <v>5</v>
      </c>
      <c r="I3808">
        <v>0</v>
      </c>
      <c r="J3808">
        <v>1</v>
      </c>
      <c r="K3808" s="2">
        <v>45775</v>
      </c>
    </row>
    <row r="3809" spans="1:11" x14ac:dyDescent="0.25">
      <c r="A3809" s="1" t="s">
        <v>773</v>
      </c>
      <c r="B3809" s="1"/>
      <c r="C3809" s="1" t="s">
        <v>3315</v>
      </c>
      <c r="D3809" s="1" t="s">
        <v>3438</v>
      </c>
      <c r="E3809" s="1"/>
      <c r="F3809">
        <v>0.3</v>
      </c>
      <c r="G3809">
        <v>0.4</v>
      </c>
      <c r="H3809">
        <v>-5</v>
      </c>
      <c r="I3809">
        <v>0</v>
      </c>
      <c r="J3809">
        <v>1</v>
      </c>
      <c r="K3809" s="2">
        <v>45775</v>
      </c>
    </row>
    <row r="3810" spans="1:11" x14ac:dyDescent="0.25">
      <c r="A3810" s="1" t="s">
        <v>773</v>
      </c>
      <c r="B3810" s="1"/>
      <c r="C3810" s="1" t="s">
        <v>3004</v>
      </c>
      <c r="D3810" s="1" t="s">
        <v>3438</v>
      </c>
      <c r="E3810" s="1"/>
      <c r="F3810">
        <v>1.7</v>
      </c>
      <c r="G3810">
        <v>0.5</v>
      </c>
      <c r="H3810">
        <v>75</v>
      </c>
      <c r="I3810">
        <v>0</v>
      </c>
      <c r="J3810">
        <v>1</v>
      </c>
      <c r="K3810" s="2">
        <v>45776</v>
      </c>
    </row>
    <row r="3811" spans="1:11" x14ac:dyDescent="0.25">
      <c r="A3811" s="1" t="s">
        <v>773</v>
      </c>
      <c r="B3811" s="1"/>
      <c r="C3811" s="1" t="s">
        <v>3316</v>
      </c>
      <c r="D3811" s="1" t="s">
        <v>3480</v>
      </c>
      <c r="E3811" s="1"/>
      <c r="F3811">
        <v>0.5</v>
      </c>
      <c r="G3811">
        <v>0</v>
      </c>
      <c r="H3811">
        <v>35</v>
      </c>
      <c r="I3811">
        <v>0</v>
      </c>
      <c r="J3811">
        <v>1</v>
      </c>
      <c r="K3811" s="2">
        <v>45777</v>
      </c>
    </row>
    <row r="3812" spans="1:11" x14ac:dyDescent="0.25">
      <c r="A3812" s="1" t="s">
        <v>773</v>
      </c>
      <c r="B3812" s="1"/>
      <c r="C3812" s="1" t="s">
        <v>2924</v>
      </c>
      <c r="D3812" s="1" t="s">
        <v>3444</v>
      </c>
      <c r="E3812" s="1"/>
      <c r="F3812">
        <v>0</v>
      </c>
      <c r="G3812">
        <v>0.5</v>
      </c>
      <c r="H3812">
        <v>-25</v>
      </c>
      <c r="I3812">
        <v>0</v>
      </c>
      <c r="J3812">
        <v>1</v>
      </c>
      <c r="K3812" s="2">
        <v>45778</v>
      </c>
    </row>
    <row r="3813" spans="1:11" x14ac:dyDescent="0.25">
      <c r="A3813" s="1" t="s">
        <v>773</v>
      </c>
      <c r="B3813" s="1"/>
      <c r="C3813" s="1" t="s">
        <v>3317</v>
      </c>
      <c r="D3813" s="1" t="s">
        <v>3451</v>
      </c>
      <c r="E3813" s="1"/>
      <c r="F3813">
        <v>0.5</v>
      </c>
      <c r="G3813">
        <v>0</v>
      </c>
      <c r="H3813">
        <v>30</v>
      </c>
      <c r="I3813">
        <v>0</v>
      </c>
      <c r="J3813">
        <v>1</v>
      </c>
      <c r="K3813" s="2">
        <v>45778</v>
      </c>
    </row>
    <row r="3814" spans="1:11" x14ac:dyDescent="0.25">
      <c r="A3814" s="1" t="s">
        <v>774</v>
      </c>
      <c r="B3814" s="1"/>
      <c r="C3814" s="1" t="s">
        <v>2808</v>
      </c>
      <c r="D3814" s="1" t="s">
        <v>3370</v>
      </c>
      <c r="E3814" s="1"/>
      <c r="F3814">
        <v>0</v>
      </c>
      <c r="G3814">
        <v>0</v>
      </c>
      <c r="H3814">
        <v>0</v>
      </c>
      <c r="I3814">
        <v>0</v>
      </c>
      <c r="J3814">
        <v>1</v>
      </c>
      <c r="K3814" s="2">
        <v>45777</v>
      </c>
    </row>
    <row r="3815" spans="1:11" x14ac:dyDescent="0.25">
      <c r="A3815" s="1" t="s">
        <v>774</v>
      </c>
      <c r="B3815" s="1"/>
      <c r="C3815" s="1" t="s">
        <v>3134</v>
      </c>
      <c r="D3815" s="1" t="s">
        <v>3478</v>
      </c>
      <c r="E3815" s="1"/>
      <c r="F3815">
        <v>0</v>
      </c>
      <c r="G3815">
        <v>0</v>
      </c>
      <c r="H3815">
        <v>5</v>
      </c>
      <c r="I3815">
        <v>0</v>
      </c>
      <c r="J3815">
        <v>1</v>
      </c>
      <c r="K3815" s="2">
        <v>45775</v>
      </c>
    </row>
    <row r="3816" spans="1:11" x14ac:dyDescent="0.25">
      <c r="A3816" s="1" t="s">
        <v>774</v>
      </c>
      <c r="B3816" s="1"/>
      <c r="C3816" s="1" t="s">
        <v>3268</v>
      </c>
      <c r="D3816" s="1" t="s">
        <v>3438</v>
      </c>
      <c r="E3816" s="1"/>
      <c r="F3816">
        <v>0.5</v>
      </c>
      <c r="G3816">
        <v>0.3</v>
      </c>
      <c r="H3816">
        <v>20</v>
      </c>
      <c r="I3816">
        <v>0</v>
      </c>
      <c r="J3816">
        <v>1</v>
      </c>
      <c r="K3816" s="2">
        <v>45775</v>
      </c>
    </row>
    <row r="3817" spans="1:11" x14ac:dyDescent="0.25">
      <c r="A3817" s="1" t="s">
        <v>774</v>
      </c>
      <c r="B3817" s="1"/>
      <c r="C3817" s="1" t="s">
        <v>3019</v>
      </c>
      <c r="D3817" s="1" t="s">
        <v>3437</v>
      </c>
      <c r="E3817" s="1"/>
      <c r="F3817">
        <v>0.8</v>
      </c>
      <c r="G3817">
        <v>0.3</v>
      </c>
      <c r="H3817">
        <v>30</v>
      </c>
      <c r="I3817">
        <v>0</v>
      </c>
      <c r="J3817">
        <v>1</v>
      </c>
      <c r="K3817" s="2">
        <v>45775</v>
      </c>
    </row>
    <row r="3818" spans="1:11" x14ac:dyDescent="0.25">
      <c r="A3818" s="1" t="s">
        <v>774</v>
      </c>
      <c r="B3818" s="1"/>
      <c r="C3818" s="1" t="s">
        <v>3268</v>
      </c>
      <c r="D3818" s="1" t="s">
        <v>3438</v>
      </c>
      <c r="E3818" s="1"/>
      <c r="F3818">
        <v>0.3</v>
      </c>
      <c r="G3818">
        <v>0</v>
      </c>
      <c r="H3818">
        <v>20</v>
      </c>
      <c r="I3818">
        <v>0</v>
      </c>
      <c r="J3818">
        <v>1</v>
      </c>
      <c r="K3818" s="2">
        <v>45775</v>
      </c>
    </row>
    <row r="3819" spans="1:11" x14ac:dyDescent="0.25">
      <c r="A3819" s="1" t="s">
        <v>774</v>
      </c>
      <c r="B3819" s="1"/>
      <c r="C3819" s="1" t="s">
        <v>3315</v>
      </c>
      <c r="D3819" s="1" t="s">
        <v>3438</v>
      </c>
      <c r="E3819" s="1"/>
      <c r="F3819">
        <v>0.3</v>
      </c>
      <c r="G3819">
        <v>0.4</v>
      </c>
      <c r="H3819">
        <v>0</v>
      </c>
      <c r="I3819">
        <v>0</v>
      </c>
      <c r="J3819">
        <v>1</v>
      </c>
      <c r="K3819" s="2">
        <v>45775</v>
      </c>
    </row>
    <row r="3820" spans="1:11" x14ac:dyDescent="0.25">
      <c r="A3820" s="1" t="s">
        <v>774</v>
      </c>
      <c r="B3820" s="1"/>
      <c r="C3820" s="1" t="s">
        <v>3004</v>
      </c>
      <c r="D3820" s="1" t="s">
        <v>3438</v>
      </c>
      <c r="E3820" s="1"/>
      <c r="F3820">
        <v>1.7</v>
      </c>
      <c r="G3820">
        <v>0.6</v>
      </c>
      <c r="H3820">
        <v>65</v>
      </c>
      <c r="I3820">
        <v>0</v>
      </c>
      <c r="J3820">
        <v>1</v>
      </c>
      <c r="K3820" s="2">
        <v>45776</v>
      </c>
    </row>
    <row r="3821" spans="1:11" x14ac:dyDescent="0.25">
      <c r="A3821" s="1" t="s">
        <v>774</v>
      </c>
      <c r="B3821" s="1"/>
      <c r="C3821" s="1" t="s">
        <v>3316</v>
      </c>
      <c r="D3821" s="1" t="s">
        <v>3480</v>
      </c>
      <c r="E3821" s="1"/>
      <c r="F3821">
        <v>0.5</v>
      </c>
      <c r="G3821">
        <v>0</v>
      </c>
      <c r="H3821">
        <v>35</v>
      </c>
      <c r="I3821">
        <v>0</v>
      </c>
      <c r="J3821">
        <v>1</v>
      </c>
      <c r="K3821" s="2">
        <v>45777</v>
      </c>
    </row>
    <row r="3822" spans="1:11" x14ac:dyDescent="0.25">
      <c r="A3822" s="1" t="s">
        <v>774</v>
      </c>
      <c r="B3822" s="1"/>
      <c r="C3822" s="1" t="s">
        <v>2924</v>
      </c>
      <c r="D3822" s="1" t="s">
        <v>3444</v>
      </c>
      <c r="E3822" s="1"/>
      <c r="F3822">
        <v>0</v>
      </c>
      <c r="G3822">
        <v>0.6</v>
      </c>
      <c r="H3822">
        <v>-35</v>
      </c>
      <c r="I3822">
        <v>0</v>
      </c>
      <c r="J3822">
        <v>1</v>
      </c>
      <c r="K3822" s="2">
        <v>45778</v>
      </c>
    </row>
    <row r="3823" spans="1:11" x14ac:dyDescent="0.25">
      <c r="A3823" s="1" t="s">
        <v>774</v>
      </c>
      <c r="B3823" s="1"/>
      <c r="C3823" s="1" t="s">
        <v>3317</v>
      </c>
      <c r="D3823" s="1" t="s">
        <v>3451</v>
      </c>
      <c r="E3823" s="1"/>
      <c r="F3823">
        <v>0.5</v>
      </c>
      <c r="G3823">
        <v>0</v>
      </c>
      <c r="H3823">
        <v>30</v>
      </c>
      <c r="I3823">
        <v>0</v>
      </c>
      <c r="J3823">
        <v>1</v>
      </c>
      <c r="K3823" s="2">
        <v>45778</v>
      </c>
    </row>
    <row r="3824" spans="1:11" x14ac:dyDescent="0.25">
      <c r="A3824" s="1" t="s">
        <v>669</v>
      </c>
      <c r="B3824" s="1"/>
      <c r="C3824" s="1" t="s">
        <v>2808</v>
      </c>
      <c r="D3824" s="1" t="s">
        <v>3370</v>
      </c>
      <c r="E3824" s="1"/>
      <c r="F3824">
        <v>0</v>
      </c>
      <c r="G3824">
        <v>0</v>
      </c>
      <c r="H3824">
        <v>0</v>
      </c>
      <c r="I3824">
        <v>0</v>
      </c>
      <c r="J3824">
        <v>1</v>
      </c>
      <c r="K3824" s="2">
        <v>45770</v>
      </c>
    </row>
    <row r="3825" spans="1:11" x14ac:dyDescent="0.25">
      <c r="A3825" s="1" t="s">
        <v>669</v>
      </c>
      <c r="B3825" s="1"/>
      <c r="C3825" s="1" t="s">
        <v>3134</v>
      </c>
      <c r="D3825" s="1" t="s">
        <v>3478</v>
      </c>
      <c r="E3825" s="1"/>
      <c r="F3825">
        <v>0</v>
      </c>
      <c r="G3825">
        <v>0</v>
      </c>
      <c r="H3825">
        <v>5</v>
      </c>
      <c r="I3825">
        <v>0</v>
      </c>
      <c r="J3825">
        <v>1</v>
      </c>
      <c r="K3825" s="2">
        <v>45764</v>
      </c>
    </row>
    <row r="3826" spans="1:11" x14ac:dyDescent="0.25">
      <c r="A3826" s="1" t="s">
        <v>669</v>
      </c>
      <c r="B3826" s="1"/>
      <c r="C3826" s="1" t="s">
        <v>3268</v>
      </c>
      <c r="D3826" s="1" t="s">
        <v>3438</v>
      </c>
      <c r="E3826" s="1"/>
      <c r="F3826">
        <v>0.5</v>
      </c>
      <c r="G3826">
        <v>0.3</v>
      </c>
      <c r="H3826">
        <v>15</v>
      </c>
      <c r="I3826">
        <v>0</v>
      </c>
      <c r="J3826">
        <v>1</v>
      </c>
      <c r="K3826" s="2">
        <v>45764</v>
      </c>
    </row>
    <row r="3827" spans="1:11" x14ac:dyDescent="0.25">
      <c r="A3827" s="1" t="s">
        <v>669</v>
      </c>
      <c r="B3827" s="1"/>
      <c r="C3827" s="1" t="s">
        <v>3019</v>
      </c>
      <c r="D3827" s="1" t="s">
        <v>3437</v>
      </c>
      <c r="E3827" s="1"/>
      <c r="F3827">
        <v>0.8</v>
      </c>
      <c r="G3827">
        <v>0.8</v>
      </c>
      <c r="H3827">
        <v>-5</v>
      </c>
      <c r="I3827">
        <v>0</v>
      </c>
      <c r="J3827">
        <v>1</v>
      </c>
      <c r="K3827" s="2">
        <v>45764</v>
      </c>
    </row>
    <row r="3828" spans="1:11" x14ac:dyDescent="0.25">
      <c r="A3828" s="1" t="s">
        <v>669</v>
      </c>
      <c r="B3828" s="1"/>
      <c r="C3828" s="1" t="s">
        <v>3268</v>
      </c>
      <c r="D3828" s="1" t="s">
        <v>3438</v>
      </c>
      <c r="E3828" s="1"/>
      <c r="F3828">
        <v>0.3</v>
      </c>
      <c r="G3828">
        <v>0.3</v>
      </c>
      <c r="H3828">
        <v>0</v>
      </c>
      <c r="I3828">
        <v>0</v>
      </c>
      <c r="J3828">
        <v>1</v>
      </c>
      <c r="K3828" s="2">
        <v>45765</v>
      </c>
    </row>
    <row r="3829" spans="1:11" x14ac:dyDescent="0.25">
      <c r="A3829" s="1" t="s">
        <v>669</v>
      </c>
      <c r="B3829" s="1"/>
      <c r="C3829" s="1" t="s">
        <v>3315</v>
      </c>
      <c r="D3829" s="1" t="s">
        <v>3438</v>
      </c>
      <c r="E3829" s="1"/>
      <c r="F3829">
        <v>0.3</v>
      </c>
      <c r="G3829">
        <v>0.7</v>
      </c>
      <c r="H3829">
        <v>-20</v>
      </c>
      <c r="I3829">
        <v>0</v>
      </c>
      <c r="J3829">
        <v>1</v>
      </c>
      <c r="K3829" s="2">
        <v>45765</v>
      </c>
    </row>
    <row r="3830" spans="1:11" x14ac:dyDescent="0.25">
      <c r="A3830" s="1" t="s">
        <v>669</v>
      </c>
      <c r="B3830" s="1"/>
      <c r="C3830" s="1" t="s">
        <v>3004</v>
      </c>
      <c r="D3830" s="1" t="s">
        <v>3438</v>
      </c>
      <c r="E3830" s="1"/>
      <c r="F3830">
        <v>1.7</v>
      </c>
      <c r="G3830">
        <v>1.2</v>
      </c>
      <c r="H3830">
        <v>30</v>
      </c>
      <c r="I3830">
        <v>0</v>
      </c>
      <c r="J3830">
        <v>1</v>
      </c>
      <c r="K3830" s="2">
        <v>45769</v>
      </c>
    </row>
    <row r="3831" spans="1:11" x14ac:dyDescent="0.25">
      <c r="A3831" s="1" t="s">
        <v>669</v>
      </c>
      <c r="B3831" s="1"/>
      <c r="C3831" s="1" t="s">
        <v>3318</v>
      </c>
      <c r="D3831" s="1" t="s">
        <v>3479</v>
      </c>
      <c r="E3831" s="1"/>
      <c r="F3831">
        <v>0.3</v>
      </c>
      <c r="G3831">
        <v>0</v>
      </c>
      <c r="H3831">
        <v>20</v>
      </c>
      <c r="I3831">
        <v>0</v>
      </c>
      <c r="J3831">
        <v>1</v>
      </c>
      <c r="K3831" s="2">
        <v>45771</v>
      </c>
    </row>
    <row r="3832" spans="1:11" x14ac:dyDescent="0.25">
      <c r="A3832" s="1" t="s">
        <v>669</v>
      </c>
      <c r="B3832" s="1"/>
      <c r="C3832" s="1" t="s">
        <v>2924</v>
      </c>
      <c r="D3832" s="1" t="s">
        <v>3444</v>
      </c>
      <c r="E3832" s="1"/>
      <c r="F3832">
        <v>0</v>
      </c>
      <c r="G3832">
        <v>0.2</v>
      </c>
      <c r="H3832">
        <v>-5</v>
      </c>
      <c r="I3832">
        <v>0</v>
      </c>
      <c r="J3832">
        <v>1</v>
      </c>
      <c r="K3832" s="2">
        <v>45771</v>
      </c>
    </row>
    <row r="3833" spans="1:11" x14ac:dyDescent="0.25">
      <c r="A3833" s="1" t="s">
        <v>669</v>
      </c>
      <c r="B3833" s="1"/>
      <c r="C3833" s="1" t="s">
        <v>3317</v>
      </c>
      <c r="D3833" s="1" t="s">
        <v>3451</v>
      </c>
      <c r="E3833" s="1"/>
      <c r="F3833">
        <v>0.5</v>
      </c>
      <c r="G3833">
        <v>0.1</v>
      </c>
      <c r="H3833">
        <v>20</v>
      </c>
      <c r="I3833">
        <v>0</v>
      </c>
      <c r="J3833">
        <v>1</v>
      </c>
      <c r="K3833" s="2">
        <v>45780</v>
      </c>
    </row>
    <row r="3834" spans="1:11" x14ac:dyDescent="0.25">
      <c r="A3834" s="1" t="s">
        <v>670</v>
      </c>
      <c r="B3834" s="1"/>
      <c r="C3834" s="1" t="s">
        <v>2808</v>
      </c>
      <c r="D3834" s="1" t="s">
        <v>3370</v>
      </c>
      <c r="E3834" s="1"/>
      <c r="F3834">
        <v>0</v>
      </c>
      <c r="G3834">
        <v>0</v>
      </c>
      <c r="H3834">
        <v>0</v>
      </c>
      <c r="I3834">
        <v>0</v>
      </c>
      <c r="J3834">
        <v>1</v>
      </c>
      <c r="K3834" s="2">
        <v>45770</v>
      </c>
    </row>
    <row r="3835" spans="1:11" x14ac:dyDescent="0.25">
      <c r="A3835" s="1" t="s">
        <v>670</v>
      </c>
      <c r="B3835" s="1"/>
      <c r="C3835" s="1" t="s">
        <v>3134</v>
      </c>
      <c r="D3835" s="1" t="s">
        <v>3478</v>
      </c>
      <c r="E3835" s="1"/>
      <c r="F3835">
        <v>0</v>
      </c>
      <c r="G3835">
        <v>0</v>
      </c>
      <c r="H3835">
        <v>5</v>
      </c>
      <c r="I3835">
        <v>0</v>
      </c>
      <c r="J3835">
        <v>1</v>
      </c>
      <c r="K3835" s="2">
        <v>45764</v>
      </c>
    </row>
    <row r="3836" spans="1:11" x14ac:dyDescent="0.25">
      <c r="A3836" s="1" t="s">
        <v>670</v>
      </c>
      <c r="B3836" s="1"/>
      <c r="C3836" s="1" t="s">
        <v>3268</v>
      </c>
      <c r="D3836" s="1" t="s">
        <v>3438</v>
      </c>
      <c r="E3836" s="1"/>
      <c r="F3836">
        <v>0.5</v>
      </c>
      <c r="G3836">
        <v>0.2</v>
      </c>
      <c r="H3836">
        <v>20</v>
      </c>
      <c r="I3836">
        <v>0</v>
      </c>
      <c r="J3836">
        <v>1</v>
      </c>
      <c r="K3836" s="2">
        <v>45764</v>
      </c>
    </row>
    <row r="3837" spans="1:11" x14ac:dyDescent="0.25">
      <c r="A3837" s="1" t="s">
        <v>670</v>
      </c>
      <c r="B3837" s="1"/>
      <c r="C3837" s="1" t="s">
        <v>3019</v>
      </c>
      <c r="D3837" s="1" t="s">
        <v>3437</v>
      </c>
      <c r="E3837" s="1"/>
      <c r="F3837">
        <v>0.8</v>
      </c>
      <c r="G3837">
        <v>0.9</v>
      </c>
      <c r="H3837">
        <v>-5</v>
      </c>
      <c r="I3837">
        <v>0</v>
      </c>
      <c r="J3837">
        <v>1</v>
      </c>
      <c r="K3837" s="2">
        <v>45764</v>
      </c>
    </row>
    <row r="3838" spans="1:11" x14ac:dyDescent="0.25">
      <c r="A3838" s="1" t="s">
        <v>670</v>
      </c>
      <c r="B3838" s="1"/>
      <c r="C3838" s="1" t="s">
        <v>3268</v>
      </c>
      <c r="D3838" s="1" t="s">
        <v>3438</v>
      </c>
      <c r="E3838" s="1"/>
      <c r="F3838">
        <v>0.3</v>
      </c>
      <c r="G3838">
        <v>0.3</v>
      </c>
      <c r="H3838">
        <v>5</v>
      </c>
      <c r="I3838">
        <v>0</v>
      </c>
      <c r="J3838">
        <v>1</v>
      </c>
      <c r="K3838" s="2">
        <v>45765</v>
      </c>
    </row>
    <row r="3839" spans="1:11" x14ac:dyDescent="0.25">
      <c r="A3839" s="1" t="s">
        <v>670</v>
      </c>
      <c r="B3839" s="1"/>
      <c r="C3839" s="1" t="s">
        <v>3315</v>
      </c>
      <c r="D3839" s="1" t="s">
        <v>3438</v>
      </c>
      <c r="E3839" s="1"/>
      <c r="F3839">
        <v>0.3</v>
      </c>
      <c r="G3839">
        <v>0.7</v>
      </c>
      <c r="H3839">
        <v>-20</v>
      </c>
      <c r="I3839">
        <v>0</v>
      </c>
      <c r="J3839">
        <v>1</v>
      </c>
      <c r="K3839" s="2">
        <v>45765</v>
      </c>
    </row>
    <row r="3840" spans="1:11" x14ac:dyDescent="0.25">
      <c r="A3840" s="1" t="s">
        <v>670</v>
      </c>
      <c r="B3840" s="1"/>
      <c r="C3840" s="1" t="s">
        <v>3004</v>
      </c>
      <c r="D3840" s="1" t="s">
        <v>3438</v>
      </c>
      <c r="E3840" s="1"/>
      <c r="F3840">
        <v>1.7</v>
      </c>
      <c r="G3840">
        <v>0.8</v>
      </c>
      <c r="H3840">
        <v>55</v>
      </c>
      <c r="I3840">
        <v>0</v>
      </c>
      <c r="J3840">
        <v>1</v>
      </c>
      <c r="K3840" s="2">
        <v>45769</v>
      </c>
    </row>
    <row r="3841" spans="1:11" x14ac:dyDescent="0.25">
      <c r="A3841" s="1" t="s">
        <v>670</v>
      </c>
      <c r="B3841" s="1"/>
      <c r="C3841" s="1" t="s">
        <v>3318</v>
      </c>
      <c r="D3841" s="1" t="s">
        <v>3479</v>
      </c>
      <c r="E3841" s="1"/>
      <c r="F3841">
        <v>0.3</v>
      </c>
      <c r="G3841">
        <v>0</v>
      </c>
      <c r="H3841">
        <v>20</v>
      </c>
      <c r="I3841">
        <v>0</v>
      </c>
      <c r="J3841">
        <v>1</v>
      </c>
      <c r="K3841" s="2">
        <v>45771</v>
      </c>
    </row>
    <row r="3842" spans="1:11" x14ac:dyDescent="0.25">
      <c r="A3842" s="1" t="s">
        <v>670</v>
      </c>
      <c r="B3842" s="1"/>
      <c r="C3842" s="1" t="s">
        <v>2924</v>
      </c>
      <c r="D3842" s="1" t="s">
        <v>3444</v>
      </c>
      <c r="E3842" s="1"/>
      <c r="F3842">
        <v>0</v>
      </c>
      <c r="G3842">
        <v>0.1</v>
      </c>
      <c r="H3842">
        <v>-5</v>
      </c>
      <c r="I3842">
        <v>0</v>
      </c>
      <c r="J3842">
        <v>1</v>
      </c>
      <c r="K3842" s="2">
        <v>45771</v>
      </c>
    </row>
    <row r="3843" spans="1:11" x14ac:dyDescent="0.25">
      <c r="A3843" s="1" t="s">
        <v>670</v>
      </c>
      <c r="B3843" s="1"/>
      <c r="C3843" s="1" t="s">
        <v>3317</v>
      </c>
      <c r="D3843" s="1" t="s">
        <v>3451</v>
      </c>
      <c r="E3843" s="1"/>
      <c r="F3843">
        <v>0.5</v>
      </c>
      <c r="G3843">
        <v>0.1</v>
      </c>
      <c r="H3843">
        <v>20</v>
      </c>
      <c r="I3843">
        <v>0</v>
      </c>
      <c r="J3843">
        <v>1</v>
      </c>
      <c r="K3843" s="2">
        <v>45775</v>
      </c>
    </row>
    <row r="3844" spans="1:11" x14ac:dyDescent="0.25">
      <c r="A3844" s="1" t="s">
        <v>791</v>
      </c>
      <c r="B3844" s="1"/>
      <c r="C3844" s="1" t="s">
        <v>2808</v>
      </c>
      <c r="D3844" s="1" t="s">
        <v>3370</v>
      </c>
      <c r="E3844" s="1"/>
      <c r="F3844">
        <v>0</v>
      </c>
      <c r="G3844">
        <v>0</v>
      </c>
      <c r="H3844">
        <v>0</v>
      </c>
      <c r="I3844">
        <v>0</v>
      </c>
      <c r="J3844">
        <v>1</v>
      </c>
      <c r="K3844" s="2">
        <v>45779</v>
      </c>
    </row>
    <row r="3845" spans="1:11" x14ac:dyDescent="0.25">
      <c r="A3845" s="1" t="s">
        <v>791</v>
      </c>
      <c r="B3845" s="1"/>
      <c r="C3845" s="1" t="s">
        <v>3134</v>
      </c>
      <c r="D3845" s="1" t="s">
        <v>3478</v>
      </c>
      <c r="E3845" s="1"/>
      <c r="F3845">
        <v>0</v>
      </c>
      <c r="G3845">
        <v>0</v>
      </c>
      <c r="H3845">
        <v>5</v>
      </c>
      <c r="I3845">
        <v>0</v>
      </c>
      <c r="J3845">
        <v>1</v>
      </c>
      <c r="K3845" s="2">
        <v>45776</v>
      </c>
    </row>
    <row r="3846" spans="1:11" x14ac:dyDescent="0.25">
      <c r="A3846" s="1" t="s">
        <v>791</v>
      </c>
      <c r="B3846" s="1"/>
      <c r="C3846" s="1" t="s">
        <v>3268</v>
      </c>
      <c r="D3846" s="1" t="s">
        <v>3438</v>
      </c>
      <c r="E3846" s="1"/>
      <c r="F3846">
        <v>0.5</v>
      </c>
      <c r="G3846">
        <v>0.2</v>
      </c>
      <c r="H3846">
        <v>25</v>
      </c>
      <c r="I3846">
        <v>0</v>
      </c>
      <c r="J3846">
        <v>1</v>
      </c>
      <c r="K3846" s="2">
        <v>45776</v>
      </c>
    </row>
    <row r="3847" spans="1:11" x14ac:dyDescent="0.25">
      <c r="A3847" s="1" t="s">
        <v>791</v>
      </c>
      <c r="B3847" s="1"/>
      <c r="C3847" s="1" t="s">
        <v>3019</v>
      </c>
      <c r="D3847" s="1" t="s">
        <v>3437</v>
      </c>
      <c r="E3847" s="1"/>
      <c r="F3847">
        <v>0.8</v>
      </c>
      <c r="G3847">
        <v>1</v>
      </c>
      <c r="H3847">
        <v>-15</v>
      </c>
      <c r="I3847">
        <v>0</v>
      </c>
      <c r="J3847">
        <v>1</v>
      </c>
      <c r="K3847" s="2">
        <v>45776</v>
      </c>
    </row>
    <row r="3848" spans="1:11" x14ac:dyDescent="0.25">
      <c r="A3848" s="1" t="s">
        <v>791</v>
      </c>
      <c r="B3848" s="1"/>
      <c r="C3848" s="1" t="s">
        <v>3268</v>
      </c>
      <c r="D3848" s="1" t="s">
        <v>3438</v>
      </c>
      <c r="E3848" s="1"/>
      <c r="F3848">
        <v>0.3</v>
      </c>
      <c r="G3848">
        <v>0.3</v>
      </c>
      <c r="H3848">
        <v>0</v>
      </c>
      <c r="I3848">
        <v>0</v>
      </c>
      <c r="J3848">
        <v>1</v>
      </c>
      <c r="K3848" s="2">
        <v>45777</v>
      </c>
    </row>
    <row r="3849" spans="1:11" x14ac:dyDescent="0.25">
      <c r="A3849" s="1" t="s">
        <v>791</v>
      </c>
      <c r="B3849" s="1"/>
      <c r="C3849" s="1" t="s">
        <v>3315</v>
      </c>
      <c r="D3849" s="1" t="s">
        <v>3438</v>
      </c>
      <c r="E3849" s="1"/>
      <c r="F3849">
        <v>0.3</v>
      </c>
      <c r="G3849">
        <v>0.3</v>
      </c>
      <c r="H3849">
        <v>5</v>
      </c>
      <c r="I3849">
        <v>0</v>
      </c>
      <c r="J3849">
        <v>1</v>
      </c>
      <c r="K3849" s="2">
        <v>45777</v>
      </c>
    </row>
    <row r="3850" spans="1:11" x14ac:dyDescent="0.25">
      <c r="A3850" s="1" t="s">
        <v>791</v>
      </c>
      <c r="B3850" s="1"/>
      <c r="C3850" s="1" t="s">
        <v>3004</v>
      </c>
      <c r="D3850" s="1" t="s">
        <v>3438</v>
      </c>
      <c r="E3850" s="1"/>
      <c r="F3850">
        <v>1.7</v>
      </c>
      <c r="G3850">
        <v>1</v>
      </c>
      <c r="H3850">
        <v>45</v>
      </c>
      <c r="I3850">
        <v>0</v>
      </c>
      <c r="J3850">
        <v>1</v>
      </c>
      <c r="K3850" s="2">
        <v>45778</v>
      </c>
    </row>
    <row r="3851" spans="1:11" x14ac:dyDescent="0.25">
      <c r="A3851" s="1" t="s">
        <v>791</v>
      </c>
      <c r="B3851" s="1"/>
      <c r="C3851" s="1" t="s">
        <v>3318</v>
      </c>
      <c r="D3851" s="1" t="s">
        <v>3479</v>
      </c>
      <c r="E3851" s="1"/>
      <c r="F3851">
        <v>0.3</v>
      </c>
      <c r="G3851">
        <v>0</v>
      </c>
      <c r="H3851">
        <v>20</v>
      </c>
      <c r="I3851">
        <v>0</v>
      </c>
      <c r="J3851">
        <v>1</v>
      </c>
      <c r="K3851" s="2">
        <v>45779</v>
      </c>
    </row>
    <row r="3852" spans="1:11" x14ac:dyDescent="0.25">
      <c r="A3852" s="1" t="s">
        <v>791</v>
      </c>
      <c r="B3852" s="1"/>
      <c r="C3852" s="1" t="s">
        <v>2924</v>
      </c>
      <c r="D3852" s="1" t="s">
        <v>3444</v>
      </c>
      <c r="E3852" s="1"/>
      <c r="F3852">
        <v>0</v>
      </c>
      <c r="G3852">
        <v>0.2</v>
      </c>
      <c r="H3852">
        <v>-10</v>
      </c>
      <c r="I3852">
        <v>0</v>
      </c>
      <c r="J3852">
        <v>1</v>
      </c>
      <c r="K3852" s="2">
        <v>45779</v>
      </c>
    </row>
    <row r="3853" spans="1:11" x14ac:dyDescent="0.25">
      <c r="A3853" s="1" t="s">
        <v>791</v>
      </c>
      <c r="B3853" s="1"/>
      <c r="C3853" s="1" t="s">
        <v>3317</v>
      </c>
      <c r="D3853" s="1" t="s">
        <v>3451</v>
      </c>
      <c r="E3853" s="1"/>
      <c r="F3853">
        <v>0.5</v>
      </c>
      <c r="G3853">
        <v>0.1</v>
      </c>
      <c r="H3853">
        <v>25</v>
      </c>
      <c r="I3853">
        <v>0</v>
      </c>
      <c r="J3853">
        <v>1</v>
      </c>
      <c r="K3853" s="2">
        <v>45782</v>
      </c>
    </row>
    <row r="3854" spans="1:11" x14ac:dyDescent="0.25">
      <c r="A3854" s="1" t="s">
        <v>787</v>
      </c>
      <c r="B3854" s="1"/>
      <c r="C3854" s="1" t="s">
        <v>2808</v>
      </c>
      <c r="D3854" s="1" t="s">
        <v>3370</v>
      </c>
      <c r="E3854" s="1"/>
      <c r="F3854">
        <v>0</v>
      </c>
      <c r="G3854">
        <v>0</v>
      </c>
      <c r="H3854">
        <v>0</v>
      </c>
      <c r="I3854">
        <v>0</v>
      </c>
      <c r="J3854">
        <v>1</v>
      </c>
      <c r="K3854" s="2">
        <v>45778</v>
      </c>
    </row>
    <row r="3855" spans="1:11" x14ac:dyDescent="0.25">
      <c r="A3855" s="1" t="s">
        <v>787</v>
      </c>
      <c r="B3855" s="1"/>
      <c r="C3855" s="1" t="s">
        <v>3134</v>
      </c>
      <c r="D3855" s="1" t="s">
        <v>3478</v>
      </c>
      <c r="E3855" s="1"/>
      <c r="F3855">
        <v>0</v>
      </c>
      <c r="G3855">
        <v>0</v>
      </c>
      <c r="H3855">
        <v>5</v>
      </c>
      <c r="I3855">
        <v>0</v>
      </c>
      <c r="J3855">
        <v>1</v>
      </c>
      <c r="K3855" s="2">
        <v>45776</v>
      </c>
    </row>
    <row r="3856" spans="1:11" x14ac:dyDescent="0.25">
      <c r="A3856" s="1" t="s">
        <v>787</v>
      </c>
      <c r="B3856" s="1"/>
      <c r="C3856" s="1" t="s">
        <v>3268</v>
      </c>
      <c r="D3856" s="1" t="s">
        <v>3438</v>
      </c>
      <c r="E3856" s="1"/>
      <c r="F3856">
        <v>0.5</v>
      </c>
      <c r="G3856">
        <v>0.1</v>
      </c>
      <c r="H3856">
        <v>30</v>
      </c>
      <c r="I3856">
        <v>0</v>
      </c>
      <c r="J3856">
        <v>1</v>
      </c>
      <c r="K3856" s="2">
        <v>45776</v>
      </c>
    </row>
    <row r="3857" spans="1:11" x14ac:dyDescent="0.25">
      <c r="A3857" s="1" t="s">
        <v>787</v>
      </c>
      <c r="B3857" s="1"/>
      <c r="C3857" s="1" t="s">
        <v>3019</v>
      </c>
      <c r="D3857" s="1" t="s">
        <v>3437</v>
      </c>
      <c r="E3857" s="1"/>
      <c r="F3857">
        <v>0.8</v>
      </c>
      <c r="G3857">
        <v>0.6</v>
      </c>
      <c r="H3857">
        <v>15</v>
      </c>
      <c r="I3857">
        <v>0</v>
      </c>
      <c r="J3857">
        <v>1</v>
      </c>
      <c r="K3857" s="2">
        <v>45776</v>
      </c>
    </row>
    <row r="3858" spans="1:11" x14ac:dyDescent="0.25">
      <c r="A3858" s="1" t="s">
        <v>787</v>
      </c>
      <c r="B3858" s="1"/>
      <c r="C3858" s="1" t="s">
        <v>3268</v>
      </c>
      <c r="D3858" s="1" t="s">
        <v>3438</v>
      </c>
      <c r="E3858" s="1"/>
      <c r="F3858">
        <v>0.3</v>
      </c>
      <c r="G3858">
        <v>0.3</v>
      </c>
      <c r="H3858">
        <v>0</v>
      </c>
      <c r="I3858">
        <v>0</v>
      </c>
      <c r="J3858">
        <v>1</v>
      </c>
      <c r="K3858" s="2">
        <v>45777</v>
      </c>
    </row>
    <row r="3859" spans="1:11" x14ac:dyDescent="0.25">
      <c r="A3859" s="1" t="s">
        <v>787</v>
      </c>
      <c r="B3859" s="1"/>
      <c r="C3859" s="1" t="s">
        <v>3315</v>
      </c>
      <c r="D3859" s="1" t="s">
        <v>3438</v>
      </c>
      <c r="E3859" s="1"/>
      <c r="F3859">
        <v>0.3</v>
      </c>
      <c r="G3859">
        <v>0.3</v>
      </c>
      <c r="H3859">
        <v>5</v>
      </c>
      <c r="I3859">
        <v>0</v>
      </c>
      <c r="J3859">
        <v>1</v>
      </c>
      <c r="K3859" s="2">
        <v>45777</v>
      </c>
    </row>
    <row r="3860" spans="1:11" x14ac:dyDescent="0.25">
      <c r="A3860" s="1" t="s">
        <v>787</v>
      </c>
      <c r="B3860" s="1"/>
      <c r="C3860" s="1" t="s">
        <v>3004</v>
      </c>
      <c r="D3860" s="1" t="s">
        <v>3438</v>
      </c>
      <c r="E3860" s="1"/>
      <c r="F3860">
        <v>1.7</v>
      </c>
      <c r="G3860">
        <v>1</v>
      </c>
      <c r="H3860">
        <v>45</v>
      </c>
      <c r="I3860">
        <v>0</v>
      </c>
      <c r="J3860">
        <v>1</v>
      </c>
      <c r="K3860" s="2">
        <v>45778</v>
      </c>
    </row>
    <row r="3861" spans="1:11" x14ac:dyDescent="0.25">
      <c r="A3861" s="1" t="s">
        <v>787</v>
      </c>
      <c r="B3861" s="1"/>
      <c r="C3861" s="1" t="s">
        <v>3318</v>
      </c>
      <c r="D3861" s="1" t="s">
        <v>3479</v>
      </c>
      <c r="E3861" s="1"/>
      <c r="F3861">
        <v>0.3</v>
      </c>
      <c r="G3861">
        <v>0</v>
      </c>
      <c r="H3861">
        <v>15</v>
      </c>
      <c r="I3861">
        <v>0</v>
      </c>
      <c r="J3861">
        <v>1</v>
      </c>
      <c r="K3861" s="2">
        <v>45779</v>
      </c>
    </row>
    <row r="3862" spans="1:11" x14ac:dyDescent="0.25">
      <c r="A3862" s="1" t="s">
        <v>787</v>
      </c>
      <c r="B3862" s="1"/>
      <c r="C3862" s="1" t="s">
        <v>2924</v>
      </c>
      <c r="D3862" s="1" t="s">
        <v>3444</v>
      </c>
      <c r="E3862" s="1"/>
      <c r="F3862">
        <v>0</v>
      </c>
      <c r="G3862">
        <v>0.2</v>
      </c>
      <c r="H3862">
        <v>-10</v>
      </c>
      <c r="I3862">
        <v>0</v>
      </c>
      <c r="J3862">
        <v>1</v>
      </c>
      <c r="K3862" s="2">
        <v>45779</v>
      </c>
    </row>
    <row r="3863" spans="1:11" x14ac:dyDescent="0.25">
      <c r="A3863" s="1" t="s">
        <v>787</v>
      </c>
      <c r="B3863" s="1"/>
      <c r="C3863" s="1" t="s">
        <v>3317</v>
      </c>
      <c r="D3863" s="1" t="s">
        <v>3451</v>
      </c>
      <c r="E3863" s="1"/>
      <c r="F3863">
        <v>0.5</v>
      </c>
      <c r="G3863">
        <v>0</v>
      </c>
      <c r="H3863">
        <v>30</v>
      </c>
      <c r="I3863">
        <v>0</v>
      </c>
      <c r="J3863">
        <v>1</v>
      </c>
      <c r="K3863" s="2">
        <v>45782</v>
      </c>
    </row>
    <row r="3864" spans="1:11" x14ac:dyDescent="0.25">
      <c r="A3864" s="1" t="s">
        <v>788</v>
      </c>
      <c r="B3864" s="1"/>
      <c r="C3864" s="1" t="s">
        <v>2808</v>
      </c>
      <c r="D3864" s="1" t="s">
        <v>3370</v>
      </c>
      <c r="E3864" s="1"/>
      <c r="F3864">
        <v>0</v>
      </c>
      <c r="G3864">
        <v>0</v>
      </c>
      <c r="H3864">
        <v>0</v>
      </c>
      <c r="I3864">
        <v>0</v>
      </c>
      <c r="J3864">
        <v>1</v>
      </c>
      <c r="K3864" s="2">
        <v>45779</v>
      </c>
    </row>
    <row r="3865" spans="1:11" x14ac:dyDescent="0.25">
      <c r="A3865" s="1" t="s">
        <v>788</v>
      </c>
      <c r="B3865" s="1"/>
      <c r="C3865" s="1" t="s">
        <v>3134</v>
      </c>
      <c r="D3865" s="1" t="s">
        <v>3478</v>
      </c>
      <c r="E3865" s="1"/>
      <c r="F3865">
        <v>0</v>
      </c>
      <c r="G3865">
        <v>0</v>
      </c>
      <c r="H3865">
        <v>5</v>
      </c>
      <c r="I3865">
        <v>0</v>
      </c>
      <c r="J3865">
        <v>1</v>
      </c>
      <c r="K3865" s="2">
        <v>45776</v>
      </c>
    </row>
    <row r="3866" spans="1:11" x14ac:dyDescent="0.25">
      <c r="A3866" s="1" t="s">
        <v>788</v>
      </c>
      <c r="B3866" s="1"/>
      <c r="C3866" s="1" t="s">
        <v>3268</v>
      </c>
      <c r="D3866" s="1" t="s">
        <v>3438</v>
      </c>
      <c r="E3866" s="1"/>
      <c r="F3866">
        <v>0.5</v>
      </c>
      <c r="G3866">
        <v>0.2</v>
      </c>
      <c r="H3866">
        <v>25</v>
      </c>
      <c r="I3866">
        <v>0</v>
      </c>
      <c r="J3866">
        <v>1</v>
      </c>
      <c r="K3866" s="2">
        <v>45776</v>
      </c>
    </row>
    <row r="3867" spans="1:11" x14ac:dyDescent="0.25">
      <c r="A3867" s="1" t="s">
        <v>788</v>
      </c>
      <c r="B3867" s="1"/>
      <c r="C3867" s="1" t="s">
        <v>3019</v>
      </c>
      <c r="D3867" s="1" t="s">
        <v>3437</v>
      </c>
      <c r="E3867" s="1"/>
      <c r="F3867">
        <v>0.8</v>
      </c>
      <c r="G3867">
        <v>1</v>
      </c>
      <c r="H3867">
        <v>-15</v>
      </c>
      <c r="I3867">
        <v>0</v>
      </c>
      <c r="J3867">
        <v>1</v>
      </c>
      <c r="K3867" s="2">
        <v>45776</v>
      </c>
    </row>
    <row r="3868" spans="1:11" x14ac:dyDescent="0.25">
      <c r="A3868" s="1" t="s">
        <v>788</v>
      </c>
      <c r="B3868" s="1"/>
      <c r="C3868" s="1" t="s">
        <v>3268</v>
      </c>
      <c r="D3868" s="1" t="s">
        <v>3438</v>
      </c>
      <c r="E3868" s="1"/>
      <c r="F3868">
        <v>0.3</v>
      </c>
      <c r="G3868">
        <v>0.3</v>
      </c>
      <c r="H3868">
        <v>0</v>
      </c>
      <c r="I3868">
        <v>0</v>
      </c>
      <c r="J3868">
        <v>1</v>
      </c>
      <c r="K3868" s="2">
        <v>45777</v>
      </c>
    </row>
    <row r="3869" spans="1:11" x14ac:dyDescent="0.25">
      <c r="A3869" s="1" t="s">
        <v>788</v>
      </c>
      <c r="B3869" s="1"/>
      <c r="C3869" s="1" t="s">
        <v>3315</v>
      </c>
      <c r="D3869" s="1" t="s">
        <v>3438</v>
      </c>
      <c r="E3869" s="1"/>
      <c r="F3869">
        <v>0.3</v>
      </c>
      <c r="G3869">
        <v>0.3</v>
      </c>
      <c r="H3869">
        <v>5</v>
      </c>
      <c r="I3869">
        <v>0</v>
      </c>
      <c r="J3869">
        <v>1</v>
      </c>
      <c r="K3869" s="2">
        <v>45777</v>
      </c>
    </row>
    <row r="3870" spans="1:11" x14ac:dyDescent="0.25">
      <c r="A3870" s="1" t="s">
        <v>788</v>
      </c>
      <c r="B3870" s="1"/>
      <c r="C3870" s="1" t="s">
        <v>3004</v>
      </c>
      <c r="D3870" s="1" t="s">
        <v>3438</v>
      </c>
      <c r="E3870" s="1"/>
      <c r="F3870">
        <v>1.7</v>
      </c>
      <c r="G3870">
        <v>0.7</v>
      </c>
      <c r="H3870">
        <v>60</v>
      </c>
      <c r="I3870">
        <v>0</v>
      </c>
      <c r="J3870">
        <v>1</v>
      </c>
      <c r="K3870" s="2">
        <v>45778</v>
      </c>
    </row>
    <row r="3871" spans="1:11" x14ac:dyDescent="0.25">
      <c r="A3871" s="1" t="s">
        <v>788</v>
      </c>
      <c r="B3871" s="1"/>
      <c r="C3871" s="1" t="s">
        <v>3318</v>
      </c>
      <c r="D3871" s="1" t="s">
        <v>3479</v>
      </c>
      <c r="E3871" s="1"/>
      <c r="F3871">
        <v>0.3</v>
      </c>
      <c r="G3871">
        <v>0</v>
      </c>
      <c r="H3871">
        <v>20</v>
      </c>
      <c r="I3871">
        <v>0</v>
      </c>
      <c r="J3871">
        <v>1</v>
      </c>
      <c r="K3871" s="2">
        <v>45779</v>
      </c>
    </row>
    <row r="3872" spans="1:11" x14ac:dyDescent="0.25">
      <c r="A3872" s="1" t="s">
        <v>788</v>
      </c>
      <c r="B3872" s="1"/>
      <c r="C3872" s="1" t="s">
        <v>2924</v>
      </c>
      <c r="D3872" s="1" t="s">
        <v>3444</v>
      </c>
      <c r="E3872" s="1"/>
      <c r="F3872">
        <v>0</v>
      </c>
      <c r="G3872">
        <v>0.2</v>
      </c>
      <c r="H3872">
        <v>-10</v>
      </c>
      <c r="I3872">
        <v>0</v>
      </c>
      <c r="J3872">
        <v>1</v>
      </c>
      <c r="K3872" s="2">
        <v>45779</v>
      </c>
    </row>
    <row r="3873" spans="1:11" x14ac:dyDescent="0.25">
      <c r="A3873" s="1" t="s">
        <v>788</v>
      </c>
      <c r="B3873" s="1"/>
      <c r="C3873" s="1" t="s">
        <v>3317</v>
      </c>
      <c r="D3873" s="1" t="s">
        <v>3451</v>
      </c>
      <c r="E3873" s="1"/>
      <c r="F3873">
        <v>0.5</v>
      </c>
      <c r="G3873">
        <v>0</v>
      </c>
      <c r="H3873">
        <v>30</v>
      </c>
      <c r="I3873">
        <v>0</v>
      </c>
      <c r="J3873">
        <v>1</v>
      </c>
      <c r="K3873" s="2">
        <v>45782</v>
      </c>
    </row>
    <row r="3874" spans="1:11" x14ac:dyDescent="0.25">
      <c r="A3874" s="1" t="s">
        <v>792</v>
      </c>
      <c r="B3874" s="1"/>
      <c r="C3874" s="1" t="s">
        <v>2808</v>
      </c>
      <c r="D3874" s="1" t="s">
        <v>3370</v>
      </c>
      <c r="E3874" s="1"/>
      <c r="F3874">
        <v>0</v>
      </c>
      <c r="G3874">
        <v>0</v>
      </c>
      <c r="H3874">
        <v>0</v>
      </c>
      <c r="I3874">
        <v>0</v>
      </c>
      <c r="J3874">
        <v>1</v>
      </c>
      <c r="K3874" s="2">
        <v>45778</v>
      </c>
    </row>
    <row r="3875" spans="1:11" x14ac:dyDescent="0.25">
      <c r="A3875" s="1" t="s">
        <v>792</v>
      </c>
      <c r="B3875" s="1"/>
      <c r="C3875" s="1" t="s">
        <v>3134</v>
      </c>
      <c r="D3875" s="1" t="s">
        <v>3478</v>
      </c>
      <c r="E3875" s="1"/>
      <c r="F3875">
        <v>0</v>
      </c>
      <c r="G3875">
        <v>0</v>
      </c>
      <c r="H3875">
        <v>5</v>
      </c>
      <c r="I3875">
        <v>0</v>
      </c>
      <c r="J3875">
        <v>1</v>
      </c>
      <c r="K3875" s="2">
        <v>45776</v>
      </c>
    </row>
    <row r="3876" spans="1:11" x14ac:dyDescent="0.25">
      <c r="A3876" s="1" t="s">
        <v>792</v>
      </c>
      <c r="B3876" s="1"/>
      <c r="C3876" s="1" t="s">
        <v>3268</v>
      </c>
      <c r="D3876" s="1" t="s">
        <v>3438</v>
      </c>
      <c r="E3876" s="1"/>
      <c r="F3876">
        <v>0.5</v>
      </c>
      <c r="G3876">
        <v>0.1</v>
      </c>
      <c r="H3876">
        <v>30</v>
      </c>
      <c r="I3876">
        <v>0</v>
      </c>
      <c r="J3876">
        <v>1</v>
      </c>
      <c r="K3876" s="2">
        <v>45776</v>
      </c>
    </row>
    <row r="3877" spans="1:11" x14ac:dyDescent="0.25">
      <c r="A3877" s="1" t="s">
        <v>792</v>
      </c>
      <c r="B3877" s="1"/>
      <c r="C3877" s="1" t="s">
        <v>3019</v>
      </c>
      <c r="D3877" s="1" t="s">
        <v>3437</v>
      </c>
      <c r="E3877" s="1"/>
      <c r="F3877">
        <v>0.8</v>
      </c>
      <c r="G3877">
        <v>0.6</v>
      </c>
      <c r="H3877">
        <v>15</v>
      </c>
      <c r="I3877">
        <v>0</v>
      </c>
      <c r="J3877">
        <v>1</v>
      </c>
      <c r="K3877" s="2">
        <v>45776</v>
      </c>
    </row>
    <row r="3878" spans="1:11" x14ac:dyDescent="0.25">
      <c r="A3878" s="1" t="s">
        <v>792</v>
      </c>
      <c r="B3878" s="1"/>
      <c r="C3878" s="1" t="s">
        <v>3268</v>
      </c>
      <c r="D3878" s="1" t="s">
        <v>3438</v>
      </c>
      <c r="E3878" s="1"/>
      <c r="F3878">
        <v>0.3</v>
      </c>
      <c r="G3878">
        <v>0.3</v>
      </c>
      <c r="H3878">
        <v>0</v>
      </c>
      <c r="I3878">
        <v>0</v>
      </c>
      <c r="J3878">
        <v>1</v>
      </c>
      <c r="K3878" s="2">
        <v>45777</v>
      </c>
    </row>
    <row r="3879" spans="1:11" x14ac:dyDescent="0.25">
      <c r="A3879" s="1" t="s">
        <v>792</v>
      </c>
      <c r="B3879" s="1"/>
      <c r="C3879" s="1" t="s">
        <v>3315</v>
      </c>
      <c r="D3879" s="1" t="s">
        <v>3438</v>
      </c>
      <c r="E3879" s="1"/>
      <c r="F3879">
        <v>0.3</v>
      </c>
      <c r="G3879">
        <v>0.3</v>
      </c>
      <c r="H3879">
        <v>5</v>
      </c>
      <c r="I3879">
        <v>0</v>
      </c>
      <c r="J3879">
        <v>1</v>
      </c>
      <c r="K3879" s="2">
        <v>45777</v>
      </c>
    </row>
    <row r="3880" spans="1:11" x14ac:dyDescent="0.25">
      <c r="A3880" s="1" t="s">
        <v>792</v>
      </c>
      <c r="B3880" s="1"/>
      <c r="C3880" s="1" t="s">
        <v>3004</v>
      </c>
      <c r="D3880" s="1" t="s">
        <v>3438</v>
      </c>
      <c r="E3880" s="1"/>
      <c r="F3880">
        <v>1.7</v>
      </c>
      <c r="G3880">
        <v>1</v>
      </c>
      <c r="H3880">
        <v>45</v>
      </c>
      <c r="I3880">
        <v>0</v>
      </c>
      <c r="J3880">
        <v>1</v>
      </c>
      <c r="K3880" s="2">
        <v>45778</v>
      </c>
    </row>
    <row r="3881" spans="1:11" x14ac:dyDescent="0.25">
      <c r="A3881" s="1" t="s">
        <v>792</v>
      </c>
      <c r="B3881" s="1"/>
      <c r="C3881" s="1" t="s">
        <v>3318</v>
      </c>
      <c r="D3881" s="1" t="s">
        <v>3479</v>
      </c>
      <c r="E3881" s="1"/>
      <c r="F3881">
        <v>0.3</v>
      </c>
      <c r="G3881">
        <v>0</v>
      </c>
      <c r="H3881">
        <v>20</v>
      </c>
      <c r="I3881">
        <v>0</v>
      </c>
      <c r="J3881">
        <v>1</v>
      </c>
      <c r="K3881" s="2">
        <v>45779</v>
      </c>
    </row>
    <row r="3882" spans="1:11" x14ac:dyDescent="0.25">
      <c r="A3882" s="1" t="s">
        <v>792</v>
      </c>
      <c r="B3882" s="1"/>
      <c r="C3882" s="1" t="s">
        <v>2924</v>
      </c>
      <c r="D3882" s="1" t="s">
        <v>3444</v>
      </c>
      <c r="E3882" s="1"/>
      <c r="F3882">
        <v>0</v>
      </c>
      <c r="G3882">
        <v>0.2</v>
      </c>
      <c r="H3882">
        <v>-10</v>
      </c>
      <c r="I3882">
        <v>0</v>
      </c>
      <c r="J3882">
        <v>1</v>
      </c>
      <c r="K3882" s="2">
        <v>45779</v>
      </c>
    </row>
    <row r="3883" spans="1:11" x14ac:dyDescent="0.25">
      <c r="A3883" s="1" t="s">
        <v>792</v>
      </c>
      <c r="B3883" s="1"/>
      <c r="C3883" s="1" t="s">
        <v>3317</v>
      </c>
      <c r="D3883" s="1" t="s">
        <v>3451</v>
      </c>
      <c r="E3883" s="1"/>
      <c r="F3883">
        <v>0.5</v>
      </c>
      <c r="G3883">
        <v>0</v>
      </c>
      <c r="H3883">
        <v>30</v>
      </c>
      <c r="I3883">
        <v>0</v>
      </c>
      <c r="J3883">
        <v>1</v>
      </c>
      <c r="K3883" s="2">
        <v>45782</v>
      </c>
    </row>
    <row r="3884" spans="1:11" x14ac:dyDescent="0.25">
      <c r="A3884" s="1" t="s">
        <v>797</v>
      </c>
      <c r="B3884" s="1"/>
      <c r="C3884" s="1" t="s">
        <v>2808</v>
      </c>
      <c r="D3884" s="1" t="s">
        <v>3370</v>
      </c>
      <c r="E3884" s="1"/>
      <c r="F3884">
        <v>0</v>
      </c>
      <c r="G3884">
        <v>0</v>
      </c>
      <c r="H3884">
        <v>0</v>
      </c>
      <c r="I3884">
        <v>0</v>
      </c>
      <c r="J3884">
        <v>1</v>
      </c>
      <c r="K3884" s="2">
        <v>45780</v>
      </c>
    </row>
    <row r="3885" spans="1:11" x14ac:dyDescent="0.25">
      <c r="A3885" s="1" t="s">
        <v>797</v>
      </c>
      <c r="B3885" s="1"/>
      <c r="C3885" s="1" t="s">
        <v>3134</v>
      </c>
      <c r="D3885" s="1" t="s">
        <v>3478</v>
      </c>
      <c r="E3885" s="1"/>
      <c r="F3885">
        <v>0</v>
      </c>
      <c r="G3885">
        <v>0</v>
      </c>
      <c r="H3885">
        <v>5</v>
      </c>
      <c r="I3885">
        <v>0</v>
      </c>
      <c r="J3885">
        <v>1</v>
      </c>
      <c r="K3885" s="2">
        <v>45777</v>
      </c>
    </row>
    <row r="3886" spans="1:11" x14ac:dyDescent="0.25">
      <c r="A3886" s="1" t="s">
        <v>797</v>
      </c>
      <c r="B3886" s="1"/>
      <c r="C3886" s="1" t="s">
        <v>3268</v>
      </c>
      <c r="D3886" s="1" t="s">
        <v>3438</v>
      </c>
      <c r="E3886" s="1"/>
      <c r="F3886">
        <v>0.5</v>
      </c>
      <c r="G3886">
        <v>0.2</v>
      </c>
      <c r="H3886">
        <v>20</v>
      </c>
      <c r="I3886">
        <v>0</v>
      </c>
      <c r="J3886">
        <v>1</v>
      </c>
      <c r="K3886" s="2">
        <v>45777</v>
      </c>
    </row>
    <row r="3887" spans="1:11" x14ac:dyDescent="0.25">
      <c r="A3887" s="1" t="s">
        <v>797</v>
      </c>
      <c r="B3887" s="1"/>
      <c r="C3887" s="1" t="s">
        <v>3019</v>
      </c>
      <c r="D3887" s="1" t="s">
        <v>3437</v>
      </c>
      <c r="E3887" s="1"/>
      <c r="F3887">
        <v>0.8</v>
      </c>
      <c r="G3887">
        <v>0.9</v>
      </c>
      <c r="H3887">
        <v>-10</v>
      </c>
      <c r="I3887">
        <v>0</v>
      </c>
      <c r="J3887">
        <v>1</v>
      </c>
      <c r="K3887" s="2">
        <v>45777</v>
      </c>
    </row>
    <row r="3888" spans="1:11" x14ac:dyDescent="0.25">
      <c r="A3888" s="1" t="s">
        <v>797</v>
      </c>
      <c r="B3888" s="1"/>
      <c r="C3888" s="1" t="s">
        <v>3268</v>
      </c>
      <c r="D3888" s="1" t="s">
        <v>3438</v>
      </c>
      <c r="E3888" s="1"/>
      <c r="F3888">
        <v>0.3</v>
      </c>
      <c r="G3888">
        <v>0.2</v>
      </c>
      <c r="H3888">
        <v>5</v>
      </c>
      <c r="I3888">
        <v>0</v>
      </c>
      <c r="J3888">
        <v>1</v>
      </c>
      <c r="K3888" s="2">
        <v>45777</v>
      </c>
    </row>
    <row r="3889" spans="1:11" x14ac:dyDescent="0.25">
      <c r="A3889" s="1" t="s">
        <v>797</v>
      </c>
      <c r="B3889" s="1"/>
      <c r="C3889" s="1" t="s">
        <v>3315</v>
      </c>
      <c r="D3889" s="1" t="s">
        <v>3438</v>
      </c>
      <c r="E3889" s="1"/>
      <c r="F3889">
        <v>0.3</v>
      </c>
      <c r="G3889">
        <v>0.7</v>
      </c>
      <c r="H3889">
        <v>-20</v>
      </c>
      <c r="I3889">
        <v>0</v>
      </c>
      <c r="J3889">
        <v>1</v>
      </c>
      <c r="K3889" s="2">
        <v>45778</v>
      </c>
    </row>
    <row r="3890" spans="1:11" x14ac:dyDescent="0.25">
      <c r="A3890" s="1" t="s">
        <v>797</v>
      </c>
      <c r="B3890" s="1"/>
      <c r="C3890" s="1" t="s">
        <v>3004</v>
      </c>
      <c r="D3890" s="1" t="s">
        <v>3438</v>
      </c>
      <c r="E3890" s="1"/>
      <c r="F3890">
        <v>1.7</v>
      </c>
      <c r="G3890">
        <v>1</v>
      </c>
      <c r="H3890">
        <v>40</v>
      </c>
      <c r="I3890">
        <v>0</v>
      </c>
      <c r="J3890">
        <v>1</v>
      </c>
      <c r="K3890" s="2">
        <v>45779</v>
      </c>
    </row>
    <row r="3891" spans="1:11" x14ac:dyDescent="0.25">
      <c r="A3891" s="1" t="s">
        <v>797</v>
      </c>
      <c r="B3891" s="1"/>
      <c r="C3891" s="1" t="s">
        <v>3318</v>
      </c>
      <c r="D3891" s="1" t="s">
        <v>3479</v>
      </c>
      <c r="E3891" s="1"/>
      <c r="F3891">
        <v>0.3</v>
      </c>
      <c r="G3891">
        <v>0</v>
      </c>
      <c r="H3891">
        <v>20</v>
      </c>
      <c r="I3891">
        <v>0</v>
      </c>
      <c r="J3891">
        <v>1</v>
      </c>
      <c r="K3891" s="2">
        <v>45782</v>
      </c>
    </row>
    <row r="3892" spans="1:11" x14ac:dyDescent="0.25">
      <c r="A3892" s="1" t="s">
        <v>797</v>
      </c>
      <c r="B3892" s="1"/>
      <c r="C3892" s="1" t="s">
        <v>2924</v>
      </c>
      <c r="D3892" s="1" t="s">
        <v>3444</v>
      </c>
      <c r="E3892" s="1"/>
      <c r="F3892">
        <v>0</v>
      </c>
      <c r="G3892">
        <v>0.2</v>
      </c>
      <c r="H3892">
        <v>-10</v>
      </c>
      <c r="I3892">
        <v>0</v>
      </c>
      <c r="J3892">
        <v>1</v>
      </c>
      <c r="K3892" s="2">
        <v>45782</v>
      </c>
    </row>
    <row r="3893" spans="1:11" x14ac:dyDescent="0.25">
      <c r="A3893" s="1" t="s">
        <v>797</v>
      </c>
      <c r="B3893" s="1"/>
      <c r="C3893" s="1" t="s">
        <v>3317</v>
      </c>
      <c r="D3893" s="1" t="s">
        <v>3451</v>
      </c>
      <c r="E3893" s="1"/>
      <c r="F3893">
        <v>0.5</v>
      </c>
      <c r="G3893">
        <v>0</v>
      </c>
      <c r="H3893">
        <v>30</v>
      </c>
      <c r="I3893">
        <v>0</v>
      </c>
      <c r="J3893">
        <v>1</v>
      </c>
      <c r="K3893" s="2">
        <v>45782</v>
      </c>
    </row>
    <row r="3894" spans="1:11" x14ac:dyDescent="0.25">
      <c r="A3894" s="1" t="s">
        <v>798</v>
      </c>
      <c r="B3894" s="1"/>
      <c r="C3894" s="1" t="s">
        <v>2808</v>
      </c>
      <c r="D3894" s="1" t="s">
        <v>3370</v>
      </c>
      <c r="E3894" s="1"/>
      <c r="F3894">
        <v>0</v>
      </c>
      <c r="G3894">
        <v>0</v>
      </c>
      <c r="H3894">
        <v>0</v>
      </c>
      <c r="I3894">
        <v>0</v>
      </c>
      <c r="J3894">
        <v>1</v>
      </c>
      <c r="K3894" s="2">
        <v>45780</v>
      </c>
    </row>
    <row r="3895" spans="1:11" x14ac:dyDescent="0.25">
      <c r="A3895" s="1" t="s">
        <v>798</v>
      </c>
      <c r="B3895" s="1"/>
      <c r="C3895" s="1" t="s">
        <v>3134</v>
      </c>
      <c r="D3895" s="1" t="s">
        <v>3478</v>
      </c>
      <c r="E3895" s="1"/>
      <c r="F3895">
        <v>0</v>
      </c>
      <c r="G3895">
        <v>0</v>
      </c>
      <c r="H3895">
        <v>5</v>
      </c>
      <c r="I3895">
        <v>0</v>
      </c>
      <c r="J3895">
        <v>1</v>
      </c>
      <c r="K3895" s="2">
        <v>45777</v>
      </c>
    </row>
    <row r="3896" spans="1:11" x14ac:dyDescent="0.25">
      <c r="A3896" s="1" t="s">
        <v>798</v>
      </c>
      <c r="B3896" s="1"/>
      <c r="C3896" s="1" t="s">
        <v>3268</v>
      </c>
      <c r="D3896" s="1" t="s">
        <v>3438</v>
      </c>
      <c r="E3896" s="1"/>
      <c r="F3896">
        <v>0.5</v>
      </c>
      <c r="G3896">
        <v>0.2</v>
      </c>
      <c r="H3896">
        <v>20</v>
      </c>
      <c r="I3896">
        <v>0</v>
      </c>
      <c r="J3896">
        <v>1</v>
      </c>
      <c r="K3896" s="2">
        <v>45777</v>
      </c>
    </row>
    <row r="3897" spans="1:11" x14ac:dyDescent="0.25">
      <c r="A3897" s="1" t="s">
        <v>798</v>
      </c>
      <c r="B3897" s="1"/>
      <c r="C3897" s="1" t="s">
        <v>3019</v>
      </c>
      <c r="D3897" s="1" t="s">
        <v>3437</v>
      </c>
      <c r="E3897" s="1"/>
      <c r="F3897">
        <v>0.8</v>
      </c>
      <c r="G3897">
        <v>0.9</v>
      </c>
      <c r="H3897">
        <v>-10</v>
      </c>
      <c r="I3897">
        <v>0</v>
      </c>
      <c r="J3897">
        <v>1</v>
      </c>
      <c r="K3897" s="2">
        <v>45777</v>
      </c>
    </row>
    <row r="3898" spans="1:11" x14ac:dyDescent="0.25">
      <c r="A3898" s="1" t="s">
        <v>798</v>
      </c>
      <c r="B3898" s="1"/>
      <c r="C3898" s="1" t="s">
        <v>3268</v>
      </c>
      <c r="D3898" s="1" t="s">
        <v>3438</v>
      </c>
      <c r="E3898" s="1"/>
      <c r="F3898">
        <v>0.3</v>
      </c>
      <c r="G3898">
        <v>0.2</v>
      </c>
      <c r="H3898">
        <v>5</v>
      </c>
      <c r="I3898">
        <v>0</v>
      </c>
      <c r="J3898">
        <v>1</v>
      </c>
      <c r="K3898" s="2">
        <v>45777</v>
      </c>
    </row>
    <row r="3899" spans="1:11" x14ac:dyDescent="0.25">
      <c r="A3899" s="1" t="s">
        <v>798</v>
      </c>
      <c r="B3899" s="1"/>
      <c r="C3899" s="1" t="s">
        <v>3315</v>
      </c>
      <c r="D3899" s="1" t="s">
        <v>3438</v>
      </c>
      <c r="E3899" s="1"/>
      <c r="F3899">
        <v>0.3</v>
      </c>
      <c r="G3899">
        <v>0.7</v>
      </c>
      <c r="H3899">
        <v>-20</v>
      </c>
      <c r="I3899">
        <v>0</v>
      </c>
      <c r="J3899">
        <v>1</v>
      </c>
      <c r="K3899" s="2">
        <v>45778</v>
      </c>
    </row>
    <row r="3900" spans="1:11" x14ac:dyDescent="0.25">
      <c r="A3900" s="1" t="s">
        <v>798</v>
      </c>
      <c r="B3900" s="1"/>
      <c r="C3900" s="1" t="s">
        <v>3004</v>
      </c>
      <c r="D3900" s="1" t="s">
        <v>3438</v>
      </c>
      <c r="E3900" s="1"/>
      <c r="F3900">
        <v>1.7</v>
      </c>
      <c r="G3900">
        <v>1.2</v>
      </c>
      <c r="H3900">
        <v>30</v>
      </c>
      <c r="I3900">
        <v>0</v>
      </c>
      <c r="J3900">
        <v>1</v>
      </c>
      <c r="K3900" s="2">
        <v>45779</v>
      </c>
    </row>
    <row r="3901" spans="1:11" x14ac:dyDescent="0.25">
      <c r="A3901" s="1" t="s">
        <v>798</v>
      </c>
      <c r="B3901" s="1"/>
      <c r="C3901" s="1" t="s">
        <v>3318</v>
      </c>
      <c r="D3901" s="1" t="s">
        <v>3479</v>
      </c>
      <c r="E3901" s="1"/>
      <c r="F3901">
        <v>0.3</v>
      </c>
      <c r="G3901">
        <v>0</v>
      </c>
      <c r="H3901">
        <v>20</v>
      </c>
      <c r="I3901">
        <v>0</v>
      </c>
      <c r="J3901">
        <v>1</v>
      </c>
      <c r="K3901" s="2">
        <v>45782</v>
      </c>
    </row>
    <row r="3902" spans="1:11" x14ac:dyDescent="0.25">
      <c r="A3902" s="1" t="s">
        <v>798</v>
      </c>
      <c r="B3902" s="1"/>
      <c r="C3902" s="1" t="s">
        <v>2924</v>
      </c>
      <c r="D3902" s="1" t="s">
        <v>3444</v>
      </c>
      <c r="E3902" s="1"/>
      <c r="F3902">
        <v>0</v>
      </c>
      <c r="G3902">
        <v>0.2</v>
      </c>
      <c r="H3902">
        <v>-10</v>
      </c>
      <c r="I3902">
        <v>0</v>
      </c>
      <c r="J3902">
        <v>1</v>
      </c>
      <c r="K3902" s="2">
        <v>45782</v>
      </c>
    </row>
    <row r="3903" spans="1:11" x14ac:dyDescent="0.25">
      <c r="A3903" s="1" t="s">
        <v>798</v>
      </c>
      <c r="B3903" s="1"/>
      <c r="C3903" s="1" t="s">
        <v>3317</v>
      </c>
      <c r="D3903" s="1" t="s">
        <v>3451</v>
      </c>
      <c r="E3903" s="1"/>
      <c r="F3903">
        <v>0.5</v>
      </c>
      <c r="G3903">
        <v>0.1</v>
      </c>
      <c r="H3903">
        <v>25</v>
      </c>
      <c r="I3903">
        <v>0</v>
      </c>
      <c r="J3903">
        <v>1</v>
      </c>
      <c r="K3903" s="2">
        <v>45782</v>
      </c>
    </row>
    <row r="3904" spans="1:11" x14ac:dyDescent="0.25">
      <c r="A3904" s="1" t="s">
        <v>918</v>
      </c>
      <c r="B3904" s="1"/>
      <c r="C3904" s="1" t="s">
        <v>2808</v>
      </c>
      <c r="D3904" s="1" t="s">
        <v>3370</v>
      </c>
      <c r="E3904" s="1"/>
      <c r="F3904">
        <v>0</v>
      </c>
      <c r="G3904">
        <v>0</v>
      </c>
      <c r="H3904">
        <v>0</v>
      </c>
      <c r="I3904">
        <v>0</v>
      </c>
      <c r="J3904">
        <v>1</v>
      </c>
      <c r="K3904" s="2">
        <v>45786</v>
      </c>
    </row>
    <row r="3905" spans="1:11" x14ac:dyDescent="0.25">
      <c r="A3905" s="1" t="s">
        <v>918</v>
      </c>
      <c r="B3905" s="1"/>
      <c r="C3905" s="1" t="s">
        <v>3134</v>
      </c>
      <c r="D3905" s="1" t="s">
        <v>3478</v>
      </c>
      <c r="E3905" s="1"/>
      <c r="F3905">
        <v>0</v>
      </c>
      <c r="G3905">
        <v>0</v>
      </c>
      <c r="H3905">
        <v>5</v>
      </c>
      <c r="I3905">
        <v>0</v>
      </c>
      <c r="J3905">
        <v>1</v>
      </c>
      <c r="K3905" s="2">
        <v>45783</v>
      </c>
    </row>
    <row r="3906" spans="1:11" x14ac:dyDescent="0.25">
      <c r="A3906" s="1" t="s">
        <v>918</v>
      </c>
      <c r="B3906" s="1"/>
      <c r="C3906" s="1" t="s">
        <v>3268</v>
      </c>
      <c r="D3906" s="1" t="s">
        <v>3438</v>
      </c>
      <c r="E3906" s="1"/>
      <c r="F3906">
        <v>0.5</v>
      </c>
      <c r="G3906">
        <v>0.3</v>
      </c>
      <c r="H3906">
        <v>15</v>
      </c>
      <c r="I3906">
        <v>0</v>
      </c>
      <c r="J3906">
        <v>1</v>
      </c>
      <c r="K3906" s="2">
        <v>45783</v>
      </c>
    </row>
    <row r="3907" spans="1:11" x14ac:dyDescent="0.25">
      <c r="A3907" s="1" t="s">
        <v>918</v>
      </c>
      <c r="B3907" s="1"/>
      <c r="C3907" s="1" t="s">
        <v>3019</v>
      </c>
      <c r="D3907" s="1" t="s">
        <v>3437</v>
      </c>
      <c r="E3907" s="1"/>
      <c r="F3907">
        <v>0.8</v>
      </c>
      <c r="G3907">
        <v>0.4</v>
      </c>
      <c r="H3907">
        <v>25</v>
      </c>
      <c r="I3907">
        <v>0</v>
      </c>
      <c r="J3907">
        <v>1</v>
      </c>
      <c r="K3907" s="2">
        <v>45783</v>
      </c>
    </row>
    <row r="3908" spans="1:11" x14ac:dyDescent="0.25">
      <c r="A3908" s="1" t="s">
        <v>918</v>
      </c>
      <c r="B3908" s="1"/>
      <c r="C3908" s="1" t="s">
        <v>3268</v>
      </c>
      <c r="D3908" s="1" t="s">
        <v>3438</v>
      </c>
      <c r="E3908" s="1"/>
      <c r="F3908">
        <v>0.3</v>
      </c>
      <c r="G3908">
        <v>0.5</v>
      </c>
      <c r="H3908">
        <v>-15</v>
      </c>
      <c r="I3908">
        <v>0</v>
      </c>
      <c r="J3908">
        <v>1</v>
      </c>
      <c r="K3908" s="2">
        <v>45783</v>
      </c>
    </row>
    <row r="3909" spans="1:11" x14ac:dyDescent="0.25">
      <c r="A3909" s="1" t="s">
        <v>918</v>
      </c>
      <c r="B3909" s="1"/>
      <c r="C3909" s="1" t="s">
        <v>3315</v>
      </c>
      <c r="D3909" s="1" t="s">
        <v>3438</v>
      </c>
      <c r="E3909" s="1"/>
      <c r="F3909">
        <v>0.3</v>
      </c>
      <c r="G3909">
        <v>0.4</v>
      </c>
      <c r="H3909">
        <v>-5</v>
      </c>
      <c r="I3909">
        <v>0</v>
      </c>
      <c r="J3909">
        <v>1</v>
      </c>
      <c r="K3909" s="2">
        <v>45783</v>
      </c>
    </row>
    <row r="3910" spans="1:11" x14ac:dyDescent="0.25">
      <c r="A3910" s="1" t="s">
        <v>918</v>
      </c>
      <c r="B3910" s="1"/>
      <c r="C3910" s="1" t="s">
        <v>3004</v>
      </c>
      <c r="D3910" s="1" t="s">
        <v>3438</v>
      </c>
      <c r="E3910" s="1"/>
      <c r="F3910">
        <v>1.7</v>
      </c>
      <c r="G3910">
        <v>1.3</v>
      </c>
      <c r="H3910">
        <v>25</v>
      </c>
      <c r="I3910">
        <v>0</v>
      </c>
      <c r="J3910">
        <v>1</v>
      </c>
      <c r="K3910" s="2">
        <v>45785</v>
      </c>
    </row>
    <row r="3911" spans="1:11" x14ac:dyDescent="0.25">
      <c r="A3911" s="1" t="s">
        <v>918</v>
      </c>
      <c r="B3911" s="1"/>
      <c r="C3911" s="1" t="s">
        <v>3318</v>
      </c>
      <c r="D3911" s="1" t="s">
        <v>3479</v>
      </c>
      <c r="E3911" s="1"/>
      <c r="F3911">
        <v>0.3</v>
      </c>
      <c r="G3911">
        <v>0</v>
      </c>
      <c r="H3911">
        <v>20</v>
      </c>
      <c r="I3911">
        <v>0</v>
      </c>
      <c r="J3911">
        <v>1</v>
      </c>
      <c r="K3911" s="2">
        <v>45786</v>
      </c>
    </row>
    <row r="3912" spans="1:11" x14ac:dyDescent="0.25">
      <c r="A3912" s="1" t="s">
        <v>918</v>
      </c>
      <c r="B3912" s="1"/>
      <c r="C3912" s="1" t="s">
        <v>2924</v>
      </c>
      <c r="D3912" s="1" t="s">
        <v>3444</v>
      </c>
      <c r="E3912" s="1"/>
      <c r="F3912">
        <v>0</v>
      </c>
      <c r="G3912">
        <v>0.3</v>
      </c>
      <c r="H3912">
        <v>-15</v>
      </c>
      <c r="I3912">
        <v>0</v>
      </c>
      <c r="J3912">
        <v>1</v>
      </c>
      <c r="K3912" s="2">
        <v>45786</v>
      </c>
    </row>
    <row r="3913" spans="1:11" x14ac:dyDescent="0.25">
      <c r="A3913" s="1" t="s">
        <v>918</v>
      </c>
      <c r="B3913" s="1"/>
      <c r="C3913" s="1" t="s">
        <v>3317</v>
      </c>
      <c r="D3913" s="1" t="s">
        <v>3451</v>
      </c>
      <c r="E3913" s="1"/>
      <c r="F3913">
        <v>0.5</v>
      </c>
      <c r="G3913">
        <v>0</v>
      </c>
      <c r="H3913">
        <v>30</v>
      </c>
      <c r="I3913">
        <v>0</v>
      </c>
      <c r="J3913">
        <v>1</v>
      </c>
      <c r="K3913" s="2">
        <v>45786</v>
      </c>
    </row>
    <row r="3914" spans="1:11" x14ac:dyDescent="0.25">
      <c r="A3914" s="1" t="s">
        <v>919</v>
      </c>
      <c r="B3914" s="1"/>
      <c r="C3914" s="1" t="s">
        <v>2808</v>
      </c>
      <c r="D3914" s="1" t="s">
        <v>3370</v>
      </c>
      <c r="E3914" s="1"/>
      <c r="F3914">
        <v>0</v>
      </c>
      <c r="G3914">
        <v>0</v>
      </c>
      <c r="H3914">
        <v>0</v>
      </c>
      <c r="I3914">
        <v>0</v>
      </c>
      <c r="J3914">
        <v>1</v>
      </c>
      <c r="K3914" s="2">
        <v>45786</v>
      </c>
    </row>
    <row r="3915" spans="1:11" x14ac:dyDescent="0.25">
      <c r="A3915" s="1" t="s">
        <v>919</v>
      </c>
      <c r="B3915" s="1"/>
      <c r="C3915" s="1" t="s">
        <v>3134</v>
      </c>
      <c r="D3915" s="1" t="s">
        <v>3478</v>
      </c>
      <c r="E3915" s="1"/>
      <c r="F3915">
        <v>0</v>
      </c>
      <c r="G3915">
        <v>0</v>
      </c>
      <c r="H3915">
        <v>5</v>
      </c>
      <c r="I3915">
        <v>0</v>
      </c>
      <c r="J3915">
        <v>1</v>
      </c>
      <c r="K3915" s="2">
        <v>45783</v>
      </c>
    </row>
    <row r="3916" spans="1:11" x14ac:dyDescent="0.25">
      <c r="A3916" s="1" t="s">
        <v>919</v>
      </c>
      <c r="B3916" s="1"/>
      <c r="C3916" s="1" t="s">
        <v>3268</v>
      </c>
      <c r="D3916" s="1" t="s">
        <v>3438</v>
      </c>
      <c r="E3916" s="1"/>
      <c r="F3916">
        <v>0.5</v>
      </c>
      <c r="G3916">
        <v>0.3</v>
      </c>
      <c r="H3916">
        <v>15</v>
      </c>
      <c r="I3916">
        <v>0</v>
      </c>
      <c r="J3916">
        <v>1</v>
      </c>
      <c r="K3916" s="2">
        <v>45783</v>
      </c>
    </row>
    <row r="3917" spans="1:11" x14ac:dyDescent="0.25">
      <c r="A3917" s="1" t="s">
        <v>919</v>
      </c>
      <c r="B3917" s="1"/>
      <c r="C3917" s="1" t="s">
        <v>3019</v>
      </c>
      <c r="D3917" s="1" t="s">
        <v>3437</v>
      </c>
      <c r="E3917" s="1"/>
      <c r="F3917">
        <v>0.8</v>
      </c>
      <c r="G3917">
        <v>0.4</v>
      </c>
      <c r="H3917">
        <v>25</v>
      </c>
      <c r="I3917">
        <v>0</v>
      </c>
      <c r="J3917">
        <v>1</v>
      </c>
      <c r="K3917" s="2">
        <v>45783</v>
      </c>
    </row>
    <row r="3918" spans="1:11" x14ac:dyDescent="0.25">
      <c r="A3918" s="1" t="s">
        <v>919</v>
      </c>
      <c r="B3918" s="1"/>
      <c r="C3918" s="1" t="s">
        <v>3268</v>
      </c>
      <c r="D3918" s="1" t="s">
        <v>3438</v>
      </c>
      <c r="E3918" s="1"/>
      <c r="F3918">
        <v>0.3</v>
      </c>
      <c r="G3918">
        <v>0.2</v>
      </c>
      <c r="H3918">
        <v>10</v>
      </c>
      <c r="I3918">
        <v>0</v>
      </c>
      <c r="J3918">
        <v>1</v>
      </c>
      <c r="K3918" s="2">
        <v>45783</v>
      </c>
    </row>
    <row r="3919" spans="1:11" x14ac:dyDescent="0.25">
      <c r="A3919" s="1" t="s">
        <v>919</v>
      </c>
      <c r="B3919" s="1"/>
      <c r="C3919" s="1" t="s">
        <v>3315</v>
      </c>
      <c r="D3919" s="1" t="s">
        <v>3438</v>
      </c>
      <c r="E3919" s="1"/>
      <c r="F3919">
        <v>0.3</v>
      </c>
      <c r="G3919">
        <v>0.5</v>
      </c>
      <c r="H3919">
        <v>-10</v>
      </c>
      <c r="I3919">
        <v>0</v>
      </c>
      <c r="J3919">
        <v>1</v>
      </c>
      <c r="K3919" s="2">
        <v>45783</v>
      </c>
    </row>
    <row r="3920" spans="1:11" x14ac:dyDescent="0.25">
      <c r="A3920" s="1" t="s">
        <v>919</v>
      </c>
      <c r="B3920" s="1"/>
      <c r="C3920" s="1" t="s">
        <v>3004</v>
      </c>
      <c r="D3920" s="1" t="s">
        <v>3438</v>
      </c>
      <c r="E3920" s="1"/>
      <c r="F3920">
        <v>1.7</v>
      </c>
      <c r="G3920">
        <v>1</v>
      </c>
      <c r="H3920">
        <v>45</v>
      </c>
      <c r="I3920">
        <v>0</v>
      </c>
      <c r="J3920">
        <v>1</v>
      </c>
      <c r="K3920" s="2">
        <v>45785</v>
      </c>
    </row>
    <row r="3921" spans="1:11" x14ac:dyDescent="0.25">
      <c r="A3921" s="1" t="s">
        <v>919</v>
      </c>
      <c r="B3921" s="1"/>
      <c r="C3921" s="1" t="s">
        <v>3318</v>
      </c>
      <c r="D3921" s="1" t="s">
        <v>3479</v>
      </c>
      <c r="E3921" s="1"/>
      <c r="F3921">
        <v>0.3</v>
      </c>
      <c r="G3921">
        <v>0</v>
      </c>
      <c r="H3921">
        <v>20</v>
      </c>
      <c r="I3921">
        <v>0</v>
      </c>
      <c r="J3921">
        <v>1</v>
      </c>
      <c r="K3921" s="2">
        <v>45786</v>
      </c>
    </row>
    <row r="3922" spans="1:11" x14ac:dyDescent="0.25">
      <c r="A3922" s="1" t="s">
        <v>919</v>
      </c>
      <c r="B3922" s="1"/>
      <c r="C3922" s="1" t="s">
        <v>2924</v>
      </c>
      <c r="D3922" s="1" t="s">
        <v>3444</v>
      </c>
      <c r="E3922" s="1"/>
      <c r="F3922">
        <v>0</v>
      </c>
      <c r="G3922">
        <v>0.3</v>
      </c>
      <c r="H3922">
        <v>-15</v>
      </c>
      <c r="I3922">
        <v>0</v>
      </c>
      <c r="J3922">
        <v>1</v>
      </c>
      <c r="K3922" s="2">
        <v>45786</v>
      </c>
    </row>
    <row r="3923" spans="1:11" x14ac:dyDescent="0.25">
      <c r="A3923" s="1" t="s">
        <v>919</v>
      </c>
      <c r="B3923" s="1"/>
      <c r="C3923" s="1" t="s">
        <v>3317</v>
      </c>
      <c r="D3923" s="1" t="s">
        <v>3451</v>
      </c>
      <c r="E3923" s="1"/>
      <c r="F3923">
        <v>0.5</v>
      </c>
      <c r="G3923">
        <v>0</v>
      </c>
      <c r="H3923">
        <v>30</v>
      </c>
      <c r="I3923">
        <v>0</v>
      </c>
      <c r="J3923">
        <v>1</v>
      </c>
      <c r="K3923" s="2">
        <v>45786</v>
      </c>
    </row>
    <row r="3924" spans="1:11" x14ac:dyDescent="0.25">
      <c r="A3924" s="1" t="s">
        <v>920</v>
      </c>
      <c r="B3924" s="1"/>
      <c r="C3924" s="1" t="s">
        <v>2808</v>
      </c>
      <c r="D3924" s="1" t="s">
        <v>3370</v>
      </c>
      <c r="E3924" s="1"/>
      <c r="F3924">
        <v>0</v>
      </c>
      <c r="G3924">
        <v>0</v>
      </c>
      <c r="H3924">
        <v>0</v>
      </c>
      <c r="I3924">
        <v>0</v>
      </c>
      <c r="J3924">
        <v>1</v>
      </c>
      <c r="K3924" s="2">
        <v>45787</v>
      </c>
    </row>
    <row r="3925" spans="1:11" x14ac:dyDescent="0.25">
      <c r="A3925" s="1" t="s">
        <v>920</v>
      </c>
      <c r="B3925" s="1"/>
      <c r="C3925" s="1" t="s">
        <v>3134</v>
      </c>
      <c r="D3925" s="1" t="s">
        <v>3478</v>
      </c>
      <c r="E3925" s="1"/>
      <c r="F3925">
        <v>0</v>
      </c>
      <c r="G3925">
        <v>0</v>
      </c>
      <c r="H3925">
        <v>0</v>
      </c>
      <c r="I3925">
        <v>0</v>
      </c>
      <c r="J3925">
        <v>1</v>
      </c>
      <c r="K3925" s="2">
        <v>45784</v>
      </c>
    </row>
    <row r="3926" spans="1:11" x14ac:dyDescent="0.25">
      <c r="A3926" s="1" t="s">
        <v>920</v>
      </c>
      <c r="B3926" s="1"/>
      <c r="C3926" s="1" t="s">
        <v>3268</v>
      </c>
      <c r="D3926" s="1" t="s">
        <v>3438</v>
      </c>
      <c r="E3926" s="1"/>
      <c r="F3926">
        <v>0.5</v>
      </c>
      <c r="G3926">
        <v>0.7</v>
      </c>
      <c r="H3926">
        <v>-5</v>
      </c>
      <c r="I3926">
        <v>0</v>
      </c>
      <c r="J3926">
        <v>1</v>
      </c>
      <c r="K3926" s="2">
        <v>45784</v>
      </c>
    </row>
    <row r="3927" spans="1:11" x14ac:dyDescent="0.25">
      <c r="A3927" s="1" t="s">
        <v>920</v>
      </c>
      <c r="B3927" s="1"/>
      <c r="C3927" s="1" t="s">
        <v>3019</v>
      </c>
      <c r="D3927" s="1" t="s">
        <v>3437</v>
      </c>
      <c r="E3927" s="1"/>
      <c r="F3927">
        <v>0.8</v>
      </c>
      <c r="G3927">
        <v>1.3</v>
      </c>
      <c r="H3927">
        <v>-35</v>
      </c>
      <c r="I3927">
        <v>0</v>
      </c>
      <c r="J3927">
        <v>1</v>
      </c>
      <c r="K3927" s="2">
        <v>45784</v>
      </c>
    </row>
    <row r="3928" spans="1:11" x14ac:dyDescent="0.25">
      <c r="A3928" s="1" t="s">
        <v>920</v>
      </c>
      <c r="B3928" s="1"/>
      <c r="C3928" s="1" t="s">
        <v>3268</v>
      </c>
      <c r="D3928" s="1" t="s">
        <v>3438</v>
      </c>
      <c r="E3928" s="1"/>
      <c r="F3928">
        <v>0.3</v>
      </c>
      <c r="G3928">
        <v>0.2</v>
      </c>
      <c r="H3928">
        <v>5</v>
      </c>
      <c r="I3928">
        <v>0</v>
      </c>
      <c r="J3928">
        <v>1</v>
      </c>
      <c r="K3928" s="2">
        <v>45784</v>
      </c>
    </row>
    <row r="3929" spans="1:11" x14ac:dyDescent="0.25">
      <c r="A3929" s="1" t="s">
        <v>920</v>
      </c>
      <c r="B3929" s="1"/>
      <c r="C3929" s="1" t="s">
        <v>3315</v>
      </c>
      <c r="D3929" s="1" t="s">
        <v>3438</v>
      </c>
      <c r="E3929" s="1"/>
      <c r="F3929">
        <v>0.3</v>
      </c>
      <c r="G3929">
        <v>1.1000000000000001</v>
      </c>
      <c r="H3929">
        <v>-45</v>
      </c>
      <c r="I3929">
        <v>0</v>
      </c>
      <c r="J3929">
        <v>1</v>
      </c>
      <c r="K3929" s="2">
        <v>45785</v>
      </c>
    </row>
    <row r="3930" spans="1:11" x14ac:dyDescent="0.25">
      <c r="A3930" s="1" t="s">
        <v>920</v>
      </c>
      <c r="B3930" s="1"/>
      <c r="C3930" s="1" t="s">
        <v>3004</v>
      </c>
      <c r="D3930" s="1" t="s">
        <v>3438</v>
      </c>
      <c r="E3930" s="1"/>
      <c r="F3930">
        <v>1.7</v>
      </c>
      <c r="G3930">
        <v>0</v>
      </c>
      <c r="H3930">
        <v>105</v>
      </c>
      <c r="I3930">
        <v>0</v>
      </c>
      <c r="J3930">
        <v>1</v>
      </c>
      <c r="K3930" s="2">
        <v>45786</v>
      </c>
    </row>
    <row r="3931" spans="1:11" x14ac:dyDescent="0.25">
      <c r="A3931" s="1" t="s">
        <v>920</v>
      </c>
      <c r="B3931" s="1"/>
      <c r="C3931" s="1" t="s">
        <v>3318</v>
      </c>
      <c r="D3931" s="1" t="s">
        <v>3479</v>
      </c>
      <c r="E3931" s="1"/>
      <c r="F3931">
        <v>0.3</v>
      </c>
      <c r="G3931">
        <v>0</v>
      </c>
      <c r="H3931">
        <v>20</v>
      </c>
      <c r="I3931">
        <v>0</v>
      </c>
      <c r="J3931">
        <v>1</v>
      </c>
      <c r="K3931" s="2">
        <v>45787</v>
      </c>
    </row>
    <row r="3932" spans="1:11" x14ac:dyDescent="0.25">
      <c r="A3932" s="1" t="s">
        <v>920</v>
      </c>
      <c r="B3932" s="1"/>
      <c r="C3932" s="1" t="s">
        <v>2924</v>
      </c>
      <c r="D3932" s="1" t="s">
        <v>3444</v>
      </c>
      <c r="E3932" s="1"/>
      <c r="F3932">
        <v>0</v>
      </c>
      <c r="G3932">
        <v>0</v>
      </c>
      <c r="H3932">
        <v>0</v>
      </c>
      <c r="I3932">
        <v>0</v>
      </c>
      <c r="J3932">
        <v>1</v>
      </c>
      <c r="K3932" s="2">
        <v>45789</v>
      </c>
    </row>
    <row r="3933" spans="1:11" x14ac:dyDescent="0.25">
      <c r="A3933" s="1" t="s">
        <v>921</v>
      </c>
      <c r="B3933" s="1"/>
      <c r="C3933" s="1" t="s">
        <v>2808</v>
      </c>
      <c r="D3933" s="1" t="s">
        <v>3370</v>
      </c>
      <c r="E3933" s="1"/>
      <c r="F3933">
        <v>0</v>
      </c>
      <c r="G3933">
        <v>0</v>
      </c>
      <c r="H3933">
        <v>0</v>
      </c>
      <c r="I3933">
        <v>0</v>
      </c>
      <c r="J3933">
        <v>1</v>
      </c>
      <c r="K3933" s="2">
        <v>45787</v>
      </c>
    </row>
    <row r="3934" spans="1:11" x14ac:dyDescent="0.25">
      <c r="A3934" s="1" t="s">
        <v>921</v>
      </c>
      <c r="B3934" s="1"/>
      <c r="C3934" s="1" t="s">
        <v>3134</v>
      </c>
      <c r="D3934" s="1" t="s">
        <v>3478</v>
      </c>
      <c r="E3934" s="1"/>
      <c r="F3934">
        <v>0</v>
      </c>
      <c r="G3934">
        <v>0</v>
      </c>
      <c r="H3934">
        <v>0</v>
      </c>
      <c r="I3934">
        <v>0</v>
      </c>
      <c r="J3934">
        <v>1</v>
      </c>
      <c r="K3934" s="2">
        <v>45784</v>
      </c>
    </row>
    <row r="3935" spans="1:11" x14ac:dyDescent="0.25">
      <c r="A3935" s="1" t="s">
        <v>921</v>
      </c>
      <c r="B3935" s="1"/>
      <c r="C3935" s="1" t="s">
        <v>3268</v>
      </c>
      <c r="D3935" s="1" t="s">
        <v>3438</v>
      </c>
      <c r="E3935" s="1"/>
      <c r="F3935">
        <v>0.5</v>
      </c>
      <c r="G3935">
        <v>0.6</v>
      </c>
      <c r="H3935">
        <v>-5</v>
      </c>
      <c r="I3935">
        <v>0</v>
      </c>
      <c r="J3935">
        <v>1</v>
      </c>
      <c r="K3935" s="2">
        <v>45784</v>
      </c>
    </row>
    <row r="3936" spans="1:11" x14ac:dyDescent="0.25">
      <c r="A3936" s="1" t="s">
        <v>921</v>
      </c>
      <c r="B3936" s="1"/>
      <c r="C3936" s="1" t="s">
        <v>3019</v>
      </c>
      <c r="D3936" s="1" t="s">
        <v>3437</v>
      </c>
      <c r="E3936" s="1"/>
      <c r="F3936">
        <v>0.8</v>
      </c>
      <c r="G3936">
        <v>1.3</v>
      </c>
      <c r="H3936">
        <v>-35</v>
      </c>
      <c r="I3936">
        <v>0</v>
      </c>
      <c r="J3936">
        <v>1</v>
      </c>
      <c r="K3936" s="2">
        <v>45784</v>
      </c>
    </row>
    <row r="3937" spans="1:11" x14ac:dyDescent="0.25">
      <c r="A3937" s="1" t="s">
        <v>921</v>
      </c>
      <c r="B3937" s="1"/>
      <c r="C3937" s="1" t="s">
        <v>3268</v>
      </c>
      <c r="D3937" s="1" t="s">
        <v>3438</v>
      </c>
      <c r="E3937" s="1"/>
      <c r="F3937">
        <v>0.3</v>
      </c>
      <c r="G3937">
        <v>0.2</v>
      </c>
      <c r="H3937">
        <v>5</v>
      </c>
      <c r="I3937">
        <v>0</v>
      </c>
      <c r="J3937">
        <v>1</v>
      </c>
      <c r="K3937" s="2">
        <v>45784</v>
      </c>
    </row>
    <row r="3938" spans="1:11" x14ac:dyDescent="0.25">
      <c r="A3938" s="1" t="s">
        <v>921</v>
      </c>
      <c r="B3938" s="1"/>
      <c r="C3938" s="1" t="s">
        <v>3315</v>
      </c>
      <c r="D3938" s="1" t="s">
        <v>3438</v>
      </c>
      <c r="E3938" s="1"/>
      <c r="F3938">
        <v>0.3</v>
      </c>
      <c r="G3938">
        <v>1.4</v>
      </c>
      <c r="H3938">
        <v>-65</v>
      </c>
      <c r="I3938">
        <v>0</v>
      </c>
      <c r="J3938">
        <v>1</v>
      </c>
      <c r="K3938" s="2">
        <v>45785</v>
      </c>
    </row>
    <row r="3939" spans="1:11" x14ac:dyDescent="0.25">
      <c r="A3939" s="1" t="s">
        <v>921</v>
      </c>
      <c r="B3939" s="1"/>
      <c r="C3939" s="1" t="s">
        <v>3004</v>
      </c>
      <c r="D3939" s="1" t="s">
        <v>3438</v>
      </c>
      <c r="E3939" s="1"/>
      <c r="F3939">
        <v>1.7</v>
      </c>
      <c r="G3939">
        <v>0</v>
      </c>
      <c r="H3939">
        <v>105</v>
      </c>
      <c r="I3939">
        <v>0</v>
      </c>
      <c r="J3939">
        <v>1</v>
      </c>
      <c r="K3939" s="2">
        <v>45786</v>
      </c>
    </row>
    <row r="3940" spans="1:11" x14ac:dyDescent="0.25">
      <c r="A3940" s="1" t="s">
        <v>921</v>
      </c>
      <c r="B3940" s="1"/>
      <c r="C3940" s="1" t="s">
        <v>3318</v>
      </c>
      <c r="D3940" s="1" t="s">
        <v>3479</v>
      </c>
      <c r="E3940" s="1"/>
      <c r="F3940">
        <v>0.3</v>
      </c>
      <c r="G3940">
        <v>0</v>
      </c>
      <c r="H3940">
        <v>20</v>
      </c>
      <c r="I3940">
        <v>0</v>
      </c>
      <c r="J3940">
        <v>1</v>
      </c>
      <c r="K3940" s="2">
        <v>45787</v>
      </c>
    </row>
    <row r="3941" spans="1:11" x14ac:dyDescent="0.25">
      <c r="A3941" s="1" t="s">
        <v>921</v>
      </c>
      <c r="B3941" s="1"/>
      <c r="C3941" s="1" t="s">
        <v>2924</v>
      </c>
      <c r="D3941" s="1" t="s">
        <v>3444</v>
      </c>
      <c r="E3941" s="1"/>
      <c r="F3941">
        <v>0</v>
      </c>
      <c r="G3941">
        <v>0</v>
      </c>
      <c r="H3941">
        <v>0</v>
      </c>
      <c r="I3941">
        <v>0</v>
      </c>
      <c r="J3941">
        <v>1</v>
      </c>
      <c r="K3941" s="2">
        <v>45789</v>
      </c>
    </row>
    <row r="3942" spans="1:11" x14ac:dyDescent="0.25">
      <c r="A3942" s="1" t="s">
        <v>936</v>
      </c>
      <c r="B3942" s="1"/>
      <c r="C3942" s="1" t="s">
        <v>2808</v>
      </c>
      <c r="D3942" s="1" t="s">
        <v>3370</v>
      </c>
      <c r="E3942" s="1"/>
      <c r="F3942">
        <v>0</v>
      </c>
      <c r="G3942">
        <v>0</v>
      </c>
      <c r="H3942">
        <v>0</v>
      </c>
      <c r="I3942">
        <v>0</v>
      </c>
      <c r="J3942">
        <v>1</v>
      </c>
      <c r="K3942" s="2">
        <v>45788</v>
      </c>
    </row>
    <row r="3943" spans="1:11" x14ac:dyDescent="0.25">
      <c r="A3943" s="1" t="s">
        <v>936</v>
      </c>
      <c r="B3943" s="1"/>
      <c r="C3943" s="1" t="s">
        <v>3134</v>
      </c>
      <c r="D3943" s="1" t="s">
        <v>3478</v>
      </c>
      <c r="E3943" s="1"/>
      <c r="F3943">
        <v>0</v>
      </c>
      <c r="G3943">
        <v>0</v>
      </c>
      <c r="H3943">
        <v>5</v>
      </c>
      <c r="I3943">
        <v>0</v>
      </c>
      <c r="J3943">
        <v>1</v>
      </c>
      <c r="K3943" s="2">
        <v>45785</v>
      </c>
    </row>
    <row r="3944" spans="1:11" x14ac:dyDescent="0.25">
      <c r="A3944" s="1" t="s">
        <v>936</v>
      </c>
      <c r="B3944" s="1"/>
      <c r="C3944" s="1" t="s">
        <v>3268</v>
      </c>
      <c r="D3944" s="1" t="s">
        <v>3438</v>
      </c>
      <c r="E3944" s="1"/>
      <c r="F3944">
        <v>0.5</v>
      </c>
      <c r="G3944">
        <v>0.7</v>
      </c>
      <c r="H3944">
        <v>-10</v>
      </c>
      <c r="I3944">
        <v>0</v>
      </c>
      <c r="J3944">
        <v>1</v>
      </c>
      <c r="K3944" s="2">
        <v>45785</v>
      </c>
    </row>
    <row r="3945" spans="1:11" x14ac:dyDescent="0.25">
      <c r="A3945" s="1" t="s">
        <v>936</v>
      </c>
      <c r="B3945" s="1"/>
      <c r="C3945" s="1" t="s">
        <v>3019</v>
      </c>
      <c r="D3945" s="1" t="s">
        <v>3437</v>
      </c>
      <c r="E3945" s="1"/>
      <c r="F3945">
        <v>0.8</v>
      </c>
      <c r="G3945">
        <v>1.6</v>
      </c>
      <c r="H3945">
        <v>-50</v>
      </c>
      <c r="I3945">
        <v>0</v>
      </c>
      <c r="J3945">
        <v>1</v>
      </c>
      <c r="K3945" s="2">
        <v>45785</v>
      </c>
    </row>
    <row r="3946" spans="1:11" x14ac:dyDescent="0.25">
      <c r="A3946" s="1" t="s">
        <v>936</v>
      </c>
      <c r="B3946" s="1"/>
      <c r="C3946" s="1" t="s">
        <v>3268</v>
      </c>
      <c r="D3946" s="1" t="s">
        <v>3438</v>
      </c>
      <c r="E3946" s="1"/>
      <c r="F3946">
        <v>0.3</v>
      </c>
      <c r="G3946">
        <v>0.7</v>
      </c>
      <c r="H3946">
        <v>-20</v>
      </c>
      <c r="I3946">
        <v>0</v>
      </c>
      <c r="J3946">
        <v>1</v>
      </c>
      <c r="K3946" s="2">
        <v>45785</v>
      </c>
    </row>
    <row r="3947" spans="1:11" x14ac:dyDescent="0.25">
      <c r="A3947" s="1" t="s">
        <v>936</v>
      </c>
      <c r="B3947" s="1"/>
      <c r="C3947" s="1" t="s">
        <v>3315</v>
      </c>
      <c r="D3947" s="1" t="s">
        <v>3438</v>
      </c>
      <c r="E3947" s="1"/>
      <c r="F3947">
        <v>0.3</v>
      </c>
      <c r="G3947">
        <v>0.2</v>
      </c>
      <c r="H3947">
        <v>10</v>
      </c>
      <c r="I3947">
        <v>0</v>
      </c>
      <c r="J3947">
        <v>1</v>
      </c>
      <c r="K3947" s="2">
        <v>45786</v>
      </c>
    </row>
    <row r="3948" spans="1:11" x14ac:dyDescent="0.25">
      <c r="A3948" s="1" t="s">
        <v>936</v>
      </c>
      <c r="B3948" s="1"/>
      <c r="C3948" s="1" t="s">
        <v>3004</v>
      </c>
      <c r="D3948" s="1" t="s">
        <v>3438</v>
      </c>
      <c r="E3948" s="1"/>
      <c r="F3948">
        <v>1.7</v>
      </c>
      <c r="G3948">
        <v>0</v>
      </c>
      <c r="H3948">
        <v>105</v>
      </c>
      <c r="I3948">
        <v>0</v>
      </c>
      <c r="J3948">
        <v>1</v>
      </c>
      <c r="K3948" s="2">
        <v>45787</v>
      </c>
    </row>
    <row r="3949" spans="1:11" x14ac:dyDescent="0.25">
      <c r="A3949" s="1" t="s">
        <v>936</v>
      </c>
      <c r="B3949" s="1"/>
      <c r="C3949" s="1" t="s">
        <v>3318</v>
      </c>
      <c r="D3949" s="1" t="s">
        <v>3479</v>
      </c>
      <c r="E3949" s="1"/>
      <c r="F3949">
        <v>0.3</v>
      </c>
      <c r="G3949">
        <v>0</v>
      </c>
      <c r="H3949">
        <v>20</v>
      </c>
      <c r="I3949">
        <v>0</v>
      </c>
      <c r="J3949">
        <v>1</v>
      </c>
      <c r="K3949" s="2">
        <v>45787</v>
      </c>
    </row>
    <row r="3950" spans="1:11" x14ac:dyDescent="0.25">
      <c r="A3950" s="1" t="s">
        <v>935</v>
      </c>
      <c r="B3950" s="1"/>
      <c r="C3950" s="1" t="s">
        <v>2808</v>
      </c>
      <c r="D3950" s="1" t="s">
        <v>3370</v>
      </c>
      <c r="E3950" s="1"/>
      <c r="F3950">
        <v>0</v>
      </c>
      <c r="G3950">
        <v>0</v>
      </c>
      <c r="H3950">
        <v>0</v>
      </c>
      <c r="I3950">
        <v>0</v>
      </c>
      <c r="J3950">
        <v>1</v>
      </c>
      <c r="K3950" s="2">
        <v>45787</v>
      </c>
    </row>
    <row r="3951" spans="1:11" x14ac:dyDescent="0.25">
      <c r="A3951" s="1" t="s">
        <v>935</v>
      </c>
      <c r="B3951" s="1"/>
      <c r="C3951" s="1" t="s">
        <v>3134</v>
      </c>
      <c r="D3951" s="1" t="s">
        <v>3478</v>
      </c>
      <c r="E3951" s="1"/>
      <c r="F3951">
        <v>0</v>
      </c>
      <c r="G3951">
        <v>0</v>
      </c>
      <c r="H3951">
        <v>5</v>
      </c>
      <c r="I3951">
        <v>0</v>
      </c>
      <c r="J3951">
        <v>1</v>
      </c>
      <c r="K3951" s="2">
        <v>45785</v>
      </c>
    </row>
    <row r="3952" spans="1:11" x14ac:dyDescent="0.25">
      <c r="A3952" s="1" t="s">
        <v>935</v>
      </c>
      <c r="B3952" s="1"/>
      <c r="C3952" s="1" t="s">
        <v>3268</v>
      </c>
      <c r="D3952" s="1" t="s">
        <v>3438</v>
      </c>
      <c r="E3952" s="1"/>
      <c r="F3952">
        <v>0.5</v>
      </c>
      <c r="G3952">
        <v>0.7</v>
      </c>
      <c r="H3952">
        <v>-10</v>
      </c>
      <c r="I3952">
        <v>0</v>
      </c>
      <c r="J3952">
        <v>1</v>
      </c>
      <c r="K3952" s="2">
        <v>45785</v>
      </c>
    </row>
    <row r="3953" spans="1:11" x14ac:dyDescent="0.25">
      <c r="A3953" s="1" t="s">
        <v>935</v>
      </c>
      <c r="B3953" s="1"/>
      <c r="C3953" s="1" t="s">
        <v>3019</v>
      </c>
      <c r="D3953" s="1" t="s">
        <v>3437</v>
      </c>
      <c r="E3953" s="1"/>
      <c r="F3953">
        <v>0.8</v>
      </c>
      <c r="G3953">
        <v>1.6</v>
      </c>
      <c r="H3953">
        <v>-50</v>
      </c>
      <c r="I3953">
        <v>0</v>
      </c>
      <c r="J3953">
        <v>1</v>
      </c>
      <c r="K3953" s="2">
        <v>45785</v>
      </c>
    </row>
    <row r="3954" spans="1:11" x14ac:dyDescent="0.25">
      <c r="A3954" s="1" t="s">
        <v>935</v>
      </c>
      <c r="B3954" s="1"/>
      <c r="C3954" s="1" t="s">
        <v>3268</v>
      </c>
      <c r="D3954" s="1" t="s">
        <v>3438</v>
      </c>
      <c r="E3954" s="1"/>
      <c r="F3954">
        <v>0.3</v>
      </c>
      <c r="G3954">
        <v>0.6</v>
      </c>
      <c r="H3954">
        <v>-20</v>
      </c>
      <c r="I3954">
        <v>0</v>
      </c>
      <c r="J3954">
        <v>1</v>
      </c>
      <c r="K3954" s="2">
        <v>45785</v>
      </c>
    </row>
    <row r="3955" spans="1:11" x14ac:dyDescent="0.25">
      <c r="A3955" s="1" t="s">
        <v>935</v>
      </c>
      <c r="B3955" s="1"/>
      <c r="C3955" s="1" t="s">
        <v>3315</v>
      </c>
      <c r="D3955" s="1" t="s">
        <v>3438</v>
      </c>
      <c r="E3955" s="1"/>
      <c r="F3955">
        <v>0.3</v>
      </c>
      <c r="G3955">
        <v>1</v>
      </c>
      <c r="H3955">
        <v>-40</v>
      </c>
      <c r="I3955">
        <v>0</v>
      </c>
      <c r="J3955">
        <v>1</v>
      </c>
      <c r="K3955" s="2">
        <v>45786</v>
      </c>
    </row>
    <row r="3956" spans="1:11" x14ac:dyDescent="0.25">
      <c r="A3956" s="1" t="s">
        <v>935</v>
      </c>
      <c r="B3956" s="1"/>
      <c r="C3956" s="1" t="s">
        <v>3004</v>
      </c>
      <c r="D3956" s="1" t="s">
        <v>3438</v>
      </c>
      <c r="E3956" s="1"/>
      <c r="F3956">
        <v>1.7</v>
      </c>
      <c r="G3956">
        <v>0</v>
      </c>
      <c r="H3956">
        <v>105</v>
      </c>
      <c r="I3956">
        <v>0</v>
      </c>
      <c r="J3956">
        <v>1</v>
      </c>
      <c r="K3956" s="2">
        <v>45787</v>
      </c>
    </row>
    <row r="3957" spans="1:11" x14ac:dyDescent="0.25">
      <c r="A3957" s="1" t="s">
        <v>935</v>
      </c>
      <c r="B3957" s="1"/>
      <c r="C3957" s="1" t="s">
        <v>3318</v>
      </c>
      <c r="D3957" s="1" t="s">
        <v>3479</v>
      </c>
      <c r="E3957" s="1"/>
      <c r="F3957">
        <v>0.3</v>
      </c>
      <c r="G3957">
        <v>0</v>
      </c>
      <c r="H3957">
        <v>20</v>
      </c>
      <c r="I3957">
        <v>0</v>
      </c>
      <c r="J3957">
        <v>1</v>
      </c>
      <c r="K3957" s="2">
        <v>45787</v>
      </c>
    </row>
    <row r="3958" spans="1:11" x14ac:dyDescent="0.25">
      <c r="A3958" s="1" t="s">
        <v>954</v>
      </c>
      <c r="B3958" s="1"/>
      <c r="C3958" s="1" t="s">
        <v>3134</v>
      </c>
      <c r="D3958" s="1" t="s">
        <v>3478</v>
      </c>
      <c r="E3958" s="1"/>
      <c r="F3958">
        <v>0</v>
      </c>
      <c r="G3958">
        <v>0</v>
      </c>
      <c r="H3958">
        <v>5</v>
      </c>
      <c r="I3958">
        <v>0</v>
      </c>
      <c r="J3958">
        <v>1</v>
      </c>
      <c r="K3958" s="2">
        <v>45786</v>
      </c>
    </row>
    <row r="3959" spans="1:11" x14ac:dyDescent="0.25">
      <c r="A3959" s="1" t="s">
        <v>954</v>
      </c>
      <c r="B3959" s="1"/>
      <c r="C3959" s="1" t="s">
        <v>3268</v>
      </c>
      <c r="D3959" s="1" t="s">
        <v>3438</v>
      </c>
      <c r="E3959" s="1"/>
      <c r="F3959">
        <v>0.5</v>
      </c>
      <c r="G3959">
        <v>0</v>
      </c>
      <c r="H3959">
        <v>35</v>
      </c>
      <c r="I3959">
        <v>0</v>
      </c>
      <c r="J3959">
        <v>1</v>
      </c>
      <c r="K3959" s="2">
        <v>45786</v>
      </c>
    </row>
    <row r="3960" spans="1:11" x14ac:dyDescent="0.25">
      <c r="A3960" s="1" t="s">
        <v>954</v>
      </c>
      <c r="B3960" s="1"/>
      <c r="C3960" s="1" t="s">
        <v>3019</v>
      </c>
      <c r="D3960" s="1" t="s">
        <v>3437</v>
      </c>
      <c r="E3960" s="1"/>
      <c r="F3960">
        <v>0.8</v>
      </c>
      <c r="G3960">
        <v>0</v>
      </c>
      <c r="H3960">
        <v>50</v>
      </c>
      <c r="I3960">
        <v>0</v>
      </c>
      <c r="J3960">
        <v>1</v>
      </c>
      <c r="K3960" s="2">
        <v>45786</v>
      </c>
    </row>
    <row r="3961" spans="1:11" x14ac:dyDescent="0.25">
      <c r="A3961" s="1" t="s">
        <v>954</v>
      </c>
      <c r="B3961" s="1"/>
      <c r="C3961" s="1" t="s">
        <v>3268</v>
      </c>
      <c r="D3961" s="1" t="s">
        <v>3438</v>
      </c>
      <c r="E3961" s="1"/>
      <c r="F3961">
        <v>0.3</v>
      </c>
      <c r="G3961">
        <v>0</v>
      </c>
      <c r="H3961">
        <v>20</v>
      </c>
      <c r="I3961">
        <v>0</v>
      </c>
      <c r="J3961">
        <v>1</v>
      </c>
      <c r="K3961" s="2">
        <v>45786</v>
      </c>
    </row>
    <row r="3962" spans="1:11" x14ac:dyDescent="0.25">
      <c r="A3962" s="1" t="s">
        <v>954</v>
      </c>
      <c r="B3962" s="1"/>
      <c r="C3962" s="1" t="s">
        <v>3315</v>
      </c>
      <c r="D3962" s="1" t="s">
        <v>3438</v>
      </c>
      <c r="E3962" s="1"/>
      <c r="F3962">
        <v>0.3</v>
      </c>
      <c r="G3962">
        <v>0</v>
      </c>
      <c r="H3962">
        <v>25</v>
      </c>
      <c r="I3962">
        <v>0</v>
      </c>
      <c r="J3962">
        <v>1</v>
      </c>
      <c r="K3962" s="2">
        <v>45786</v>
      </c>
    </row>
    <row r="3963" spans="1:11" x14ac:dyDescent="0.25">
      <c r="A3963" s="1" t="s">
        <v>954</v>
      </c>
      <c r="B3963" s="1"/>
      <c r="C3963" s="1" t="s">
        <v>3004</v>
      </c>
      <c r="D3963" s="1" t="s">
        <v>3438</v>
      </c>
      <c r="E3963" s="1"/>
      <c r="F3963">
        <v>1.7</v>
      </c>
      <c r="G3963">
        <v>0</v>
      </c>
      <c r="H3963">
        <v>105</v>
      </c>
      <c r="I3963">
        <v>0</v>
      </c>
      <c r="J3963">
        <v>1</v>
      </c>
      <c r="K3963" s="2">
        <v>45789</v>
      </c>
    </row>
    <row r="3964" spans="1:11" x14ac:dyDescent="0.25">
      <c r="A3964" s="1" t="s">
        <v>955</v>
      </c>
      <c r="B3964" s="1"/>
      <c r="C3964" s="1" t="s">
        <v>3134</v>
      </c>
      <c r="D3964" s="1" t="s">
        <v>3478</v>
      </c>
      <c r="E3964" s="1"/>
      <c r="F3964">
        <v>0</v>
      </c>
      <c r="G3964">
        <v>0</v>
      </c>
      <c r="H3964">
        <v>5</v>
      </c>
      <c r="I3964">
        <v>0</v>
      </c>
      <c r="J3964">
        <v>1</v>
      </c>
      <c r="K3964" s="2">
        <v>45786</v>
      </c>
    </row>
    <row r="3965" spans="1:11" x14ac:dyDescent="0.25">
      <c r="A3965" s="1" t="s">
        <v>955</v>
      </c>
      <c r="B3965" s="1"/>
      <c r="C3965" s="1" t="s">
        <v>3268</v>
      </c>
      <c r="D3965" s="1" t="s">
        <v>3438</v>
      </c>
      <c r="E3965" s="1"/>
      <c r="F3965">
        <v>0.5</v>
      </c>
      <c r="G3965">
        <v>0</v>
      </c>
      <c r="H3965">
        <v>35</v>
      </c>
      <c r="I3965">
        <v>0</v>
      </c>
      <c r="J3965">
        <v>1</v>
      </c>
      <c r="K3965" s="2">
        <v>45786</v>
      </c>
    </row>
    <row r="3966" spans="1:11" x14ac:dyDescent="0.25">
      <c r="A3966" s="1" t="s">
        <v>955</v>
      </c>
      <c r="B3966" s="1"/>
      <c r="C3966" s="1" t="s">
        <v>3019</v>
      </c>
      <c r="D3966" s="1" t="s">
        <v>3437</v>
      </c>
      <c r="E3966" s="1"/>
      <c r="F3966">
        <v>0.8</v>
      </c>
      <c r="G3966">
        <v>0</v>
      </c>
      <c r="H3966">
        <v>50</v>
      </c>
      <c r="I3966">
        <v>0</v>
      </c>
      <c r="J3966">
        <v>1</v>
      </c>
      <c r="K3966" s="2">
        <v>45786</v>
      </c>
    </row>
    <row r="3967" spans="1:11" x14ac:dyDescent="0.25">
      <c r="A3967" s="1" t="s">
        <v>955</v>
      </c>
      <c r="B3967" s="1"/>
      <c r="C3967" s="1" t="s">
        <v>3268</v>
      </c>
      <c r="D3967" s="1" t="s">
        <v>3438</v>
      </c>
      <c r="E3967" s="1"/>
      <c r="F3967">
        <v>0.3</v>
      </c>
      <c r="G3967">
        <v>0</v>
      </c>
      <c r="H3967">
        <v>20</v>
      </c>
      <c r="I3967">
        <v>0</v>
      </c>
      <c r="J3967">
        <v>1</v>
      </c>
      <c r="K3967" s="2">
        <v>45786</v>
      </c>
    </row>
    <row r="3968" spans="1:11" x14ac:dyDescent="0.25">
      <c r="A3968" s="1" t="s">
        <v>955</v>
      </c>
      <c r="B3968" s="1"/>
      <c r="C3968" s="1" t="s">
        <v>3315</v>
      </c>
      <c r="D3968" s="1" t="s">
        <v>3438</v>
      </c>
      <c r="E3968" s="1"/>
      <c r="F3968">
        <v>0.3</v>
      </c>
      <c r="G3968">
        <v>0</v>
      </c>
      <c r="H3968">
        <v>25</v>
      </c>
      <c r="I3968">
        <v>0</v>
      </c>
      <c r="J3968">
        <v>1</v>
      </c>
      <c r="K3968" s="2">
        <v>45786</v>
      </c>
    </row>
    <row r="3969" spans="1:11" x14ac:dyDescent="0.25">
      <c r="A3969" s="1" t="s">
        <v>955</v>
      </c>
      <c r="B3969" s="1"/>
      <c r="C3969" s="1" t="s">
        <v>3004</v>
      </c>
      <c r="D3969" s="1" t="s">
        <v>3438</v>
      </c>
      <c r="E3969" s="1"/>
      <c r="F3969">
        <v>1.7</v>
      </c>
      <c r="G3969">
        <v>0</v>
      </c>
      <c r="H3969">
        <v>105</v>
      </c>
      <c r="I3969">
        <v>0</v>
      </c>
      <c r="J3969">
        <v>1</v>
      </c>
      <c r="K3969" s="2">
        <v>45789</v>
      </c>
    </row>
    <row r="3970" spans="1:11" x14ac:dyDescent="0.25">
      <c r="A3970" s="1" t="s">
        <v>961</v>
      </c>
      <c r="B3970" s="1"/>
      <c r="C3970" s="1" t="s">
        <v>3134</v>
      </c>
      <c r="D3970" s="1" t="s">
        <v>3478</v>
      </c>
      <c r="E3970" s="1"/>
      <c r="F3970">
        <v>0</v>
      </c>
      <c r="G3970">
        <v>0</v>
      </c>
      <c r="H3970">
        <v>5</v>
      </c>
      <c r="I3970">
        <v>0</v>
      </c>
      <c r="J3970">
        <v>1</v>
      </c>
      <c r="K3970" s="2">
        <v>45789</v>
      </c>
    </row>
    <row r="3971" spans="1:11" x14ac:dyDescent="0.25">
      <c r="A3971" s="1" t="s">
        <v>961</v>
      </c>
      <c r="B3971" s="1"/>
      <c r="C3971" s="1" t="s">
        <v>3268</v>
      </c>
      <c r="D3971" s="1" t="s">
        <v>3438</v>
      </c>
      <c r="E3971" s="1"/>
      <c r="F3971">
        <v>0.5</v>
      </c>
      <c r="G3971">
        <v>0</v>
      </c>
      <c r="H3971">
        <v>35</v>
      </c>
      <c r="I3971">
        <v>0</v>
      </c>
      <c r="J3971">
        <v>1</v>
      </c>
      <c r="K3971" s="2">
        <v>45789</v>
      </c>
    </row>
    <row r="3972" spans="1:11" x14ac:dyDescent="0.25">
      <c r="A3972" s="1" t="s">
        <v>961</v>
      </c>
      <c r="B3972" s="1"/>
      <c r="C3972" s="1" t="s">
        <v>3019</v>
      </c>
      <c r="D3972" s="1" t="s">
        <v>3437</v>
      </c>
      <c r="E3972" s="1"/>
      <c r="F3972">
        <v>0.8</v>
      </c>
      <c r="G3972">
        <v>0</v>
      </c>
      <c r="H3972">
        <v>50</v>
      </c>
      <c r="I3972">
        <v>0</v>
      </c>
      <c r="J3972">
        <v>1</v>
      </c>
      <c r="K3972" s="2">
        <v>45789</v>
      </c>
    </row>
    <row r="3973" spans="1:11" x14ac:dyDescent="0.25">
      <c r="A3973" s="1" t="s">
        <v>962</v>
      </c>
      <c r="B3973" s="1"/>
      <c r="C3973" s="1" t="s">
        <v>3134</v>
      </c>
      <c r="D3973" s="1" t="s">
        <v>3478</v>
      </c>
      <c r="E3973" s="1"/>
      <c r="F3973">
        <v>0</v>
      </c>
      <c r="G3973">
        <v>0</v>
      </c>
      <c r="H3973">
        <v>5</v>
      </c>
      <c r="I3973">
        <v>0</v>
      </c>
      <c r="J3973">
        <v>1</v>
      </c>
      <c r="K3973" s="2">
        <v>45789</v>
      </c>
    </row>
    <row r="3974" spans="1:11" x14ac:dyDescent="0.25">
      <c r="A3974" s="1" t="s">
        <v>962</v>
      </c>
      <c r="B3974" s="1"/>
      <c r="C3974" s="1" t="s">
        <v>3268</v>
      </c>
      <c r="D3974" s="1" t="s">
        <v>3438</v>
      </c>
      <c r="E3974" s="1"/>
      <c r="F3974">
        <v>0.5</v>
      </c>
      <c r="G3974">
        <v>0</v>
      </c>
      <c r="H3974">
        <v>35</v>
      </c>
      <c r="I3974">
        <v>0</v>
      </c>
      <c r="J3974">
        <v>1</v>
      </c>
      <c r="K3974" s="2">
        <v>45789</v>
      </c>
    </row>
    <row r="3975" spans="1:11" x14ac:dyDescent="0.25">
      <c r="A3975" s="1" t="s">
        <v>962</v>
      </c>
      <c r="B3975" s="1"/>
      <c r="C3975" s="1" t="s">
        <v>3019</v>
      </c>
      <c r="D3975" s="1" t="s">
        <v>3437</v>
      </c>
      <c r="E3975" s="1"/>
      <c r="F3975">
        <v>0.8</v>
      </c>
      <c r="G3975">
        <v>0</v>
      </c>
      <c r="H3975">
        <v>50</v>
      </c>
      <c r="I3975">
        <v>0</v>
      </c>
      <c r="J3975">
        <v>1</v>
      </c>
      <c r="K3975" s="2">
        <v>45789</v>
      </c>
    </row>
    <row r="3976" spans="1:11" x14ac:dyDescent="0.25">
      <c r="A3976" s="1" t="s">
        <v>962</v>
      </c>
      <c r="B3976" s="1"/>
      <c r="C3976" s="1" t="s">
        <v>3268</v>
      </c>
      <c r="D3976" s="1" t="s">
        <v>3438</v>
      </c>
      <c r="E3976" s="1"/>
      <c r="F3976">
        <v>0.3</v>
      </c>
      <c r="G3976">
        <v>0</v>
      </c>
      <c r="H3976">
        <v>20</v>
      </c>
      <c r="I3976">
        <v>0</v>
      </c>
      <c r="J3976">
        <v>1</v>
      </c>
      <c r="K3976" s="2">
        <v>45789</v>
      </c>
    </row>
    <row r="3977" spans="1:11" x14ac:dyDescent="0.25">
      <c r="A3977" s="1" t="s">
        <v>533</v>
      </c>
      <c r="B3977" s="1"/>
      <c r="C3977" s="1" t="s">
        <v>2808</v>
      </c>
      <c r="D3977" s="1" t="s">
        <v>3370</v>
      </c>
      <c r="E3977" s="1"/>
      <c r="F3977">
        <v>0</v>
      </c>
      <c r="G3977">
        <v>0</v>
      </c>
      <c r="H3977">
        <v>0</v>
      </c>
      <c r="I3977">
        <v>0</v>
      </c>
      <c r="J3977">
        <v>131</v>
      </c>
      <c r="K3977" s="2">
        <v>45784</v>
      </c>
    </row>
    <row r="3978" spans="1:11" x14ac:dyDescent="0.25">
      <c r="A3978" s="1" t="s">
        <v>739</v>
      </c>
      <c r="B3978" s="1"/>
      <c r="C3978" s="1" t="s">
        <v>2808</v>
      </c>
      <c r="D3978" s="1" t="s">
        <v>3370</v>
      </c>
      <c r="E3978" s="1"/>
      <c r="F3978">
        <v>0</v>
      </c>
      <c r="G3978">
        <v>0</v>
      </c>
      <c r="H3978">
        <v>0</v>
      </c>
      <c r="I3978">
        <v>0</v>
      </c>
      <c r="J3978">
        <v>1723</v>
      </c>
      <c r="K3978" s="2">
        <v>45783</v>
      </c>
    </row>
    <row r="3979" spans="1:11" x14ac:dyDescent="0.25">
      <c r="A3979" s="1" t="s">
        <v>739</v>
      </c>
      <c r="B3979" s="1"/>
      <c r="C3979" s="1" t="s">
        <v>2926</v>
      </c>
      <c r="D3979" s="1" t="s">
        <v>3371</v>
      </c>
      <c r="E3979" s="1"/>
      <c r="F3979">
        <v>10.3</v>
      </c>
      <c r="G3979">
        <v>4.3</v>
      </c>
      <c r="H3979">
        <v>325</v>
      </c>
      <c r="I3979">
        <v>0</v>
      </c>
      <c r="J3979">
        <v>1744</v>
      </c>
      <c r="K3979" s="2">
        <v>45779</v>
      </c>
    </row>
    <row r="3980" spans="1:11" x14ac:dyDescent="0.25">
      <c r="A3980" s="1" t="s">
        <v>739</v>
      </c>
      <c r="B3980" s="1"/>
      <c r="C3980" s="1" t="s">
        <v>3319</v>
      </c>
      <c r="D3980" s="1" t="s">
        <v>3373</v>
      </c>
      <c r="E3980" s="1"/>
      <c r="F3980">
        <v>19.899999999999999</v>
      </c>
      <c r="G3980">
        <v>53.8</v>
      </c>
      <c r="H3980">
        <v>-1855</v>
      </c>
      <c r="I3980">
        <v>4</v>
      </c>
      <c r="J3980">
        <v>1740</v>
      </c>
      <c r="K3980" s="2">
        <v>45783</v>
      </c>
    </row>
    <row r="3981" spans="1:11" x14ac:dyDescent="0.25">
      <c r="A3981" s="1" t="s">
        <v>739</v>
      </c>
      <c r="B3981" s="1"/>
      <c r="C3981" s="1" t="s">
        <v>2812</v>
      </c>
      <c r="D3981" s="1" t="s">
        <v>3374</v>
      </c>
      <c r="E3981" s="1"/>
      <c r="F3981">
        <v>0.3</v>
      </c>
      <c r="G3981">
        <v>0</v>
      </c>
      <c r="H3981">
        <v>20</v>
      </c>
      <c r="I3981">
        <v>0</v>
      </c>
      <c r="J3981">
        <v>1740</v>
      </c>
      <c r="K3981" s="2">
        <v>45783</v>
      </c>
    </row>
    <row r="3982" spans="1:11" x14ac:dyDescent="0.25">
      <c r="A3982" s="1" t="s">
        <v>277</v>
      </c>
      <c r="B3982" s="1"/>
      <c r="C3982" s="1" t="s">
        <v>2870</v>
      </c>
      <c r="D3982" s="1" t="s">
        <v>3375</v>
      </c>
      <c r="E3982" s="1"/>
      <c r="F3982">
        <v>2.8</v>
      </c>
      <c r="G3982">
        <v>0.2</v>
      </c>
      <c r="H3982">
        <v>135</v>
      </c>
      <c r="I3982">
        <v>2</v>
      </c>
      <c r="J3982">
        <v>88</v>
      </c>
      <c r="K3982" s="2">
        <v>45730</v>
      </c>
    </row>
    <row r="3983" spans="1:11" x14ac:dyDescent="0.25">
      <c r="A3983" s="1" t="s">
        <v>277</v>
      </c>
      <c r="B3983" s="1"/>
      <c r="C3983" s="1" t="s">
        <v>2924</v>
      </c>
      <c r="D3983" s="1" t="s">
        <v>3372</v>
      </c>
      <c r="E3983" s="1"/>
      <c r="F3983">
        <v>1</v>
      </c>
      <c r="G3983">
        <v>0.6</v>
      </c>
      <c r="H3983">
        <v>25</v>
      </c>
      <c r="I3983">
        <v>0</v>
      </c>
      <c r="J3983">
        <v>88</v>
      </c>
      <c r="K3983" s="2">
        <v>45742</v>
      </c>
    </row>
    <row r="3984" spans="1:11" x14ac:dyDescent="0.25">
      <c r="A3984" s="1" t="s">
        <v>394</v>
      </c>
      <c r="B3984" s="1"/>
      <c r="C3984" s="1" t="s">
        <v>2808</v>
      </c>
      <c r="D3984" s="1" t="s">
        <v>3370</v>
      </c>
      <c r="E3984" s="1"/>
      <c r="F3984">
        <v>0</v>
      </c>
      <c r="G3984">
        <v>0</v>
      </c>
      <c r="H3984">
        <v>0</v>
      </c>
      <c r="I3984">
        <v>0</v>
      </c>
      <c r="J3984">
        <v>70</v>
      </c>
      <c r="K3984" s="2">
        <v>45736</v>
      </c>
    </row>
    <row r="3985" spans="1:11" x14ac:dyDescent="0.25">
      <c r="A3985" s="1" t="s">
        <v>394</v>
      </c>
      <c r="B3985" s="1"/>
      <c r="C3985" s="1" t="s">
        <v>2918</v>
      </c>
      <c r="D3985" s="1" t="s">
        <v>3388</v>
      </c>
      <c r="E3985" s="1"/>
      <c r="F3985">
        <v>0.7</v>
      </c>
      <c r="G3985">
        <v>0</v>
      </c>
      <c r="H3985">
        <v>45</v>
      </c>
      <c r="I3985">
        <v>0</v>
      </c>
      <c r="J3985">
        <v>70</v>
      </c>
      <c r="K3985" s="2">
        <v>45737</v>
      </c>
    </row>
    <row r="3986" spans="1:11" x14ac:dyDescent="0.25">
      <c r="A3986" s="1" t="s">
        <v>394</v>
      </c>
      <c r="B3986" s="1"/>
      <c r="C3986" s="1" t="s">
        <v>3104</v>
      </c>
      <c r="D3986" s="1" t="s">
        <v>3388</v>
      </c>
      <c r="E3986" s="1"/>
      <c r="F3986">
        <v>0</v>
      </c>
      <c r="G3986">
        <v>0</v>
      </c>
      <c r="H3986">
        <v>0</v>
      </c>
      <c r="I3986">
        <v>0</v>
      </c>
      <c r="J3986">
        <v>70</v>
      </c>
      <c r="K3986" s="2">
        <v>45737</v>
      </c>
    </row>
    <row r="3987" spans="1:11" x14ac:dyDescent="0.25">
      <c r="A3987" s="1" t="s">
        <v>394</v>
      </c>
      <c r="B3987" s="1"/>
      <c r="C3987" s="1" t="s">
        <v>2868</v>
      </c>
      <c r="D3987" s="1" t="s">
        <v>3388</v>
      </c>
      <c r="E3987" s="1"/>
      <c r="F3987">
        <v>0.7</v>
      </c>
      <c r="G3987">
        <v>0.2</v>
      </c>
      <c r="H3987">
        <v>35</v>
      </c>
      <c r="I3987">
        <v>0</v>
      </c>
      <c r="J3987">
        <v>70</v>
      </c>
      <c r="K3987" s="2">
        <v>45738</v>
      </c>
    </row>
    <row r="3988" spans="1:11" x14ac:dyDescent="0.25">
      <c r="A3988" s="1" t="s">
        <v>394</v>
      </c>
      <c r="B3988" s="1"/>
      <c r="C3988" s="1" t="s">
        <v>3320</v>
      </c>
      <c r="D3988" s="1" t="s">
        <v>3406</v>
      </c>
      <c r="E3988" s="1"/>
      <c r="F3988">
        <v>2.8</v>
      </c>
      <c r="G3988">
        <v>5.3</v>
      </c>
      <c r="H3988">
        <v>-115</v>
      </c>
      <c r="I3988">
        <v>0</v>
      </c>
      <c r="J3988">
        <v>70</v>
      </c>
      <c r="K3988" s="2">
        <v>45741</v>
      </c>
    </row>
    <row r="3989" spans="1:11" x14ac:dyDescent="0.25">
      <c r="A3989" s="1" t="s">
        <v>394</v>
      </c>
      <c r="B3989" s="1"/>
      <c r="C3989" s="1" t="s">
        <v>2870</v>
      </c>
      <c r="D3989" s="1" t="s">
        <v>3375</v>
      </c>
      <c r="E3989" s="1"/>
      <c r="F3989">
        <v>2.2000000000000002</v>
      </c>
      <c r="G3989">
        <v>0.8</v>
      </c>
      <c r="H3989">
        <v>70</v>
      </c>
      <c r="I3989">
        <v>0</v>
      </c>
      <c r="J3989">
        <v>70</v>
      </c>
      <c r="K3989" s="2">
        <v>45743</v>
      </c>
    </row>
    <row r="3990" spans="1:11" x14ac:dyDescent="0.25">
      <c r="A3990" s="1" t="s">
        <v>335</v>
      </c>
      <c r="B3990" s="1"/>
      <c r="C3990" s="1" t="s">
        <v>2808</v>
      </c>
      <c r="D3990" s="1" t="s">
        <v>3370</v>
      </c>
      <c r="E3990" s="1"/>
      <c r="F3990">
        <v>0</v>
      </c>
      <c r="G3990">
        <v>0</v>
      </c>
      <c r="H3990">
        <v>0</v>
      </c>
      <c r="I3990">
        <v>0</v>
      </c>
      <c r="J3990">
        <v>20</v>
      </c>
      <c r="K3990" s="2">
        <v>45729</v>
      </c>
    </row>
    <row r="3991" spans="1:11" x14ac:dyDescent="0.25">
      <c r="A3991" s="1" t="s">
        <v>335</v>
      </c>
      <c r="B3991" s="1"/>
      <c r="C3991" s="1" t="s">
        <v>3321</v>
      </c>
      <c r="D3991" s="1" t="s">
        <v>3371</v>
      </c>
      <c r="E3991" s="1"/>
      <c r="F3991">
        <v>0.2</v>
      </c>
      <c r="G3991">
        <v>0</v>
      </c>
      <c r="H3991">
        <v>10</v>
      </c>
      <c r="I3991">
        <v>0</v>
      </c>
      <c r="J3991">
        <v>20</v>
      </c>
      <c r="K3991" s="2">
        <v>45737</v>
      </c>
    </row>
    <row r="3992" spans="1:11" x14ac:dyDescent="0.25">
      <c r="A3992" s="1" t="s">
        <v>335</v>
      </c>
      <c r="B3992" s="1"/>
      <c r="C3992" s="1" t="s">
        <v>3322</v>
      </c>
      <c r="D3992" s="1" t="s">
        <v>3406</v>
      </c>
      <c r="E3992" s="1"/>
      <c r="F3992">
        <v>5.2</v>
      </c>
      <c r="G3992">
        <v>3.6</v>
      </c>
      <c r="H3992">
        <v>150</v>
      </c>
      <c r="I3992">
        <v>2</v>
      </c>
      <c r="J3992">
        <v>18</v>
      </c>
      <c r="K3992" s="2">
        <v>45737</v>
      </c>
    </row>
    <row r="3993" spans="1:11" x14ac:dyDescent="0.25">
      <c r="A3993" s="1" t="s">
        <v>335</v>
      </c>
      <c r="B3993" s="1"/>
      <c r="C3993" s="1" t="s">
        <v>2870</v>
      </c>
      <c r="D3993" s="1" t="s">
        <v>3375</v>
      </c>
      <c r="E3993" s="1"/>
      <c r="F3993">
        <v>0.3</v>
      </c>
      <c r="G3993">
        <v>0.8</v>
      </c>
      <c r="H3993">
        <v>-25</v>
      </c>
      <c r="I3993">
        <v>0</v>
      </c>
      <c r="J3993">
        <v>18</v>
      </c>
      <c r="K3993" s="2">
        <v>45741</v>
      </c>
    </row>
    <row r="3994" spans="1:11" x14ac:dyDescent="0.25">
      <c r="A3994" s="1" t="s">
        <v>710</v>
      </c>
      <c r="B3994" s="1"/>
      <c r="C3994" s="1" t="s">
        <v>2808</v>
      </c>
      <c r="D3994" s="1" t="s">
        <v>3370</v>
      </c>
      <c r="E3994" s="1"/>
      <c r="F3994">
        <v>0</v>
      </c>
      <c r="G3994">
        <v>0</v>
      </c>
      <c r="H3994">
        <v>0</v>
      </c>
      <c r="I3994">
        <v>0</v>
      </c>
      <c r="J3994">
        <v>250</v>
      </c>
      <c r="K3994" s="2">
        <v>45768</v>
      </c>
    </row>
    <row r="3995" spans="1:11" x14ac:dyDescent="0.25">
      <c r="A3995" s="1" t="s">
        <v>710</v>
      </c>
      <c r="B3995" s="1"/>
      <c r="C3995" s="1" t="s">
        <v>3321</v>
      </c>
      <c r="D3995" s="1" t="s">
        <v>3371</v>
      </c>
      <c r="E3995" s="1"/>
      <c r="F3995">
        <v>2.1</v>
      </c>
      <c r="G3995">
        <v>1.2</v>
      </c>
      <c r="H3995">
        <v>50</v>
      </c>
      <c r="I3995">
        <v>0</v>
      </c>
      <c r="J3995">
        <v>250</v>
      </c>
      <c r="K3995" s="2">
        <v>45769</v>
      </c>
    </row>
    <row r="3996" spans="1:11" x14ac:dyDescent="0.25">
      <c r="A3996" s="1" t="s">
        <v>710</v>
      </c>
      <c r="B3996" s="1"/>
      <c r="C3996" s="1" t="s">
        <v>3322</v>
      </c>
      <c r="D3996" s="1" t="s">
        <v>3406</v>
      </c>
      <c r="E3996" s="1"/>
      <c r="F3996">
        <v>7.1</v>
      </c>
      <c r="G3996">
        <v>13.3</v>
      </c>
      <c r="H3996">
        <v>-250</v>
      </c>
      <c r="I3996">
        <v>4</v>
      </c>
      <c r="J3996">
        <v>246</v>
      </c>
      <c r="K3996" s="2">
        <v>45771</v>
      </c>
    </row>
    <row r="3997" spans="1:11" x14ac:dyDescent="0.25">
      <c r="A3997" s="1" t="s">
        <v>710</v>
      </c>
      <c r="B3997" s="1"/>
      <c r="C3997" s="1" t="s">
        <v>2870</v>
      </c>
      <c r="D3997" s="1" t="s">
        <v>3375</v>
      </c>
      <c r="E3997" s="1"/>
      <c r="F3997">
        <v>3.4</v>
      </c>
      <c r="G3997">
        <v>19.7</v>
      </c>
      <c r="H3997">
        <v>-845</v>
      </c>
      <c r="I3997">
        <v>6</v>
      </c>
      <c r="J3997">
        <v>240</v>
      </c>
      <c r="K3997" s="2">
        <v>45777</v>
      </c>
    </row>
    <row r="3998" spans="1:11" x14ac:dyDescent="0.25">
      <c r="A3998" s="1" t="s">
        <v>254</v>
      </c>
      <c r="B3998" s="1"/>
      <c r="C3998" s="1" t="s">
        <v>2918</v>
      </c>
      <c r="D3998" s="1" t="s">
        <v>3412</v>
      </c>
      <c r="E3998" s="1"/>
      <c r="F3998">
        <v>6.7</v>
      </c>
      <c r="G3998">
        <v>8.1</v>
      </c>
      <c r="H3998">
        <v>-85</v>
      </c>
      <c r="I3998">
        <v>0</v>
      </c>
      <c r="J3998">
        <v>800</v>
      </c>
      <c r="K3998" s="2">
        <v>45730</v>
      </c>
    </row>
    <row r="3999" spans="1:11" x14ac:dyDescent="0.25">
      <c r="A3999" s="1" t="s">
        <v>254</v>
      </c>
      <c r="B3999" s="1"/>
      <c r="C3999" s="1" t="s">
        <v>3283</v>
      </c>
      <c r="D3999" s="1" t="s">
        <v>3406</v>
      </c>
      <c r="E3999" s="1"/>
      <c r="F3999">
        <v>9.6999999999999993</v>
      </c>
      <c r="G3999">
        <v>20.5</v>
      </c>
      <c r="H3999">
        <v>-535</v>
      </c>
      <c r="I3999">
        <v>2</v>
      </c>
      <c r="J3999">
        <v>798</v>
      </c>
      <c r="K3999" s="2">
        <v>45741</v>
      </c>
    </row>
    <row r="4000" spans="1:11" x14ac:dyDescent="0.25">
      <c r="A4000" s="1" t="s">
        <v>254</v>
      </c>
      <c r="B4000" s="1"/>
      <c r="C4000" s="1" t="s">
        <v>3323</v>
      </c>
      <c r="D4000" s="1" t="s">
        <v>3375</v>
      </c>
      <c r="E4000" s="1"/>
      <c r="F4000">
        <v>0</v>
      </c>
      <c r="G4000">
        <v>7.8</v>
      </c>
      <c r="H4000">
        <v>-400</v>
      </c>
      <c r="I4000">
        <v>0</v>
      </c>
      <c r="J4000">
        <v>798</v>
      </c>
      <c r="K4000" s="2">
        <v>45730</v>
      </c>
    </row>
    <row r="4001" spans="1:11" x14ac:dyDescent="0.25">
      <c r="A4001" s="1" t="s">
        <v>295</v>
      </c>
      <c r="B4001" s="1"/>
      <c r="C4001" s="1" t="s">
        <v>2808</v>
      </c>
      <c r="D4001" s="1" t="s">
        <v>3370</v>
      </c>
      <c r="E4001" s="1"/>
      <c r="F4001">
        <v>0</v>
      </c>
      <c r="G4001">
        <v>0</v>
      </c>
      <c r="H4001">
        <v>0</v>
      </c>
      <c r="I4001">
        <v>0</v>
      </c>
      <c r="J4001">
        <v>25</v>
      </c>
      <c r="K4001" s="2">
        <v>45734</v>
      </c>
    </row>
    <row r="4002" spans="1:11" x14ac:dyDescent="0.25">
      <c r="A4002" s="1" t="s">
        <v>295</v>
      </c>
      <c r="B4002" s="1"/>
      <c r="C4002" s="1" t="s">
        <v>3324</v>
      </c>
      <c r="D4002" s="1" t="s">
        <v>3499</v>
      </c>
      <c r="E4002" s="1"/>
      <c r="F4002">
        <v>0.3</v>
      </c>
      <c r="G4002">
        <v>0.5</v>
      </c>
      <c r="H4002">
        <v>-5</v>
      </c>
      <c r="I4002">
        <v>0</v>
      </c>
      <c r="J4002">
        <v>25</v>
      </c>
      <c r="K4002" s="2">
        <v>45735</v>
      </c>
    </row>
    <row r="4003" spans="1:11" x14ac:dyDescent="0.25">
      <c r="A4003" s="1" t="s">
        <v>295</v>
      </c>
      <c r="B4003" s="1"/>
      <c r="C4003" s="1" t="s">
        <v>3325</v>
      </c>
      <c r="D4003" s="1" t="s">
        <v>3389</v>
      </c>
      <c r="E4003" s="1"/>
      <c r="F4003">
        <v>0</v>
      </c>
      <c r="G4003">
        <v>0</v>
      </c>
      <c r="H4003">
        <v>-160</v>
      </c>
      <c r="I4003">
        <v>0</v>
      </c>
      <c r="J4003">
        <v>25</v>
      </c>
      <c r="K4003" s="2">
        <v>45743</v>
      </c>
    </row>
    <row r="4004" spans="1:11" x14ac:dyDescent="0.25">
      <c r="A4004" s="1" t="s">
        <v>292</v>
      </c>
      <c r="B4004" s="1"/>
      <c r="C4004" s="1" t="s">
        <v>2808</v>
      </c>
      <c r="D4004" s="1" t="s">
        <v>3370</v>
      </c>
      <c r="E4004" s="1"/>
      <c r="F4004">
        <v>0</v>
      </c>
      <c r="G4004">
        <v>0</v>
      </c>
      <c r="H4004">
        <v>0</v>
      </c>
      <c r="I4004">
        <v>0</v>
      </c>
      <c r="J4004">
        <v>25</v>
      </c>
      <c r="K4004" s="2">
        <v>45730</v>
      </c>
    </row>
    <row r="4005" spans="1:11" x14ac:dyDescent="0.25">
      <c r="A4005" s="1" t="s">
        <v>292</v>
      </c>
      <c r="B4005" s="1"/>
      <c r="C4005" s="1" t="s">
        <v>3324</v>
      </c>
      <c r="D4005" s="1" t="s">
        <v>3499</v>
      </c>
      <c r="E4005" s="1"/>
      <c r="F4005">
        <v>0.3</v>
      </c>
      <c r="G4005">
        <v>0.5</v>
      </c>
      <c r="H4005">
        <v>-5</v>
      </c>
      <c r="I4005">
        <v>0</v>
      </c>
      <c r="J4005">
        <v>25</v>
      </c>
      <c r="K4005" s="2">
        <v>45733</v>
      </c>
    </row>
    <row r="4006" spans="1:11" x14ac:dyDescent="0.25">
      <c r="A4006" s="1" t="s">
        <v>292</v>
      </c>
      <c r="B4006" s="1"/>
      <c r="C4006" s="1" t="s">
        <v>3326</v>
      </c>
      <c r="D4006" s="1" t="s">
        <v>3372</v>
      </c>
      <c r="E4006" s="1"/>
      <c r="F4006">
        <v>0.2</v>
      </c>
      <c r="G4006">
        <v>0</v>
      </c>
      <c r="H4006">
        <v>10</v>
      </c>
      <c r="I4006">
        <v>0</v>
      </c>
      <c r="J4006">
        <v>25</v>
      </c>
      <c r="K4006" s="2">
        <v>45733</v>
      </c>
    </row>
    <row r="4007" spans="1:11" x14ac:dyDescent="0.25">
      <c r="A4007" s="1" t="s">
        <v>292</v>
      </c>
      <c r="B4007" s="1"/>
      <c r="C4007" s="1" t="s">
        <v>3327</v>
      </c>
      <c r="D4007" s="1" t="s">
        <v>3389</v>
      </c>
      <c r="E4007" s="1"/>
      <c r="F4007">
        <v>0</v>
      </c>
      <c r="G4007">
        <v>0</v>
      </c>
      <c r="H4007">
        <v>-160</v>
      </c>
      <c r="I4007">
        <v>0</v>
      </c>
      <c r="J4007">
        <v>25</v>
      </c>
      <c r="K4007" s="2">
        <v>45743</v>
      </c>
    </row>
    <row r="4008" spans="1:11" x14ac:dyDescent="0.25">
      <c r="A4008" s="1" t="s">
        <v>292</v>
      </c>
      <c r="B4008" s="1"/>
      <c r="C4008" s="1" t="s">
        <v>3328</v>
      </c>
      <c r="D4008" s="1" t="s">
        <v>3372</v>
      </c>
      <c r="E4008" s="1"/>
      <c r="F4008">
        <v>0</v>
      </c>
      <c r="G4008">
        <v>0</v>
      </c>
      <c r="H4008">
        <v>0</v>
      </c>
      <c r="I4008">
        <v>0</v>
      </c>
      <c r="J4008">
        <v>25</v>
      </c>
      <c r="K4008" s="2">
        <v>45744</v>
      </c>
    </row>
    <row r="4009" spans="1:11" x14ac:dyDescent="0.25">
      <c r="A4009" s="1" t="s">
        <v>405</v>
      </c>
      <c r="B4009" s="1"/>
      <c r="C4009" s="1" t="s">
        <v>2808</v>
      </c>
      <c r="D4009" s="1" t="s">
        <v>3370</v>
      </c>
      <c r="E4009" s="1"/>
      <c r="F4009">
        <v>0</v>
      </c>
      <c r="G4009">
        <v>0</v>
      </c>
      <c r="H4009">
        <v>0</v>
      </c>
      <c r="I4009">
        <v>0</v>
      </c>
      <c r="J4009">
        <v>760</v>
      </c>
      <c r="K4009" s="2">
        <v>45736</v>
      </c>
    </row>
    <row r="4010" spans="1:11" x14ac:dyDescent="0.25">
      <c r="A4010" s="1" t="s">
        <v>405</v>
      </c>
      <c r="B4010" s="1"/>
      <c r="C4010" s="1" t="s">
        <v>3329</v>
      </c>
      <c r="D4010" s="1" t="s">
        <v>3388</v>
      </c>
      <c r="E4010" s="1"/>
      <c r="F4010">
        <v>1</v>
      </c>
      <c r="G4010">
        <v>10.199999999999999</v>
      </c>
      <c r="H4010">
        <v>-575</v>
      </c>
      <c r="I4010">
        <v>0</v>
      </c>
      <c r="J4010">
        <v>760</v>
      </c>
      <c r="K4010" s="2">
        <v>45748</v>
      </c>
    </row>
    <row r="4011" spans="1:11" x14ac:dyDescent="0.25">
      <c r="A4011" s="1" t="s">
        <v>405</v>
      </c>
      <c r="B4011" s="1"/>
      <c r="C4011" s="1" t="s">
        <v>2868</v>
      </c>
      <c r="D4011" s="1" t="s">
        <v>3388</v>
      </c>
      <c r="E4011" s="1"/>
      <c r="F4011">
        <v>1</v>
      </c>
      <c r="G4011">
        <v>14.5</v>
      </c>
      <c r="H4011">
        <v>-845</v>
      </c>
      <c r="I4011">
        <v>0</v>
      </c>
      <c r="J4011">
        <v>760</v>
      </c>
      <c r="K4011" s="2">
        <v>45786</v>
      </c>
    </row>
    <row r="4012" spans="1:11" x14ac:dyDescent="0.25">
      <c r="A4012" s="1" t="s">
        <v>405</v>
      </c>
      <c r="B4012" s="1"/>
      <c r="C4012" s="1" t="s">
        <v>3330</v>
      </c>
      <c r="D4012" s="1" t="s">
        <v>3388</v>
      </c>
      <c r="E4012" s="1"/>
      <c r="F4012">
        <v>0</v>
      </c>
      <c r="G4012">
        <v>3.9</v>
      </c>
      <c r="H4012">
        <v>-240</v>
      </c>
      <c r="I4012">
        <v>0</v>
      </c>
      <c r="J4012">
        <v>760</v>
      </c>
      <c r="K4012" s="2">
        <v>45748</v>
      </c>
    </row>
    <row r="4013" spans="1:11" x14ac:dyDescent="0.25">
      <c r="A4013" s="1" t="s">
        <v>405</v>
      </c>
      <c r="B4013" s="1"/>
      <c r="C4013" s="1" t="s">
        <v>2915</v>
      </c>
      <c r="D4013" s="1" t="s">
        <v>3415</v>
      </c>
      <c r="E4013" s="1"/>
      <c r="F4013">
        <v>9.6999999999999993</v>
      </c>
      <c r="G4013">
        <v>64.3</v>
      </c>
      <c r="H4013">
        <v>-2965</v>
      </c>
      <c r="I4013">
        <v>0</v>
      </c>
      <c r="J4013">
        <v>760</v>
      </c>
      <c r="K4013" s="2">
        <v>45785</v>
      </c>
    </row>
    <row r="4014" spans="1:11" x14ac:dyDescent="0.25">
      <c r="A4014" s="1" t="s">
        <v>405</v>
      </c>
      <c r="B4014" s="1"/>
      <c r="C4014" s="1" t="s">
        <v>2921</v>
      </c>
      <c r="D4014" s="1" t="s">
        <v>3391</v>
      </c>
      <c r="E4014" s="1"/>
      <c r="F4014">
        <v>20.3</v>
      </c>
      <c r="G4014">
        <v>31.4</v>
      </c>
      <c r="H4014">
        <v>-605</v>
      </c>
      <c r="I4014">
        <v>0</v>
      </c>
      <c r="J4014">
        <v>702</v>
      </c>
      <c r="K4014" s="2">
        <v>45751</v>
      </c>
    </row>
    <row r="4015" spans="1:11" x14ac:dyDescent="0.25">
      <c r="A4015" s="1" t="s">
        <v>405</v>
      </c>
      <c r="B4015" s="1"/>
      <c r="C4015" s="1" t="s">
        <v>2853</v>
      </c>
      <c r="D4015" s="1" t="s">
        <v>3372</v>
      </c>
      <c r="E4015" s="1"/>
      <c r="F4015">
        <v>1</v>
      </c>
      <c r="G4015">
        <v>0.7</v>
      </c>
      <c r="H4015">
        <v>20</v>
      </c>
      <c r="I4015">
        <v>0</v>
      </c>
      <c r="J4015">
        <v>760</v>
      </c>
      <c r="K4015" s="2">
        <v>45786</v>
      </c>
    </row>
    <row r="4016" spans="1:11" x14ac:dyDescent="0.25">
      <c r="A4016" s="1" t="s">
        <v>257</v>
      </c>
      <c r="B4016" s="1"/>
      <c r="C4016" s="1" t="s">
        <v>3331</v>
      </c>
      <c r="D4016" s="1" t="s">
        <v>3404</v>
      </c>
      <c r="E4016" s="1"/>
      <c r="F4016">
        <v>0</v>
      </c>
      <c r="G4016">
        <v>0</v>
      </c>
      <c r="H4016">
        <v>0</v>
      </c>
      <c r="I4016">
        <v>0</v>
      </c>
      <c r="J4016">
        <v>247</v>
      </c>
      <c r="K4016" s="2">
        <v>45729</v>
      </c>
    </row>
    <row r="4017" spans="1:11" x14ac:dyDescent="0.25">
      <c r="A4017" s="1" t="s">
        <v>257</v>
      </c>
      <c r="B4017" s="1"/>
      <c r="C4017" s="1" t="s">
        <v>2868</v>
      </c>
      <c r="D4017" s="1" t="s">
        <v>3371</v>
      </c>
      <c r="E4017" s="1"/>
      <c r="F4017">
        <v>0.6</v>
      </c>
      <c r="G4017">
        <v>0</v>
      </c>
      <c r="H4017">
        <v>35</v>
      </c>
      <c r="I4017">
        <v>0</v>
      </c>
      <c r="J4017">
        <v>247</v>
      </c>
      <c r="K4017" s="2">
        <v>45729</v>
      </c>
    </row>
    <row r="4018" spans="1:11" x14ac:dyDescent="0.25">
      <c r="A4018" s="1" t="s">
        <v>257</v>
      </c>
      <c r="B4018" s="1"/>
      <c r="C4018" s="1" t="s">
        <v>2921</v>
      </c>
      <c r="D4018" s="1" t="s">
        <v>3375</v>
      </c>
      <c r="E4018" s="1"/>
      <c r="F4018">
        <v>2.5</v>
      </c>
      <c r="G4018">
        <v>0</v>
      </c>
      <c r="H4018">
        <v>130</v>
      </c>
      <c r="I4018">
        <v>2</v>
      </c>
      <c r="J4018">
        <v>245</v>
      </c>
      <c r="K4018" s="2">
        <v>45729</v>
      </c>
    </row>
    <row r="4019" spans="1:11" x14ac:dyDescent="0.25">
      <c r="A4019" s="1" t="s">
        <v>483</v>
      </c>
      <c r="B4019" s="1"/>
      <c r="C4019" s="1" t="s">
        <v>2808</v>
      </c>
      <c r="D4019" s="1" t="s">
        <v>3370</v>
      </c>
      <c r="E4019" s="1"/>
      <c r="F4019">
        <v>0</v>
      </c>
      <c r="G4019">
        <v>0</v>
      </c>
      <c r="H4019">
        <v>0</v>
      </c>
      <c r="I4019">
        <v>0</v>
      </c>
      <c r="J4019">
        <v>28</v>
      </c>
      <c r="K4019" s="2">
        <v>45756</v>
      </c>
    </row>
    <row r="4020" spans="1:11" x14ac:dyDescent="0.25">
      <c r="A4020" s="1" t="s">
        <v>483</v>
      </c>
      <c r="B4020" s="1"/>
      <c r="C4020" s="1" t="s">
        <v>3331</v>
      </c>
      <c r="D4020" s="1" t="s">
        <v>3404</v>
      </c>
      <c r="E4020" s="1"/>
      <c r="F4020">
        <v>0</v>
      </c>
      <c r="G4020">
        <v>0</v>
      </c>
      <c r="H4020">
        <v>0</v>
      </c>
      <c r="I4020">
        <v>0</v>
      </c>
      <c r="J4020">
        <v>28</v>
      </c>
      <c r="K4020" s="2">
        <v>45755</v>
      </c>
    </row>
    <row r="4021" spans="1:11" x14ac:dyDescent="0.25">
      <c r="A4021" s="1" t="s">
        <v>483</v>
      </c>
      <c r="B4021" s="1"/>
      <c r="C4021" s="1" t="s">
        <v>2868</v>
      </c>
      <c r="D4021" s="1" t="s">
        <v>3371</v>
      </c>
      <c r="E4021" s="1"/>
      <c r="F4021">
        <v>0.1</v>
      </c>
      <c r="G4021">
        <v>0</v>
      </c>
      <c r="H4021">
        <v>5</v>
      </c>
      <c r="I4021">
        <v>0</v>
      </c>
      <c r="J4021">
        <v>28</v>
      </c>
      <c r="K4021" s="2">
        <v>45755</v>
      </c>
    </row>
    <row r="4022" spans="1:11" x14ac:dyDescent="0.25">
      <c r="A4022" s="1" t="s">
        <v>483</v>
      </c>
      <c r="B4022" s="1"/>
      <c r="C4022" s="1" t="s">
        <v>3332</v>
      </c>
      <c r="D4022" s="1" t="s">
        <v>3405</v>
      </c>
      <c r="E4022" s="1"/>
      <c r="F4022">
        <v>4.2</v>
      </c>
      <c r="G4022">
        <v>1.6</v>
      </c>
      <c r="H4022">
        <v>195</v>
      </c>
      <c r="I4022">
        <v>0</v>
      </c>
      <c r="J4022">
        <v>28</v>
      </c>
      <c r="K4022" s="2">
        <v>45755</v>
      </c>
    </row>
    <row r="4023" spans="1:11" x14ac:dyDescent="0.25">
      <c r="A4023" s="1" t="s">
        <v>483</v>
      </c>
      <c r="B4023" s="1"/>
      <c r="C4023" s="1" t="s">
        <v>3333</v>
      </c>
      <c r="D4023" s="1" t="s">
        <v>3374</v>
      </c>
      <c r="E4023" s="1"/>
      <c r="F4023">
        <v>0.3</v>
      </c>
      <c r="G4023">
        <v>0</v>
      </c>
      <c r="H4023">
        <v>20</v>
      </c>
      <c r="I4023">
        <v>0</v>
      </c>
      <c r="J4023">
        <v>28</v>
      </c>
      <c r="K4023" s="2">
        <v>45756</v>
      </c>
    </row>
    <row r="4024" spans="1:11" x14ac:dyDescent="0.25">
      <c r="A4024" s="1" t="s">
        <v>483</v>
      </c>
      <c r="B4024" s="1"/>
      <c r="C4024" s="1" t="s">
        <v>2921</v>
      </c>
      <c r="D4024" s="1" t="s">
        <v>3375</v>
      </c>
      <c r="E4024" s="1"/>
      <c r="F4024">
        <v>0.3</v>
      </c>
      <c r="G4024">
        <v>0</v>
      </c>
      <c r="H4024">
        <v>15</v>
      </c>
      <c r="I4024">
        <v>0</v>
      </c>
      <c r="J4024">
        <v>28</v>
      </c>
      <c r="K4024" s="2">
        <v>45756</v>
      </c>
    </row>
    <row r="4025" spans="1:11" x14ac:dyDescent="0.25">
      <c r="A4025" s="1" t="s">
        <v>483</v>
      </c>
      <c r="B4025" s="1"/>
      <c r="C4025" s="1" t="s">
        <v>2816</v>
      </c>
      <c r="D4025" s="1" t="s">
        <v>3372</v>
      </c>
      <c r="E4025" s="1"/>
      <c r="F4025">
        <v>0.5</v>
      </c>
      <c r="G4025">
        <v>0.2</v>
      </c>
      <c r="H4025">
        <v>20</v>
      </c>
      <c r="I4025">
        <v>0</v>
      </c>
      <c r="J4025">
        <v>28</v>
      </c>
      <c r="K4025" s="2">
        <v>45756</v>
      </c>
    </row>
    <row r="4026" spans="1:11" x14ac:dyDescent="0.25">
      <c r="A4026" s="1" t="s">
        <v>606</v>
      </c>
      <c r="B4026" s="1"/>
      <c r="C4026" s="1" t="s">
        <v>2808</v>
      </c>
      <c r="D4026" s="1" t="s">
        <v>3370</v>
      </c>
      <c r="E4026" s="1"/>
      <c r="F4026">
        <v>0</v>
      </c>
      <c r="G4026">
        <v>0</v>
      </c>
      <c r="H4026">
        <v>0</v>
      </c>
      <c r="I4026">
        <v>0</v>
      </c>
      <c r="J4026">
        <v>250</v>
      </c>
      <c r="K4026" s="2">
        <v>45761</v>
      </c>
    </row>
    <row r="4027" spans="1:11" x14ac:dyDescent="0.25">
      <c r="A4027" s="1" t="s">
        <v>606</v>
      </c>
      <c r="B4027" s="1"/>
      <c r="C4027" s="1" t="s">
        <v>3331</v>
      </c>
      <c r="D4027" s="1" t="s">
        <v>3404</v>
      </c>
      <c r="E4027" s="1"/>
      <c r="F4027">
        <v>0</v>
      </c>
      <c r="G4027">
        <v>0</v>
      </c>
      <c r="H4027">
        <v>0</v>
      </c>
      <c r="I4027">
        <v>0</v>
      </c>
      <c r="J4027">
        <v>250</v>
      </c>
      <c r="K4027" s="2">
        <v>45770</v>
      </c>
    </row>
    <row r="4028" spans="1:11" x14ac:dyDescent="0.25">
      <c r="A4028" s="1" t="s">
        <v>606</v>
      </c>
      <c r="B4028" s="1"/>
      <c r="C4028" s="1" t="s">
        <v>2868</v>
      </c>
      <c r="D4028" s="1" t="s">
        <v>3371</v>
      </c>
      <c r="E4028" s="1"/>
      <c r="F4028">
        <v>0.6</v>
      </c>
      <c r="G4028">
        <v>0</v>
      </c>
      <c r="H4028">
        <v>35</v>
      </c>
      <c r="I4028">
        <v>0</v>
      </c>
      <c r="J4028">
        <v>250</v>
      </c>
      <c r="K4028" s="2">
        <v>45765</v>
      </c>
    </row>
    <row r="4029" spans="1:11" x14ac:dyDescent="0.25">
      <c r="A4029" s="1" t="s">
        <v>606</v>
      </c>
      <c r="B4029" s="1"/>
      <c r="C4029" s="1" t="s">
        <v>3332</v>
      </c>
      <c r="D4029" s="1" t="s">
        <v>3405</v>
      </c>
      <c r="E4029" s="1"/>
      <c r="F4029">
        <v>6</v>
      </c>
      <c r="G4029">
        <v>7.9</v>
      </c>
      <c r="H4029">
        <v>-35</v>
      </c>
      <c r="I4029">
        <v>9</v>
      </c>
      <c r="J4029">
        <v>241</v>
      </c>
      <c r="K4029" s="2">
        <v>45770</v>
      </c>
    </row>
    <row r="4030" spans="1:11" x14ac:dyDescent="0.25">
      <c r="A4030" s="1" t="s">
        <v>606</v>
      </c>
      <c r="B4030" s="1"/>
      <c r="C4030" s="1" t="s">
        <v>3333</v>
      </c>
      <c r="D4030" s="1" t="s">
        <v>3374</v>
      </c>
      <c r="E4030" s="1"/>
      <c r="F4030">
        <v>0.3</v>
      </c>
      <c r="G4030">
        <v>0</v>
      </c>
      <c r="H4030">
        <v>20</v>
      </c>
      <c r="I4030">
        <v>0</v>
      </c>
      <c r="J4030">
        <v>241</v>
      </c>
      <c r="K4030" s="2">
        <v>45771</v>
      </c>
    </row>
    <row r="4031" spans="1:11" x14ac:dyDescent="0.25">
      <c r="A4031" s="1" t="s">
        <v>606</v>
      </c>
      <c r="B4031" s="1"/>
      <c r="C4031" s="1" t="s">
        <v>2921</v>
      </c>
      <c r="D4031" s="1" t="s">
        <v>3375</v>
      </c>
      <c r="E4031" s="1"/>
      <c r="F4031">
        <v>2.5</v>
      </c>
      <c r="G4031">
        <v>4.0999999999999996</v>
      </c>
      <c r="H4031">
        <v>-80</v>
      </c>
      <c r="I4031">
        <v>0</v>
      </c>
      <c r="J4031">
        <v>241</v>
      </c>
      <c r="K4031" s="2">
        <v>45771</v>
      </c>
    </row>
    <row r="4032" spans="1:11" x14ac:dyDescent="0.25">
      <c r="A4032" s="1" t="s">
        <v>606</v>
      </c>
      <c r="B4032" s="1"/>
      <c r="C4032" s="1" t="s">
        <v>2816</v>
      </c>
      <c r="D4032" s="1" t="s">
        <v>3372</v>
      </c>
      <c r="E4032" s="1"/>
      <c r="F4032">
        <v>0.5</v>
      </c>
      <c r="G4032">
        <v>0</v>
      </c>
      <c r="H4032">
        <v>30</v>
      </c>
      <c r="I4032">
        <v>0</v>
      </c>
      <c r="J4032">
        <v>241</v>
      </c>
      <c r="K4032" s="2">
        <v>45771</v>
      </c>
    </row>
    <row r="4033" spans="1:11" x14ac:dyDescent="0.25">
      <c r="A4033" s="1" t="s">
        <v>234</v>
      </c>
      <c r="B4033" s="1"/>
      <c r="C4033" s="1" t="s">
        <v>2808</v>
      </c>
      <c r="D4033" s="1" t="s">
        <v>3370</v>
      </c>
      <c r="E4033" s="1"/>
      <c r="F4033">
        <v>0</v>
      </c>
      <c r="G4033">
        <v>0</v>
      </c>
      <c r="H4033">
        <v>0</v>
      </c>
      <c r="I4033">
        <v>0</v>
      </c>
      <c r="J4033">
        <v>1008</v>
      </c>
      <c r="K4033" s="2">
        <v>45738</v>
      </c>
    </row>
    <row r="4034" spans="1:11" x14ac:dyDescent="0.25">
      <c r="A4034" s="1" t="s">
        <v>234</v>
      </c>
      <c r="B4034" s="1"/>
      <c r="C4034" s="1" t="s">
        <v>3334</v>
      </c>
      <c r="D4034" s="1" t="s">
        <v>3386</v>
      </c>
      <c r="E4034" s="1"/>
      <c r="F4034">
        <v>8</v>
      </c>
      <c r="G4034">
        <v>27.3</v>
      </c>
      <c r="H4034">
        <v>-985</v>
      </c>
      <c r="I4034">
        <v>0</v>
      </c>
      <c r="J4034">
        <v>1072</v>
      </c>
      <c r="K4034" s="2">
        <v>45751</v>
      </c>
    </row>
    <row r="4035" spans="1:11" x14ac:dyDescent="0.25">
      <c r="A4035" s="1" t="s">
        <v>234</v>
      </c>
      <c r="B4035" s="1"/>
      <c r="C4035" s="1" t="s">
        <v>2812</v>
      </c>
      <c r="D4035" s="1" t="s">
        <v>3374</v>
      </c>
      <c r="E4035" s="1"/>
      <c r="F4035">
        <v>0.3</v>
      </c>
      <c r="G4035">
        <v>0</v>
      </c>
      <c r="H4035">
        <v>20</v>
      </c>
      <c r="I4035">
        <v>0</v>
      </c>
      <c r="J4035">
        <v>1072</v>
      </c>
      <c r="K4035" s="2">
        <v>45751</v>
      </c>
    </row>
    <row r="4036" spans="1:11" x14ac:dyDescent="0.25">
      <c r="A4036" s="1" t="s">
        <v>234</v>
      </c>
      <c r="B4036" s="1"/>
      <c r="C4036" s="1" t="s">
        <v>3335</v>
      </c>
      <c r="D4036" s="1" t="s">
        <v>3389</v>
      </c>
      <c r="E4036" s="1"/>
      <c r="F4036">
        <v>0</v>
      </c>
      <c r="G4036">
        <v>0</v>
      </c>
      <c r="H4036">
        <v>-10</v>
      </c>
      <c r="I4036">
        <v>0</v>
      </c>
      <c r="J4036">
        <v>1072</v>
      </c>
      <c r="K4036" s="2">
        <v>45751</v>
      </c>
    </row>
    <row r="4037" spans="1:11" x14ac:dyDescent="0.25">
      <c r="A4037" s="1" t="s">
        <v>234</v>
      </c>
      <c r="B4037" s="1"/>
      <c r="C4037" s="1" t="s">
        <v>3336</v>
      </c>
      <c r="D4037" s="1" t="s">
        <v>3417</v>
      </c>
      <c r="E4037" s="1"/>
      <c r="F4037">
        <v>4.5</v>
      </c>
      <c r="G4037">
        <v>13.3</v>
      </c>
      <c r="H4037">
        <v>-450</v>
      </c>
      <c r="I4037">
        <v>0</v>
      </c>
      <c r="J4037">
        <v>1072</v>
      </c>
      <c r="K4037" s="2">
        <v>45751</v>
      </c>
    </row>
    <row r="4038" spans="1:11" x14ac:dyDescent="0.25">
      <c r="A4038" s="1" t="s">
        <v>482</v>
      </c>
      <c r="B4038" s="1"/>
      <c r="C4038" s="1" t="s">
        <v>2808</v>
      </c>
      <c r="D4038" s="1" t="s">
        <v>3370</v>
      </c>
      <c r="E4038" s="1"/>
      <c r="F4038">
        <v>0</v>
      </c>
      <c r="G4038">
        <v>0</v>
      </c>
      <c r="H4038">
        <v>0</v>
      </c>
      <c r="I4038">
        <v>0</v>
      </c>
      <c r="J4038">
        <v>80</v>
      </c>
      <c r="K4038" s="2">
        <v>45770</v>
      </c>
    </row>
    <row r="4039" spans="1:11" x14ac:dyDescent="0.25">
      <c r="A4039" s="1" t="s">
        <v>482</v>
      </c>
      <c r="B4039" s="1"/>
      <c r="C4039" s="1" t="s">
        <v>3337</v>
      </c>
      <c r="D4039" s="1" t="s">
        <v>3386</v>
      </c>
      <c r="E4039" s="1"/>
      <c r="F4039">
        <v>2.5</v>
      </c>
      <c r="G4039">
        <v>4</v>
      </c>
      <c r="H4039">
        <v>-75</v>
      </c>
      <c r="I4039">
        <v>0</v>
      </c>
      <c r="J4039">
        <v>106</v>
      </c>
      <c r="K4039" s="2">
        <v>45778</v>
      </c>
    </row>
    <row r="4040" spans="1:11" x14ac:dyDescent="0.25">
      <c r="A4040" s="1" t="s">
        <v>482</v>
      </c>
      <c r="B4040" s="1"/>
      <c r="C4040" s="1" t="s">
        <v>3338</v>
      </c>
      <c r="D4040" s="1" t="s">
        <v>3389</v>
      </c>
      <c r="E4040" s="1"/>
      <c r="F4040">
        <v>0</v>
      </c>
      <c r="G4040">
        <v>0</v>
      </c>
      <c r="H4040">
        <v>0</v>
      </c>
      <c r="I4040">
        <v>0</v>
      </c>
      <c r="J4040">
        <v>106</v>
      </c>
      <c r="K4040" s="2">
        <v>45778</v>
      </c>
    </row>
    <row r="4041" spans="1:11" x14ac:dyDescent="0.25">
      <c r="A4041" s="1">
        <v>0</v>
      </c>
      <c r="B4041" s="1"/>
      <c r="C4041" s="1" t="s">
        <v>2808</v>
      </c>
      <c r="D4041" s="1" t="s">
        <v>3370</v>
      </c>
      <c r="E4041" s="1"/>
      <c r="F4041">
        <v>0</v>
      </c>
      <c r="G4041">
        <v>0</v>
      </c>
      <c r="H4041">
        <v>0</v>
      </c>
      <c r="I4041">
        <v>0</v>
      </c>
      <c r="J4041">
        <v>16</v>
      </c>
      <c r="K4041" s="2">
        <v>45772</v>
      </c>
    </row>
    <row r="4042" spans="1:11" x14ac:dyDescent="0.25">
      <c r="A4042" s="1" t="s">
        <v>729</v>
      </c>
      <c r="B4042" s="1"/>
      <c r="C4042" s="1" t="s">
        <v>2808</v>
      </c>
      <c r="D4042" s="1" t="s">
        <v>3370</v>
      </c>
      <c r="E4042" s="1"/>
      <c r="F4042">
        <v>0</v>
      </c>
      <c r="G4042">
        <v>0</v>
      </c>
      <c r="H4042">
        <v>0</v>
      </c>
      <c r="I4042">
        <v>0</v>
      </c>
      <c r="J4042">
        <v>300</v>
      </c>
      <c r="K4042" s="2">
        <v>45783</v>
      </c>
    </row>
    <row r="4043" spans="1:11" x14ac:dyDescent="0.25">
      <c r="A4043" s="1" t="s">
        <v>729</v>
      </c>
      <c r="B4043" s="1"/>
      <c r="C4043" s="1" t="s">
        <v>2915</v>
      </c>
      <c r="D4043" s="1" t="s">
        <v>3415</v>
      </c>
      <c r="E4043" s="1"/>
      <c r="F4043">
        <v>6.6</v>
      </c>
      <c r="G4043">
        <v>11.8</v>
      </c>
      <c r="H4043">
        <v>-260</v>
      </c>
      <c r="I4043">
        <v>0</v>
      </c>
      <c r="J4043">
        <v>300</v>
      </c>
      <c r="K4043" s="2">
        <v>45786</v>
      </c>
    </row>
    <row r="4044" spans="1:11" x14ac:dyDescent="0.25">
      <c r="A4044" s="1" t="s">
        <v>729</v>
      </c>
      <c r="B4044" s="1"/>
      <c r="C4044" s="1" t="s">
        <v>2870</v>
      </c>
      <c r="D4044" s="1" t="s">
        <v>3391</v>
      </c>
      <c r="E4044" s="1"/>
      <c r="F4044">
        <v>4.5</v>
      </c>
      <c r="G4044">
        <v>3.8</v>
      </c>
      <c r="H4044">
        <v>40</v>
      </c>
      <c r="I4044">
        <v>1</v>
      </c>
      <c r="J4044">
        <v>299</v>
      </c>
      <c r="K4044" s="2">
        <v>45786</v>
      </c>
    </row>
    <row r="4045" spans="1:11" x14ac:dyDescent="0.25">
      <c r="A4045" s="1" t="s">
        <v>548</v>
      </c>
      <c r="B4045" s="1"/>
      <c r="C4045" s="1" t="s">
        <v>2808</v>
      </c>
      <c r="D4045" s="1" t="s">
        <v>3370</v>
      </c>
      <c r="E4045" s="1"/>
      <c r="F4045">
        <v>0</v>
      </c>
      <c r="G4045">
        <v>0</v>
      </c>
      <c r="H4045">
        <v>0</v>
      </c>
      <c r="I4045">
        <v>0</v>
      </c>
      <c r="J4045">
        <v>1216</v>
      </c>
      <c r="K4045" s="2">
        <v>45761</v>
      </c>
    </row>
    <row r="4046" spans="1:11" x14ac:dyDescent="0.25">
      <c r="A4046" s="1" t="s">
        <v>548</v>
      </c>
      <c r="B4046" s="1"/>
      <c r="C4046" s="1" t="s">
        <v>2915</v>
      </c>
      <c r="D4046" s="1" t="s">
        <v>3415</v>
      </c>
      <c r="E4046" s="1"/>
      <c r="F4046">
        <v>17.5</v>
      </c>
      <c r="G4046">
        <v>31.8</v>
      </c>
      <c r="H4046">
        <v>-730</v>
      </c>
      <c r="I4046">
        <v>98</v>
      </c>
      <c r="J4046">
        <v>1124</v>
      </c>
      <c r="K4046" s="2">
        <v>45782</v>
      </c>
    </row>
    <row r="4047" spans="1:11" x14ac:dyDescent="0.25">
      <c r="A4047" s="1" t="s">
        <v>663</v>
      </c>
      <c r="B4047" s="1"/>
      <c r="C4047" s="1" t="s">
        <v>2808</v>
      </c>
      <c r="D4047" s="1" t="s">
        <v>3370</v>
      </c>
      <c r="E4047" s="1"/>
      <c r="F4047">
        <v>0</v>
      </c>
      <c r="G4047">
        <v>0</v>
      </c>
      <c r="H4047">
        <v>0</v>
      </c>
      <c r="I4047">
        <v>0</v>
      </c>
      <c r="J4047">
        <v>1472</v>
      </c>
      <c r="K4047" s="2">
        <v>45776</v>
      </c>
    </row>
    <row r="4048" spans="1:11" x14ac:dyDescent="0.25">
      <c r="A4048" s="1" t="s">
        <v>663</v>
      </c>
      <c r="B4048" s="1"/>
      <c r="C4048" s="1" t="s">
        <v>3339</v>
      </c>
      <c r="D4048" s="1" t="s">
        <v>3415</v>
      </c>
      <c r="E4048" s="1"/>
      <c r="F4048">
        <v>22</v>
      </c>
      <c r="G4048">
        <v>43.5</v>
      </c>
      <c r="H4048">
        <v>-1160</v>
      </c>
      <c r="I4048">
        <v>249</v>
      </c>
      <c r="J4048">
        <v>1223</v>
      </c>
      <c r="K4048" s="2">
        <v>45776</v>
      </c>
    </row>
    <row r="4049" spans="1:11" x14ac:dyDescent="0.25">
      <c r="A4049" s="1" t="s">
        <v>547</v>
      </c>
      <c r="B4049" s="1"/>
      <c r="C4049" s="1" t="s">
        <v>2808</v>
      </c>
      <c r="D4049" s="1" t="s">
        <v>3370</v>
      </c>
      <c r="E4049" s="1"/>
      <c r="F4049">
        <v>0</v>
      </c>
      <c r="G4049">
        <v>0</v>
      </c>
      <c r="H4049">
        <v>0</v>
      </c>
      <c r="I4049">
        <v>0</v>
      </c>
      <c r="J4049">
        <v>1216</v>
      </c>
      <c r="K4049" s="2">
        <v>45761</v>
      </c>
    </row>
    <row r="4050" spans="1:11" x14ac:dyDescent="0.25">
      <c r="A4050" s="1" t="s">
        <v>547</v>
      </c>
      <c r="B4050" s="1"/>
      <c r="C4050" s="1" t="s">
        <v>2915</v>
      </c>
      <c r="D4050" s="1" t="s">
        <v>3415</v>
      </c>
      <c r="E4050" s="1"/>
      <c r="F4050">
        <v>27.3</v>
      </c>
      <c r="G4050">
        <v>32.6</v>
      </c>
      <c r="H4050">
        <v>-250</v>
      </c>
      <c r="I4050">
        <v>89</v>
      </c>
      <c r="J4050">
        <v>1135</v>
      </c>
      <c r="K4050" s="2">
        <v>45779</v>
      </c>
    </row>
    <row r="4051" spans="1:11" x14ac:dyDescent="0.25">
      <c r="A4051" s="1" t="s">
        <v>546</v>
      </c>
      <c r="B4051" s="1"/>
      <c r="C4051" s="1" t="s">
        <v>2808</v>
      </c>
      <c r="D4051" s="1" t="s">
        <v>3370</v>
      </c>
      <c r="E4051" s="1"/>
      <c r="F4051">
        <v>0</v>
      </c>
      <c r="G4051">
        <v>0</v>
      </c>
      <c r="H4051">
        <v>0</v>
      </c>
      <c r="I4051">
        <v>0</v>
      </c>
      <c r="J4051">
        <v>560</v>
      </c>
      <c r="K4051" s="2">
        <v>45761</v>
      </c>
    </row>
    <row r="4052" spans="1:11" x14ac:dyDescent="0.25">
      <c r="A4052" s="1" t="s">
        <v>546</v>
      </c>
      <c r="B4052" s="1"/>
      <c r="C4052" s="1" t="s">
        <v>2915</v>
      </c>
      <c r="D4052" s="1" t="s">
        <v>3415</v>
      </c>
      <c r="E4052" s="1"/>
      <c r="F4052">
        <v>13.7</v>
      </c>
      <c r="G4052">
        <v>19.899999999999999</v>
      </c>
      <c r="H4052">
        <v>-300</v>
      </c>
      <c r="I4052">
        <v>0</v>
      </c>
      <c r="J4052">
        <v>560</v>
      </c>
      <c r="K4052" s="2">
        <v>45786</v>
      </c>
    </row>
    <row r="4053" spans="1:11" x14ac:dyDescent="0.25">
      <c r="A4053" s="1" t="s">
        <v>546</v>
      </c>
      <c r="B4053" s="1"/>
      <c r="C4053" s="1" t="s">
        <v>2870</v>
      </c>
      <c r="D4053" s="1" t="s">
        <v>3391</v>
      </c>
      <c r="E4053" s="1"/>
      <c r="F4053">
        <v>5.6</v>
      </c>
      <c r="G4053">
        <v>3.6</v>
      </c>
      <c r="H4053">
        <v>110</v>
      </c>
      <c r="I4053">
        <v>147</v>
      </c>
      <c r="J4053">
        <v>413</v>
      </c>
      <c r="K4053" s="2">
        <v>45786</v>
      </c>
    </row>
    <row r="4054" spans="1:11" x14ac:dyDescent="0.25">
      <c r="A4054" s="1" t="s">
        <v>664</v>
      </c>
      <c r="B4054" s="1"/>
      <c r="C4054" s="1" t="s">
        <v>2808</v>
      </c>
      <c r="D4054" s="1" t="s">
        <v>3370</v>
      </c>
      <c r="E4054" s="1"/>
      <c r="F4054">
        <v>0</v>
      </c>
      <c r="G4054">
        <v>0</v>
      </c>
      <c r="H4054">
        <v>0</v>
      </c>
      <c r="I4054">
        <v>0</v>
      </c>
      <c r="J4054">
        <v>1472</v>
      </c>
      <c r="K4054" s="2">
        <v>45771</v>
      </c>
    </row>
    <row r="4055" spans="1:11" x14ac:dyDescent="0.25">
      <c r="A4055" s="1" t="s">
        <v>664</v>
      </c>
      <c r="B4055" s="1"/>
      <c r="C4055" s="1" t="s">
        <v>3340</v>
      </c>
      <c r="D4055" s="1" t="s">
        <v>3415</v>
      </c>
      <c r="E4055" s="1"/>
      <c r="F4055">
        <v>18.5</v>
      </c>
      <c r="G4055">
        <v>43.6</v>
      </c>
      <c r="H4055">
        <v>-1360</v>
      </c>
      <c r="I4055">
        <v>229</v>
      </c>
      <c r="J4055">
        <v>1243</v>
      </c>
      <c r="K4055" s="2">
        <v>45776</v>
      </c>
    </row>
    <row r="4056" spans="1:11" x14ac:dyDescent="0.25">
      <c r="A4056" s="1" t="s">
        <v>868</v>
      </c>
      <c r="B4056" s="1"/>
      <c r="C4056" s="1" t="s">
        <v>2808</v>
      </c>
      <c r="D4056" s="1" t="s">
        <v>3370</v>
      </c>
      <c r="E4056" s="1"/>
      <c r="F4056">
        <v>0</v>
      </c>
      <c r="G4056">
        <v>0</v>
      </c>
      <c r="H4056">
        <v>0</v>
      </c>
      <c r="I4056">
        <v>0</v>
      </c>
      <c r="J4056">
        <v>1792</v>
      </c>
      <c r="K4056" s="2">
        <v>45784</v>
      </c>
    </row>
    <row r="4057" spans="1:11" x14ac:dyDescent="0.25">
      <c r="A4057" s="1">
        <v>0</v>
      </c>
      <c r="B4057" s="1"/>
      <c r="C4057" s="1" t="s">
        <v>2808</v>
      </c>
      <c r="D4057" s="1" t="s">
        <v>3370</v>
      </c>
      <c r="E4057" s="1"/>
      <c r="F4057">
        <v>0</v>
      </c>
      <c r="G4057">
        <v>0</v>
      </c>
      <c r="H4057">
        <v>0</v>
      </c>
      <c r="I4057">
        <v>0</v>
      </c>
      <c r="J4057">
        <v>576</v>
      </c>
      <c r="K4057" s="2">
        <v>45789</v>
      </c>
    </row>
    <row r="4058" spans="1:11" x14ac:dyDescent="0.25">
      <c r="A4058" s="1" t="s">
        <v>737</v>
      </c>
      <c r="B4058" s="1"/>
      <c r="C4058" s="1" t="s">
        <v>2808</v>
      </c>
      <c r="D4058" s="1" t="s">
        <v>3370</v>
      </c>
      <c r="E4058" s="1"/>
      <c r="F4058">
        <v>0</v>
      </c>
      <c r="G4058">
        <v>0</v>
      </c>
      <c r="H4058">
        <v>0</v>
      </c>
      <c r="I4058">
        <v>0</v>
      </c>
      <c r="J4058">
        <v>46</v>
      </c>
      <c r="K4058" s="2">
        <v>45777</v>
      </c>
    </row>
    <row r="4059" spans="1:11" x14ac:dyDescent="0.25">
      <c r="A4059" s="1" t="s">
        <v>737</v>
      </c>
      <c r="B4059" s="1"/>
      <c r="C4059" s="1" t="s">
        <v>2927</v>
      </c>
      <c r="D4059" s="1" t="s">
        <v>3373</v>
      </c>
      <c r="E4059" s="1"/>
      <c r="F4059">
        <v>6.4</v>
      </c>
      <c r="G4059">
        <v>19.600000000000001</v>
      </c>
      <c r="H4059">
        <v>-690</v>
      </c>
      <c r="I4059">
        <v>0</v>
      </c>
      <c r="J4059">
        <v>47</v>
      </c>
      <c r="K4059" s="2">
        <v>45779</v>
      </c>
    </row>
    <row r="4060" spans="1:11" x14ac:dyDescent="0.25">
      <c r="A4060" s="1" t="s">
        <v>737</v>
      </c>
      <c r="B4060" s="1"/>
      <c r="C4060" s="1" t="s">
        <v>2870</v>
      </c>
      <c r="D4060" s="1" t="s">
        <v>3391</v>
      </c>
      <c r="E4060" s="1"/>
      <c r="F4060">
        <v>0.7</v>
      </c>
      <c r="G4060">
        <v>0</v>
      </c>
      <c r="H4060">
        <v>40</v>
      </c>
      <c r="I4060">
        <v>0</v>
      </c>
      <c r="J4060">
        <v>47</v>
      </c>
      <c r="K4060" s="2">
        <v>45779</v>
      </c>
    </row>
    <row r="4061" spans="1:11" x14ac:dyDescent="0.25">
      <c r="A4061" s="1" t="s">
        <v>737</v>
      </c>
      <c r="B4061" s="1"/>
      <c r="C4061" s="1" t="s">
        <v>3341</v>
      </c>
      <c r="D4061" s="1" t="s">
        <v>3372</v>
      </c>
      <c r="E4061" s="1"/>
      <c r="F4061">
        <v>0.4</v>
      </c>
      <c r="G4061">
        <v>4.5999999999999996</v>
      </c>
      <c r="H4061">
        <v>-210</v>
      </c>
      <c r="I4061">
        <v>0</v>
      </c>
      <c r="J4061">
        <v>47</v>
      </c>
      <c r="K4061" s="2">
        <v>45782</v>
      </c>
    </row>
    <row r="4062" spans="1:11" x14ac:dyDescent="0.25">
      <c r="A4062" s="1" t="s">
        <v>325</v>
      </c>
      <c r="B4062" s="1"/>
      <c r="C4062" s="1" t="s">
        <v>2808</v>
      </c>
      <c r="D4062" s="1" t="s">
        <v>3370</v>
      </c>
      <c r="E4062" s="1"/>
      <c r="F4062">
        <v>0</v>
      </c>
      <c r="G4062">
        <v>0</v>
      </c>
      <c r="H4062">
        <v>0</v>
      </c>
      <c r="I4062">
        <v>0</v>
      </c>
      <c r="J4062">
        <v>750</v>
      </c>
      <c r="K4062" s="2">
        <v>45734</v>
      </c>
    </row>
    <row r="4063" spans="1:11" x14ac:dyDescent="0.25">
      <c r="A4063" s="1" t="s">
        <v>325</v>
      </c>
      <c r="B4063" s="1"/>
      <c r="C4063" s="1" t="s">
        <v>3342</v>
      </c>
      <c r="D4063" s="1" t="s">
        <v>3403</v>
      </c>
      <c r="E4063" s="1"/>
      <c r="F4063">
        <v>0.5</v>
      </c>
      <c r="G4063">
        <v>0</v>
      </c>
      <c r="H4063">
        <v>40</v>
      </c>
      <c r="I4063">
        <v>0</v>
      </c>
      <c r="J4063">
        <v>4</v>
      </c>
      <c r="K4063" s="2">
        <v>45733</v>
      </c>
    </row>
    <row r="4064" spans="1:11" x14ac:dyDescent="0.25">
      <c r="A4064" s="1" t="s">
        <v>325</v>
      </c>
      <c r="B4064" s="1"/>
      <c r="C4064" s="1" t="s">
        <v>2873</v>
      </c>
      <c r="D4064" s="1" t="s">
        <v>3373</v>
      </c>
      <c r="E4064" s="1"/>
      <c r="F4064">
        <v>64.5</v>
      </c>
      <c r="G4064">
        <v>136.30000000000001</v>
      </c>
      <c r="H4064">
        <v>-3885</v>
      </c>
      <c r="I4064">
        <v>0</v>
      </c>
      <c r="J4064">
        <v>614</v>
      </c>
      <c r="K4064" s="2">
        <v>45747</v>
      </c>
    </row>
    <row r="4065" spans="1:11" x14ac:dyDescent="0.25">
      <c r="A4065" s="1" t="s">
        <v>324</v>
      </c>
      <c r="B4065" s="1"/>
      <c r="C4065" s="1" t="s">
        <v>2808</v>
      </c>
      <c r="D4065" s="1" t="s">
        <v>3370</v>
      </c>
      <c r="E4065" s="1"/>
      <c r="F4065">
        <v>0</v>
      </c>
      <c r="G4065">
        <v>0</v>
      </c>
      <c r="H4065">
        <v>0</v>
      </c>
      <c r="I4065">
        <v>0</v>
      </c>
      <c r="J4065">
        <v>750</v>
      </c>
      <c r="K4065" s="2">
        <v>45752</v>
      </c>
    </row>
    <row r="4066" spans="1:11" x14ac:dyDescent="0.25">
      <c r="A4066" s="1" t="s">
        <v>152</v>
      </c>
      <c r="B4066" s="1"/>
      <c r="C4066" s="1" t="s">
        <v>2808</v>
      </c>
      <c r="D4066" s="1" t="s">
        <v>3370</v>
      </c>
      <c r="E4066" s="1"/>
      <c r="F4066">
        <v>0</v>
      </c>
      <c r="G4066">
        <v>0</v>
      </c>
      <c r="H4066">
        <v>0</v>
      </c>
      <c r="I4066">
        <v>0</v>
      </c>
      <c r="J4066">
        <v>19</v>
      </c>
      <c r="K4066" s="2">
        <v>45741</v>
      </c>
    </row>
    <row r="4067" spans="1:11" x14ac:dyDescent="0.25">
      <c r="A4067" s="1" t="s">
        <v>152</v>
      </c>
      <c r="B4067" s="1"/>
      <c r="C4067" s="1" t="s">
        <v>3343</v>
      </c>
      <c r="D4067" s="1" t="s">
        <v>3484</v>
      </c>
      <c r="E4067" s="1"/>
      <c r="F4067">
        <v>1</v>
      </c>
      <c r="G4067">
        <v>0</v>
      </c>
      <c r="H4067">
        <v>55</v>
      </c>
      <c r="I4067">
        <v>0</v>
      </c>
      <c r="J4067">
        <v>19</v>
      </c>
      <c r="K4067" s="2">
        <v>45778</v>
      </c>
    </row>
    <row r="4068" spans="1:11" x14ac:dyDescent="0.25">
      <c r="A4068" s="1" t="s">
        <v>152</v>
      </c>
      <c r="B4068" s="1"/>
      <c r="C4068" s="1" t="s">
        <v>3344</v>
      </c>
      <c r="D4068" s="1" t="s">
        <v>3389</v>
      </c>
      <c r="E4068" s="1"/>
      <c r="F4068">
        <v>0</v>
      </c>
      <c r="G4068">
        <v>0</v>
      </c>
      <c r="H4068">
        <v>-155</v>
      </c>
      <c r="I4068">
        <v>0</v>
      </c>
      <c r="J4068">
        <v>19</v>
      </c>
      <c r="K4068" s="2">
        <v>45751</v>
      </c>
    </row>
    <row r="4069" spans="1:11" x14ac:dyDescent="0.25">
      <c r="A4069" s="1" t="s">
        <v>152</v>
      </c>
      <c r="B4069" s="1"/>
      <c r="C4069" s="1" t="s">
        <v>2816</v>
      </c>
      <c r="D4069" s="1" t="s">
        <v>3372</v>
      </c>
      <c r="E4069" s="1"/>
      <c r="F4069">
        <v>19</v>
      </c>
      <c r="G4069">
        <v>0</v>
      </c>
      <c r="H4069">
        <v>955</v>
      </c>
      <c r="I4069">
        <v>0</v>
      </c>
      <c r="J4069">
        <v>5</v>
      </c>
      <c r="K4069" s="2">
        <v>45775</v>
      </c>
    </row>
    <row r="4070" spans="1:11" x14ac:dyDescent="0.25">
      <c r="A4070" s="1" t="s">
        <v>431</v>
      </c>
      <c r="B4070" s="1"/>
      <c r="C4070" s="1" t="s">
        <v>2808</v>
      </c>
      <c r="D4070" s="1" t="s">
        <v>3370</v>
      </c>
      <c r="E4070" s="1"/>
      <c r="F4070">
        <v>0</v>
      </c>
      <c r="G4070">
        <v>0</v>
      </c>
      <c r="H4070">
        <v>0</v>
      </c>
      <c r="I4070">
        <v>0</v>
      </c>
      <c r="J4070">
        <v>140</v>
      </c>
      <c r="K4070" s="2">
        <v>45740</v>
      </c>
    </row>
    <row r="4071" spans="1:11" x14ac:dyDescent="0.25">
      <c r="A4071" s="1" t="s">
        <v>431</v>
      </c>
      <c r="B4071" s="1"/>
      <c r="C4071" s="1" t="s">
        <v>3345</v>
      </c>
      <c r="D4071" s="1" t="s">
        <v>3389</v>
      </c>
      <c r="E4071" s="1"/>
      <c r="F4071">
        <v>0</v>
      </c>
      <c r="G4071">
        <v>0</v>
      </c>
      <c r="H4071">
        <v>-240</v>
      </c>
      <c r="I4071">
        <v>0</v>
      </c>
      <c r="J4071">
        <v>140</v>
      </c>
      <c r="K4071" s="2">
        <v>45750</v>
      </c>
    </row>
    <row r="4072" spans="1:11" x14ac:dyDescent="0.25">
      <c r="A4072" s="1" t="s">
        <v>431</v>
      </c>
      <c r="B4072" s="1"/>
      <c r="C4072" s="1" t="s">
        <v>3345</v>
      </c>
      <c r="D4072" s="1" t="s">
        <v>3389</v>
      </c>
      <c r="E4072" s="1"/>
      <c r="F4072">
        <v>0</v>
      </c>
      <c r="G4072">
        <v>0</v>
      </c>
      <c r="H4072">
        <v>-240</v>
      </c>
      <c r="I4072">
        <v>0</v>
      </c>
      <c r="J4072">
        <v>140</v>
      </c>
      <c r="K4072" s="2">
        <v>45765</v>
      </c>
    </row>
    <row r="4073" spans="1:11" x14ac:dyDescent="0.25">
      <c r="A4073" s="1" t="s">
        <v>575</v>
      </c>
      <c r="B4073" s="1"/>
      <c r="C4073" s="1" t="s">
        <v>2808</v>
      </c>
      <c r="D4073" s="1" t="s">
        <v>3370</v>
      </c>
      <c r="E4073" s="1"/>
      <c r="F4073">
        <v>0</v>
      </c>
      <c r="G4073">
        <v>0</v>
      </c>
      <c r="H4073">
        <v>0</v>
      </c>
      <c r="I4073">
        <v>0</v>
      </c>
      <c r="J4073">
        <v>300</v>
      </c>
      <c r="K4073" s="2">
        <v>45776</v>
      </c>
    </row>
    <row r="4074" spans="1:11" x14ac:dyDescent="0.25">
      <c r="A4074" s="1" t="s">
        <v>575</v>
      </c>
      <c r="B4074" s="1"/>
      <c r="C4074" s="1" t="s">
        <v>3346</v>
      </c>
      <c r="D4074" s="1" t="s">
        <v>3386</v>
      </c>
      <c r="E4074" s="1"/>
      <c r="F4074">
        <v>8.6</v>
      </c>
      <c r="G4074">
        <v>16.3</v>
      </c>
      <c r="H4074">
        <v>-340</v>
      </c>
      <c r="I4074">
        <v>0</v>
      </c>
      <c r="J4074">
        <v>300</v>
      </c>
      <c r="K4074" s="2">
        <v>45785</v>
      </c>
    </row>
    <row r="4075" spans="1:11" x14ac:dyDescent="0.25">
      <c r="A4075" s="1" t="s">
        <v>575</v>
      </c>
      <c r="B4075" s="1"/>
      <c r="C4075" s="1" t="s">
        <v>3347</v>
      </c>
      <c r="D4075" s="1" t="s">
        <v>3375</v>
      </c>
      <c r="E4075" s="1"/>
      <c r="F4075">
        <v>5.5</v>
      </c>
      <c r="G4075">
        <v>8.8000000000000007</v>
      </c>
      <c r="H4075">
        <v>-160</v>
      </c>
      <c r="I4075">
        <v>4</v>
      </c>
      <c r="J4075">
        <v>296</v>
      </c>
      <c r="K4075" s="2">
        <v>45786</v>
      </c>
    </row>
    <row r="4076" spans="1:11" x14ac:dyDescent="0.25">
      <c r="A4076" s="1" t="s">
        <v>784</v>
      </c>
      <c r="B4076" s="1"/>
      <c r="C4076" s="1" t="s">
        <v>2808</v>
      </c>
      <c r="D4076" s="1" t="s">
        <v>3370</v>
      </c>
      <c r="E4076" s="1"/>
      <c r="F4076">
        <v>0</v>
      </c>
      <c r="G4076">
        <v>0</v>
      </c>
      <c r="H4076">
        <v>0</v>
      </c>
      <c r="I4076">
        <v>0</v>
      </c>
      <c r="J4076">
        <v>300</v>
      </c>
      <c r="K4076" s="2">
        <v>45776</v>
      </c>
    </row>
    <row r="4077" spans="1:11" x14ac:dyDescent="0.25">
      <c r="A4077" s="1" t="s">
        <v>784</v>
      </c>
      <c r="B4077" s="1"/>
      <c r="C4077" s="1" t="s">
        <v>3348</v>
      </c>
      <c r="D4077" s="1" t="s">
        <v>3455</v>
      </c>
      <c r="E4077" s="1"/>
      <c r="F4077">
        <v>9.3000000000000007</v>
      </c>
      <c r="G4077">
        <v>29.3</v>
      </c>
      <c r="H4077">
        <v>-985</v>
      </c>
      <c r="I4077">
        <v>0</v>
      </c>
      <c r="J4077">
        <v>300</v>
      </c>
      <c r="K4077" s="2">
        <v>45784</v>
      </c>
    </row>
    <row r="4078" spans="1:11" x14ac:dyDescent="0.25">
      <c r="A4078" s="1" t="s">
        <v>784</v>
      </c>
      <c r="B4078" s="1"/>
      <c r="C4078" s="1" t="s">
        <v>2812</v>
      </c>
      <c r="D4078" s="1" t="s">
        <v>3374</v>
      </c>
      <c r="E4078" s="1"/>
      <c r="F4078">
        <v>0.3</v>
      </c>
      <c r="G4078">
        <v>0</v>
      </c>
      <c r="H4078">
        <v>20</v>
      </c>
      <c r="I4078">
        <v>0</v>
      </c>
      <c r="J4078">
        <v>300</v>
      </c>
      <c r="K4078" s="2">
        <v>45786</v>
      </c>
    </row>
    <row r="4079" spans="1:11" x14ac:dyDescent="0.25">
      <c r="A4079" s="1" t="s">
        <v>784</v>
      </c>
      <c r="B4079" s="1"/>
      <c r="C4079" s="1" t="s">
        <v>3349</v>
      </c>
      <c r="D4079" s="1" t="s">
        <v>3375</v>
      </c>
      <c r="E4079" s="1"/>
      <c r="F4079">
        <v>7.5</v>
      </c>
      <c r="G4079">
        <v>16.2</v>
      </c>
      <c r="H4079">
        <v>-445</v>
      </c>
      <c r="I4079">
        <v>3</v>
      </c>
      <c r="J4079">
        <v>297</v>
      </c>
      <c r="K4079" s="2">
        <v>45786</v>
      </c>
    </row>
    <row r="4080" spans="1:11" x14ac:dyDescent="0.25">
      <c r="A4080" s="1" t="s">
        <v>400</v>
      </c>
      <c r="B4080" s="1"/>
      <c r="C4080" s="1" t="s">
        <v>2808</v>
      </c>
      <c r="D4080" s="1" t="s">
        <v>3370</v>
      </c>
      <c r="E4080" s="1"/>
      <c r="F4080">
        <v>0</v>
      </c>
      <c r="G4080">
        <v>0</v>
      </c>
      <c r="H4080">
        <v>0</v>
      </c>
      <c r="I4080">
        <v>0</v>
      </c>
      <c r="J4080">
        <v>576</v>
      </c>
      <c r="K4080" s="2">
        <v>45744</v>
      </c>
    </row>
    <row r="4081" spans="1:11" x14ac:dyDescent="0.25">
      <c r="A4081" s="1" t="s">
        <v>400</v>
      </c>
      <c r="B4081" s="1"/>
      <c r="C4081" s="1" t="s">
        <v>3350</v>
      </c>
      <c r="D4081" s="1" t="s">
        <v>3415</v>
      </c>
      <c r="E4081" s="1"/>
      <c r="F4081">
        <v>15</v>
      </c>
      <c r="G4081">
        <v>15.4</v>
      </c>
      <c r="H4081">
        <v>15</v>
      </c>
      <c r="I4081">
        <v>0</v>
      </c>
      <c r="J4081">
        <v>461</v>
      </c>
      <c r="K4081" s="2">
        <v>45750</v>
      </c>
    </row>
    <row r="4082" spans="1:11" x14ac:dyDescent="0.25">
      <c r="A4082" s="1" t="s">
        <v>400</v>
      </c>
      <c r="B4082" s="1"/>
      <c r="C4082" s="1" t="s">
        <v>2826</v>
      </c>
      <c r="D4082" s="1" t="s">
        <v>3391</v>
      </c>
      <c r="E4082" s="1"/>
      <c r="F4082">
        <v>5.8</v>
      </c>
      <c r="G4082">
        <v>6.1</v>
      </c>
      <c r="H4082">
        <v>-15</v>
      </c>
      <c r="I4082">
        <v>0</v>
      </c>
      <c r="J4082">
        <v>155</v>
      </c>
      <c r="K4082" s="2">
        <v>45762</v>
      </c>
    </row>
    <row r="4083" spans="1:11" x14ac:dyDescent="0.25">
      <c r="A4083" s="1">
        <v>0</v>
      </c>
      <c r="B4083" s="1"/>
      <c r="C4083" s="1" t="s">
        <v>2808</v>
      </c>
      <c r="D4083" s="1" t="s">
        <v>3370</v>
      </c>
      <c r="E4083" s="1"/>
      <c r="F4083">
        <v>0</v>
      </c>
      <c r="G4083">
        <v>0</v>
      </c>
      <c r="H4083">
        <v>0</v>
      </c>
      <c r="I4083">
        <v>0</v>
      </c>
      <c r="J4083">
        <v>576</v>
      </c>
      <c r="K4083" s="2">
        <v>45789</v>
      </c>
    </row>
    <row r="4084" spans="1:11" x14ac:dyDescent="0.25">
      <c r="A4084" s="1" t="s">
        <v>437</v>
      </c>
      <c r="B4084" s="1"/>
      <c r="C4084" s="1" t="s">
        <v>2808</v>
      </c>
      <c r="D4084" s="1" t="s">
        <v>3370</v>
      </c>
      <c r="E4084" s="1"/>
      <c r="F4084">
        <v>0</v>
      </c>
      <c r="G4084">
        <v>0</v>
      </c>
      <c r="H4084">
        <v>0</v>
      </c>
      <c r="I4084">
        <v>0</v>
      </c>
      <c r="J4084">
        <v>514</v>
      </c>
      <c r="K4084" s="2">
        <v>45751</v>
      </c>
    </row>
    <row r="4085" spans="1:11" x14ac:dyDescent="0.25">
      <c r="A4085" s="1" t="s">
        <v>437</v>
      </c>
      <c r="B4085" s="1"/>
      <c r="C4085" s="1" t="s">
        <v>2828</v>
      </c>
      <c r="D4085" s="1" t="s">
        <v>3393</v>
      </c>
      <c r="E4085" s="1"/>
      <c r="F4085">
        <v>15.7</v>
      </c>
      <c r="G4085">
        <v>12</v>
      </c>
      <c r="H4085">
        <v>180</v>
      </c>
      <c r="I4085">
        <v>0</v>
      </c>
      <c r="J4085">
        <v>514</v>
      </c>
      <c r="K4085" s="2">
        <v>45751</v>
      </c>
    </row>
    <row r="4086" spans="1:11" x14ac:dyDescent="0.25">
      <c r="A4086" s="1" t="s">
        <v>437</v>
      </c>
      <c r="B4086" s="1"/>
      <c r="C4086" s="1" t="s">
        <v>3351</v>
      </c>
      <c r="D4086" s="1" t="s">
        <v>3372</v>
      </c>
      <c r="E4086" s="1"/>
      <c r="F4086">
        <v>0.3</v>
      </c>
      <c r="G4086">
        <v>0.1</v>
      </c>
      <c r="H4086">
        <v>10</v>
      </c>
      <c r="I4086">
        <v>0</v>
      </c>
      <c r="J4086">
        <v>514</v>
      </c>
      <c r="K4086" s="2">
        <v>45768</v>
      </c>
    </row>
    <row r="4087" spans="1:11" x14ac:dyDescent="0.25">
      <c r="A4087" s="1" t="s">
        <v>437</v>
      </c>
      <c r="B4087" s="1"/>
      <c r="C4087" s="1" t="s">
        <v>2817</v>
      </c>
      <c r="D4087" s="1" t="s">
        <v>3377</v>
      </c>
      <c r="E4087" s="1"/>
      <c r="F4087">
        <v>1.5</v>
      </c>
      <c r="G4087">
        <v>1.8</v>
      </c>
      <c r="H4087">
        <v>-10</v>
      </c>
      <c r="I4087">
        <v>0</v>
      </c>
      <c r="J4087">
        <v>514</v>
      </c>
      <c r="K4087" s="2">
        <v>45768</v>
      </c>
    </row>
    <row r="4088" spans="1:11" x14ac:dyDescent="0.25">
      <c r="A4088" s="1" t="s">
        <v>801</v>
      </c>
      <c r="B4088" s="1"/>
      <c r="C4088" s="1" t="s">
        <v>2808</v>
      </c>
      <c r="D4088" s="1" t="s">
        <v>3370</v>
      </c>
      <c r="E4088" s="1"/>
      <c r="F4088">
        <v>0</v>
      </c>
      <c r="G4088">
        <v>0</v>
      </c>
      <c r="H4088">
        <v>0</v>
      </c>
      <c r="I4088">
        <v>0</v>
      </c>
      <c r="J4088">
        <v>86</v>
      </c>
      <c r="K4088" s="2">
        <v>45778</v>
      </c>
    </row>
    <row r="4089" spans="1:11" x14ac:dyDescent="0.25">
      <c r="A4089" s="1" t="s">
        <v>801</v>
      </c>
      <c r="B4089" s="1"/>
      <c r="C4089" s="1" t="s">
        <v>2828</v>
      </c>
      <c r="D4089" s="1" t="s">
        <v>3393</v>
      </c>
      <c r="E4089" s="1"/>
      <c r="F4089">
        <v>2.8</v>
      </c>
      <c r="G4089">
        <v>7.1</v>
      </c>
      <c r="H4089">
        <v>-205</v>
      </c>
      <c r="I4089">
        <v>0</v>
      </c>
      <c r="J4089">
        <v>86</v>
      </c>
      <c r="K4089" s="2">
        <v>45779</v>
      </c>
    </row>
    <row r="4090" spans="1:11" x14ac:dyDescent="0.25">
      <c r="A4090" s="1" t="s">
        <v>801</v>
      </c>
      <c r="B4090" s="1"/>
      <c r="C4090" s="1" t="s">
        <v>3351</v>
      </c>
      <c r="D4090" s="1" t="s">
        <v>3372</v>
      </c>
      <c r="E4090" s="1"/>
      <c r="F4090">
        <v>0.3</v>
      </c>
      <c r="G4090">
        <v>0</v>
      </c>
      <c r="H4090">
        <v>15</v>
      </c>
      <c r="I4090">
        <v>0</v>
      </c>
      <c r="J4090">
        <v>86</v>
      </c>
      <c r="K4090" s="2">
        <v>45782</v>
      </c>
    </row>
    <row r="4091" spans="1:11" x14ac:dyDescent="0.25">
      <c r="A4091" s="1" t="s">
        <v>801</v>
      </c>
      <c r="B4091" s="1"/>
      <c r="C4091" s="1" t="s">
        <v>2817</v>
      </c>
      <c r="D4091" s="1" t="s">
        <v>3377</v>
      </c>
      <c r="E4091" s="1"/>
      <c r="F4091">
        <v>0.5</v>
      </c>
      <c r="G4091">
        <v>1.3</v>
      </c>
      <c r="H4091">
        <v>-35</v>
      </c>
      <c r="I4091">
        <v>0</v>
      </c>
      <c r="J4091">
        <v>86</v>
      </c>
      <c r="K4091" s="2">
        <v>45789</v>
      </c>
    </row>
    <row r="4092" spans="1:11" x14ac:dyDescent="0.25">
      <c r="A4092" s="1" t="s">
        <v>540</v>
      </c>
      <c r="B4092" s="1"/>
      <c r="C4092" s="1" t="s">
        <v>2808</v>
      </c>
      <c r="D4092" s="1" t="s">
        <v>3370</v>
      </c>
      <c r="E4092" s="1"/>
      <c r="F4092">
        <v>0</v>
      </c>
      <c r="G4092">
        <v>0</v>
      </c>
      <c r="H4092">
        <v>0</v>
      </c>
      <c r="I4092">
        <v>0</v>
      </c>
      <c r="J4092">
        <v>1519</v>
      </c>
      <c r="K4092" s="2">
        <v>45757</v>
      </c>
    </row>
    <row r="4093" spans="1:11" x14ac:dyDescent="0.25">
      <c r="A4093" s="1" t="s">
        <v>540</v>
      </c>
      <c r="B4093" s="1"/>
      <c r="C4093" s="1" t="s">
        <v>2873</v>
      </c>
      <c r="D4093" s="1" t="s">
        <v>3406</v>
      </c>
      <c r="E4093" s="1"/>
      <c r="F4093">
        <v>17.5</v>
      </c>
      <c r="G4093">
        <v>9.9</v>
      </c>
      <c r="H4093">
        <v>400</v>
      </c>
      <c r="I4093">
        <v>0</v>
      </c>
      <c r="J4093">
        <v>1519</v>
      </c>
      <c r="K4093" s="2">
        <v>45775</v>
      </c>
    </row>
    <row r="4094" spans="1:11" x14ac:dyDescent="0.25">
      <c r="A4094" s="1" t="s">
        <v>540</v>
      </c>
      <c r="B4094" s="1"/>
      <c r="C4094" s="1" t="s">
        <v>2812</v>
      </c>
      <c r="D4094" s="1" t="s">
        <v>3374</v>
      </c>
      <c r="E4094" s="1"/>
      <c r="F4094">
        <v>0.3</v>
      </c>
      <c r="G4094">
        <v>0</v>
      </c>
      <c r="H4094">
        <v>20</v>
      </c>
      <c r="I4094">
        <v>0</v>
      </c>
      <c r="J4094">
        <v>1519</v>
      </c>
      <c r="K4094" s="2">
        <v>45775</v>
      </c>
    </row>
    <row r="4095" spans="1:11" x14ac:dyDescent="0.25">
      <c r="A4095" s="1" t="s">
        <v>540</v>
      </c>
      <c r="B4095" s="1"/>
      <c r="C4095" s="1" t="s">
        <v>2870</v>
      </c>
      <c r="D4095" s="1" t="s">
        <v>3375</v>
      </c>
      <c r="E4095" s="1"/>
      <c r="F4095">
        <v>38.200000000000003</v>
      </c>
      <c r="G4095">
        <v>28.3</v>
      </c>
      <c r="H4095">
        <v>520</v>
      </c>
      <c r="I4095">
        <v>0</v>
      </c>
      <c r="J4095">
        <v>1519</v>
      </c>
      <c r="K4095" s="2">
        <v>45775</v>
      </c>
    </row>
    <row r="4096" spans="1:11" x14ac:dyDescent="0.25">
      <c r="A4096" s="1" t="s">
        <v>665</v>
      </c>
      <c r="B4096" s="1"/>
      <c r="C4096" s="1" t="s">
        <v>2808</v>
      </c>
      <c r="D4096" s="1" t="s">
        <v>3370</v>
      </c>
      <c r="E4096" s="1"/>
      <c r="F4096">
        <v>0</v>
      </c>
      <c r="G4096">
        <v>0</v>
      </c>
      <c r="H4096">
        <v>0</v>
      </c>
      <c r="I4096">
        <v>0</v>
      </c>
      <c r="J4096">
        <v>1237</v>
      </c>
      <c r="K4096" s="2">
        <v>45782</v>
      </c>
    </row>
    <row r="4097" spans="1:11" x14ac:dyDescent="0.25">
      <c r="A4097" s="1" t="s">
        <v>665</v>
      </c>
      <c r="B4097" s="1"/>
      <c r="C4097" s="1" t="s">
        <v>2915</v>
      </c>
      <c r="D4097" s="1" t="s">
        <v>3415</v>
      </c>
      <c r="E4097" s="1"/>
      <c r="F4097">
        <v>6.7</v>
      </c>
      <c r="G4097">
        <v>7.4</v>
      </c>
      <c r="H4097">
        <v>-10</v>
      </c>
      <c r="I4097">
        <v>0</v>
      </c>
      <c r="J4097">
        <v>1280</v>
      </c>
      <c r="K4097" s="2">
        <v>45782</v>
      </c>
    </row>
    <row r="4098" spans="1:11" x14ac:dyDescent="0.25">
      <c r="A4098" s="1" t="s">
        <v>359</v>
      </c>
      <c r="B4098" s="1"/>
      <c r="C4098" s="1" t="s">
        <v>2808</v>
      </c>
      <c r="D4098" s="1" t="s">
        <v>3370</v>
      </c>
      <c r="E4098" s="1"/>
      <c r="F4098">
        <v>0</v>
      </c>
      <c r="G4098">
        <v>0</v>
      </c>
      <c r="H4098">
        <v>0</v>
      </c>
      <c r="I4098">
        <v>0</v>
      </c>
      <c r="J4098">
        <v>1220</v>
      </c>
      <c r="K4098" s="2">
        <v>45730</v>
      </c>
    </row>
    <row r="4099" spans="1:11" x14ac:dyDescent="0.25">
      <c r="A4099" s="1" t="s">
        <v>359</v>
      </c>
      <c r="B4099" s="1"/>
      <c r="C4099" s="1" t="s">
        <v>3352</v>
      </c>
      <c r="D4099" s="1" t="s">
        <v>3389</v>
      </c>
      <c r="E4099" s="1"/>
      <c r="F4099">
        <v>0</v>
      </c>
      <c r="G4099">
        <v>0</v>
      </c>
      <c r="H4099">
        <v>-1060</v>
      </c>
      <c r="I4099">
        <v>0</v>
      </c>
      <c r="J4099">
        <v>1220</v>
      </c>
      <c r="K4099" s="2">
        <v>45761</v>
      </c>
    </row>
    <row r="4100" spans="1:11" x14ac:dyDescent="0.25">
      <c r="A4100" s="1" t="s">
        <v>359</v>
      </c>
      <c r="B4100" s="1"/>
      <c r="C4100" s="1" t="s">
        <v>2816</v>
      </c>
      <c r="D4100" s="1" t="s">
        <v>3372</v>
      </c>
      <c r="E4100" s="1"/>
      <c r="F4100">
        <v>0</v>
      </c>
      <c r="G4100">
        <v>0</v>
      </c>
      <c r="H4100">
        <v>0</v>
      </c>
      <c r="I4100">
        <v>0</v>
      </c>
      <c r="J4100">
        <v>1220</v>
      </c>
      <c r="K4100" s="2">
        <v>45783</v>
      </c>
    </row>
    <row r="4101" spans="1:11" x14ac:dyDescent="0.25">
      <c r="A4101" s="1" t="s">
        <v>359</v>
      </c>
      <c r="B4101" s="1"/>
      <c r="C4101" s="1" t="s">
        <v>2943</v>
      </c>
      <c r="D4101" s="1" t="s">
        <v>3423</v>
      </c>
      <c r="E4101" s="1"/>
      <c r="F4101">
        <v>0</v>
      </c>
      <c r="G4101">
        <v>0</v>
      </c>
      <c r="H4101">
        <v>0</v>
      </c>
      <c r="I4101">
        <v>0</v>
      </c>
      <c r="J4101">
        <v>1220</v>
      </c>
      <c r="K4101" s="2">
        <v>45784</v>
      </c>
    </row>
    <row r="4102" spans="1:11" x14ac:dyDescent="0.25">
      <c r="A4102" s="1" t="s">
        <v>827</v>
      </c>
      <c r="B4102" s="1"/>
      <c r="C4102" s="1" t="s">
        <v>2808</v>
      </c>
      <c r="D4102" s="1" t="s">
        <v>3370</v>
      </c>
      <c r="E4102" s="1"/>
      <c r="F4102">
        <v>0</v>
      </c>
      <c r="G4102">
        <v>0</v>
      </c>
      <c r="H4102">
        <v>0</v>
      </c>
      <c r="I4102">
        <v>0</v>
      </c>
      <c r="J4102">
        <v>3070</v>
      </c>
      <c r="K4102" s="2">
        <v>45778</v>
      </c>
    </row>
    <row r="4103" spans="1:11" x14ac:dyDescent="0.25">
      <c r="A4103" s="1" t="s">
        <v>572</v>
      </c>
      <c r="B4103" s="1"/>
      <c r="C4103" s="1" t="s">
        <v>2808</v>
      </c>
      <c r="D4103" s="1" t="s">
        <v>3370</v>
      </c>
      <c r="E4103" s="1"/>
      <c r="F4103">
        <v>0</v>
      </c>
      <c r="G4103">
        <v>0</v>
      </c>
      <c r="H4103">
        <v>0</v>
      </c>
      <c r="I4103">
        <v>0</v>
      </c>
      <c r="J4103">
        <v>25</v>
      </c>
      <c r="K4103" s="2">
        <v>45761</v>
      </c>
    </row>
    <row r="4104" spans="1:11" x14ac:dyDescent="0.25">
      <c r="A4104" s="1" t="s">
        <v>572</v>
      </c>
      <c r="B4104" s="1"/>
      <c r="C4104" s="1" t="s">
        <v>2949</v>
      </c>
      <c r="D4104" s="1" t="s">
        <v>3371</v>
      </c>
      <c r="E4104" s="1"/>
      <c r="F4104">
        <v>0</v>
      </c>
      <c r="G4104">
        <v>0</v>
      </c>
      <c r="H4104">
        <v>0</v>
      </c>
      <c r="I4104">
        <v>0</v>
      </c>
      <c r="J4104">
        <v>2</v>
      </c>
      <c r="K4104" s="2">
        <v>45763</v>
      </c>
    </row>
    <row r="4105" spans="1:11" x14ac:dyDescent="0.25">
      <c r="A4105" s="1" t="s">
        <v>572</v>
      </c>
      <c r="B4105" s="1"/>
      <c r="C4105" s="1" t="s">
        <v>2949</v>
      </c>
      <c r="D4105" s="1" t="s">
        <v>3371</v>
      </c>
      <c r="E4105" s="1"/>
      <c r="F4105">
        <v>0</v>
      </c>
      <c r="G4105">
        <v>0</v>
      </c>
      <c r="H4105">
        <v>0</v>
      </c>
      <c r="I4105">
        <v>0</v>
      </c>
      <c r="J4105">
        <v>2</v>
      </c>
      <c r="K4105" s="2">
        <v>45763</v>
      </c>
    </row>
    <row r="4106" spans="1:11" x14ac:dyDescent="0.25">
      <c r="A4106" s="1" t="s">
        <v>572</v>
      </c>
      <c r="B4106" s="1"/>
      <c r="C4106" s="1" t="s">
        <v>2953</v>
      </c>
      <c r="D4106" s="1" t="s">
        <v>3406</v>
      </c>
      <c r="E4106" s="1"/>
      <c r="F4106">
        <v>13</v>
      </c>
      <c r="G4106">
        <v>0.7</v>
      </c>
      <c r="H4106">
        <v>665</v>
      </c>
      <c r="I4106">
        <v>0</v>
      </c>
      <c r="J4106">
        <v>2</v>
      </c>
      <c r="K4106" s="2">
        <v>45762</v>
      </c>
    </row>
    <row r="4107" spans="1:11" x14ac:dyDescent="0.25">
      <c r="A4107" s="1" t="s">
        <v>572</v>
      </c>
      <c r="B4107" s="1"/>
      <c r="C4107" s="1" t="s">
        <v>2951</v>
      </c>
      <c r="D4107" s="1" t="s">
        <v>3374</v>
      </c>
      <c r="E4107" s="1"/>
      <c r="F4107">
        <v>0</v>
      </c>
      <c r="G4107">
        <v>0</v>
      </c>
      <c r="H4107">
        <v>0</v>
      </c>
      <c r="I4107">
        <v>0</v>
      </c>
      <c r="J4107">
        <v>2</v>
      </c>
      <c r="K4107" s="2">
        <v>45763</v>
      </c>
    </row>
    <row r="4108" spans="1:11" x14ac:dyDescent="0.25">
      <c r="A4108" s="1" t="s">
        <v>572</v>
      </c>
      <c r="B4108" s="1"/>
      <c r="C4108" s="1" t="s">
        <v>2952</v>
      </c>
      <c r="D4108" s="1" t="s">
        <v>3375</v>
      </c>
      <c r="E4108" s="1"/>
      <c r="F4108">
        <v>0</v>
      </c>
      <c r="G4108">
        <v>0</v>
      </c>
      <c r="H4108">
        <v>5</v>
      </c>
      <c r="I4108">
        <v>0</v>
      </c>
      <c r="J4108">
        <v>2</v>
      </c>
      <c r="K4108" s="2">
        <v>45763</v>
      </c>
    </row>
    <row r="4109" spans="1:11" x14ac:dyDescent="0.25">
      <c r="A4109" s="1" t="s">
        <v>353</v>
      </c>
      <c r="B4109" s="1"/>
      <c r="C4109" s="1" t="s">
        <v>2808</v>
      </c>
      <c r="D4109" s="1" t="s">
        <v>3370</v>
      </c>
      <c r="E4109" s="1"/>
      <c r="F4109">
        <v>0</v>
      </c>
      <c r="G4109">
        <v>0</v>
      </c>
      <c r="H4109">
        <v>0</v>
      </c>
      <c r="I4109">
        <v>0</v>
      </c>
      <c r="J4109">
        <v>60</v>
      </c>
      <c r="K4109" s="2">
        <v>45743</v>
      </c>
    </row>
    <row r="4110" spans="1:11" x14ac:dyDescent="0.25">
      <c r="A4110" s="1" t="s">
        <v>353</v>
      </c>
      <c r="B4110" s="1"/>
      <c r="C4110" s="1" t="s">
        <v>2926</v>
      </c>
      <c r="D4110" s="1" t="s">
        <v>3371</v>
      </c>
      <c r="E4110" s="1"/>
      <c r="F4110">
        <v>3.5</v>
      </c>
      <c r="G4110">
        <v>0</v>
      </c>
      <c r="H4110">
        <v>260</v>
      </c>
      <c r="I4110">
        <v>0</v>
      </c>
      <c r="J4110">
        <v>1</v>
      </c>
      <c r="K4110" s="2">
        <v>45769</v>
      </c>
    </row>
    <row r="4111" spans="1:11" x14ac:dyDescent="0.25">
      <c r="A4111" s="1" t="s">
        <v>353</v>
      </c>
      <c r="B4111" s="1"/>
      <c r="C4111" s="1" t="s">
        <v>2869</v>
      </c>
      <c r="D4111" s="1" t="s">
        <v>3386</v>
      </c>
      <c r="E4111" s="1"/>
      <c r="F4111">
        <v>3.3</v>
      </c>
      <c r="G4111">
        <v>0.4</v>
      </c>
      <c r="H4111">
        <v>230</v>
      </c>
      <c r="I4111">
        <v>0</v>
      </c>
      <c r="J4111">
        <v>1</v>
      </c>
      <c r="K4111" s="2">
        <v>45743</v>
      </c>
    </row>
    <row r="4112" spans="1:11" x14ac:dyDescent="0.25">
      <c r="A4112" s="1" t="s">
        <v>353</v>
      </c>
      <c r="B4112" s="1"/>
      <c r="C4112" s="1" t="s">
        <v>2812</v>
      </c>
      <c r="D4112" s="1" t="s">
        <v>3374</v>
      </c>
      <c r="E4112" s="1"/>
      <c r="F4112">
        <v>0.3</v>
      </c>
      <c r="G4112">
        <v>0</v>
      </c>
      <c r="H4112">
        <v>20</v>
      </c>
      <c r="I4112">
        <v>0</v>
      </c>
      <c r="J4112">
        <v>1</v>
      </c>
      <c r="K4112" s="2">
        <v>45769</v>
      </c>
    </row>
    <row r="4113" spans="1:11" x14ac:dyDescent="0.25">
      <c r="A4113" s="1" t="s">
        <v>353</v>
      </c>
      <c r="B4113" s="1"/>
      <c r="C4113" s="1" t="s">
        <v>2870</v>
      </c>
      <c r="D4113" s="1" t="s">
        <v>3375</v>
      </c>
      <c r="E4113" s="1"/>
      <c r="F4113">
        <v>16.2</v>
      </c>
      <c r="G4113">
        <v>3</v>
      </c>
      <c r="H4113">
        <v>775</v>
      </c>
      <c r="I4113">
        <v>0</v>
      </c>
      <c r="J4113">
        <v>1</v>
      </c>
      <c r="K4113" s="2">
        <v>45769</v>
      </c>
    </row>
    <row r="4114" spans="1:11" x14ac:dyDescent="0.25">
      <c r="A4114" s="1" t="s">
        <v>353</v>
      </c>
      <c r="B4114" s="1"/>
      <c r="C4114" s="1" t="s">
        <v>2816</v>
      </c>
      <c r="D4114" s="1" t="s">
        <v>3372</v>
      </c>
      <c r="E4114" s="1"/>
      <c r="F4114">
        <v>2.8</v>
      </c>
      <c r="G4114">
        <v>0.7</v>
      </c>
      <c r="H4114">
        <v>110</v>
      </c>
      <c r="I4114">
        <v>0</v>
      </c>
      <c r="J4114">
        <v>40</v>
      </c>
      <c r="K4114" s="2">
        <v>45770</v>
      </c>
    </row>
    <row r="4115" spans="1:11" x14ac:dyDescent="0.25">
      <c r="A4115" s="1" t="s">
        <v>354</v>
      </c>
      <c r="B4115" s="1"/>
      <c r="C4115" s="1" t="s">
        <v>2808</v>
      </c>
      <c r="D4115" s="1" t="s">
        <v>3370</v>
      </c>
      <c r="E4115" s="1"/>
      <c r="F4115">
        <v>0</v>
      </c>
      <c r="G4115">
        <v>0</v>
      </c>
      <c r="H4115">
        <v>0</v>
      </c>
      <c r="I4115">
        <v>0</v>
      </c>
      <c r="J4115">
        <v>61</v>
      </c>
      <c r="K4115" s="2">
        <v>45735</v>
      </c>
    </row>
    <row r="4116" spans="1:11" x14ac:dyDescent="0.25">
      <c r="A4116" s="1" t="s">
        <v>352</v>
      </c>
      <c r="B4116" s="1"/>
      <c r="C4116" s="1" t="s">
        <v>2808</v>
      </c>
      <c r="D4116" s="1" t="s">
        <v>3370</v>
      </c>
      <c r="E4116" s="1"/>
      <c r="F4116">
        <v>0</v>
      </c>
      <c r="G4116">
        <v>0</v>
      </c>
      <c r="H4116">
        <v>0</v>
      </c>
      <c r="I4116">
        <v>0</v>
      </c>
      <c r="J4116">
        <v>40</v>
      </c>
      <c r="K4116" s="2">
        <v>45770</v>
      </c>
    </row>
    <row r="4117" spans="1:11" x14ac:dyDescent="0.25">
      <c r="A4117" s="1" t="s">
        <v>183</v>
      </c>
      <c r="B4117" s="1"/>
      <c r="C4117" s="1" t="s">
        <v>3353</v>
      </c>
      <c r="D4117" s="1" t="s">
        <v>3407</v>
      </c>
      <c r="E4117" s="1"/>
      <c r="F4117">
        <v>9.3000000000000007</v>
      </c>
      <c r="G4117">
        <v>0</v>
      </c>
      <c r="H4117">
        <v>845</v>
      </c>
      <c r="I4117">
        <v>0</v>
      </c>
      <c r="J4117">
        <v>1</v>
      </c>
      <c r="K4117" s="2">
        <v>45736</v>
      </c>
    </row>
    <row r="4118" spans="1:11" x14ac:dyDescent="0.25">
      <c r="A4118" s="1" t="s">
        <v>183</v>
      </c>
      <c r="B4118" s="1"/>
      <c r="C4118" s="1" t="s">
        <v>3354</v>
      </c>
      <c r="D4118" s="1" t="s">
        <v>3389</v>
      </c>
      <c r="E4118" s="1"/>
      <c r="F4118">
        <v>0</v>
      </c>
      <c r="G4118">
        <v>0</v>
      </c>
      <c r="H4118">
        <v>-20</v>
      </c>
      <c r="I4118">
        <v>0</v>
      </c>
      <c r="J4118">
        <v>1</v>
      </c>
      <c r="K4118" s="2">
        <v>45736</v>
      </c>
    </row>
    <row r="4119" spans="1:11" x14ac:dyDescent="0.25">
      <c r="A4119" s="1" t="s">
        <v>183</v>
      </c>
      <c r="B4119" s="1"/>
      <c r="C4119" s="1" t="s">
        <v>2926</v>
      </c>
      <c r="D4119" s="1" t="s">
        <v>3388</v>
      </c>
      <c r="E4119" s="1"/>
      <c r="F4119">
        <v>3.4</v>
      </c>
      <c r="G4119">
        <v>3.8</v>
      </c>
      <c r="H4119">
        <v>-20</v>
      </c>
      <c r="I4119">
        <v>0</v>
      </c>
      <c r="J4119">
        <v>1</v>
      </c>
      <c r="K4119" s="2">
        <v>45736</v>
      </c>
    </row>
    <row r="4120" spans="1:11" x14ac:dyDescent="0.25">
      <c r="A4120" s="1" t="s">
        <v>183</v>
      </c>
      <c r="B4120" s="1"/>
      <c r="C4120" s="1" t="s">
        <v>3355</v>
      </c>
      <c r="D4120" s="1" t="s">
        <v>3500</v>
      </c>
      <c r="E4120" s="1"/>
      <c r="F4120">
        <v>4.5</v>
      </c>
      <c r="G4120">
        <v>2.1</v>
      </c>
      <c r="H4120">
        <v>220</v>
      </c>
      <c r="I4120">
        <v>0</v>
      </c>
      <c r="J4120">
        <v>1</v>
      </c>
      <c r="K4120" s="2">
        <v>45737</v>
      </c>
    </row>
    <row r="4121" spans="1:11" x14ac:dyDescent="0.25">
      <c r="A4121" s="1" t="s">
        <v>183</v>
      </c>
      <c r="B4121" s="1"/>
      <c r="C4121" s="1" t="s">
        <v>3356</v>
      </c>
      <c r="D4121" s="1" t="s">
        <v>3391</v>
      </c>
      <c r="E4121" s="1"/>
      <c r="F4121">
        <v>1</v>
      </c>
      <c r="G4121">
        <v>0</v>
      </c>
      <c r="H4121">
        <v>65</v>
      </c>
      <c r="I4121">
        <v>0</v>
      </c>
      <c r="J4121">
        <v>1</v>
      </c>
      <c r="K4121" s="2">
        <v>45742</v>
      </c>
    </row>
    <row r="4122" spans="1:11" x14ac:dyDescent="0.25">
      <c r="A4122" s="1" t="s">
        <v>183</v>
      </c>
      <c r="B4122" s="1"/>
      <c r="C4122" s="1" t="s">
        <v>3357</v>
      </c>
      <c r="D4122" s="1" t="s">
        <v>3407</v>
      </c>
      <c r="E4122" s="1"/>
      <c r="F4122">
        <v>3.5</v>
      </c>
      <c r="G4122">
        <v>2.8</v>
      </c>
      <c r="H4122">
        <v>70</v>
      </c>
      <c r="I4122">
        <v>0</v>
      </c>
      <c r="J4122">
        <v>1</v>
      </c>
      <c r="K4122" s="2">
        <v>45742</v>
      </c>
    </row>
    <row r="4123" spans="1:11" x14ac:dyDescent="0.25">
      <c r="A4123" s="1" t="s">
        <v>183</v>
      </c>
      <c r="B4123" s="1"/>
      <c r="C4123" s="1" t="s">
        <v>3358</v>
      </c>
      <c r="D4123" s="1" t="s">
        <v>3372</v>
      </c>
      <c r="E4123" s="1"/>
      <c r="F4123">
        <v>2</v>
      </c>
      <c r="G4123">
        <v>0</v>
      </c>
      <c r="H4123">
        <v>100</v>
      </c>
      <c r="I4123">
        <v>0</v>
      </c>
      <c r="J4123">
        <v>1</v>
      </c>
      <c r="K4123" s="2">
        <v>45741</v>
      </c>
    </row>
    <row r="4124" spans="1:11" x14ac:dyDescent="0.25">
      <c r="A4124" s="1" t="s">
        <v>183</v>
      </c>
      <c r="B4124" s="1"/>
      <c r="C4124" s="1" t="s">
        <v>3359</v>
      </c>
      <c r="D4124" s="1" t="s">
        <v>3427</v>
      </c>
      <c r="E4124" s="1"/>
      <c r="F4124">
        <v>2</v>
      </c>
      <c r="G4124">
        <v>1.1000000000000001</v>
      </c>
      <c r="H4124">
        <v>40</v>
      </c>
      <c r="I4124">
        <v>0</v>
      </c>
      <c r="J4124">
        <v>1</v>
      </c>
      <c r="K4124" s="2">
        <v>45742</v>
      </c>
    </row>
    <row r="4125" spans="1:11" x14ac:dyDescent="0.25">
      <c r="A4125" s="1" t="s">
        <v>184</v>
      </c>
      <c r="B4125" s="1"/>
      <c r="C4125" s="1" t="s">
        <v>2808</v>
      </c>
      <c r="D4125" s="1" t="s">
        <v>3370</v>
      </c>
      <c r="E4125" s="1"/>
      <c r="F4125">
        <v>0</v>
      </c>
      <c r="G4125">
        <v>0</v>
      </c>
      <c r="H4125">
        <v>0</v>
      </c>
      <c r="I4125">
        <v>0</v>
      </c>
      <c r="J4125">
        <v>1</v>
      </c>
      <c r="K4125" s="2">
        <v>45733</v>
      </c>
    </row>
    <row r="4126" spans="1:11" x14ac:dyDescent="0.25">
      <c r="A4126" s="1" t="s">
        <v>184</v>
      </c>
      <c r="B4126" s="1"/>
      <c r="C4126" s="1" t="s">
        <v>3360</v>
      </c>
      <c r="D4126" s="1" t="s">
        <v>3372</v>
      </c>
      <c r="E4126" s="1"/>
      <c r="F4126">
        <v>1</v>
      </c>
      <c r="G4126">
        <v>0</v>
      </c>
      <c r="H4126">
        <v>55</v>
      </c>
      <c r="I4126">
        <v>0</v>
      </c>
      <c r="J4126">
        <v>1</v>
      </c>
      <c r="K4126" s="2">
        <v>45735</v>
      </c>
    </row>
    <row r="4127" spans="1:11" x14ac:dyDescent="0.25">
      <c r="A4127" s="1" t="s">
        <v>184</v>
      </c>
      <c r="B4127" s="1"/>
      <c r="C4127" s="1" t="s">
        <v>3353</v>
      </c>
      <c r="D4127" s="1" t="s">
        <v>3407</v>
      </c>
      <c r="E4127" s="1"/>
      <c r="F4127">
        <v>9.3000000000000007</v>
      </c>
      <c r="G4127">
        <v>0</v>
      </c>
      <c r="H4127">
        <v>845</v>
      </c>
      <c r="I4127">
        <v>0</v>
      </c>
      <c r="J4127">
        <v>1</v>
      </c>
      <c r="K4127" s="2">
        <v>45735</v>
      </c>
    </row>
    <row r="4128" spans="1:11" x14ac:dyDescent="0.25">
      <c r="A4128" s="1" t="s">
        <v>184</v>
      </c>
      <c r="B4128" s="1"/>
      <c r="C4128" s="1" t="s">
        <v>2926</v>
      </c>
      <c r="D4128" s="1" t="s">
        <v>3388</v>
      </c>
      <c r="E4128" s="1"/>
      <c r="F4128">
        <v>3.4</v>
      </c>
      <c r="G4128">
        <v>2</v>
      </c>
      <c r="H4128">
        <v>90</v>
      </c>
      <c r="I4128">
        <v>0</v>
      </c>
      <c r="J4128">
        <v>2</v>
      </c>
      <c r="K4128" s="2">
        <v>45737</v>
      </c>
    </row>
    <row r="4129" spans="1:11" x14ac:dyDescent="0.25">
      <c r="A4129" s="1" t="s">
        <v>184</v>
      </c>
      <c r="B4129" s="1"/>
      <c r="C4129" s="1" t="s">
        <v>3355</v>
      </c>
      <c r="D4129" s="1" t="s">
        <v>3500</v>
      </c>
      <c r="E4129" s="1"/>
      <c r="F4129">
        <v>4.5</v>
      </c>
      <c r="G4129">
        <v>4.5999999999999996</v>
      </c>
      <c r="H4129">
        <v>80</v>
      </c>
      <c r="I4129">
        <v>0</v>
      </c>
      <c r="J4129">
        <v>1</v>
      </c>
      <c r="K4129" s="2">
        <v>45742</v>
      </c>
    </row>
    <row r="4130" spans="1:11" x14ac:dyDescent="0.25">
      <c r="A4130" s="1" t="s">
        <v>184</v>
      </c>
      <c r="B4130" s="1"/>
      <c r="C4130" s="1" t="s">
        <v>3358</v>
      </c>
      <c r="D4130" s="1" t="s">
        <v>3372</v>
      </c>
      <c r="E4130" s="1"/>
      <c r="F4130">
        <v>2</v>
      </c>
      <c r="G4130">
        <v>0</v>
      </c>
      <c r="H4130">
        <v>105</v>
      </c>
      <c r="I4130">
        <v>0</v>
      </c>
      <c r="J4130">
        <v>1</v>
      </c>
      <c r="K4130" s="2">
        <v>45748</v>
      </c>
    </row>
    <row r="4131" spans="1:11" x14ac:dyDescent="0.25">
      <c r="A4131" s="1" t="s">
        <v>181</v>
      </c>
      <c r="B4131" s="1"/>
      <c r="C4131" s="1" t="s">
        <v>2926</v>
      </c>
      <c r="D4131" s="1" t="s">
        <v>3388</v>
      </c>
      <c r="E4131" s="1"/>
      <c r="F4131">
        <v>3.4</v>
      </c>
      <c r="G4131">
        <v>12.8</v>
      </c>
      <c r="H4131">
        <v>-585</v>
      </c>
      <c r="I4131">
        <v>0</v>
      </c>
      <c r="J4131">
        <v>3</v>
      </c>
      <c r="K4131" s="2">
        <v>45783</v>
      </c>
    </row>
    <row r="4132" spans="1:11" x14ac:dyDescent="0.25">
      <c r="A4132" s="1" t="s">
        <v>170</v>
      </c>
      <c r="B4132" s="1"/>
      <c r="C4132" s="1" t="s">
        <v>2873</v>
      </c>
      <c r="D4132" s="1" t="s">
        <v>3501</v>
      </c>
      <c r="E4132" s="1"/>
      <c r="F4132">
        <v>14.3</v>
      </c>
      <c r="G4132">
        <v>69.3</v>
      </c>
      <c r="H4132">
        <v>-2855</v>
      </c>
      <c r="I4132">
        <v>12.836</v>
      </c>
      <c r="J4132">
        <v>146.16399999999999</v>
      </c>
      <c r="K4132" s="2">
        <v>45768</v>
      </c>
    </row>
    <row r="4133" spans="1:11" x14ac:dyDescent="0.25">
      <c r="A4133" s="1" t="s">
        <v>170</v>
      </c>
      <c r="B4133" s="1"/>
      <c r="C4133" s="1" t="s">
        <v>2923</v>
      </c>
      <c r="D4133" s="1" t="s">
        <v>3417</v>
      </c>
      <c r="E4133" s="1"/>
      <c r="F4133">
        <v>4.8</v>
      </c>
      <c r="G4133">
        <v>0</v>
      </c>
      <c r="H4133">
        <v>250</v>
      </c>
      <c r="I4133">
        <v>0</v>
      </c>
      <c r="J4133">
        <v>152</v>
      </c>
      <c r="K4133" s="2">
        <v>45768</v>
      </c>
    </row>
    <row r="4134" spans="1:11" x14ac:dyDescent="0.25">
      <c r="A4134" s="1" t="s">
        <v>223</v>
      </c>
      <c r="B4134" s="1"/>
      <c r="C4134" s="1" t="s">
        <v>2864</v>
      </c>
      <c r="D4134" s="1" t="s">
        <v>3425</v>
      </c>
      <c r="E4134" s="1"/>
      <c r="F4134">
        <v>1</v>
      </c>
      <c r="G4134">
        <v>0</v>
      </c>
      <c r="H4134">
        <v>45</v>
      </c>
      <c r="I4134">
        <v>1</v>
      </c>
      <c r="J4134">
        <v>4</v>
      </c>
      <c r="K4134" s="2">
        <v>45730</v>
      </c>
    </row>
    <row r="4135" spans="1:11" x14ac:dyDescent="0.25">
      <c r="A4135" s="1" t="s">
        <v>223</v>
      </c>
      <c r="B4135" s="1"/>
      <c r="C4135" s="1" t="s">
        <v>2873</v>
      </c>
      <c r="D4135" s="1" t="s">
        <v>3373</v>
      </c>
      <c r="E4135" s="1"/>
      <c r="F4135">
        <v>59.1</v>
      </c>
      <c r="G4135">
        <v>105.2</v>
      </c>
      <c r="H4135">
        <v>-2505</v>
      </c>
      <c r="I4135">
        <v>11</v>
      </c>
      <c r="J4135">
        <v>188</v>
      </c>
      <c r="K4135" s="2">
        <v>45735</v>
      </c>
    </row>
    <row r="4136" spans="1:11" x14ac:dyDescent="0.25">
      <c r="A4136" s="1" t="s">
        <v>223</v>
      </c>
      <c r="B4136" s="1"/>
      <c r="C4136" s="1" t="s">
        <v>2870</v>
      </c>
      <c r="D4136" s="1" t="s">
        <v>3375</v>
      </c>
      <c r="E4136" s="1"/>
      <c r="F4136">
        <v>16.600000000000001</v>
      </c>
      <c r="G4136">
        <v>4.7</v>
      </c>
      <c r="H4136">
        <v>620</v>
      </c>
      <c r="I4136">
        <v>4</v>
      </c>
      <c r="J4136">
        <v>184</v>
      </c>
      <c r="K4136" s="2">
        <v>45735</v>
      </c>
    </row>
    <row r="4137" spans="1:11" x14ac:dyDescent="0.25">
      <c r="A4137" s="1" t="s">
        <v>223</v>
      </c>
      <c r="B4137" s="1"/>
      <c r="C4137" s="1" t="s">
        <v>3251</v>
      </c>
      <c r="D4137" s="1" t="s">
        <v>3371</v>
      </c>
      <c r="E4137" s="1"/>
      <c r="F4137">
        <v>4.3</v>
      </c>
      <c r="G4137">
        <v>0</v>
      </c>
      <c r="H4137">
        <v>230</v>
      </c>
      <c r="I4137">
        <v>0</v>
      </c>
      <c r="J4137">
        <v>184</v>
      </c>
      <c r="K4137" s="2">
        <v>45763</v>
      </c>
    </row>
    <row r="4138" spans="1:11" x14ac:dyDescent="0.25">
      <c r="A4138" s="1" t="s">
        <v>223</v>
      </c>
      <c r="B4138" s="1"/>
      <c r="C4138" s="1" t="s">
        <v>3101</v>
      </c>
      <c r="D4138" s="1" t="s">
        <v>3417</v>
      </c>
      <c r="E4138" s="1"/>
      <c r="F4138">
        <v>0</v>
      </c>
      <c r="G4138">
        <v>27.6</v>
      </c>
      <c r="H4138">
        <v>-1425</v>
      </c>
      <c r="I4138">
        <v>0</v>
      </c>
      <c r="J4138">
        <v>184</v>
      </c>
      <c r="K4138" s="2">
        <v>45763</v>
      </c>
    </row>
    <row r="4139" spans="1:11" x14ac:dyDescent="0.25">
      <c r="A4139" s="1" t="s">
        <v>223</v>
      </c>
      <c r="B4139" s="1"/>
      <c r="C4139" s="1" t="s">
        <v>2923</v>
      </c>
      <c r="D4139" s="1" t="s">
        <v>3417</v>
      </c>
      <c r="E4139" s="1"/>
      <c r="F4139">
        <v>6</v>
      </c>
      <c r="G4139">
        <v>4.8</v>
      </c>
      <c r="H4139">
        <v>65</v>
      </c>
      <c r="I4139">
        <v>0</v>
      </c>
      <c r="J4139">
        <v>184</v>
      </c>
      <c r="K4139" s="2">
        <v>45764</v>
      </c>
    </row>
    <row r="4140" spans="1:11" x14ac:dyDescent="0.25">
      <c r="A4140" s="1" t="s">
        <v>190</v>
      </c>
      <c r="B4140" s="1"/>
      <c r="C4140" s="1" t="s">
        <v>2871</v>
      </c>
      <c r="D4140" s="1" t="s">
        <v>3412</v>
      </c>
      <c r="E4140" s="1"/>
      <c r="F4140">
        <v>0.4</v>
      </c>
      <c r="G4140">
        <v>0</v>
      </c>
      <c r="H4140">
        <v>30</v>
      </c>
      <c r="I4140">
        <v>0</v>
      </c>
      <c r="J4140">
        <v>175</v>
      </c>
      <c r="K4140" s="2">
        <v>45763</v>
      </c>
    </row>
    <row r="4141" spans="1:11" x14ac:dyDescent="0.25">
      <c r="A4141" s="1" t="s">
        <v>190</v>
      </c>
      <c r="B4141" s="1"/>
      <c r="C4141" s="1" t="s">
        <v>2872</v>
      </c>
      <c r="D4141" s="1" t="s">
        <v>3388</v>
      </c>
      <c r="E4141" s="1"/>
      <c r="F4141">
        <v>0.4</v>
      </c>
      <c r="G4141">
        <v>0</v>
      </c>
      <c r="H4141">
        <v>30</v>
      </c>
      <c r="I4141">
        <v>0</v>
      </c>
      <c r="J4141">
        <v>175</v>
      </c>
      <c r="K4141" s="2">
        <v>45763</v>
      </c>
    </row>
    <row r="4142" spans="1:11" x14ac:dyDescent="0.25">
      <c r="A4142" s="1" t="s">
        <v>190</v>
      </c>
      <c r="B4142" s="1"/>
      <c r="C4142" s="1" t="s">
        <v>3250</v>
      </c>
      <c r="D4142" s="1" t="s">
        <v>3386</v>
      </c>
      <c r="E4142" s="1"/>
      <c r="F4142">
        <v>10.3</v>
      </c>
      <c r="G4142">
        <v>7.9</v>
      </c>
      <c r="H4142">
        <v>130</v>
      </c>
      <c r="I4142">
        <v>7</v>
      </c>
      <c r="J4142">
        <v>78</v>
      </c>
      <c r="K4142" s="2">
        <v>45763</v>
      </c>
    </row>
    <row r="4143" spans="1:11" x14ac:dyDescent="0.25">
      <c r="A4143" s="1" t="s">
        <v>156</v>
      </c>
      <c r="B4143" s="1"/>
      <c r="C4143" s="1" t="s">
        <v>2808</v>
      </c>
      <c r="D4143" s="1" t="s">
        <v>3370</v>
      </c>
      <c r="E4143" s="1"/>
      <c r="F4143">
        <v>0</v>
      </c>
      <c r="G4143">
        <v>0</v>
      </c>
      <c r="H4143">
        <v>0</v>
      </c>
      <c r="I4143">
        <v>0</v>
      </c>
      <c r="J4143">
        <v>37</v>
      </c>
      <c r="K4143" s="2">
        <v>45771</v>
      </c>
    </row>
    <row r="4144" spans="1:11" x14ac:dyDescent="0.25">
      <c r="A4144" s="1" t="s">
        <v>156</v>
      </c>
      <c r="B4144" s="1"/>
      <c r="C4144" s="1" t="s">
        <v>3361</v>
      </c>
      <c r="D4144" s="1" t="s">
        <v>3477</v>
      </c>
      <c r="E4144" s="1"/>
      <c r="F4144">
        <v>0</v>
      </c>
      <c r="G4144">
        <v>0</v>
      </c>
      <c r="H4144">
        <v>0</v>
      </c>
      <c r="I4144">
        <v>0</v>
      </c>
      <c r="J4144">
        <v>37</v>
      </c>
      <c r="K4144" s="2">
        <v>45770</v>
      </c>
    </row>
    <row r="4145" spans="1:11" x14ac:dyDescent="0.25">
      <c r="A4145" s="1" t="s">
        <v>525</v>
      </c>
      <c r="B4145" s="1"/>
      <c r="C4145" s="1" t="s">
        <v>2808</v>
      </c>
      <c r="D4145" s="1" t="s">
        <v>3370</v>
      </c>
      <c r="E4145" s="1"/>
      <c r="F4145">
        <v>0</v>
      </c>
      <c r="G4145">
        <v>0</v>
      </c>
      <c r="H4145">
        <v>0</v>
      </c>
      <c r="I4145">
        <v>0</v>
      </c>
      <c r="J4145">
        <v>88</v>
      </c>
      <c r="K4145" s="2">
        <v>45777</v>
      </c>
    </row>
    <row r="4146" spans="1:11" x14ac:dyDescent="0.25">
      <c r="A4146" s="1" t="s">
        <v>525</v>
      </c>
      <c r="B4146" s="1"/>
      <c r="C4146" s="1" t="s">
        <v>3362</v>
      </c>
      <c r="D4146" s="1" t="s">
        <v>3389</v>
      </c>
      <c r="E4146" s="1"/>
      <c r="F4146">
        <v>0</v>
      </c>
      <c r="G4146">
        <v>0</v>
      </c>
      <c r="H4146">
        <v>-60</v>
      </c>
      <c r="I4146">
        <v>0</v>
      </c>
      <c r="J4146">
        <v>88</v>
      </c>
      <c r="K4146" s="2">
        <v>45786</v>
      </c>
    </row>
    <row r="4147" spans="1:11" x14ac:dyDescent="0.25">
      <c r="A4147" s="1" t="s">
        <v>525</v>
      </c>
      <c r="B4147" s="1"/>
      <c r="C4147" s="1" t="s">
        <v>2848</v>
      </c>
      <c r="D4147" s="1" t="s">
        <v>3372</v>
      </c>
      <c r="E4147" s="1"/>
      <c r="F4147">
        <v>1</v>
      </c>
      <c r="G4147">
        <v>0</v>
      </c>
      <c r="H4147">
        <v>55</v>
      </c>
      <c r="I4147">
        <v>0</v>
      </c>
      <c r="J4147">
        <v>88</v>
      </c>
      <c r="K4147" s="2">
        <v>45789</v>
      </c>
    </row>
    <row r="4148" spans="1:11" x14ac:dyDescent="0.25">
      <c r="A4148" s="1" t="s">
        <v>499</v>
      </c>
      <c r="B4148" s="1"/>
      <c r="C4148" s="1" t="s">
        <v>2808</v>
      </c>
      <c r="D4148" s="1" t="s">
        <v>3370</v>
      </c>
      <c r="E4148" s="1"/>
      <c r="F4148">
        <v>0</v>
      </c>
      <c r="G4148">
        <v>0</v>
      </c>
      <c r="H4148">
        <v>0</v>
      </c>
      <c r="I4148">
        <v>0</v>
      </c>
      <c r="J4148">
        <v>282</v>
      </c>
      <c r="K4148" s="2">
        <v>45763</v>
      </c>
    </row>
    <row r="4149" spans="1:11" x14ac:dyDescent="0.25">
      <c r="A4149" s="1" t="s">
        <v>499</v>
      </c>
      <c r="B4149" s="1"/>
      <c r="C4149" s="1" t="s">
        <v>3363</v>
      </c>
      <c r="D4149" s="1" t="s">
        <v>3389</v>
      </c>
      <c r="E4149" s="1"/>
      <c r="F4149">
        <v>0</v>
      </c>
      <c r="G4149">
        <v>0</v>
      </c>
      <c r="H4149">
        <v>105</v>
      </c>
      <c r="I4149">
        <v>0</v>
      </c>
      <c r="J4149">
        <v>3</v>
      </c>
      <c r="K4149" s="2">
        <v>45778</v>
      </c>
    </row>
    <row r="4150" spans="1:11" x14ac:dyDescent="0.25">
      <c r="A4150" s="1" t="s">
        <v>499</v>
      </c>
      <c r="B4150" s="1"/>
      <c r="C4150" s="1" t="s">
        <v>3036</v>
      </c>
      <c r="D4150" s="1" t="s">
        <v>3389</v>
      </c>
      <c r="E4150" s="1"/>
      <c r="F4150">
        <v>0</v>
      </c>
      <c r="G4150">
        <v>0</v>
      </c>
      <c r="H4150">
        <v>115</v>
      </c>
      <c r="I4150">
        <v>0</v>
      </c>
      <c r="J4150">
        <v>282</v>
      </c>
      <c r="K4150" s="2">
        <v>45783</v>
      </c>
    </row>
    <row r="4151" spans="1:11" x14ac:dyDescent="0.25">
      <c r="A4151" s="1" t="s">
        <v>499</v>
      </c>
      <c r="B4151" s="1"/>
      <c r="C4151" s="1" t="s">
        <v>3364</v>
      </c>
      <c r="D4151" s="1" t="s">
        <v>3372</v>
      </c>
      <c r="E4151" s="1"/>
      <c r="F4151">
        <v>0</v>
      </c>
      <c r="G4151">
        <v>0</v>
      </c>
      <c r="H4151">
        <v>0</v>
      </c>
      <c r="I4151">
        <v>0</v>
      </c>
      <c r="J4151">
        <v>282</v>
      </c>
      <c r="K4151" s="2">
        <v>45784</v>
      </c>
    </row>
    <row r="4152" spans="1:11" x14ac:dyDescent="0.25">
      <c r="A4152" s="1" t="s">
        <v>499</v>
      </c>
      <c r="B4152" s="1"/>
      <c r="C4152" s="1" t="s">
        <v>2817</v>
      </c>
      <c r="D4152" s="1" t="s">
        <v>3452</v>
      </c>
      <c r="E4152" s="1"/>
      <c r="F4152">
        <v>1.7</v>
      </c>
      <c r="G4152">
        <v>0</v>
      </c>
      <c r="H4152">
        <v>85</v>
      </c>
      <c r="I4152">
        <v>0</v>
      </c>
      <c r="J4152">
        <v>282</v>
      </c>
      <c r="K4152" s="2">
        <v>45789</v>
      </c>
    </row>
    <row r="4153" spans="1:11" x14ac:dyDescent="0.25">
      <c r="A4153" s="1" t="s">
        <v>869</v>
      </c>
      <c r="B4153" s="1"/>
      <c r="C4153" s="1" t="s">
        <v>2808</v>
      </c>
      <c r="D4153" s="1" t="s">
        <v>3370</v>
      </c>
      <c r="E4153" s="1"/>
      <c r="F4153">
        <v>0</v>
      </c>
      <c r="G4153">
        <v>0</v>
      </c>
      <c r="H4153">
        <v>0</v>
      </c>
      <c r="I4153">
        <v>0</v>
      </c>
      <c r="J4153">
        <v>400</v>
      </c>
      <c r="K4153" s="2">
        <v>45779</v>
      </c>
    </row>
    <row r="4154" spans="1:11" x14ac:dyDescent="0.25">
      <c r="A4154" s="1" t="s">
        <v>869</v>
      </c>
      <c r="B4154" s="1"/>
      <c r="C4154" s="1" t="s">
        <v>3365</v>
      </c>
      <c r="D4154" s="1" t="s">
        <v>3393</v>
      </c>
      <c r="E4154" s="1"/>
      <c r="F4154">
        <v>9.3000000000000007</v>
      </c>
      <c r="G4154">
        <v>17.899999999999999</v>
      </c>
      <c r="H4154">
        <v>-415</v>
      </c>
      <c r="I4154">
        <v>0</v>
      </c>
      <c r="J4154">
        <v>400</v>
      </c>
      <c r="K4154" s="2">
        <v>45785</v>
      </c>
    </row>
    <row r="4155" spans="1:11" x14ac:dyDescent="0.25">
      <c r="A4155" s="1" t="s">
        <v>869</v>
      </c>
      <c r="B4155" s="1"/>
      <c r="C4155" s="1" t="s">
        <v>3366</v>
      </c>
      <c r="D4155" s="1" t="s">
        <v>3379</v>
      </c>
      <c r="E4155" s="1"/>
      <c r="F4155">
        <v>9.1</v>
      </c>
      <c r="G4155">
        <v>9</v>
      </c>
      <c r="H4155">
        <v>10</v>
      </c>
      <c r="I4155">
        <v>0</v>
      </c>
      <c r="J4155">
        <v>400</v>
      </c>
      <c r="K4155" s="2">
        <v>45785</v>
      </c>
    </row>
    <row r="4156" spans="1:11" x14ac:dyDescent="0.25">
      <c r="A4156" s="1" t="s">
        <v>869</v>
      </c>
      <c r="B4156" s="1"/>
      <c r="C4156" s="1" t="s">
        <v>2816</v>
      </c>
      <c r="D4156" s="1" t="s">
        <v>3372</v>
      </c>
      <c r="E4156" s="1"/>
      <c r="F4156">
        <v>0.3</v>
      </c>
      <c r="G4156">
        <v>0</v>
      </c>
      <c r="H4156">
        <v>15</v>
      </c>
      <c r="I4156">
        <v>0</v>
      </c>
      <c r="J4156">
        <v>400</v>
      </c>
      <c r="K4156" s="2">
        <v>45785</v>
      </c>
    </row>
    <row r="4157" spans="1:11" x14ac:dyDescent="0.25">
      <c r="A4157" s="1" t="s">
        <v>892</v>
      </c>
      <c r="B4157" s="1"/>
      <c r="C4157" s="1" t="s">
        <v>2808</v>
      </c>
      <c r="D4157" s="1" t="s">
        <v>3370</v>
      </c>
      <c r="E4157" s="1"/>
      <c r="F4157">
        <v>0</v>
      </c>
      <c r="G4157">
        <v>0</v>
      </c>
      <c r="H4157">
        <v>0</v>
      </c>
      <c r="I4157">
        <v>0</v>
      </c>
      <c r="J4157">
        <v>130</v>
      </c>
      <c r="K4157" s="2">
        <v>45783</v>
      </c>
    </row>
    <row r="4158" spans="1:11" x14ac:dyDescent="0.25">
      <c r="A4158" s="1" t="s">
        <v>892</v>
      </c>
      <c r="B4158" s="1"/>
      <c r="C4158" s="1" t="s">
        <v>3365</v>
      </c>
      <c r="D4158" s="1" t="s">
        <v>3393</v>
      </c>
      <c r="E4158" s="1"/>
      <c r="F4158">
        <v>3.4</v>
      </c>
      <c r="G4158">
        <v>4.0999999999999996</v>
      </c>
      <c r="H4158">
        <v>-35</v>
      </c>
      <c r="I4158">
        <v>0</v>
      </c>
      <c r="J4158">
        <v>130</v>
      </c>
      <c r="K4158" s="2">
        <v>45786</v>
      </c>
    </row>
    <row r="4159" spans="1:11" x14ac:dyDescent="0.25">
      <c r="A4159" s="1" t="s">
        <v>892</v>
      </c>
      <c r="B4159" s="1"/>
      <c r="C4159" s="1" t="s">
        <v>3366</v>
      </c>
      <c r="D4159" s="1" t="s">
        <v>3379</v>
      </c>
      <c r="E4159" s="1"/>
      <c r="F4159">
        <v>3.1</v>
      </c>
      <c r="G4159">
        <v>6.3</v>
      </c>
      <c r="H4159">
        <v>-150</v>
      </c>
      <c r="I4159">
        <v>0</v>
      </c>
      <c r="J4159">
        <v>130</v>
      </c>
      <c r="K4159" s="2">
        <v>45786</v>
      </c>
    </row>
    <row r="4160" spans="1:11" x14ac:dyDescent="0.25">
      <c r="A4160" s="1" t="s">
        <v>892</v>
      </c>
      <c r="B4160" s="1"/>
      <c r="C4160" s="1" t="s">
        <v>2816</v>
      </c>
      <c r="D4160" s="1" t="s">
        <v>3372</v>
      </c>
      <c r="E4160" s="1"/>
      <c r="F4160">
        <v>0.3</v>
      </c>
      <c r="G4160">
        <v>0.5</v>
      </c>
      <c r="H4160">
        <v>-10</v>
      </c>
      <c r="I4160">
        <v>0</v>
      </c>
      <c r="J4160">
        <v>130</v>
      </c>
      <c r="K4160" s="2">
        <v>45786</v>
      </c>
    </row>
    <row r="4161" spans="1:11" x14ac:dyDescent="0.25">
      <c r="A4161" s="1" t="s">
        <v>429</v>
      </c>
      <c r="B4161" s="1"/>
      <c r="C4161" s="1" t="s">
        <v>2808</v>
      </c>
      <c r="D4161" s="1" t="s">
        <v>3370</v>
      </c>
      <c r="E4161" s="1"/>
      <c r="F4161">
        <v>0</v>
      </c>
      <c r="G4161">
        <v>0</v>
      </c>
      <c r="H4161">
        <v>0</v>
      </c>
      <c r="I4161">
        <v>0</v>
      </c>
      <c r="J4161">
        <v>128</v>
      </c>
      <c r="K4161" s="2">
        <v>45757</v>
      </c>
    </row>
    <row r="4162" spans="1:11" x14ac:dyDescent="0.25">
      <c r="A4162" s="1" t="s">
        <v>429</v>
      </c>
      <c r="B4162" s="1"/>
      <c r="C4162" s="1" t="s">
        <v>3367</v>
      </c>
      <c r="D4162" s="1" t="s">
        <v>3401</v>
      </c>
      <c r="E4162" s="1"/>
      <c r="F4162">
        <v>3.1</v>
      </c>
      <c r="G4162">
        <v>2.6</v>
      </c>
      <c r="H4162">
        <v>25</v>
      </c>
      <c r="I4162">
        <v>0</v>
      </c>
      <c r="J4162">
        <v>128</v>
      </c>
      <c r="K4162" s="2">
        <v>45777</v>
      </c>
    </row>
    <row r="4163" spans="1:11" x14ac:dyDescent="0.25">
      <c r="A4163" s="1" t="s">
        <v>429</v>
      </c>
      <c r="B4163" s="1"/>
      <c r="C4163" s="1" t="s">
        <v>3368</v>
      </c>
      <c r="D4163" s="1" t="s">
        <v>3400</v>
      </c>
      <c r="E4163" s="1"/>
      <c r="F4163">
        <v>3.4</v>
      </c>
      <c r="G4163">
        <v>5.3</v>
      </c>
      <c r="H4163">
        <v>-90</v>
      </c>
      <c r="I4163">
        <v>0</v>
      </c>
      <c r="J4163">
        <v>128</v>
      </c>
      <c r="K4163" s="2">
        <v>45777</v>
      </c>
    </row>
    <row r="4164" spans="1:11" x14ac:dyDescent="0.25">
      <c r="A4164" s="1" t="s">
        <v>429</v>
      </c>
      <c r="B4164" s="1"/>
      <c r="C4164" s="1" t="s">
        <v>3369</v>
      </c>
      <c r="D4164" s="1" t="s">
        <v>3502</v>
      </c>
      <c r="E4164" s="1"/>
      <c r="F4164">
        <v>1.3</v>
      </c>
      <c r="G4164">
        <v>4</v>
      </c>
      <c r="H4164">
        <v>-130</v>
      </c>
      <c r="I4164">
        <v>0</v>
      </c>
      <c r="J4164">
        <v>128</v>
      </c>
      <c r="K4164" s="2">
        <v>45777</v>
      </c>
    </row>
    <row r="4165" spans="1:11" x14ac:dyDescent="0.25">
      <c r="A4165" s="1" t="s">
        <v>429</v>
      </c>
      <c r="B4165" s="1"/>
      <c r="C4165" s="1" t="s">
        <v>2848</v>
      </c>
      <c r="D4165" s="1" t="s">
        <v>3372</v>
      </c>
      <c r="E4165" s="1"/>
      <c r="F4165">
        <v>0</v>
      </c>
      <c r="G4165">
        <v>0</v>
      </c>
      <c r="H4165">
        <v>0</v>
      </c>
      <c r="I4165">
        <v>0</v>
      </c>
      <c r="J4165">
        <v>128</v>
      </c>
      <c r="K4165" s="2">
        <v>45777</v>
      </c>
    </row>
    <row r="4166" spans="1:11" x14ac:dyDescent="0.25">
      <c r="A4166" s="1" t="s">
        <v>429</v>
      </c>
      <c r="B4166" s="1"/>
      <c r="C4166" s="1" t="s">
        <v>3063</v>
      </c>
      <c r="D4166" s="1" t="s">
        <v>3377</v>
      </c>
      <c r="E4166" s="1"/>
      <c r="F4166">
        <v>0</v>
      </c>
      <c r="G4166">
        <v>1.6</v>
      </c>
      <c r="H4166">
        <v>-75</v>
      </c>
      <c r="I4166">
        <v>0</v>
      </c>
      <c r="J4166">
        <v>128</v>
      </c>
      <c r="K4166" s="2">
        <v>45782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36D-FE86-470E-8E3E-D62BC1946719}">
  <dimension ref="A1:K5951"/>
  <sheetViews>
    <sheetView workbookViewId="0">
      <selection activeCell="H6" sqref="H6:H5951"/>
    </sheetView>
  </sheetViews>
  <sheetFormatPr defaultRowHeight="15" x14ac:dyDescent="0.25"/>
  <cols>
    <col min="1" max="1" width="9.7109375" bestFit="1" customWidth="1"/>
    <col min="2" max="2" width="17.140625" bestFit="1" customWidth="1"/>
    <col min="3" max="3" width="35.42578125" bestFit="1" customWidth="1"/>
    <col min="4" max="4" width="7.7109375" bestFit="1" customWidth="1"/>
    <col min="5" max="5" width="22.7109375" bestFit="1" customWidth="1"/>
    <col min="6" max="6" width="6.7109375" bestFit="1" customWidth="1"/>
    <col min="7" max="7" width="12.140625" bestFit="1" customWidth="1"/>
    <col min="8" max="8" width="10.85546875" bestFit="1" customWidth="1"/>
    <col min="9" max="9" width="22.28515625" bestFit="1" customWidth="1"/>
    <col min="10" max="10" width="15.7109375" bestFit="1" customWidth="1"/>
    <col min="11" max="11" width="19" bestFit="1" customWidth="1"/>
  </cols>
  <sheetData>
    <row r="1" spans="1:11" x14ac:dyDescent="0.25">
      <c r="A1" t="s">
        <v>28</v>
      </c>
      <c r="B1" t="s">
        <v>29</v>
      </c>
    </row>
    <row r="2" spans="1:11" x14ac:dyDescent="0.25">
      <c r="A2" t="s">
        <v>31</v>
      </c>
      <c r="B2" t="str">
        <f ca="1">TEXT(TODAY() -60, "yyyymmdd")</f>
        <v>20250628</v>
      </c>
      <c r="C2" t="s">
        <v>32</v>
      </c>
    </row>
    <row r="3" spans="1:11" x14ac:dyDescent="0.25">
      <c r="A3" t="s">
        <v>30</v>
      </c>
      <c r="B3" t="str">
        <f ca="1">TEXT(TODAY(), "YYYYMMDD")</f>
        <v>20250827</v>
      </c>
    </row>
    <row r="5" spans="1:11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</row>
    <row r="6" spans="1:11" x14ac:dyDescent="0.25">
      <c r="A6" s="1" t="s">
        <v>104</v>
      </c>
      <c r="B6" s="1" t="s">
        <v>981</v>
      </c>
      <c r="C6" s="1" t="s">
        <v>1999</v>
      </c>
      <c r="D6" s="1" t="s">
        <v>1998</v>
      </c>
      <c r="E6" s="1"/>
      <c r="F6" s="1" t="s">
        <v>11</v>
      </c>
      <c r="G6">
        <v>35</v>
      </c>
      <c r="H6">
        <v>35</v>
      </c>
      <c r="I6" s="2"/>
      <c r="J6" s="2">
        <v>45712</v>
      </c>
      <c r="K6" s="2">
        <v>45761</v>
      </c>
    </row>
    <row r="7" spans="1:11" x14ac:dyDescent="0.25">
      <c r="A7" s="1" t="s">
        <v>104</v>
      </c>
      <c r="B7" s="1" t="s">
        <v>982</v>
      </c>
      <c r="C7" s="1" t="s">
        <v>2000</v>
      </c>
      <c r="D7" s="1" t="s">
        <v>1998</v>
      </c>
      <c r="E7" s="1"/>
      <c r="F7" s="1" t="s">
        <v>11</v>
      </c>
      <c r="G7">
        <v>35</v>
      </c>
      <c r="H7">
        <v>35</v>
      </c>
      <c r="I7" s="2"/>
      <c r="J7" s="2">
        <v>45712</v>
      </c>
      <c r="K7" s="2">
        <v>45761</v>
      </c>
    </row>
    <row r="8" spans="1:11" x14ac:dyDescent="0.25">
      <c r="A8" s="1" t="s">
        <v>104</v>
      </c>
      <c r="B8" s="1" t="s">
        <v>983</v>
      </c>
      <c r="C8" s="1" t="s">
        <v>2001</v>
      </c>
      <c r="D8" s="1" t="s">
        <v>1998</v>
      </c>
      <c r="E8" s="1"/>
      <c r="F8" s="1" t="s">
        <v>11</v>
      </c>
      <c r="G8">
        <v>40</v>
      </c>
      <c r="H8">
        <v>40</v>
      </c>
      <c r="I8" s="2"/>
      <c r="J8" s="2">
        <v>45712</v>
      </c>
      <c r="K8" s="2">
        <v>45761</v>
      </c>
    </row>
    <row r="9" spans="1:11" x14ac:dyDescent="0.25">
      <c r="A9" s="1" t="s">
        <v>104</v>
      </c>
      <c r="B9" s="1" t="s">
        <v>984</v>
      </c>
      <c r="C9" s="1" t="s">
        <v>2002</v>
      </c>
      <c r="D9" s="1" t="s">
        <v>1998</v>
      </c>
      <c r="E9" s="1"/>
      <c r="F9" s="1" t="s">
        <v>11</v>
      </c>
      <c r="G9">
        <v>20</v>
      </c>
      <c r="H9">
        <v>20</v>
      </c>
      <c r="I9" s="2"/>
      <c r="J9" s="2">
        <v>45712</v>
      </c>
      <c r="K9" s="2">
        <v>45761</v>
      </c>
    </row>
    <row r="10" spans="1:11" x14ac:dyDescent="0.25">
      <c r="A10" s="1" t="s">
        <v>105</v>
      </c>
      <c r="B10" s="1" t="s">
        <v>985</v>
      </c>
      <c r="C10" s="1" t="s">
        <v>2003</v>
      </c>
      <c r="D10" s="1" t="s">
        <v>1998</v>
      </c>
      <c r="E10" s="1"/>
      <c r="F10" s="1" t="s">
        <v>11</v>
      </c>
      <c r="G10">
        <v>40</v>
      </c>
      <c r="H10">
        <v>40</v>
      </c>
      <c r="I10" s="2"/>
      <c r="J10" s="2">
        <v>45777</v>
      </c>
      <c r="K10" s="2">
        <v>45777</v>
      </c>
    </row>
    <row r="11" spans="1:11" x14ac:dyDescent="0.25">
      <c r="A11" s="1" t="s">
        <v>105</v>
      </c>
      <c r="B11" s="1" t="s">
        <v>986</v>
      </c>
      <c r="C11" s="1" t="s">
        <v>2004</v>
      </c>
      <c r="D11" s="1" t="s">
        <v>1998</v>
      </c>
      <c r="E11" s="1"/>
      <c r="F11" s="1" t="s">
        <v>11</v>
      </c>
      <c r="G11">
        <v>75</v>
      </c>
      <c r="H11">
        <v>75</v>
      </c>
      <c r="I11" s="2"/>
      <c r="J11" s="2">
        <v>45777</v>
      </c>
      <c r="K11" s="2">
        <v>45777</v>
      </c>
    </row>
    <row r="12" spans="1:11" x14ac:dyDescent="0.25">
      <c r="A12" s="1" t="s">
        <v>105</v>
      </c>
      <c r="B12" s="1" t="s">
        <v>987</v>
      </c>
      <c r="C12" s="1" t="s">
        <v>2005</v>
      </c>
      <c r="D12" s="1" t="s">
        <v>1998</v>
      </c>
      <c r="E12" s="1"/>
      <c r="F12" s="1" t="s">
        <v>11</v>
      </c>
      <c r="G12">
        <v>130</v>
      </c>
      <c r="H12">
        <v>1</v>
      </c>
      <c r="I12" s="2"/>
      <c r="J12" s="2">
        <v>45777</v>
      </c>
      <c r="K12" s="2">
        <v>45777</v>
      </c>
    </row>
    <row r="13" spans="1:11" x14ac:dyDescent="0.25">
      <c r="A13" s="1" t="s">
        <v>106</v>
      </c>
      <c r="B13" s="1" t="s">
        <v>988</v>
      </c>
      <c r="C13" s="1" t="s">
        <v>2006</v>
      </c>
      <c r="D13" s="1" t="s">
        <v>1998</v>
      </c>
      <c r="E13" s="1"/>
      <c r="F13" s="1" t="s">
        <v>11</v>
      </c>
      <c r="G13">
        <v>275</v>
      </c>
      <c r="H13">
        <v>275</v>
      </c>
      <c r="I13" s="2"/>
      <c r="J13" s="2">
        <v>45785</v>
      </c>
      <c r="K13" s="2">
        <v>45786</v>
      </c>
    </row>
    <row r="14" spans="1:11" x14ac:dyDescent="0.25">
      <c r="A14" s="1" t="s">
        <v>106</v>
      </c>
      <c r="B14" s="1" t="s">
        <v>989</v>
      </c>
      <c r="C14" s="1" t="s">
        <v>2007</v>
      </c>
      <c r="D14" s="1" t="s">
        <v>1998</v>
      </c>
      <c r="E14" s="1"/>
      <c r="F14" s="1" t="s">
        <v>11</v>
      </c>
      <c r="G14">
        <v>10</v>
      </c>
      <c r="H14">
        <v>1</v>
      </c>
      <c r="I14" s="2"/>
      <c r="J14" s="2">
        <v>45785</v>
      </c>
      <c r="K14" s="2">
        <v>45786</v>
      </c>
    </row>
    <row r="15" spans="1:11" x14ac:dyDescent="0.25">
      <c r="A15" s="1" t="s">
        <v>106</v>
      </c>
      <c r="B15" s="1" t="s">
        <v>990</v>
      </c>
      <c r="C15" s="1" t="s">
        <v>2008</v>
      </c>
      <c r="D15" s="1" t="s">
        <v>1998</v>
      </c>
      <c r="E15" s="1"/>
      <c r="F15" s="1" t="s">
        <v>11</v>
      </c>
      <c r="G15">
        <v>905</v>
      </c>
      <c r="H15">
        <v>905</v>
      </c>
      <c r="I15" s="2"/>
      <c r="J15" s="2">
        <v>45785</v>
      </c>
      <c r="K15" s="2">
        <v>45786</v>
      </c>
    </row>
    <row r="16" spans="1:11" x14ac:dyDescent="0.25">
      <c r="A16" s="1" t="s">
        <v>106</v>
      </c>
      <c r="B16" s="1" t="s">
        <v>991</v>
      </c>
      <c r="C16" s="1" t="s">
        <v>2009</v>
      </c>
      <c r="D16" s="1" t="s">
        <v>1998</v>
      </c>
      <c r="E16" s="1"/>
      <c r="F16" s="1" t="s">
        <v>11</v>
      </c>
      <c r="G16">
        <v>1</v>
      </c>
      <c r="H16">
        <v>1</v>
      </c>
      <c r="I16" s="2"/>
      <c r="J16" s="2">
        <v>45785</v>
      </c>
      <c r="K16" s="2">
        <v>45786</v>
      </c>
    </row>
    <row r="17" spans="1:11" x14ac:dyDescent="0.25">
      <c r="A17" s="1" t="s">
        <v>106</v>
      </c>
      <c r="B17" s="1" t="s">
        <v>992</v>
      </c>
      <c r="C17" s="1" t="s">
        <v>2010</v>
      </c>
      <c r="D17" s="1" t="s">
        <v>1998</v>
      </c>
      <c r="E17" s="1"/>
      <c r="F17" s="1" t="s">
        <v>11</v>
      </c>
      <c r="G17">
        <v>1</v>
      </c>
      <c r="H17">
        <v>1</v>
      </c>
      <c r="I17" s="2"/>
      <c r="J17" s="2">
        <v>45785</v>
      </c>
      <c r="K17" s="2">
        <v>45786</v>
      </c>
    </row>
    <row r="18" spans="1:11" x14ac:dyDescent="0.25">
      <c r="A18" s="1" t="s">
        <v>106</v>
      </c>
      <c r="B18" s="1" t="s">
        <v>993</v>
      </c>
      <c r="C18" s="1" t="s">
        <v>2011</v>
      </c>
      <c r="D18" s="1" t="s">
        <v>1998</v>
      </c>
      <c r="E18" s="1"/>
      <c r="F18" s="1" t="s">
        <v>11</v>
      </c>
      <c r="G18">
        <v>1</v>
      </c>
      <c r="H18">
        <v>1</v>
      </c>
      <c r="I18" s="2"/>
      <c r="J18" s="2">
        <v>45785</v>
      </c>
      <c r="K18" s="2">
        <v>45786</v>
      </c>
    </row>
    <row r="19" spans="1:11" x14ac:dyDescent="0.25">
      <c r="A19" s="1" t="s">
        <v>106</v>
      </c>
      <c r="B19" s="1" t="s">
        <v>993</v>
      </c>
      <c r="C19" s="1" t="s">
        <v>2011</v>
      </c>
      <c r="D19" s="1" t="s">
        <v>1998</v>
      </c>
      <c r="E19" s="1"/>
      <c r="F19" s="1" t="s">
        <v>11</v>
      </c>
      <c r="G19">
        <v>1</v>
      </c>
      <c r="H19">
        <v>1</v>
      </c>
      <c r="I19" s="2"/>
      <c r="J19" s="2">
        <v>45785</v>
      </c>
      <c r="K19" s="2">
        <v>45786</v>
      </c>
    </row>
    <row r="20" spans="1:11" x14ac:dyDescent="0.25">
      <c r="A20" s="1" t="s">
        <v>106</v>
      </c>
      <c r="B20" s="1" t="s">
        <v>994</v>
      </c>
      <c r="C20" s="1" t="s">
        <v>2012</v>
      </c>
      <c r="D20" s="1" t="s">
        <v>1998</v>
      </c>
      <c r="E20" s="1"/>
      <c r="F20" s="1" t="s">
        <v>11</v>
      </c>
      <c r="G20">
        <v>285</v>
      </c>
      <c r="H20">
        <v>285</v>
      </c>
      <c r="I20" s="2"/>
      <c r="J20" s="2">
        <v>45785</v>
      </c>
      <c r="K20" s="2">
        <v>45786</v>
      </c>
    </row>
    <row r="21" spans="1:11" x14ac:dyDescent="0.25">
      <c r="A21" s="1" t="s">
        <v>107</v>
      </c>
      <c r="B21" s="1" t="s">
        <v>988</v>
      </c>
      <c r="C21" s="1" t="s">
        <v>2006</v>
      </c>
      <c r="D21" s="1" t="s">
        <v>1998</v>
      </c>
      <c r="E21" s="1"/>
      <c r="F21" s="1" t="s">
        <v>11</v>
      </c>
      <c r="G21">
        <v>185</v>
      </c>
      <c r="H21">
        <v>185</v>
      </c>
      <c r="I21" s="2"/>
      <c r="J21" s="2">
        <v>45785</v>
      </c>
      <c r="K21" s="2">
        <v>45785</v>
      </c>
    </row>
    <row r="22" spans="1:11" x14ac:dyDescent="0.25">
      <c r="A22" s="1" t="s">
        <v>107</v>
      </c>
      <c r="B22" s="1" t="s">
        <v>989</v>
      </c>
      <c r="C22" s="1" t="s">
        <v>2007</v>
      </c>
      <c r="D22" s="1" t="s">
        <v>1998</v>
      </c>
      <c r="E22" s="1"/>
      <c r="F22" s="1" t="s">
        <v>11</v>
      </c>
      <c r="G22">
        <v>5</v>
      </c>
      <c r="H22">
        <v>1</v>
      </c>
      <c r="I22" s="2"/>
      <c r="J22" s="2">
        <v>45785</v>
      </c>
      <c r="K22" s="2">
        <v>45785</v>
      </c>
    </row>
    <row r="23" spans="1:11" x14ac:dyDescent="0.25">
      <c r="A23" s="1" t="s">
        <v>107</v>
      </c>
      <c r="B23" s="1" t="s">
        <v>990</v>
      </c>
      <c r="C23" s="1" t="s">
        <v>2008</v>
      </c>
      <c r="D23" s="1" t="s">
        <v>1998</v>
      </c>
      <c r="E23" s="1"/>
      <c r="F23" s="1" t="s">
        <v>11</v>
      </c>
      <c r="G23">
        <v>605</v>
      </c>
      <c r="H23">
        <v>605</v>
      </c>
      <c r="I23" s="2"/>
      <c r="J23" s="2">
        <v>45785</v>
      </c>
      <c r="K23" s="2">
        <v>45785</v>
      </c>
    </row>
    <row r="24" spans="1:11" x14ac:dyDescent="0.25">
      <c r="A24" s="1" t="s">
        <v>107</v>
      </c>
      <c r="B24" s="1" t="s">
        <v>991</v>
      </c>
      <c r="C24" s="1" t="s">
        <v>2009</v>
      </c>
      <c r="D24" s="1" t="s">
        <v>1998</v>
      </c>
      <c r="E24" s="1"/>
      <c r="F24" s="1" t="s">
        <v>11</v>
      </c>
      <c r="G24">
        <v>1</v>
      </c>
      <c r="H24">
        <v>1</v>
      </c>
      <c r="I24" s="2"/>
      <c r="J24" s="2">
        <v>45785</v>
      </c>
      <c r="K24" s="2">
        <v>45785</v>
      </c>
    </row>
    <row r="25" spans="1:11" x14ac:dyDescent="0.25">
      <c r="A25" s="1" t="s">
        <v>107</v>
      </c>
      <c r="B25" s="1" t="s">
        <v>992</v>
      </c>
      <c r="C25" s="1" t="s">
        <v>2010</v>
      </c>
      <c r="D25" s="1" t="s">
        <v>1998</v>
      </c>
      <c r="E25" s="1"/>
      <c r="F25" s="1" t="s">
        <v>11</v>
      </c>
      <c r="G25">
        <v>1</v>
      </c>
      <c r="H25">
        <v>1</v>
      </c>
      <c r="I25" s="2"/>
      <c r="J25" s="2">
        <v>45785</v>
      </c>
      <c r="K25" s="2">
        <v>45785</v>
      </c>
    </row>
    <row r="26" spans="1:11" x14ac:dyDescent="0.25">
      <c r="A26" s="1" t="s">
        <v>107</v>
      </c>
      <c r="B26" s="1" t="s">
        <v>993</v>
      </c>
      <c r="C26" s="1" t="s">
        <v>2011</v>
      </c>
      <c r="D26" s="1" t="s">
        <v>1998</v>
      </c>
      <c r="E26" s="1"/>
      <c r="F26" s="1" t="s">
        <v>11</v>
      </c>
      <c r="G26">
        <v>1</v>
      </c>
      <c r="H26">
        <v>1</v>
      </c>
      <c r="I26" s="2"/>
      <c r="J26" s="2">
        <v>45785</v>
      </c>
      <c r="K26" s="2">
        <v>45785</v>
      </c>
    </row>
    <row r="27" spans="1:11" x14ac:dyDescent="0.25">
      <c r="A27" s="1" t="s">
        <v>107</v>
      </c>
      <c r="B27" s="1" t="s">
        <v>993</v>
      </c>
      <c r="C27" s="1" t="s">
        <v>2011</v>
      </c>
      <c r="D27" s="1" t="s">
        <v>1998</v>
      </c>
      <c r="E27" s="1"/>
      <c r="F27" s="1" t="s">
        <v>11</v>
      </c>
      <c r="G27">
        <v>1</v>
      </c>
      <c r="H27">
        <v>1</v>
      </c>
      <c r="I27" s="2"/>
      <c r="J27" s="2">
        <v>45785</v>
      </c>
      <c r="K27" s="2">
        <v>45785</v>
      </c>
    </row>
    <row r="28" spans="1:11" x14ac:dyDescent="0.25">
      <c r="A28" s="1" t="s">
        <v>107</v>
      </c>
      <c r="B28" s="1" t="s">
        <v>994</v>
      </c>
      <c r="C28" s="1" t="s">
        <v>2012</v>
      </c>
      <c r="D28" s="1" t="s">
        <v>1998</v>
      </c>
      <c r="E28" s="1"/>
      <c r="F28" s="1" t="s">
        <v>11</v>
      </c>
      <c r="G28">
        <v>190</v>
      </c>
      <c r="H28">
        <v>190</v>
      </c>
      <c r="I28" s="2"/>
      <c r="J28" s="2">
        <v>45785</v>
      </c>
      <c r="K28" s="2">
        <v>45785</v>
      </c>
    </row>
    <row r="29" spans="1:11" x14ac:dyDescent="0.25">
      <c r="A29" s="1" t="s">
        <v>108</v>
      </c>
      <c r="B29" s="1" t="s">
        <v>988</v>
      </c>
      <c r="C29" s="1" t="s">
        <v>2006</v>
      </c>
      <c r="D29" s="1" t="s">
        <v>1998</v>
      </c>
      <c r="E29" s="1"/>
      <c r="F29" s="1" t="s">
        <v>11</v>
      </c>
      <c r="G29">
        <v>185</v>
      </c>
      <c r="H29">
        <v>185</v>
      </c>
      <c r="I29" s="2"/>
      <c r="J29" s="2">
        <v>45785</v>
      </c>
      <c r="K29" s="2">
        <v>45785</v>
      </c>
    </row>
    <row r="30" spans="1:11" x14ac:dyDescent="0.25">
      <c r="A30" s="1" t="s">
        <v>108</v>
      </c>
      <c r="B30" s="1" t="s">
        <v>989</v>
      </c>
      <c r="C30" s="1" t="s">
        <v>2007</v>
      </c>
      <c r="D30" s="1" t="s">
        <v>1998</v>
      </c>
      <c r="E30" s="1"/>
      <c r="F30" s="1" t="s">
        <v>11</v>
      </c>
      <c r="G30">
        <v>5</v>
      </c>
      <c r="H30">
        <v>1</v>
      </c>
      <c r="I30" s="2"/>
      <c r="J30" s="2">
        <v>45785</v>
      </c>
      <c r="K30" s="2">
        <v>45785</v>
      </c>
    </row>
    <row r="31" spans="1:11" x14ac:dyDescent="0.25">
      <c r="A31" s="1" t="s">
        <v>108</v>
      </c>
      <c r="B31" s="1" t="s">
        <v>990</v>
      </c>
      <c r="C31" s="1" t="s">
        <v>2008</v>
      </c>
      <c r="D31" s="1" t="s">
        <v>1998</v>
      </c>
      <c r="E31" s="1"/>
      <c r="F31" s="1" t="s">
        <v>11</v>
      </c>
      <c r="G31">
        <v>605</v>
      </c>
      <c r="H31">
        <v>605</v>
      </c>
      <c r="I31" s="2"/>
      <c r="J31" s="2">
        <v>45785</v>
      </c>
      <c r="K31" s="2">
        <v>45785</v>
      </c>
    </row>
    <row r="32" spans="1:11" x14ac:dyDescent="0.25">
      <c r="A32" s="1" t="s">
        <v>108</v>
      </c>
      <c r="B32" s="1" t="s">
        <v>991</v>
      </c>
      <c r="C32" s="1" t="s">
        <v>2009</v>
      </c>
      <c r="D32" s="1" t="s">
        <v>1998</v>
      </c>
      <c r="E32" s="1"/>
      <c r="F32" s="1" t="s">
        <v>11</v>
      </c>
      <c r="G32">
        <v>1</v>
      </c>
      <c r="H32">
        <v>1</v>
      </c>
      <c r="I32" s="2"/>
      <c r="J32" s="2">
        <v>45785</v>
      </c>
      <c r="K32" s="2">
        <v>45785</v>
      </c>
    </row>
    <row r="33" spans="1:11" x14ac:dyDescent="0.25">
      <c r="A33" s="1" t="s">
        <v>108</v>
      </c>
      <c r="B33" s="1" t="s">
        <v>992</v>
      </c>
      <c r="C33" s="1" t="s">
        <v>2010</v>
      </c>
      <c r="D33" s="1" t="s">
        <v>1998</v>
      </c>
      <c r="E33" s="1"/>
      <c r="F33" s="1" t="s">
        <v>11</v>
      </c>
      <c r="G33">
        <v>1</v>
      </c>
      <c r="H33">
        <v>1</v>
      </c>
      <c r="I33" s="2"/>
      <c r="J33" s="2">
        <v>45785</v>
      </c>
      <c r="K33" s="2">
        <v>45785</v>
      </c>
    </row>
    <row r="34" spans="1:11" x14ac:dyDescent="0.25">
      <c r="A34" s="1" t="s">
        <v>108</v>
      </c>
      <c r="B34" s="1" t="s">
        <v>993</v>
      </c>
      <c r="C34" s="1" t="s">
        <v>2011</v>
      </c>
      <c r="D34" s="1" t="s">
        <v>1998</v>
      </c>
      <c r="E34" s="1"/>
      <c r="F34" s="1" t="s">
        <v>11</v>
      </c>
      <c r="G34">
        <v>1</v>
      </c>
      <c r="H34">
        <v>1</v>
      </c>
      <c r="I34" s="2"/>
      <c r="J34" s="2">
        <v>45785</v>
      </c>
      <c r="K34" s="2">
        <v>45785</v>
      </c>
    </row>
    <row r="35" spans="1:11" x14ac:dyDescent="0.25">
      <c r="A35" s="1" t="s">
        <v>108</v>
      </c>
      <c r="B35" s="1" t="s">
        <v>993</v>
      </c>
      <c r="C35" s="1" t="s">
        <v>2011</v>
      </c>
      <c r="D35" s="1" t="s">
        <v>1998</v>
      </c>
      <c r="E35" s="1"/>
      <c r="F35" s="1" t="s">
        <v>11</v>
      </c>
      <c r="G35">
        <v>1</v>
      </c>
      <c r="H35">
        <v>1</v>
      </c>
      <c r="I35" s="2"/>
      <c r="J35" s="2">
        <v>45785</v>
      </c>
      <c r="K35" s="2">
        <v>45785</v>
      </c>
    </row>
    <row r="36" spans="1:11" x14ac:dyDescent="0.25">
      <c r="A36" s="1" t="s">
        <v>108</v>
      </c>
      <c r="B36" s="1" t="s">
        <v>994</v>
      </c>
      <c r="C36" s="1" t="s">
        <v>2012</v>
      </c>
      <c r="D36" s="1" t="s">
        <v>1998</v>
      </c>
      <c r="E36" s="1"/>
      <c r="F36" s="1" t="s">
        <v>11</v>
      </c>
      <c r="G36">
        <v>190</v>
      </c>
      <c r="H36">
        <v>190</v>
      </c>
      <c r="I36" s="2"/>
      <c r="J36" s="2">
        <v>45785</v>
      </c>
      <c r="K36" s="2">
        <v>45785</v>
      </c>
    </row>
    <row r="37" spans="1:11" x14ac:dyDescent="0.25">
      <c r="A37" s="1" t="s">
        <v>109</v>
      </c>
      <c r="B37" s="1" t="s">
        <v>995</v>
      </c>
      <c r="C37" s="1" t="s">
        <v>2013</v>
      </c>
      <c r="D37" s="1" t="s">
        <v>1998</v>
      </c>
      <c r="E37" s="1"/>
      <c r="F37" s="1" t="s">
        <v>11</v>
      </c>
      <c r="G37">
        <v>5</v>
      </c>
      <c r="H37">
        <v>1</v>
      </c>
      <c r="I37" s="2"/>
      <c r="J37" s="2">
        <v>45778</v>
      </c>
      <c r="K37" s="2">
        <v>45782</v>
      </c>
    </row>
    <row r="38" spans="1:11" x14ac:dyDescent="0.25">
      <c r="A38" s="1" t="s">
        <v>109</v>
      </c>
      <c r="B38" s="1" t="s">
        <v>996</v>
      </c>
      <c r="C38" s="1" t="s">
        <v>2014</v>
      </c>
      <c r="D38" s="1" t="s">
        <v>1998</v>
      </c>
      <c r="E38" s="1"/>
      <c r="F38" s="1" t="s">
        <v>11</v>
      </c>
      <c r="G38">
        <v>300</v>
      </c>
      <c r="H38">
        <v>330</v>
      </c>
      <c r="I38" s="2"/>
      <c r="J38" s="2">
        <v>45778</v>
      </c>
      <c r="K38" s="2">
        <v>45782</v>
      </c>
    </row>
    <row r="39" spans="1:11" x14ac:dyDescent="0.25">
      <c r="A39" s="1" t="s">
        <v>109</v>
      </c>
      <c r="B39" s="1" t="s">
        <v>997</v>
      </c>
      <c r="C39" s="1" t="s">
        <v>2015</v>
      </c>
      <c r="D39" s="1" t="s">
        <v>1998</v>
      </c>
      <c r="E39" s="1"/>
      <c r="F39" s="1" t="s">
        <v>11</v>
      </c>
      <c r="G39">
        <v>30</v>
      </c>
      <c r="H39">
        <v>35</v>
      </c>
      <c r="I39" s="2"/>
      <c r="J39" s="2">
        <v>45778</v>
      </c>
      <c r="K39" s="2">
        <v>45782</v>
      </c>
    </row>
    <row r="40" spans="1:11" x14ac:dyDescent="0.25">
      <c r="A40" s="1" t="s">
        <v>109</v>
      </c>
      <c r="B40" s="1" t="s">
        <v>998</v>
      </c>
      <c r="C40" s="1" t="s">
        <v>2016</v>
      </c>
      <c r="D40" s="1" t="s">
        <v>1998</v>
      </c>
      <c r="E40" s="1"/>
      <c r="F40" s="1" t="s">
        <v>11</v>
      </c>
      <c r="G40">
        <v>305</v>
      </c>
      <c r="H40">
        <v>340</v>
      </c>
      <c r="I40" s="2"/>
      <c r="J40" s="2">
        <v>45778</v>
      </c>
      <c r="K40" s="2">
        <v>45782</v>
      </c>
    </row>
    <row r="41" spans="1:11" x14ac:dyDescent="0.25">
      <c r="A41" s="1" t="s">
        <v>109</v>
      </c>
      <c r="B41" s="1" t="s">
        <v>999</v>
      </c>
      <c r="C41" s="1" t="s">
        <v>2017</v>
      </c>
      <c r="D41" s="1" t="s">
        <v>1998</v>
      </c>
      <c r="E41" s="1"/>
      <c r="F41" s="1" t="s">
        <v>11</v>
      </c>
      <c r="G41">
        <v>1</v>
      </c>
      <c r="H41">
        <v>1</v>
      </c>
      <c r="I41" s="2"/>
      <c r="J41" s="2">
        <v>45778</v>
      </c>
      <c r="K41" s="2">
        <v>45782</v>
      </c>
    </row>
    <row r="42" spans="1:11" x14ac:dyDescent="0.25">
      <c r="A42" s="1" t="s">
        <v>109</v>
      </c>
      <c r="B42" s="1" t="s">
        <v>1000</v>
      </c>
      <c r="C42" s="1" t="s">
        <v>2018</v>
      </c>
      <c r="D42" s="1" t="s">
        <v>1998</v>
      </c>
      <c r="E42" s="1"/>
      <c r="F42" s="1" t="s">
        <v>11</v>
      </c>
      <c r="G42">
        <v>1</v>
      </c>
      <c r="H42">
        <v>1</v>
      </c>
      <c r="I42" s="2"/>
      <c r="J42" s="2">
        <v>45778</v>
      </c>
      <c r="K42" s="2">
        <v>45782</v>
      </c>
    </row>
    <row r="43" spans="1:11" x14ac:dyDescent="0.25">
      <c r="A43" s="1" t="s">
        <v>109</v>
      </c>
      <c r="B43" s="1" t="s">
        <v>1001</v>
      </c>
      <c r="C43" s="1" t="s">
        <v>2019</v>
      </c>
      <c r="D43" s="1" t="s">
        <v>1998</v>
      </c>
      <c r="E43" s="1"/>
      <c r="F43" s="1" t="s">
        <v>11</v>
      </c>
      <c r="G43">
        <v>1</v>
      </c>
      <c r="H43">
        <v>1</v>
      </c>
      <c r="I43" s="2"/>
      <c r="J43" s="2">
        <v>45778</v>
      </c>
      <c r="K43" s="2">
        <v>45782</v>
      </c>
    </row>
    <row r="44" spans="1:11" x14ac:dyDescent="0.25">
      <c r="A44" s="1" t="s">
        <v>110</v>
      </c>
      <c r="B44" s="1" t="s">
        <v>1002</v>
      </c>
      <c r="C44" s="1" t="s">
        <v>2020</v>
      </c>
      <c r="D44" s="1" t="s">
        <v>1998</v>
      </c>
      <c r="E44" s="1"/>
      <c r="F44" s="1" t="s">
        <v>11</v>
      </c>
      <c r="G44">
        <v>145</v>
      </c>
      <c r="H44">
        <v>145</v>
      </c>
      <c r="I44" s="2"/>
      <c r="J44" s="2">
        <v>45779</v>
      </c>
      <c r="K44" s="2">
        <v>45789</v>
      </c>
    </row>
    <row r="45" spans="1:11" x14ac:dyDescent="0.25">
      <c r="A45" s="1" t="s">
        <v>110</v>
      </c>
      <c r="B45" s="1" t="s">
        <v>1003</v>
      </c>
      <c r="C45" s="1" t="s">
        <v>2021</v>
      </c>
      <c r="D45" s="1" t="s">
        <v>1998</v>
      </c>
      <c r="E45" s="1"/>
      <c r="F45" s="1" t="s">
        <v>11</v>
      </c>
      <c r="G45">
        <v>105</v>
      </c>
      <c r="H45">
        <v>260</v>
      </c>
      <c r="I45" s="2"/>
      <c r="J45" s="2">
        <v>45779</v>
      </c>
      <c r="K45" s="2">
        <v>45789</v>
      </c>
    </row>
    <row r="46" spans="1:11" x14ac:dyDescent="0.25">
      <c r="A46" s="1" t="s">
        <v>110</v>
      </c>
      <c r="B46" s="1" t="s">
        <v>999</v>
      </c>
      <c r="C46" s="1" t="s">
        <v>2017</v>
      </c>
      <c r="D46" s="1" t="s">
        <v>1998</v>
      </c>
      <c r="E46" s="1"/>
      <c r="F46" s="1" t="s">
        <v>11</v>
      </c>
      <c r="G46">
        <v>1</v>
      </c>
      <c r="H46">
        <v>1</v>
      </c>
      <c r="I46" s="2"/>
      <c r="J46" s="2">
        <v>45779</v>
      </c>
      <c r="K46" s="2">
        <v>45789</v>
      </c>
    </row>
    <row r="47" spans="1:11" x14ac:dyDescent="0.25">
      <c r="A47" s="1" t="s">
        <v>110</v>
      </c>
      <c r="B47" s="1" t="s">
        <v>1000</v>
      </c>
      <c r="C47" s="1" t="s">
        <v>2018</v>
      </c>
      <c r="D47" s="1" t="s">
        <v>1998</v>
      </c>
      <c r="E47" s="1"/>
      <c r="F47" s="1" t="s">
        <v>11</v>
      </c>
      <c r="G47">
        <v>1</v>
      </c>
      <c r="H47">
        <v>1</v>
      </c>
      <c r="I47" s="2"/>
      <c r="J47" s="2">
        <v>45779</v>
      </c>
      <c r="K47" s="2">
        <v>45789</v>
      </c>
    </row>
    <row r="48" spans="1:11" x14ac:dyDescent="0.25">
      <c r="A48" s="1" t="s">
        <v>110</v>
      </c>
      <c r="B48" s="1" t="s">
        <v>1001</v>
      </c>
      <c r="C48" s="1" t="s">
        <v>2019</v>
      </c>
      <c r="D48" s="1" t="s">
        <v>1998</v>
      </c>
      <c r="E48" s="1"/>
      <c r="F48" s="1" t="s">
        <v>11</v>
      </c>
      <c r="G48">
        <v>1</v>
      </c>
      <c r="H48">
        <v>1</v>
      </c>
      <c r="I48" s="2"/>
      <c r="J48" s="2">
        <v>45779</v>
      </c>
      <c r="K48" s="2">
        <v>45789</v>
      </c>
    </row>
    <row r="49" spans="1:11" x14ac:dyDescent="0.25">
      <c r="A49" s="1" t="s">
        <v>111</v>
      </c>
      <c r="B49" s="1" t="s">
        <v>1004</v>
      </c>
      <c r="C49" s="1" t="s">
        <v>2022</v>
      </c>
      <c r="D49" s="1" t="s">
        <v>1998</v>
      </c>
      <c r="E49" s="1"/>
      <c r="F49" s="1" t="s">
        <v>11</v>
      </c>
      <c r="G49">
        <v>45</v>
      </c>
      <c r="H49">
        <v>60</v>
      </c>
      <c r="I49" s="2"/>
      <c r="J49" s="2">
        <v>44792</v>
      </c>
      <c r="K49" s="2">
        <v>45768</v>
      </c>
    </row>
    <row r="50" spans="1:11" x14ac:dyDescent="0.25">
      <c r="A50" s="1" t="s">
        <v>111</v>
      </c>
      <c r="B50" s="1" t="s">
        <v>1005</v>
      </c>
      <c r="C50" s="1" t="s">
        <v>2023</v>
      </c>
      <c r="D50" s="1" t="s">
        <v>1998</v>
      </c>
      <c r="E50" s="1"/>
      <c r="F50" s="1" t="s">
        <v>11</v>
      </c>
      <c r="G50">
        <v>195</v>
      </c>
      <c r="H50">
        <v>195</v>
      </c>
      <c r="I50" s="2"/>
      <c r="J50" s="2">
        <v>44792</v>
      </c>
      <c r="K50" s="2">
        <v>45768</v>
      </c>
    </row>
    <row r="51" spans="1:11" x14ac:dyDescent="0.25">
      <c r="A51" s="1" t="s">
        <v>111</v>
      </c>
      <c r="B51" s="1" t="s">
        <v>1006</v>
      </c>
      <c r="C51" s="1" t="s">
        <v>2024</v>
      </c>
      <c r="D51" s="1" t="s">
        <v>1998</v>
      </c>
      <c r="E51" s="1"/>
      <c r="F51" s="1" t="s">
        <v>12</v>
      </c>
      <c r="G51">
        <v>1</v>
      </c>
      <c r="H51">
        <v>65</v>
      </c>
      <c r="I51" s="2"/>
      <c r="J51" s="2">
        <v>44792</v>
      </c>
      <c r="K51" s="2">
        <v>45768</v>
      </c>
    </row>
    <row r="52" spans="1:11" x14ac:dyDescent="0.25">
      <c r="A52" s="1" t="s">
        <v>111</v>
      </c>
      <c r="B52" s="1" t="s">
        <v>1006</v>
      </c>
      <c r="C52" s="1" t="s">
        <v>2024</v>
      </c>
      <c r="D52" s="1" t="s">
        <v>1998</v>
      </c>
      <c r="E52" s="1"/>
      <c r="F52" s="1" t="s">
        <v>12</v>
      </c>
      <c r="G52">
        <v>1</v>
      </c>
      <c r="H52">
        <v>1</v>
      </c>
      <c r="I52" s="2"/>
      <c r="J52" s="2">
        <v>44792</v>
      </c>
      <c r="K52" s="2">
        <v>45768</v>
      </c>
    </row>
    <row r="53" spans="1:11" x14ac:dyDescent="0.25">
      <c r="A53" s="1" t="s">
        <v>111</v>
      </c>
      <c r="B53" s="1" t="s">
        <v>1007</v>
      </c>
      <c r="C53" s="1" t="s">
        <v>2025</v>
      </c>
      <c r="D53" s="1" t="s">
        <v>1998</v>
      </c>
      <c r="E53" s="1"/>
      <c r="F53" s="1" t="s">
        <v>11</v>
      </c>
      <c r="G53">
        <v>825</v>
      </c>
      <c r="H53">
        <v>825</v>
      </c>
      <c r="I53" s="2"/>
      <c r="J53" s="2">
        <v>44792</v>
      </c>
      <c r="K53" s="2">
        <v>45768</v>
      </c>
    </row>
    <row r="54" spans="1:11" x14ac:dyDescent="0.25">
      <c r="A54" s="1" t="s">
        <v>112</v>
      </c>
      <c r="B54" s="1" t="s">
        <v>1008</v>
      </c>
      <c r="C54" s="1" t="s">
        <v>2014</v>
      </c>
      <c r="D54" s="1" t="s">
        <v>1998</v>
      </c>
      <c r="E54" s="1"/>
      <c r="F54" s="1" t="s">
        <v>11</v>
      </c>
      <c r="G54">
        <v>2100</v>
      </c>
      <c r="H54">
        <v>2100</v>
      </c>
      <c r="I54" s="2"/>
      <c r="J54" s="2">
        <v>45734</v>
      </c>
      <c r="K54" s="2">
        <v>45775</v>
      </c>
    </row>
    <row r="55" spans="1:11" x14ac:dyDescent="0.25">
      <c r="A55" s="1" t="s">
        <v>112</v>
      </c>
      <c r="B55" s="1" t="s">
        <v>1009</v>
      </c>
      <c r="C55" s="1" t="s">
        <v>2026</v>
      </c>
      <c r="D55" s="1" t="s">
        <v>1998</v>
      </c>
      <c r="E55" s="1"/>
      <c r="F55" s="1" t="s">
        <v>11</v>
      </c>
      <c r="G55">
        <v>2895</v>
      </c>
      <c r="H55">
        <v>2895</v>
      </c>
      <c r="I55" s="2"/>
      <c r="J55" s="2">
        <v>45734</v>
      </c>
      <c r="K55" s="2">
        <v>45775</v>
      </c>
    </row>
    <row r="56" spans="1:11" x14ac:dyDescent="0.25">
      <c r="A56" s="1" t="s">
        <v>112</v>
      </c>
      <c r="B56" s="1" t="s">
        <v>1010</v>
      </c>
      <c r="C56" s="1" t="s">
        <v>2027</v>
      </c>
      <c r="D56" s="1" t="s">
        <v>1998</v>
      </c>
      <c r="E56" s="1"/>
      <c r="F56" s="1" t="s">
        <v>11</v>
      </c>
      <c r="G56">
        <v>1225</v>
      </c>
      <c r="H56">
        <v>1225</v>
      </c>
      <c r="I56" s="2"/>
      <c r="J56" s="2">
        <v>45734</v>
      </c>
      <c r="K56" s="2">
        <v>45775</v>
      </c>
    </row>
    <row r="57" spans="1:11" x14ac:dyDescent="0.25">
      <c r="A57" s="1" t="s">
        <v>112</v>
      </c>
      <c r="B57" s="1" t="s">
        <v>1011</v>
      </c>
      <c r="C57" s="1" t="s">
        <v>2028</v>
      </c>
      <c r="D57" s="1" t="s">
        <v>1998</v>
      </c>
      <c r="E57" s="1"/>
      <c r="F57" s="1" t="s">
        <v>11</v>
      </c>
      <c r="G57">
        <v>360</v>
      </c>
      <c r="H57">
        <v>400</v>
      </c>
      <c r="I57" s="2"/>
      <c r="J57" s="2">
        <v>45734</v>
      </c>
      <c r="K57" s="2">
        <v>45775</v>
      </c>
    </row>
    <row r="58" spans="1:11" x14ac:dyDescent="0.25">
      <c r="A58" s="1" t="s">
        <v>112</v>
      </c>
      <c r="B58" s="1" t="s">
        <v>1012</v>
      </c>
      <c r="C58" s="1" t="s">
        <v>2029</v>
      </c>
      <c r="D58" s="1" t="s">
        <v>1998</v>
      </c>
      <c r="E58" s="1"/>
      <c r="F58" s="1" t="s">
        <v>11</v>
      </c>
      <c r="G58">
        <v>245</v>
      </c>
      <c r="H58">
        <v>245</v>
      </c>
      <c r="I58" s="2"/>
      <c r="J58" s="2">
        <v>45734</v>
      </c>
      <c r="K58" s="2">
        <v>45775</v>
      </c>
    </row>
    <row r="59" spans="1:11" x14ac:dyDescent="0.25">
      <c r="A59" s="1" t="s">
        <v>112</v>
      </c>
      <c r="B59" s="1" t="s">
        <v>1013</v>
      </c>
      <c r="C59" s="1" t="s">
        <v>2030</v>
      </c>
      <c r="D59" s="1" t="s">
        <v>1998</v>
      </c>
      <c r="E59" s="1"/>
      <c r="F59" s="1" t="s">
        <v>11</v>
      </c>
      <c r="G59">
        <v>45</v>
      </c>
      <c r="H59">
        <v>135</v>
      </c>
      <c r="I59" s="2"/>
      <c r="J59" s="2">
        <v>45734</v>
      </c>
      <c r="K59" s="2">
        <v>45775</v>
      </c>
    </row>
    <row r="60" spans="1:11" x14ac:dyDescent="0.25">
      <c r="A60" s="1" t="s">
        <v>112</v>
      </c>
      <c r="B60" s="1" t="s">
        <v>993</v>
      </c>
      <c r="C60" s="1" t="s">
        <v>2011</v>
      </c>
      <c r="D60" s="1" t="s">
        <v>1998</v>
      </c>
      <c r="E60" s="1"/>
      <c r="F60" s="1" t="s">
        <v>11</v>
      </c>
      <c r="G60">
        <v>25</v>
      </c>
      <c r="H60">
        <v>205</v>
      </c>
      <c r="I60" s="2"/>
      <c r="J60" s="2">
        <v>45734</v>
      </c>
      <c r="K60" s="2">
        <v>45775</v>
      </c>
    </row>
    <row r="61" spans="1:11" x14ac:dyDescent="0.25">
      <c r="A61" s="1" t="s">
        <v>113</v>
      </c>
      <c r="B61" s="1" t="s">
        <v>995</v>
      </c>
      <c r="C61" s="1" t="s">
        <v>2013</v>
      </c>
      <c r="D61" s="1" t="s">
        <v>1998</v>
      </c>
      <c r="E61" s="1"/>
      <c r="F61" s="1" t="s">
        <v>11</v>
      </c>
      <c r="G61">
        <v>5</v>
      </c>
      <c r="H61">
        <v>1</v>
      </c>
      <c r="I61" s="2"/>
      <c r="J61" s="2">
        <v>45741</v>
      </c>
      <c r="K61" s="2">
        <v>45750</v>
      </c>
    </row>
    <row r="62" spans="1:11" x14ac:dyDescent="0.25">
      <c r="A62" s="1" t="s">
        <v>113</v>
      </c>
      <c r="B62" s="1" t="s">
        <v>999</v>
      </c>
      <c r="C62" s="1" t="s">
        <v>2017</v>
      </c>
      <c r="D62" s="1" t="s">
        <v>1998</v>
      </c>
      <c r="E62" s="1"/>
      <c r="F62" s="1" t="s">
        <v>11</v>
      </c>
      <c r="G62">
        <v>1</v>
      </c>
      <c r="H62">
        <v>1</v>
      </c>
      <c r="I62" s="2"/>
      <c r="J62" s="2">
        <v>45741</v>
      </c>
      <c r="K62" s="2">
        <v>45750</v>
      </c>
    </row>
    <row r="63" spans="1:11" x14ac:dyDescent="0.25">
      <c r="A63" s="1" t="s">
        <v>113</v>
      </c>
      <c r="B63" s="1" t="s">
        <v>1000</v>
      </c>
      <c r="C63" s="1" t="s">
        <v>2018</v>
      </c>
      <c r="D63" s="1" t="s">
        <v>1998</v>
      </c>
      <c r="E63" s="1"/>
      <c r="F63" s="1" t="s">
        <v>11</v>
      </c>
      <c r="G63">
        <v>1</v>
      </c>
      <c r="H63">
        <v>1</v>
      </c>
      <c r="I63" s="2"/>
      <c r="J63" s="2">
        <v>45741</v>
      </c>
      <c r="K63" s="2">
        <v>45750</v>
      </c>
    </row>
    <row r="64" spans="1:11" x14ac:dyDescent="0.25">
      <c r="A64" s="1" t="s">
        <v>113</v>
      </c>
      <c r="B64" s="1" t="s">
        <v>1014</v>
      </c>
      <c r="C64" s="1" t="s">
        <v>2031</v>
      </c>
      <c r="D64" s="1" t="s">
        <v>1998</v>
      </c>
      <c r="E64" s="1"/>
      <c r="F64" s="1" t="s">
        <v>11</v>
      </c>
      <c r="G64">
        <v>5</v>
      </c>
      <c r="H64">
        <v>1</v>
      </c>
      <c r="I64" s="2"/>
      <c r="J64" s="2">
        <v>45741</v>
      </c>
      <c r="K64" s="2">
        <v>45750</v>
      </c>
    </row>
    <row r="65" spans="1:11" x14ac:dyDescent="0.25">
      <c r="A65" s="1" t="s">
        <v>113</v>
      </c>
      <c r="B65" s="1" t="s">
        <v>1001</v>
      </c>
      <c r="C65" s="1" t="s">
        <v>2019</v>
      </c>
      <c r="D65" s="1" t="s">
        <v>1998</v>
      </c>
      <c r="E65" s="1"/>
      <c r="F65" s="1" t="s">
        <v>11</v>
      </c>
      <c r="G65">
        <v>1</v>
      </c>
      <c r="H65">
        <v>1</v>
      </c>
      <c r="I65" s="2"/>
      <c r="J65" s="2">
        <v>45741</v>
      </c>
      <c r="K65" s="2">
        <v>45750</v>
      </c>
    </row>
    <row r="66" spans="1:11" x14ac:dyDescent="0.25">
      <c r="A66" s="1" t="s">
        <v>113</v>
      </c>
      <c r="B66" s="1" t="s">
        <v>1015</v>
      </c>
      <c r="C66" s="1" t="s">
        <v>2032</v>
      </c>
      <c r="D66" s="1" t="s">
        <v>1998</v>
      </c>
      <c r="E66" s="1"/>
      <c r="F66" s="1" t="s">
        <v>11</v>
      </c>
      <c r="G66">
        <v>1</v>
      </c>
      <c r="H66">
        <v>1</v>
      </c>
      <c r="I66" s="2"/>
      <c r="J66" s="2">
        <v>45741</v>
      </c>
      <c r="K66" s="2">
        <v>45750</v>
      </c>
    </row>
    <row r="67" spans="1:11" x14ac:dyDescent="0.25">
      <c r="A67" s="1" t="s">
        <v>114</v>
      </c>
      <c r="B67" s="1" t="s">
        <v>995</v>
      </c>
      <c r="C67" s="1" t="s">
        <v>2013</v>
      </c>
      <c r="D67" s="1" t="s">
        <v>1998</v>
      </c>
      <c r="E67" s="1"/>
      <c r="F67" s="1" t="s">
        <v>11</v>
      </c>
      <c r="G67">
        <v>5</v>
      </c>
      <c r="H67">
        <v>1</v>
      </c>
      <c r="I67" s="2"/>
      <c r="J67" s="2">
        <v>45757</v>
      </c>
      <c r="K67" s="2">
        <v>45783</v>
      </c>
    </row>
    <row r="68" spans="1:11" x14ac:dyDescent="0.25">
      <c r="A68" s="1" t="s">
        <v>114</v>
      </c>
      <c r="B68" s="1" t="s">
        <v>999</v>
      </c>
      <c r="C68" s="1" t="s">
        <v>2017</v>
      </c>
      <c r="D68" s="1" t="s">
        <v>1998</v>
      </c>
      <c r="E68" s="1"/>
      <c r="F68" s="1" t="s">
        <v>11</v>
      </c>
      <c r="G68">
        <v>1</v>
      </c>
      <c r="H68">
        <v>1</v>
      </c>
      <c r="I68" s="2"/>
      <c r="J68" s="2">
        <v>45757</v>
      </c>
      <c r="K68" s="2">
        <v>45783</v>
      </c>
    </row>
    <row r="69" spans="1:11" x14ac:dyDescent="0.25">
      <c r="A69" s="1" t="s">
        <v>114</v>
      </c>
      <c r="B69" s="1" t="s">
        <v>1000</v>
      </c>
      <c r="C69" s="1" t="s">
        <v>2018</v>
      </c>
      <c r="D69" s="1" t="s">
        <v>1998</v>
      </c>
      <c r="E69" s="1"/>
      <c r="F69" s="1" t="s">
        <v>11</v>
      </c>
      <c r="G69">
        <v>1</v>
      </c>
      <c r="H69">
        <v>1</v>
      </c>
      <c r="I69" s="2"/>
      <c r="J69" s="2">
        <v>45757</v>
      </c>
      <c r="K69" s="2">
        <v>45783</v>
      </c>
    </row>
    <row r="70" spans="1:11" x14ac:dyDescent="0.25">
      <c r="A70" s="1" t="s">
        <v>114</v>
      </c>
      <c r="B70" s="1" t="s">
        <v>1014</v>
      </c>
      <c r="C70" s="1" t="s">
        <v>2031</v>
      </c>
      <c r="D70" s="1" t="s">
        <v>1998</v>
      </c>
      <c r="E70" s="1"/>
      <c r="F70" s="1" t="s">
        <v>11</v>
      </c>
      <c r="G70">
        <v>10</v>
      </c>
      <c r="H70">
        <v>1</v>
      </c>
      <c r="I70" s="2"/>
      <c r="J70" s="2">
        <v>45757</v>
      </c>
      <c r="K70" s="2">
        <v>45783</v>
      </c>
    </row>
    <row r="71" spans="1:11" x14ac:dyDescent="0.25">
      <c r="A71" s="1" t="s">
        <v>114</v>
      </c>
      <c r="B71" s="1" t="s">
        <v>1001</v>
      </c>
      <c r="C71" s="1" t="s">
        <v>2019</v>
      </c>
      <c r="D71" s="1" t="s">
        <v>1998</v>
      </c>
      <c r="E71" s="1"/>
      <c r="F71" s="1" t="s">
        <v>11</v>
      </c>
      <c r="G71">
        <v>1</v>
      </c>
      <c r="H71">
        <v>1</v>
      </c>
      <c r="I71" s="2"/>
      <c r="J71" s="2">
        <v>45757</v>
      </c>
      <c r="K71" s="2">
        <v>45783</v>
      </c>
    </row>
    <row r="72" spans="1:11" x14ac:dyDescent="0.25">
      <c r="A72" s="1" t="s">
        <v>114</v>
      </c>
      <c r="B72" s="1" t="s">
        <v>1015</v>
      </c>
      <c r="C72" s="1" t="s">
        <v>2032</v>
      </c>
      <c r="D72" s="1" t="s">
        <v>1998</v>
      </c>
      <c r="E72" s="1"/>
      <c r="F72" s="1" t="s">
        <v>11</v>
      </c>
      <c r="G72">
        <v>1</v>
      </c>
      <c r="H72">
        <v>1</v>
      </c>
      <c r="I72" s="2"/>
      <c r="J72" s="2">
        <v>45757</v>
      </c>
      <c r="K72" s="2">
        <v>45783</v>
      </c>
    </row>
    <row r="73" spans="1:11" x14ac:dyDescent="0.25">
      <c r="A73" s="1" t="s">
        <v>115</v>
      </c>
      <c r="B73" s="1" t="s">
        <v>1016</v>
      </c>
      <c r="C73" s="1" t="s">
        <v>2033</v>
      </c>
      <c r="D73" s="1" t="s">
        <v>1998</v>
      </c>
      <c r="E73" s="1"/>
      <c r="F73" s="1" t="s">
        <v>11</v>
      </c>
      <c r="G73">
        <v>10</v>
      </c>
      <c r="H73">
        <v>5</v>
      </c>
      <c r="I73" s="2"/>
      <c r="J73" s="2">
        <v>45741</v>
      </c>
      <c r="K73" s="2">
        <v>45749</v>
      </c>
    </row>
    <row r="74" spans="1:11" x14ac:dyDescent="0.25">
      <c r="A74" s="1" t="s">
        <v>115</v>
      </c>
      <c r="B74" s="1" t="s">
        <v>1017</v>
      </c>
      <c r="C74" s="1" t="s">
        <v>2034</v>
      </c>
      <c r="D74" s="1" t="s">
        <v>1998</v>
      </c>
      <c r="E74" s="1"/>
      <c r="F74" s="1" t="s">
        <v>11</v>
      </c>
      <c r="G74">
        <v>30</v>
      </c>
      <c r="H74">
        <v>30</v>
      </c>
      <c r="I74" s="2"/>
      <c r="J74" s="2">
        <v>45741</v>
      </c>
      <c r="K74" s="2">
        <v>45749</v>
      </c>
    </row>
    <row r="75" spans="1:11" x14ac:dyDescent="0.25">
      <c r="A75" s="1" t="s">
        <v>115</v>
      </c>
      <c r="B75" s="1" t="s">
        <v>1018</v>
      </c>
      <c r="C75" s="1" t="s">
        <v>2035</v>
      </c>
      <c r="D75" s="1" t="s">
        <v>1998</v>
      </c>
      <c r="E75" s="1"/>
      <c r="F75" s="1" t="s">
        <v>11</v>
      </c>
      <c r="G75">
        <v>125</v>
      </c>
      <c r="H75">
        <v>125</v>
      </c>
      <c r="I75" s="2"/>
      <c r="J75" s="2">
        <v>45741</v>
      </c>
      <c r="K75" s="2">
        <v>45749</v>
      </c>
    </row>
    <row r="76" spans="1:11" x14ac:dyDescent="0.25">
      <c r="A76" s="1" t="s">
        <v>115</v>
      </c>
      <c r="B76" s="1" t="s">
        <v>1018</v>
      </c>
      <c r="C76" s="1" t="s">
        <v>2035</v>
      </c>
      <c r="D76" s="1" t="s">
        <v>1998</v>
      </c>
      <c r="E76" s="1"/>
      <c r="F76" s="1" t="s">
        <v>11</v>
      </c>
      <c r="G76">
        <v>5</v>
      </c>
      <c r="H76">
        <v>5</v>
      </c>
      <c r="I76" s="2"/>
      <c r="J76" s="2">
        <v>45741</v>
      </c>
      <c r="K76" s="2">
        <v>45749</v>
      </c>
    </row>
    <row r="77" spans="1:11" x14ac:dyDescent="0.25">
      <c r="A77" s="1" t="s">
        <v>115</v>
      </c>
      <c r="B77" s="1" t="s">
        <v>999</v>
      </c>
      <c r="C77" s="1" t="s">
        <v>2017</v>
      </c>
      <c r="D77" s="1" t="s">
        <v>1998</v>
      </c>
      <c r="E77" s="1"/>
      <c r="F77" s="1" t="s">
        <v>11</v>
      </c>
      <c r="G77">
        <v>1</v>
      </c>
      <c r="H77">
        <v>1</v>
      </c>
      <c r="I77" s="2"/>
      <c r="J77" s="2">
        <v>45741</v>
      </c>
      <c r="K77" s="2">
        <v>45749</v>
      </c>
    </row>
    <row r="78" spans="1:11" x14ac:dyDescent="0.25">
      <c r="A78" s="1" t="s">
        <v>115</v>
      </c>
      <c r="B78" s="1" t="s">
        <v>1000</v>
      </c>
      <c r="C78" s="1" t="s">
        <v>2018</v>
      </c>
      <c r="D78" s="1" t="s">
        <v>1998</v>
      </c>
      <c r="E78" s="1"/>
      <c r="F78" s="1" t="s">
        <v>11</v>
      </c>
      <c r="G78">
        <v>1</v>
      </c>
      <c r="H78">
        <v>1</v>
      </c>
      <c r="I78" s="2"/>
      <c r="J78" s="2">
        <v>45741</v>
      </c>
      <c r="K78" s="2">
        <v>45749</v>
      </c>
    </row>
    <row r="79" spans="1:11" x14ac:dyDescent="0.25">
      <c r="A79" s="1" t="s">
        <v>115</v>
      </c>
      <c r="B79" s="1" t="s">
        <v>1001</v>
      </c>
      <c r="C79" s="1" t="s">
        <v>2019</v>
      </c>
      <c r="D79" s="1" t="s">
        <v>1998</v>
      </c>
      <c r="E79" s="1"/>
      <c r="F79" s="1" t="s">
        <v>11</v>
      </c>
      <c r="G79">
        <v>1</v>
      </c>
      <c r="H79">
        <v>1</v>
      </c>
      <c r="I79" s="2"/>
      <c r="J79" s="2">
        <v>45741</v>
      </c>
      <c r="K79" s="2">
        <v>45749</v>
      </c>
    </row>
    <row r="80" spans="1:11" x14ac:dyDescent="0.25">
      <c r="A80" s="1" t="s">
        <v>115</v>
      </c>
      <c r="B80" s="1" t="s">
        <v>1019</v>
      </c>
      <c r="C80" s="1" t="s">
        <v>2036</v>
      </c>
      <c r="D80" s="1" t="s">
        <v>1998</v>
      </c>
      <c r="E80" s="1"/>
      <c r="F80" s="1" t="s">
        <v>11</v>
      </c>
      <c r="G80">
        <v>435</v>
      </c>
      <c r="H80">
        <v>435</v>
      </c>
      <c r="I80" s="2"/>
      <c r="J80" s="2">
        <v>45741</v>
      </c>
      <c r="K80" s="2">
        <v>45749</v>
      </c>
    </row>
    <row r="81" spans="1:11" x14ac:dyDescent="0.25">
      <c r="A81" s="1" t="s">
        <v>115</v>
      </c>
      <c r="B81" s="1" t="s">
        <v>1020</v>
      </c>
      <c r="C81" s="1" t="s">
        <v>2037</v>
      </c>
      <c r="D81" s="1" t="s">
        <v>1998</v>
      </c>
      <c r="E81" s="1"/>
      <c r="F81" s="1" t="s">
        <v>11</v>
      </c>
      <c r="G81">
        <v>1170</v>
      </c>
      <c r="H81">
        <v>1170</v>
      </c>
      <c r="I81" s="2"/>
      <c r="J81" s="2">
        <v>45741</v>
      </c>
      <c r="K81" s="2">
        <v>45749</v>
      </c>
    </row>
    <row r="82" spans="1:11" x14ac:dyDescent="0.25">
      <c r="A82" s="1" t="s">
        <v>116</v>
      </c>
      <c r="B82" s="1" t="s">
        <v>1021</v>
      </c>
      <c r="C82" s="1" t="s">
        <v>2038</v>
      </c>
      <c r="D82" s="1" t="s">
        <v>1998</v>
      </c>
      <c r="E82" s="1"/>
      <c r="F82" s="1" t="s">
        <v>11</v>
      </c>
      <c r="G82">
        <v>555</v>
      </c>
      <c r="H82">
        <v>555</v>
      </c>
      <c r="I82" s="2"/>
      <c r="J82" s="2">
        <v>45758</v>
      </c>
      <c r="K82" s="2">
        <v>45764</v>
      </c>
    </row>
    <row r="83" spans="1:11" x14ac:dyDescent="0.25">
      <c r="A83" s="1" t="s">
        <v>116</v>
      </c>
      <c r="B83" s="1" t="s">
        <v>1022</v>
      </c>
      <c r="C83" s="1" t="s">
        <v>2039</v>
      </c>
      <c r="D83" s="1" t="s">
        <v>1998</v>
      </c>
      <c r="E83" s="1"/>
      <c r="F83" s="1" t="s">
        <v>11</v>
      </c>
      <c r="G83">
        <v>510</v>
      </c>
      <c r="H83">
        <v>510</v>
      </c>
      <c r="I83" s="2"/>
      <c r="J83" s="2">
        <v>45758</v>
      </c>
      <c r="K83" s="2">
        <v>45764</v>
      </c>
    </row>
    <row r="84" spans="1:11" x14ac:dyDescent="0.25">
      <c r="A84" s="1" t="s">
        <v>116</v>
      </c>
      <c r="B84" s="1" t="s">
        <v>999</v>
      </c>
      <c r="C84" s="1" t="s">
        <v>2017</v>
      </c>
      <c r="D84" s="1" t="s">
        <v>1998</v>
      </c>
      <c r="E84" s="1"/>
      <c r="F84" s="1" t="s">
        <v>11</v>
      </c>
      <c r="G84">
        <v>1</v>
      </c>
      <c r="H84">
        <v>1</v>
      </c>
      <c r="I84" s="2"/>
      <c r="J84" s="2">
        <v>45758</v>
      </c>
      <c r="K84" s="2">
        <v>45764</v>
      </c>
    </row>
    <row r="85" spans="1:11" x14ac:dyDescent="0.25">
      <c r="A85" s="1" t="s">
        <v>116</v>
      </c>
      <c r="B85" s="1" t="s">
        <v>1000</v>
      </c>
      <c r="C85" s="1" t="s">
        <v>2018</v>
      </c>
      <c r="D85" s="1" t="s">
        <v>1998</v>
      </c>
      <c r="E85" s="1"/>
      <c r="F85" s="1" t="s">
        <v>11</v>
      </c>
      <c r="G85">
        <v>1</v>
      </c>
      <c r="H85">
        <v>1</v>
      </c>
      <c r="I85" s="2"/>
      <c r="J85" s="2">
        <v>45758</v>
      </c>
      <c r="K85" s="2">
        <v>45764</v>
      </c>
    </row>
    <row r="86" spans="1:11" x14ac:dyDescent="0.25">
      <c r="A86" s="1" t="s">
        <v>116</v>
      </c>
      <c r="B86" s="1" t="s">
        <v>1001</v>
      </c>
      <c r="C86" s="1" t="s">
        <v>2019</v>
      </c>
      <c r="D86" s="1" t="s">
        <v>1998</v>
      </c>
      <c r="E86" s="1"/>
      <c r="F86" s="1" t="s">
        <v>11</v>
      </c>
      <c r="G86">
        <v>1</v>
      </c>
      <c r="H86">
        <v>1</v>
      </c>
      <c r="I86" s="2"/>
      <c r="J86" s="2">
        <v>45758</v>
      </c>
      <c r="K86" s="2">
        <v>45764</v>
      </c>
    </row>
    <row r="87" spans="1:11" x14ac:dyDescent="0.25">
      <c r="A87" s="1" t="s">
        <v>117</v>
      </c>
      <c r="B87" s="1" t="s">
        <v>1023</v>
      </c>
      <c r="C87" s="1" t="s">
        <v>2027</v>
      </c>
      <c r="D87" s="1" t="s">
        <v>1998</v>
      </c>
      <c r="E87" s="1"/>
      <c r="F87" s="1" t="s">
        <v>11</v>
      </c>
      <c r="G87">
        <v>35</v>
      </c>
      <c r="H87">
        <v>35</v>
      </c>
      <c r="I87" s="2"/>
      <c r="J87" s="2">
        <v>45727</v>
      </c>
      <c r="K87" s="2">
        <v>45735</v>
      </c>
    </row>
    <row r="88" spans="1:11" x14ac:dyDescent="0.25">
      <c r="A88" s="1" t="s">
        <v>117</v>
      </c>
      <c r="B88" s="1" t="s">
        <v>1023</v>
      </c>
      <c r="C88" s="1" t="s">
        <v>2027</v>
      </c>
      <c r="D88" s="1" t="s">
        <v>1998</v>
      </c>
      <c r="E88" s="1"/>
      <c r="F88" s="1" t="s">
        <v>11</v>
      </c>
      <c r="G88">
        <v>10</v>
      </c>
      <c r="H88">
        <v>10</v>
      </c>
      <c r="I88" s="2"/>
      <c r="J88" s="2">
        <v>45727</v>
      </c>
      <c r="K88" s="2">
        <v>45735</v>
      </c>
    </row>
    <row r="89" spans="1:11" x14ac:dyDescent="0.25">
      <c r="A89" s="1" t="s">
        <v>117</v>
      </c>
      <c r="B89" s="1" t="s">
        <v>1024</v>
      </c>
      <c r="C89" s="1" t="s">
        <v>2027</v>
      </c>
      <c r="D89" s="1" t="s">
        <v>1998</v>
      </c>
      <c r="E89" s="1"/>
      <c r="F89" s="1" t="s">
        <v>11</v>
      </c>
      <c r="G89">
        <v>45</v>
      </c>
      <c r="H89">
        <v>45</v>
      </c>
      <c r="I89" s="2"/>
      <c r="J89" s="2">
        <v>45727</v>
      </c>
      <c r="K89" s="2">
        <v>45735</v>
      </c>
    </row>
    <row r="90" spans="1:11" x14ac:dyDescent="0.25">
      <c r="A90" s="1" t="s">
        <v>117</v>
      </c>
      <c r="B90" s="1" t="s">
        <v>1024</v>
      </c>
      <c r="C90" s="1" t="s">
        <v>2027</v>
      </c>
      <c r="D90" s="1" t="s">
        <v>1998</v>
      </c>
      <c r="E90" s="1"/>
      <c r="F90" s="1" t="s">
        <v>11</v>
      </c>
      <c r="G90">
        <v>15</v>
      </c>
      <c r="H90">
        <v>15</v>
      </c>
      <c r="I90" s="2"/>
      <c r="J90" s="2">
        <v>45727</v>
      </c>
      <c r="K90" s="2">
        <v>45735</v>
      </c>
    </row>
    <row r="91" spans="1:11" x14ac:dyDescent="0.25">
      <c r="A91" s="1" t="s">
        <v>117</v>
      </c>
      <c r="B91" s="1" t="s">
        <v>1025</v>
      </c>
      <c r="C91" s="1" t="s">
        <v>2027</v>
      </c>
      <c r="D91" s="1" t="s">
        <v>1998</v>
      </c>
      <c r="E91" s="1"/>
      <c r="F91" s="1" t="s">
        <v>11</v>
      </c>
      <c r="G91">
        <v>45</v>
      </c>
      <c r="H91">
        <v>45</v>
      </c>
      <c r="I91" s="2"/>
      <c r="J91" s="2">
        <v>45727</v>
      </c>
      <c r="K91" s="2">
        <v>45735</v>
      </c>
    </row>
    <row r="92" spans="1:11" x14ac:dyDescent="0.25">
      <c r="A92" s="1" t="s">
        <v>117</v>
      </c>
      <c r="B92" s="1" t="s">
        <v>1025</v>
      </c>
      <c r="C92" s="1" t="s">
        <v>2027</v>
      </c>
      <c r="D92" s="1" t="s">
        <v>1998</v>
      </c>
      <c r="E92" s="1"/>
      <c r="F92" s="1" t="s">
        <v>11</v>
      </c>
      <c r="G92">
        <v>15</v>
      </c>
      <c r="H92">
        <v>15</v>
      </c>
      <c r="I92" s="2"/>
      <c r="J92" s="2">
        <v>45727</v>
      </c>
      <c r="K92" s="2">
        <v>45735</v>
      </c>
    </row>
    <row r="93" spans="1:11" x14ac:dyDescent="0.25">
      <c r="A93" s="1" t="s">
        <v>117</v>
      </c>
      <c r="B93" s="1" t="s">
        <v>1026</v>
      </c>
      <c r="C93" s="1" t="s">
        <v>2027</v>
      </c>
      <c r="D93" s="1" t="s">
        <v>1998</v>
      </c>
      <c r="E93" s="1"/>
      <c r="F93" s="1" t="s">
        <v>11</v>
      </c>
      <c r="G93">
        <v>35</v>
      </c>
      <c r="H93">
        <v>35</v>
      </c>
      <c r="I93" s="2"/>
      <c r="J93" s="2">
        <v>45727</v>
      </c>
      <c r="K93" s="2">
        <v>45735</v>
      </c>
    </row>
    <row r="94" spans="1:11" x14ac:dyDescent="0.25">
      <c r="A94" s="1" t="s">
        <v>117</v>
      </c>
      <c r="B94" s="1" t="s">
        <v>1026</v>
      </c>
      <c r="C94" s="1" t="s">
        <v>2027</v>
      </c>
      <c r="D94" s="1" t="s">
        <v>1998</v>
      </c>
      <c r="E94" s="1"/>
      <c r="F94" s="1" t="s">
        <v>11</v>
      </c>
      <c r="G94">
        <v>10</v>
      </c>
      <c r="H94">
        <v>10</v>
      </c>
      <c r="I94" s="2"/>
      <c r="J94" s="2">
        <v>45727</v>
      </c>
      <c r="K94" s="2">
        <v>45735</v>
      </c>
    </row>
    <row r="95" spans="1:11" x14ac:dyDescent="0.25">
      <c r="A95" s="1" t="s">
        <v>117</v>
      </c>
      <c r="B95" s="1" t="s">
        <v>1027</v>
      </c>
      <c r="C95" s="1" t="s">
        <v>2040</v>
      </c>
      <c r="D95" s="1" t="s">
        <v>1998</v>
      </c>
      <c r="E95" s="1"/>
      <c r="F95" s="1" t="s">
        <v>11</v>
      </c>
      <c r="G95">
        <v>45</v>
      </c>
      <c r="H95">
        <v>135</v>
      </c>
      <c r="I95" s="2"/>
      <c r="J95" s="2">
        <v>45727</v>
      </c>
      <c r="K95" s="2">
        <v>45735</v>
      </c>
    </row>
    <row r="96" spans="1:11" x14ac:dyDescent="0.25">
      <c r="A96" s="1" t="s">
        <v>117</v>
      </c>
      <c r="B96" s="1" t="s">
        <v>1013</v>
      </c>
      <c r="C96" s="1" t="s">
        <v>2030</v>
      </c>
      <c r="D96" s="1" t="s">
        <v>1998</v>
      </c>
      <c r="E96" s="1"/>
      <c r="F96" s="1" t="s">
        <v>11</v>
      </c>
      <c r="G96">
        <v>10</v>
      </c>
      <c r="H96">
        <v>45</v>
      </c>
      <c r="I96" s="2"/>
      <c r="J96" s="2">
        <v>45727</v>
      </c>
      <c r="K96" s="2">
        <v>45735</v>
      </c>
    </row>
    <row r="97" spans="1:11" x14ac:dyDescent="0.25">
      <c r="A97" s="1" t="s">
        <v>118</v>
      </c>
      <c r="B97" s="1" t="s">
        <v>1028</v>
      </c>
      <c r="C97" s="1" t="s">
        <v>2041</v>
      </c>
      <c r="D97" s="1" t="s">
        <v>1998</v>
      </c>
      <c r="E97" s="1"/>
      <c r="F97" s="1" t="s">
        <v>11</v>
      </c>
      <c r="G97">
        <v>75</v>
      </c>
      <c r="H97">
        <v>80</v>
      </c>
      <c r="I97" s="2"/>
      <c r="J97" s="2">
        <v>44788</v>
      </c>
      <c r="K97" s="2">
        <v>45768</v>
      </c>
    </row>
    <row r="98" spans="1:11" x14ac:dyDescent="0.25">
      <c r="A98" s="1" t="s">
        <v>118</v>
      </c>
      <c r="B98" s="1" t="s">
        <v>1029</v>
      </c>
      <c r="C98" s="1" t="s">
        <v>2042</v>
      </c>
      <c r="D98" s="1" t="s">
        <v>1998</v>
      </c>
      <c r="E98" s="1"/>
      <c r="F98" s="1" t="s">
        <v>11</v>
      </c>
      <c r="G98">
        <v>40</v>
      </c>
      <c r="H98">
        <v>40</v>
      </c>
      <c r="I98" s="2"/>
      <c r="J98" s="2">
        <v>44788</v>
      </c>
      <c r="K98" s="2">
        <v>45768</v>
      </c>
    </row>
    <row r="99" spans="1:11" x14ac:dyDescent="0.25">
      <c r="A99" s="1" t="s">
        <v>118</v>
      </c>
      <c r="B99" s="1" t="s">
        <v>1029</v>
      </c>
      <c r="C99" s="1" t="s">
        <v>2042</v>
      </c>
      <c r="D99" s="1" t="s">
        <v>1998</v>
      </c>
      <c r="E99" s="1"/>
      <c r="F99" s="1" t="s">
        <v>11</v>
      </c>
      <c r="G99">
        <v>10</v>
      </c>
      <c r="H99">
        <v>10</v>
      </c>
      <c r="I99" s="2"/>
      <c r="J99" s="2">
        <v>44788</v>
      </c>
      <c r="K99" s="2">
        <v>45768</v>
      </c>
    </row>
    <row r="100" spans="1:11" x14ac:dyDescent="0.25">
      <c r="A100" s="1" t="s">
        <v>118</v>
      </c>
      <c r="B100" s="1" t="s">
        <v>1029</v>
      </c>
      <c r="C100" s="1" t="s">
        <v>2042</v>
      </c>
      <c r="D100" s="1" t="s">
        <v>1998</v>
      </c>
      <c r="E100" s="1"/>
      <c r="F100" s="1" t="s">
        <v>11</v>
      </c>
      <c r="G100">
        <v>10</v>
      </c>
      <c r="H100">
        <v>10</v>
      </c>
      <c r="I100" s="2"/>
      <c r="J100" s="2">
        <v>44788</v>
      </c>
      <c r="K100" s="2">
        <v>45768</v>
      </c>
    </row>
    <row r="101" spans="1:11" x14ac:dyDescent="0.25">
      <c r="A101" s="1" t="s">
        <v>118</v>
      </c>
      <c r="B101" s="1" t="s">
        <v>1030</v>
      </c>
      <c r="C101" s="1" t="s">
        <v>2043</v>
      </c>
      <c r="D101" s="1" t="s">
        <v>1998</v>
      </c>
      <c r="E101" s="1"/>
      <c r="F101" s="1" t="s">
        <v>11</v>
      </c>
      <c r="G101">
        <v>35</v>
      </c>
      <c r="H101">
        <v>35</v>
      </c>
      <c r="I101" s="2"/>
      <c r="J101" s="2">
        <v>44788</v>
      </c>
      <c r="K101" s="2">
        <v>45768</v>
      </c>
    </row>
    <row r="102" spans="1:11" x14ac:dyDescent="0.25">
      <c r="A102" s="1" t="s">
        <v>118</v>
      </c>
      <c r="B102" s="1" t="s">
        <v>1030</v>
      </c>
      <c r="C102" s="1" t="s">
        <v>2043</v>
      </c>
      <c r="D102" s="1" t="s">
        <v>1998</v>
      </c>
      <c r="E102" s="1"/>
      <c r="F102" s="1" t="s">
        <v>11</v>
      </c>
      <c r="G102">
        <v>5</v>
      </c>
      <c r="H102">
        <v>5</v>
      </c>
      <c r="I102" s="2"/>
      <c r="J102" s="2">
        <v>44788</v>
      </c>
      <c r="K102" s="2">
        <v>45768</v>
      </c>
    </row>
    <row r="103" spans="1:11" x14ac:dyDescent="0.25">
      <c r="A103" s="1" t="s">
        <v>118</v>
      </c>
      <c r="B103" s="1" t="s">
        <v>1030</v>
      </c>
      <c r="C103" s="1" t="s">
        <v>2043</v>
      </c>
      <c r="D103" s="1" t="s">
        <v>1998</v>
      </c>
      <c r="E103" s="1"/>
      <c r="F103" s="1" t="s">
        <v>11</v>
      </c>
      <c r="G103">
        <v>5</v>
      </c>
      <c r="H103">
        <v>5</v>
      </c>
      <c r="I103" s="2"/>
      <c r="J103" s="2">
        <v>44788</v>
      </c>
      <c r="K103" s="2">
        <v>45768</v>
      </c>
    </row>
    <row r="104" spans="1:11" x14ac:dyDescent="0.25">
      <c r="A104" s="1" t="s">
        <v>119</v>
      </c>
      <c r="B104" s="1" t="s">
        <v>1031</v>
      </c>
      <c r="C104" s="1" t="s">
        <v>2044</v>
      </c>
      <c r="D104" s="1" t="s">
        <v>1998</v>
      </c>
      <c r="E104" s="1"/>
      <c r="F104" s="1" t="s">
        <v>11</v>
      </c>
      <c r="G104">
        <v>1</v>
      </c>
      <c r="H104">
        <v>1</v>
      </c>
      <c r="I104" s="2"/>
      <c r="J104" s="2">
        <v>45709</v>
      </c>
      <c r="K104" s="2">
        <v>45748</v>
      </c>
    </row>
    <row r="105" spans="1:11" x14ac:dyDescent="0.25">
      <c r="A105" s="1" t="s">
        <v>119</v>
      </c>
      <c r="B105" s="1" t="s">
        <v>1032</v>
      </c>
      <c r="C105" s="1" t="s">
        <v>2045</v>
      </c>
      <c r="D105" s="1" t="s">
        <v>1998</v>
      </c>
      <c r="E105" s="1"/>
      <c r="F105" s="1" t="s">
        <v>11</v>
      </c>
      <c r="G105">
        <v>1</v>
      </c>
      <c r="H105">
        <v>1</v>
      </c>
      <c r="I105" s="2"/>
      <c r="J105" s="2">
        <v>45709</v>
      </c>
      <c r="K105" s="2">
        <v>45748</v>
      </c>
    </row>
    <row r="106" spans="1:11" x14ac:dyDescent="0.25">
      <c r="A106" s="1" t="s">
        <v>119</v>
      </c>
      <c r="B106" s="1" t="s">
        <v>1033</v>
      </c>
      <c r="C106" s="1" t="s">
        <v>2046</v>
      </c>
      <c r="D106" s="1" t="s">
        <v>1998</v>
      </c>
      <c r="E106" s="1"/>
      <c r="F106" s="1" t="s">
        <v>11</v>
      </c>
      <c r="G106">
        <v>20</v>
      </c>
      <c r="H106">
        <v>15</v>
      </c>
      <c r="I106" s="2"/>
      <c r="J106" s="2">
        <v>45709</v>
      </c>
      <c r="K106" s="2">
        <v>45748</v>
      </c>
    </row>
    <row r="107" spans="1:11" x14ac:dyDescent="0.25">
      <c r="A107" s="1" t="s">
        <v>119</v>
      </c>
      <c r="B107" s="1" t="s">
        <v>1034</v>
      </c>
      <c r="C107" s="1" t="s">
        <v>2047</v>
      </c>
      <c r="D107" s="1" t="s">
        <v>1998</v>
      </c>
      <c r="E107" s="1"/>
      <c r="F107" s="1" t="s">
        <v>11</v>
      </c>
      <c r="G107">
        <v>50</v>
      </c>
      <c r="H107">
        <v>25</v>
      </c>
      <c r="I107" s="2"/>
      <c r="J107" s="2">
        <v>45709</v>
      </c>
      <c r="K107" s="2">
        <v>45748</v>
      </c>
    </row>
    <row r="108" spans="1:11" x14ac:dyDescent="0.25">
      <c r="A108" s="1" t="s">
        <v>119</v>
      </c>
      <c r="B108" s="1" t="s">
        <v>1035</v>
      </c>
      <c r="C108" s="1" t="s">
        <v>2048</v>
      </c>
      <c r="D108" s="1" t="s">
        <v>1998</v>
      </c>
      <c r="E108" s="1"/>
      <c r="F108" s="1" t="s">
        <v>11</v>
      </c>
      <c r="G108">
        <v>210</v>
      </c>
      <c r="H108">
        <v>225</v>
      </c>
      <c r="I108" s="2"/>
      <c r="J108" s="2">
        <v>45709</v>
      </c>
      <c r="K108" s="2">
        <v>45748</v>
      </c>
    </row>
    <row r="109" spans="1:11" x14ac:dyDescent="0.25">
      <c r="A109" s="1" t="s">
        <v>119</v>
      </c>
      <c r="B109" s="1" t="s">
        <v>1023</v>
      </c>
      <c r="C109" s="1" t="s">
        <v>2027</v>
      </c>
      <c r="D109" s="1" t="s">
        <v>1998</v>
      </c>
      <c r="E109" s="1"/>
      <c r="F109" s="1" t="s">
        <v>11</v>
      </c>
      <c r="G109">
        <v>70</v>
      </c>
      <c r="H109">
        <v>35</v>
      </c>
      <c r="I109" s="2"/>
      <c r="J109" s="2">
        <v>45709</v>
      </c>
      <c r="K109" s="2">
        <v>45748</v>
      </c>
    </row>
    <row r="110" spans="1:11" x14ac:dyDescent="0.25">
      <c r="A110" s="1" t="s">
        <v>119</v>
      </c>
      <c r="B110" s="1" t="s">
        <v>1036</v>
      </c>
      <c r="C110" s="1" t="s">
        <v>2027</v>
      </c>
      <c r="D110" s="1" t="s">
        <v>1998</v>
      </c>
      <c r="E110" s="1"/>
      <c r="F110" s="1" t="s">
        <v>11</v>
      </c>
      <c r="G110">
        <v>80</v>
      </c>
      <c r="H110">
        <v>40</v>
      </c>
      <c r="I110" s="2"/>
      <c r="J110" s="2">
        <v>45709</v>
      </c>
      <c r="K110" s="2">
        <v>45748</v>
      </c>
    </row>
    <row r="111" spans="1:11" x14ac:dyDescent="0.25">
      <c r="A111" s="1" t="s">
        <v>119</v>
      </c>
      <c r="B111" s="1" t="s">
        <v>1037</v>
      </c>
      <c r="C111" s="1" t="s">
        <v>2027</v>
      </c>
      <c r="D111" s="1" t="s">
        <v>1998</v>
      </c>
      <c r="E111" s="1"/>
      <c r="F111" s="1" t="s">
        <v>11</v>
      </c>
      <c r="G111">
        <v>80</v>
      </c>
      <c r="H111">
        <v>40</v>
      </c>
      <c r="I111" s="2"/>
      <c r="J111" s="2">
        <v>45709</v>
      </c>
      <c r="K111" s="2">
        <v>45748</v>
      </c>
    </row>
    <row r="112" spans="1:11" x14ac:dyDescent="0.25">
      <c r="A112" s="1" t="s">
        <v>119</v>
      </c>
      <c r="B112" s="1" t="s">
        <v>1038</v>
      </c>
      <c r="C112" s="1" t="s">
        <v>2027</v>
      </c>
      <c r="D112" s="1" t="s">
        <v>1998</v>
      </c>
      <c r="E112" s="1"/>
      <c r="F112" s="1" t="s">
        <v>11</v>
      </c>
      <c r="G112">
        <v>65</v>
      </c>
      <c r="H112">
        <v>35</v>
      </c>
      <c r="I112" s="2"/>
      <c r="J112" s="2">
        <v>45709</v>
      </c>
      <c r="K112" s="2">
        <v>45748</v>
      </c>
    </row>
    <row r="113" spans="1:11" x14ac:dyDescent="0.25">
      <c r="A113" s="1" t="s">
        <v>119</v>
      </c>
      <c r="B113" s="1" t="s">
        <v>1039</v>
      </c>
      <c r="C113" s="1" t="s">
        <v>2049</v>
      </c>
      <c r="D113" s="1" t="s">
        <v>1998</v>
      </c>
      <c r="E113" s="1"/>
      <c r="F113" s="1" t="s">
        <v>11</v>
      </c>
      <c r="G113">
        <v>1</v>
      </c>
      <c r="H113">
        <v>1</v>
      </c>
      <c r="I113" s="2"/>
      <c r="J113" s="2">
        <v>45709</v>
      </c>
      <c r="K113" s="2">
        <v>45748</v>
      </c>
    </row>
    <row r="114" spans="1:11" x14ac:dyDescent="0.25">
      <c r="A114" s="1" t="s">
        <v>119</v>
      </c>
      <c r="B114" s="1" t="s">
        <v>1040</v>
      </c>
      <c r="C114" s="1" t="s">
        <v>2050</v>
      </c>
      <c r="D114" s="1" t="s">
        <v>1998</v>
      </c>
      <c r="E114" s="1"/>
      <c r="F114" s="1" t="s">
        <v>11</v>
      </c>
      <c r="G114">
        <v>1</v>
      </c>
      <c r="H114">
        <v>1</v>
      </c>
      <c r="I114" s="2"/>
      <c r="J114" s="2">
        <v>45709</v>
      </c>
      <c r="K114" s="2">
        <v>45748</v>
      </c>
    </row>
    <row r="115" spans="1:11" x14ac:dyDescent="0.25">
      <c r="A115" s="1" t="s">
        <v>119</v>
      </c>
      <c r="B115" s="1" t="s">
        <v>1027</v>
      </c>
      <c r="C115" s="1" t="s">
        <v>2040</v>
      </c>
      <c r="D115" s="1" t="s">
        <v>1998</v>
      </c>
      <c r="E115" s="1"/>
      <c r="F115" s="1" t="s">
        <v>11</v>
      </c>
      <c r="G115">
        <v>95</v>
      </c>
      <c r="H115">
        <v>65</v>
      </c>
      <c r="I115" s="2"/>
      <c r="J115" s="2">
        <v>45709</v>
      </c>
      <c r="K115" s="2">
        <v>45748</v>
      </c>
    </row>
    <row r="116" spans="1:11" x14ac:dyDescent="0.25">
      <c r="A116" s="1" t="s">
        <v>119</v>
      </c>
      <c r="B116" s="1" t="s">
        <v>1013</v>
      </c>
      <c r="C116" s="1" t="s">
        <v>2030</v>
      </c>
      <c r="D116" s="1" t="s">
        <v>1998</v>
      </c>
      <c r="E116" s="1"/>
      <c r="F116" s="1" t="s">
        <v>11</v>
      </c>
      <c r="G116">
        <v>15</v>
      </c>
      <c r="H116">
        <v>40</v>
      </c>
      <c r="I116" s="2"/>
      <c r="J116" s="2">
        <v>45709</v>
      </c>
      <c r="K116" s="2">
        <v>45748</v>
      </c>
    </row>
    <row r="117" spans="1:11" x14ac:dyDescent="0.25">
      <c r="A117" s="1" t="s">
        <v>119</v>
      </c>
      <c r="B117" s="1" t="s">
        <v>993</v>
      </c>
      <c r="C117" s="1" t="s">
        <v>2011</v>
      </c>
      <c r="D117" s="1" t="s">
        <v>1998</v>
      </c>
      <c r="E117" s="1"/>
      <c r="F117" s="1" t="s">
        <v>11</v>
      </c>
      <c r="G117">
        <v>5</v>
      </c>
      <c r="H117">
        <v>5</v>
      </c>
      <c r="I117" s="2"/>
      <c r="J117" s="2">
        <v>45709</v>
      </c>
      <c r="K117" s="2">
        <v>45748</v>
      </c>
    </row>
    <row r="118" spans="1:11" x14ac:dyDescent="0.25">
      <c r="A118" s="1" t="s">
        <v>119</v>
      </c>
      <c r="B118" s="1" t="s">
        <v>993</v>
      </c>
      <c r="C118" s="1" t="s">
        <v>2011</v>
      </c>
      <c r="D118" s="1" t="s">
        <v>1998</v>
      </c>
      <c r="E118" s="1"/>
      <c r="F118" s="1" t="s">
        <v>11</v>
      </c>
      <c r="G118">
        <v>15</v>
      </c>
      <c r="H118">
        <v>65</v>
      </c>
      <c r="I118" s="2"/>
      <c r="J118" s="2">
        <v>45709</v>
      </c>
      <c r="K118" s="2">
        <v>45748</v>
      </c>
    </row>
    <row r="119" spans="1:11" x14ac:dyDescent="0.25">
      <c r="A119" s="1" t="s">
        <v>120</v>
      </c>
      <c r="B119" s="1" t="s">
        <v>1023</v>
      </c>
      <c r="C119" s="1" t="s">
        <v>2027</v>
      </c>
      <c r="D119" s="1" t="s">
        <v>1998</v>
      </c>
      <c r="E119" s="1"/>
      <c r="F119" s="1" t="s">
        <v>11</v>
      </c>
      <c r="G119">
        <v>20</v>
      </c>
      <c r="H119">
        <v>1</v>
      </c>
      <c r="I119" s="2"/>
      <c r="J119" s="2">
        <v>45758</v>
      </c>
      <c r="K119" s="2">
        <v>45762</v>
      </c>
    </row>
    <row r="120" spans="1:11" x14ac:dyDescent="0.25">
      <c r="A120" s="1" t="s">
        <v>120</v>
      </c>
      <c r="B120" s="1" t="s">
        <v>1024</v>
      </c>
      <c r="C120" s="1" t="s">
        <v>2027</v>
      </c>
      <c r="D120" s="1" t="s">
        <v>1998</v>
      </c>
      <c r="E120" s="1"/>
      <c r="F120" s="1" t="s">
        <v>11</v>
      </c>
      <c r="G120">
        <v>25</v>
      </c>
      <c r="H120">
        <v>1</v>
      </c>
      <c r="I120" s="2"/>
      <c r="J120" s="2">
        <v>45758</v>
      </c>
      <c r="K120" s="2">
        <v>45762</v>
      </c>
    </row>
    <row r="121" spans="1:11" x14ac:dyDescent="0.25">
      <c r="A121" s="1" t="s">
        <v>120</v>
      </c>
      <c r="B121" s="1" t="s">
        <v>1025</v>
      </c>
      <c r="C121" s="1" t="s">
        <v>2027</v>
      </c>
      <c r="D121" s="1" t="s">
        <v>1998</v>
      </c>
      <c r="E121" s="1"/>
      <c r="F121" s="1" t="s">
        <v>11</v>
      </c>
      <c r="G121">
        <v>25</v>
      </c>
      <c r="H121">
        <v>1</v>
      </c>
      <c r="I121" s="2"/>
      <c r="J121" s="2">
        <v>45758</v>
      </c>
      <c r="K121" s="2">
        <v>45762</v>
      </c>
    </row>
    <row r="122" spans="1:11" x14ac:dyDescent="0.25">
      <c r="A122" s="1" t="s">
        <v>120</v>
      </c>
      <c r="B122" s="1" t="s">
        <v>1026</v>
      </c>
      <c r="C122" s="1" t="s">
        <v>2027</v>
      </c>
      <c r="D122" s="1" t="s">
        <v>1998</v>
      </c>
      <c r="E122" s="1"/>
      <c r="F122" s="1" t="s">
        <v>11</v>
      </c>
      <c r="G122">
        <v>15</v>
      </c>
      <c r="H122">
        <v>1</v>
      </c>
      <c r="I122" s="2"/>
      <c r="J122" s="2">
        <v>45758</v>
      </c>
      <c r="K122" s="2">
        <v>45762</v>
      </c>
    </row>
    <row r="123" spans="1:11" x14ac:dyDescent="0.25">
      <c r="A123" s="1" t="s">
        <v>120</v>
      </c>
      <c r="B123" s="1" t="s">
        <v>1027</v>
      </c>
      <c r="C123" s="1" t="s">
        <v>2040</v>
      </c>
      <c r="D123" s="1" t="s">
        <v>1998</v>
      </c>
      <c r="E123" s="1"/>
      <c r="F123" s="1" t="s">
        <v>11</v>
      </c>
      <c r="G123">
        <v>25</v>
      </c>
      <c r="H123">
        <v>25</v>
      </c>
      <c r="I123" s="2"/>
      <c r="J123" s="2">
        <v>45758</v>
      </c>
      <c r="K123" s="2">
        <v>45762</v>
      </c>
    </row>
    <row r="124" spans="1:11" x14ac:dyDescent="0.25">
      <c r="A124" s="1" t="s">
        <v>120</v>
      </c>
      <c r="B124" s="1" t="s">
        <v>1013</v>
      </c>
      <c r="C124" s="1" t="s">
        <v>2030</v>
      </c>
      <c r="D124" s="1" t="s">
        <v>1998</v>
      </c>
      <c r="E124" s="1"/>
      <c r="F124" s="1" t="s">
        <v>11</v>
      </c>
      <c r="G124">
        <v>5</v>
      </c>
      <c r="H124">
        <v>5</v>
      </c>
      <c r="I124" s="2"/>
      <c r="J124" s="2">
        <v>45758</v>
      </c>
      <c r="K124" s="2">
        <v>45762</v>
      </c>
    </row>
    <row r="125" spans="1:11" x14ac:dyDescent="0.25">
      <c r="A125" s="1" t="s">
        <v>121</v>
      </c>
      <c r="B125" s="1" t="s">
        <v>1041</v>
      </c>
      <c r="C125" s="1" t="s">
        <v>2051</v>
      </c>
      <c r="D125" s="1" t="s">
        <v>1998</v>
      </c>
      <c r="E125" s="1"/>
      <c r="F125" s="1" t="s">
        <v>11</v>
      </c>
      <c r="G125">
        <v>25</v>
      </c>
      <c r="H125">
        <v>25</v>
      </c>
      <c r="I125" s="2"/>
      <c r="J125" s="2">
        <v>45723</v>
      </c>
      <c r="K125" s="2">
        <v>45777</v>
      </c>
    </row>
    <row r="126" spans="1:11" x14ac:dyDescent="0.25">
      <c r="A126" s="1" t="s">
        <v>121</v>
      </c>
      <c r="B126" s="1" t="s">
        <v>1042</v>
      </c>
      <c r="C126" s="1" t="s">
        <v>2052</v>
      </c>
      <c r="D126" s="1" t="s">
        <v>1998</v>
      </c>
      <c r="E126" s="1"/>
      <c r="F126" s="1" t="s">
        <v>11</v>
      </c>
      <c r="G126">
        <v>380</v>
      </c>
      <c r="H126">
        <v>380</v>
      </c>
      <c r="I126" s="2"/>
      <c r="J126" s="2">
        <v>45723</v>
      </c>
      <c r="K126" s="2">
        <v>45777</v>
      </c>
    </row>
    <row r="127" spans="1:11" x14ac:dyDescent="0.25">
      <c r="A127" s="1" t="s">
        <v>121</v>
      </c>
      <c r="B127" s="1" t="s">
        <v>1043</v>
      </c>
      <c r="C127" s="1" t="s">
        <v>2053</v>
      </c>
      <c r="D127" s="1" t="s">
        <v>1998</v>
      </c>
      <c r="E127" s="1"/>
      <c r="F127" s="1" t="s">
        <v>11</v>
      </c>
      <c r="G127">
        <v>380</v>
      </c>
      <c r="H127">
        <v>380</v>
      </c>
      <c r="I127" s="2"/>
      <c r="J127" s="2">
        <v>45723</v>
      </c>
      <c r="K127" s="2">
        <v>45777</v>
      </c>
    </row>
    <row r="128" spans="1:11" x14ac:dyDescent="0.25">
      <c r="A128" s="1" t="s">
        <v>121</v>
      </c>
      <c r="B128" s="1" t="s">
        <v>1044</v>
      </c>
      <c r="C128" s="1" t="s">
        <v>2027</v>
      </c>
      <c r="D128" s="1" t="s">
        <v>1998</v>
      </c>
      <c r="E128" s="1"/>
      <c r="F128" s="1" t="s">
        <v>11</v>
      </c>
      <c r="G128">
        <v>265</v>
      </c>
      <c r="H128">
        <v>265</v>
      </c>
      <c r="I128" s="2"/>
      <c r="J128" s="2">
        <v>45723</v>
      </c>
      <c r="K128" s="2">
        <v>45777</v>
      </c>
    </row>
    <row r="129" spans="1:11" x14ac:dyDescent="0.25">
      <c r="A129" s="1" t="s">
        <v>121</v>
      </c>
      <c r="B129" s="1" t="s">
        <v>1045</v>
      </c>
      <c r="C129" s="1" t="s">
        <v>2054</v>
      </c>
      <c r="D129" s="1" t="s">
        <v>1998</v>
      </c>
      <c r="E129" s="1"/>
      <c r="F129" s="1" t="s">
        <v>11</v>
      </c>
      <c r="G129">
        <v>255</v>
      </c>
      <c r="H129">
        <v>380</v>
      </c>
      <c r="I129" s="2"/>
      <c r="J129" s="2">
        <v>45723</v>
      </c>
      <c r="K129" s="2">
        <v>45777</v>
      </c>
    </row>
    <row r="130" spans="1:11" x14ac:dyDescent="0.25">
      <c r="A130" s="1" t="s">
        <v>121</v>
      </c>
      <c r="B130" s="1" t="s">
        <v>1045</v>
      </c>
      <c r="C130" s="1" t="s">
        <v>2054</v>
      </c>
      <c r="D130" s="1" t="s">
        <v>1998</v>
      </c>
      <c r="E130" s="1"/>
      <c r="F130" s="1" t="s">
        <v>11</v>
      </c>
      <c r="G130">
        <v>30</v>
      </c>
      <c r="H130">
        <v>35</v>
      </c>
      <c r="I130" s="2"/>
      <c r="J130" s="2">
        <v>45723</v>
      </c>
      <c r="K130" s="2">
        <v>45777</v>
      </c>
    </row>
    <row r="131" spans="1:11" x14ac:dyDescent="0.25">
      <c r="A131" s="1" t="s">
        <v>121</v>
      </c>
      <c r="B131" s="1" t="s">
        <v>1012</v>
      </c>
      <c r="C131" s="1" t="s">
        <v>2029</v>
      </c>
      <c r="D131" s="1" t="s">
        <v>1998</v>
      </c>
      <c r="E131" s="1"/>
      <c r="F131" s="1" t="s">
        <v>11</v>
      </c>
      <c r="G131">
        <v>30</v>
      </c>
      <c r="H131">
        <v>85</v>
      </c>
      <c r="I131" s="2"/>
      <c r="J131" s="2">
        <v>45723</v>
      </c>
      <c r="K131" s="2">
        <v>45777</v>
      </c>
    </row>
    <row r="132" spans="1:11" x14ac:dyDescent="0.25">
      <c r="A132" s="1" t="s">
        <v>121</v>
      </c>
      <c r="B132" s="1" t="s">
        <v>1046</v>
      </c>
      <c r="C132" s="1" t="s">
        <v>2055</v>
      </c>
      <c r="D132" s="1" t="s">
        <v>1998</v>
      </c>
      <c r="E132" s="1"/>
      <c r="F132" s="1" t="s">
        <v>11</v>
      </c>
      <c r="G132">
        <v>5</v>
      </c>
      <c r="H132">
        <v>1</v>
      </c>
      <c r="I132" s="2"/>
      <c r="J132" s="2">
        <v>45723</v>
      </c>
      <c r="K132" s="2">
        <v>45777</v>
      </c>
    </row>
    <row r="133" spans="1:11" x14ac:dyDescent="0.25">
      <c r="A133" s="1" t="s">
        <v>121</v>
      </c>
      <c r="B133" s="1" t="s">
        <v>1013</v>
      </c>
      <c r="C133" s="1" t="s">
        <v>2030</v>
      </c>
      <c r="D133" s="1" t="s">
        <v>1998</v>
      </c>
      <c r="E133" s="1"/>
      <c r="F133" s="1" t="s">
        <v>11</v>
      </c>
      <c r="G133">
        <v>25</v>
      </c>
      <c r="H133">
        <v>60</v>
      </c>
      <c r="I133" s="2"/>
      <c r="J133" s="2">
        <v>45723</v>
      </c>
      <c r="K133" s="2">
        <v>45777</v>
      </c>
    </row>
    <row r="134" spans="1:11" x14ac:dyDescent="0.25">
      <c r="A134" s="1" t="s">
        <v>122</v>
      </c>
      <c r="B134" s="1" t="s">
        <v>1041</v>
      </c>
      <c r="C134" s="1" t="s">
        <v>2051</v>
      </c>
      <c r="D134" s="1" t="s">
        <v>1998</v>
      </c>
      <c r="E134" s="1"/>
      <c r="F134" s="1" t="s">
        <v>11</v>
      </c>
      <c r="G134">
        <v>25</v>
      </c>
      <c r="H134">
        <v>25</v>
      </c>
      <c r="I134" s="2"/>
      <c r="J134" s="2">
        <v>45726</v>
      </c>
      <c r="K134" s="2">
        <v>45775</v>
      </c>
    </row>
    <row r="135" spans="1:11" x14ac:dyDescent="0.25">
      <c r="A135" s="1" t="s">
        <v>122</v>
      </c>
      <c r="B135" s="1" t="s">
        <v>1042</v>
      </c>
      <c r="C135" s="1" t="s">
        <v>2052</v>
      </c>
      <c r="D135" s="1" t="s">
        <v>1998</v>
      </c>
      <c r="E135" s="1"/>
      <c r="F135" s="1" t="s">
        <v>11</v>
      </c>
      <c r="G135">
        <v>505</v>
      </c>
      <c r="H135">
        <v>505</v>
      </c>
      <c r="I135" s="2"/>
      <c r="J135" s="2">
        <v>45726</v>
      </c>
      <c r="K135" s="2">
        <v>45775</v>
      </c>
    </row>
    <row r="136" spans="1:11" x14ac:dyDescent="0.25">
      <c r="A136" s="1" t="s">
        <v>122</v>
      </c>
      <c r="B136" s="1" t="s">
        <v>1043</v>
      </c>
      <c r="C136" s="1" t="s">
        <v>2053</v>
      </c>
      <c r="D136" s="1" t="s">
        <v>1998</v>
      </c>
      <c r="E136" s="1"/>
      <c r="F136" s="1" t="s">
        <v>11</v>
      </c>
      <c r="G136">
        <v>420</v>
      </c>
      <c r="H136">
        <v>420</v>
      </c>
      <c r="I136" s="2"/>
      <c r="J136" s="2">
        <v>45726</v>
      </c>
      <c r="K136" s="2">
        <v>45775</v>
      </c>
    </row>
    <row r="137" spans="1:11" x14ac:dyDescent="0.25">
      <c r="A137" s="1" t="s">
        <v>122</v>
      </c>
      <c r="B137" s="1" t="s">
        <v>1044</v>
      </c>
      <c r="C137" s="1" t="s">
        <v>2027</v>
      </c>
      <c r="D137" s="1" t="s">
        <v>1998</v>
      </c>
      <c r="E137" s="1"/>
      <c r="F137" s="1" t="s">
        <v>11</v>
      </c>
      <c r="G137">
        <v>295</v>
      </c>
      <c r="H137">
        <v>295</v>
      </c>
      <c r="I137" s="2"/>
      <c r="J137" s="2">
        <v>45726</v>
      </c>
      <c r="K137" s="2">
        <v>45775</v>
      </c>
    </row>
    <row r="138" spans="1:11" x14ac:dyDescent="0.25">
      <c r="A138" s="1" t="s">
        <v>122</v>
      </c>
      <c r="B138" s="1" t="s">
        <v>1045</v>
      </c>
      <c r="C138" s="1" t="s">
        <v>2054</v>
      </c>
      <c r="D138" s="1" t="s">
        <v>1998</v>
      </c>
      <c r="E138" s="1"/>
      <c r="F138" s="1" t="s">
        <v>11</v>
      </c>
      <c r="G138">
        <v>285</v>
      </c>
      <c r="H138">
        <v>285</v>
      </c>
      <c r="I138" s="2"/>
      <c r="J138" s="2">
        <v>45726</v>
      </c>
      <c r="K138" s="2">
        <v>45775</v>
      </c>
    </row>
    <row r="139" spans="1:11" x14ac:dyDescent="0.25">
      <c r="A139" s="1" t="s">
        <v>122</v>
      </c>
      <c r="B139" s="1" t="s">
        <v>1012</v>
      </c>
      <c r="C139" s="1" t="s">
        <v>2029</v>
      </c>
      <c r="D139" s="1" t="s">
        <v>1998</v>
      </c>
      <c r="E139" s="1"/>
      <c r="F139" s="1" t="s">
        <v>11</v>
      </c>
      <c r="G139">
        <v>35</v>
      </c>
      <c r="H139">
        <v>65</v>
      </c>
      <c r="I139" s="2"/>
      <c r="J139" s="2">
        <v>45726</v>
      </c>
      <c r="K139" s="2">
        <v>45775</v>
      </c>
    </row>
    <row r="140" spans="1:11" x14ac:dyDescent="0.25">
      <c r="A140" s="1" t="s">
        <v>122</v>
      </c>
      <c r="B140" s="1" t="s">
        <v>1046</v>
      </c>
      <c r="C140" s="1" t="s">
        <v>2055</v>
      </c>
      <c r="D140" s="1" t="s">
        <v>1998</v>
      </c>
      <c r="E140" s="1"/>
      <c r="F140" s="1" t="s">
        <v>11</v>
      </c>
      <c r="G140">
        <v>5</v>
      </c>
      <c r="H140">
        <v>1</v>
      </c>
      <c r="I140" s="2"/>
      <c r="J140" s="2">
        <v>45726</v>
      </c>
      <c r="K140" s="2">
        <v>45775</v>
      </c>
    </row>
    <row r="141" spans="1:11" x14ac:dyDescent="0.25">
      <c r="A141" s="1" t="s">
        <v>122</v>
      </c>
      <c r="B141" s="1" t="s">
        <v>1013</v>
      </c>
      <c r="C141" s="1" t="s">
        <v>2030</v>
      </c>
      <c r="D141" s="1" t="s">
        <v>1998</v>
      </c>
      <c r="E141" s="1"/>
      <c r="F141" s="1" t="s">
        <v>11</v>
      </c>
      <c r="G141">
        <v>25</v>
      </c>
      <c r="H141">
        <v>45</v>
      </c>
      <c r="I141" s="2"/>
      <c r="J141" s="2">
        <v>45726</v>
      </c>
      <c r="K141" s="2">
        <v>45775</v>
      </c>
    </row>
    <row r="142" spans="1:11" x14ac:dyDescent="0.25">
      <c r="A142" s="1" t="s">
        <v>122</v>
      </c>
      <c r="B142" s="1" t="s">
        <v>993</v>
      </c>
      <c r="C142" s="1" t="s">
        <v>2011</v>
      </c>
      <c r="D142" s="1" t="s">
        <v>1998</v>
      </c>
      <c r="E142" s="1"/>
      <c r="F142" s="1" t="s">
        <v>11</v>
      </c>
      <c r="G142">
        <v>10</v>
      </c>
      <c r="H142">
        <v>10</v>
      </c>
      <c r="I142" s="2"/>
      <c r="J142" s="2">
        <v>45726</v>
      </c>
      <c r="K142" s="2">
        <v>45775</v>
      </c>
    </row>
    <row r="143" spans="1:11" x14ac:dyDescent="0.25">
      <c r="A143" s="1" t="s">
        <v>123</v>
      </c>
      <c r="B143" s="1" t="s">
        <v>1047</v>
      </c>
      <c r="C143" s="1" t="s">
        <v>2056</v>
      </c>
      <c r="D143" s="1" t="s">
        <v>1998</v>
      </c>
      <c r="E143" s="1"/>
      <c r="F143" s="1" t="s">
        <v>11</v>
      </c>
      <c r="G143">
        <v>45</v>
      </c>
      <c r="H143">
        <v>45</v>
      </c>
      <c r="I143" s="2"/>
      <c r="J143" s="2">
        <v>45769</v>
      </c>
      <c r="K143" s="2">
        <v>45771</v>
      </c>
    </row>
    <row r="144" spans="1:11" x14ac:dyDescent="0.25">
      <c r="A144" s="1" t="s">
        <v>124</v>
      </c>
      <c r="B144" s="1" t="s">
        <v>1047</v>
      </c>
      <c r="C144" s="1" t="s">
        <v>2056</v>
      </c>
      <c r="D144" s="1" t="s">
        <v>1998</v>
      </c>
      <c r="E144" s="1"/>
      <c r="F144" s="1" t="s">
        <v>11</v>
      </c>
      <c r="G144">
        <v>50</v>
      </c>
      <c r="H144">
        <v>25</v>
      </c>
      <c r="I144" s="2"/>
      <c r="J144" s="2">
        <v>45768</v>
      </c>
      <c r="K144" s="2">
        <v>45771</v>
      </c>
    </row>
    <row r="145" spans="1:11" x14ac:dyDescent="0.25">
      <c r="A145" s="1" t="s">
        <v>124</v>
      </c>
      <c r="B145" s="1" t="s">
        <v>1047</v>
      </c>
      <c r="C145" s="1" t="s">
        <v>2056</v>
      </c>
      <c r="D145" s="1" t="s">
        <v>1998</v>
      </c>
      <c r="E145" s="1"/>
      <c r="F145" s="1" t="s">
        <v>12</v>
      </c>
      <c r="G145">
        <v>1</v>
      </c>
      <c r="H145">
        <v>1</v>
      </c>
      <c r="I145" s="2"/>
      <c r="J145" s="2">
        <v>45768</v>
      </c>
      <c r="K145" s="2">
        <v>45771</v>
      </c>
    </row>
    <row r="146" spans="1:11" x14ac:dyDescent="0.25">
      <c r="A146" s="1" t="s">
        <v>124</v>
      </c>
      <c r="B146" s="1" t="s">
        <v>1047</v>
      </c>
      <c r="C146" s="1" t="s">
        <v>2056</v>
      </c>
      <c r="D146" s="1" t="s">
        <v>1998</v>
      </c>
      <c r="E146" s="1"/>
      <c r="F146" s="1" t="s">
        <v>12</v>
      </c>
      <c r="G146">
        <v>1</v>
      </c>
      <c r="H146">
        <v>20</v>
      </c>
      <c r="I146" s="2"/>
      <c r="J146" s="2">
        <v>45768</v>
      </c>
      <c r="K146" s="2">
        <v>45771</v>
      </c>
    </row>
    <row r="147" spans="1:11" x14ac:dyDescent="0.25">
      <c r="A147" s="1" t="s">
        <v>125</v>
      </c>
      <c r="B147" s="1" t="s">
        <v>1047</v>
      </c>
      <c r="C147" s="1" t="s">
        <v>2056</v>
      </c>
      <c r="D147" s="1" t="s">
        <v>1998</v>
      </c>
      <c r="E147" s="1"/>
      <c r="F147" s="1" t="s">
        <v>11</v>
      </c>
      <c r="G147">
        <v>50</v>
      </c>
      <c r="H147">
        <v>25</v>
      </c>
      <c r="I147" s="2"/>
      <c r="J147" s="2">
        <v>45768</v>
      </c>
      <c r="K147" s="2">
        <v>45771</v>
      </c>
    </row>
    <row r="148" spans="1:11" x14ac:dyDescent="0.25">
      <c r="A148" s="1" t="s">
        <v>125</v>
      </c>
      <c r="B148" s="1" t="s">
        <v>1047</v>
      </c>
      <c r="C148" s="1" t="s">
        <v>2056</v>
      </c>
      <c r="D148" s="1" t="s">
        <v>1998</v>
      </c>
      <c r="E148" s="1"/>
      <c r="F148" s="1" t="s">
        <v>12</v>
      </c>
      <c r="G148">
        <v>1</v>
      </c>
      <c r="H148">
        <v>25</v>
      </c>
      <c r="I148" s="2"/>
      <c r="J148" s="2">
        <v>45768</v>
      </c>
      <c r="K148" s="2">
        <v>45771</v>
      </c>
    </row>
    <row r="149" spans="1:11" x14ac:dyDescent="0.25">
      <c r="A149" s="1" t="s">
        <v>126</v>
      </c>
      <c r="B149" s="1" t="s">
        <v>1048</v>
      </c>
      <c r="C149" s="1" t="s">
        <v>2057</v>
      </c>
      <c r="D149" s="1" t="s">
        <v>1998</v>
      </c>
      <c r="E149" s="1"/>
      <c r="F149" s="1" t="s">
        <v>11</v>
      </c>
      <c r="G149">
        <v>1</v>
      </c>
      <c r="H149">
        <v>1</v>
      </c>
      <c r="I149" s="2"/>
      <c r="J149" s="2">
        <v>45733</v>
      </c>
      <c r="K149" s="2">
        <v>45740</v>
      </c>
    </row>
    <row r="150" spans="1:11" x14ac:dyDescent="0.25">
      <c r="A150" s="1" t="s">
        <v>126</v>
      </c>
      <c r="B150" s="1" t="s">
        <v>1047</v>
      </c>
      <c r="C150" s="1" t="s">
        <v>2056</v>
      </c>
      <c r="D150" s="1" t="s">
        <v>1998</v>
      </c>
      <c r="E150" s="1"/>
      <c r="F150" s="1" t="s">
        <v>11</v>
      </c>
      <c r="G150">
        <v>15</v>
      </c>
      <c r="H150">
        <v>15</v>
      </c>
      <c r="I150" s="2"/>
      <c r="J150" s="2">
        <v>45733</v>
      </c>
      <c r="K150" s="2">
        <v>45740</v>
      </c>
    </row>
    <row r="151" spans="1:11" x14ac:dyDescent="0.25">
      <c r="A151" s="1" t="s">
        <v>126</v>
      </c>
      <c r="B151" s="1" t="s">
        <v>1049</v>
      </c>
      <c r="C151" s="1" t="s">
        <v>2058</v>
      </c>
      <c r="D151" s="1" t="s">
        <v>1998</v>
      </c>
      <c r="E151" s="1"/>
      <c r="F151" s="1" t="s">
        <v>11</v>
      </c>
      <c r="G151">
        <v>1</v>
      </c>
      <c r="H151">
        <v>1</v>
      </c>
      <c r="I151" s="2"/>
      <c r="J151" s="2">
        <v>45733</v>
      </c>
      <c r="K151" s="2">
        <v>45740</v>
      </c>
    </row>
    <row r="152" spans="1:11" x14ac:dyDescent="0.25">
      <c r="A152" s="1" t="s">
        <v>127</v>
      </c>
      <c r="B152" s="1" t="s">
        <v>1048</v>
      </c>
      <c r="C152" s="1" t="s">
        <v>2057</v>
      </c>
      <c r="D152" s="1" t="s">
        <v>1998</v>
      </c>
      <c r="E152" s="1"/>
      <c r="F152" s="1" t="s">
        <v>11</v>
      </c>
      <c r="G152">
        <v>1</v>
      </c>
      <c r="H152">
        <v>1</v>
      </c>
      <c r="I152" s="2"/>
      <c r="J152" s="2">
        <v>45734</v>
      </c>
      <c r="K152" s="2">
        <v>45736</v>
      </c>
    </row>
    <row r="153" spans="1:11" x14ac:dyDescent="0.25">
      <c r="A153" s="1" t="s">
        <v>127</v>
      </c>
      <c r="B153" s="1" t="s">
        <v>1047</v>
      </c>
      <c r="C153" s="1" t="s">
        <v>2056</v>
      </c>
      <c r="D153" s="1" t="s">
        <v>1998</v>
      </c>
      <c r="E153" s="1"/>
      <c r="F153" s="1" t="s">
        <v>11</v>
      </c>
      <c r="G153">
        <v>15</v>
      </c>
      <c r="H153">
        <v>15</v>
      </c>
      <c r="I153" s="2"/>
      <c r="J153" s="2">
        <v>45734</v>
      </c>
      <c r="K153" s="2">
        <v>45736</v>
      </c>
    </row>
    <row r="154" spans="1:11" x14ac:dyDescent="0.25">
      <c r="A154" s="1" t="s">
        <v>127</v>
      </c>
      <c r="B154" s="1" t="s">
        <v>1049</v>
      </c>
      <c r="C154" s="1" t="s">
        <v>2058</v>
      </c>
      <c r="D154" s="1" t="s">
        <v>1998</v>
      </c>
      <c r="E154" s="1"/>
      <c r="F154" s="1" t="s">
        <v>11</v>
      </c>
      <c r="G154">
        <v>1</v>
      </c>
      <c r="H154">
        <v>1</v>
      </c>
      <c r="I154" s="2"/>
      <c r="J154" s="2">
        <v>45734</v>
      </c>
      <c r="K154" s="2">
        <v>45736</v>
      </c>
    </row>
    <row r="155" spans="1:11" x14ac:dyDescent="0.25">
      <c r="A155" s="1" t="s">
        <v>128</v>
      </c>
      <c r="B155" s="1" t="s">
        <v>1048</v>
      </c>
      <c r="C155" s="1" t="s">
        <v>2057</v>
      </c>
      <c r="D155" s="1" t="s">
        <v>1998</v>
      </c>
      <c r="E155" s="1"/>
      <c r="F155" s="1" t="s">
        <v>11</v>
      </c>
      <c r="G155">
        <v>1</v>
      </c>
      <c r="H155">
        <v>1</v>
      </c>
      <c r="I155" s="2"/>
      <c r="J155" s="2">
        <v>45734</v>
      </c>
      <c r="K155" s="2">
        <v>45736</v>
      </c>
    </row>
    <row r="156" spans="1:11" x14ac:dyDescent="0.25">
      <c r="A156" s="1" t="s">
        <v>128</v>
      </c>
      <c r="B156" s="1" t="s">
        <v>1047</v>
      </c>
      <c r="C156" s="1" t="s">
        <v>2056</v>
      </c>
      <c r="D156" s="1" t="s">
        <v>1998</v>
      </c>
      <c r="E156" s="1"/>
      <c r="F156" s="1" t="s">
        <v>11</v>
      </c>
      <c r="G156">
        <v>15</v>
      </c>
      <c r="H156">
        <v>15</v>
      </c>
      <c r="I156" s="2"/>
      <c r="J156" s="2">
        <v>45734</v>
      </c>
      <c r="K156" s="2">
        <v>45736</v>
      </c>
    </row>
    <row r="157" spans="1:11" x14ac:dyDescent="0.25">
      <c r="A157" s="1" t="s">
        <v>128</v>
      </c>
      <c r="B157" s="1" t="s">
        <v>1049</v>
      </c>
      <c r="C157" s="1" t="s">
        <v>2058</v>
      </c>
      <c r="D157" s="1" t="s">
        <v>1998</v>
      </c>
      <c r="E157" s="1"/>
      <c r="F157" s="1" t="s">
        <v>11</v>
      </c>
      <c r="G157">
        <v>1</v>
      </c>
      <c r="H157">
        <v>1</v>
      </c>
      <c r="I157" s="2"/>
      <c r="J157" s="2">
        <v>45734</v>
      </c>
      <c r="K157" s="2">
        <v>45736</v>
      </c>
    </row>
    <row r="158" spans="1:11" x14ac:dyDescent="0.25">
      <c r="A158" s="1" t="s">
        <v>129</v>
      </c>
      <c r="B158" s="1" t="s">
        <v>1050</v>
      </c>
      <c r="C158" s="1" t="s">
        <v>2059</v>
      </c>
      <c r="D158" s="1" t="s">
        <v>1998</v>
      </c>
      <c r="E158" s="1"/>
      <c r="F158" s="1" t="s">
        <v>11</v>
      </c>
      <c r="G158">
        <v>5</v>
      </c>
      <c r="H158">
        <v>5</v>
      </c>
      <c r="I158" s="2"/>
      <c r="J158" s="2">
        <v>45037</v>
      </c>
      <c r="K158" s="2">
        <v>45750</v>
      </c>
    </row>
    <row r="159" spans="1:11" x14ac:dyDescent="0.25">
      <c r="A159" s="1" t="s">
        <v>129</v>
      </c>
      <c r="B159" s="1" t="s">
        <v>1029</v>
      </c>
      <c r="C159" s="1" t="s">
        <v>2042</v>
      </c>
      <c r="D159" s="1" t="s">
        <v>1998</v>
      </c>
      <c r="E159" s="1"/>
      <c r="F159" s="1" t="s">
        <v>11</v>
      </c>
      <c r="G159">
        <v>270</v>
      </c>
      <c r="H159">
        <v>270</v>
      </c>
      <c r="I159" s="2"/>
      <c r="J159" s="2">
        <v>45037</v>
      </c>
      <c r="K159" s="2">
        <v>45750</v>
      </c>
    </row>
    <row r="160" spans="1:11" x14ac:dyDescent="0.25">
      <c r="A160" s="1" t="s">
        <v>129</v>
      </c>
      <c r="B160" s="1" t="s">
        <v>1030</v>
      </c>
      <c r="C160" s="1" t="s">
        <v>2043</v>
      </c>
      <c r="D160" s="1" t="s">
        <v>1998</v>
      </c>
      <c r="E160" s="1"/>
      <c r="F160" s="1" t="s">
        <v>11</v>
      </c>
      <c r="G160">
        <v>55</v>
      </c>
      <c r="H160">
        <v>55</v>
      </c>
      <c r="I160" s="2"/>
      <c r="J160" s="2">
        <v>45037</v>
      </c>
      <c r="K160" s="2">
        <v>45750</v>
      </c>
    </row>
    <row r="161" spans="1:11" x14ac:dyDescent="0.25">
      <c r="A161" s="1" t="s">
        <v>130</v>
      </c>
      <c r="B161" s="1" t="s">
        <v>1051</v>
      </c>
      <c r="C161" s="1" t="s">
        <v>2060</v>
      </c>
      <c r="D161" s="1" t="s">
        <v>1998</v>
      </c>
      <c r="E161" s="1"/>
      <c r="F161" s="1" t="s">
        <v>11</v>
      </c>
      <c r="G161">
        <v>70</v>
      </c>
      <c r="H161">
        <v>70</v>
      </c>
      <c r="I161" s="2"/>
      <c r="J161" s="2">
        <v>45770</v>
      </c>
      <c r="K161" s="2">
        <v>45770</v>
      </c>
    </row>
    <row r="162" spans="1:11" x14ac:dyDescent="0.25">
      <c r="A162" s="1" t="s">
        <v>131</v>
      </c>
      <c r="B162" s="1" t="s">
        <v>1051</v>
      </c>
      <c r="C162" s="1" t="s">
        <v>2060</v>
      </c>
      <c r="D162" s="1" t="s">
        <v>1998</v>
      </c>
      <c r="E162" s="1"/>
      <c r="F162" s="1" t="s">
        <v>11</v>
      </c>
      <c r="G162">
        <v>25</v>
      </c>
      <c r="H162">
        <v>115</v>
      </c>
      <c r="I162" s="2"/>
      <c r="J162" s="2">
        <v>45709</v>
      </c>
      <c r="K162" s="2">
        <v>45735</v>
      </c>
    </row>
    <row r="163" spans="1:11" x14ac:dyDescent="0.25">
      <c r="A163" s="1" t="s">
        <v>131</v>
      </c>
      <c r="B163" s="1" t="s">
        <v>1052</v>
      </c>
      <c r="C163" s="1" t="s">
        <v>2061</v>
      </c>
      <c r="D163" s="1" t="s">
        <v>1998</v>
      </c>
      <c r="E163" s="1"/>
      <c r="F163" s="1" t="s">
        <v>11</v>
      </c>
      <c r="G163">
        <v>5</v>
      </c>
      <c r="H163">
        <v>1</v>
      </c>
      <c r="I163" s="2"/>
      <c r="J163" s="2">
        <v>45709</v>
      </c>
      <c r="K163" s="2">
        <v>45735</v>
      </c>
    </row>
    <row r="164" spans="1:11" x14ac:dyDescent="0.25">
      <c r="A164" s="1" t="s">
        <v>131</v>
      </c>
      <c r="B164" s="1" t="s">
        <v>1052</v>
      </c>
      <c r="C164" s="1" t="s">
        <v>2061</v>
      </c>
      <c r="D164" s="1" t="s">
        <v>1998</v>
      </c>
      <c r="E164" s="1"/>
      <c r="F164" s="1" t="s">
        <v>11</v>
      </c>
      <c r="G164">
        <v>170</v>
      </c>
      <c r="H164">
        <v>1</v>
      </c>
      <c r="I164" s="2"/>
      <c r="J164" s="2">
        <v>45709</v>
      </c>
      <c r="K164" s="2">
        <v>45735</v>
      </c>
    </row>
    <row r="165" spans="1:11" x14ac:dyDescent="0.25">
      <c r="A165" s="1" t="s">
        <v>131</v>
      </c>
      <c r="B165" s="1" t="s">
        <v>1053</v>
      </c>
      <c r="C165" s="1" t="s">
        <v>2062</v>
      </c>
      <c r="D165" s="1" t="s">
        <v>1998</v>
      </c>
      <c r="E165" s="1"/>
      <c r="F165" s="1" t="s">
        <v>11</v>
      </c>
      <c r="G165">
        <v>55</v>
      </c>
      <c r="H165">
        <v>90</v>
      </c>
      <c r="I165" s="2"/>
      <c r="J165" s="2">
        <v>45709</v>
      </c>
      <c r="K165" s="2">
        <v>45735</v>
      </c>
    </row>
    <row r="166" spans="1:11" x14ac:dyDescent="0.25">
      <c r="A166" s="1" t="s">
        <v>131</v>
      </c>
      <c r="B166" s="1" t="s">
        <v>999</v>
      </c>
      <c r="C166" s="1" t="s">
        <v>2017</v>
      </c>
      <c r="D166" s="1" t="s">
        <v>1998</v>
      </c>
      <c r="E166" s="1"/>
      <c r="F166" s="1" t="s">
        <v>11</v>
      </c>
      <c r="G166">
        <v>1</v>
      </c>
      <c r="H166">
        <v>1</v>
      </c>
      <c r="I166" s="2"/>
      <c r="J166" s="2">
        <v>45709</v>
      </c>
      <c r="K166" s="2">
        <v>45735</v>
      </c>
    </row>
    <row r="167" spans="1:11" x14ac:dyDescent="0.25">
      <c r="A167" s="1" t="s">
        <v>131</v>
      </c>
      <c r="B167" s="1" t="s">
        <v>1000</v>
      </c>
      <c r="C167" s="1" t="s">
        <v>2018</v>
      </c>
      <c r="D167" s="1" t="s">
        <v>1998</v>
      </c>
      <c r="E167" s="1"/>
      <c r="F167" s="1" t="s">
        <v>11</v>
      </c>
      <c r="G167">
        <v>1</v>
      </c>
      <c r="H167">
        <v>1</v>
      </c>
      <c r="I167" s="2"/>
      <c r="J167" s="2">
        <v>45709</v>
      </c>
      <c r="K167" s="2">
        <v>45735</v>
      </c>
    </row>
    <row r="168" spans="1:11" x14ac:dyDescent="0.25">
      <c r="A168" s="1" t="s">
        <v>131</v>
      </c>
      <c r="B168" s="1" t="s">
        <v>1001</v>
      </c>
      <c r="C168" s="1" t="s">
        <v>2019</v>
      </c>
      <c r="D168" s="1" t="s">
        <v>1998</v>
      </c>
      <c r="E168" s="1"/>
      <c r="F168" s="1" t="s">
        <v>11</v>
      </c>
      <c r="G168">
        <v>1</v>
      </c>
      <c r="H168">
        <v>1</v>
      </c>
      <c r="I168" s="2"/>
      <c r="J168" s="2">
        <v>45709</v>
      </c>
      <c r="K168" s="2">
        <v>45735</v>
      </c>
    </row>
    <row r="169" spans="1:11" x14ac:dyDescent="0.25">
      <c r="A169" s="1" t="s">
        <v>132</v>
      </c>
      <c r="B169" s="1" t="s">
        <v>1054</v>
      </c>
      <c r="C169" s="1" t="s">
        <v>2063</v>
      </c>
      <c r="D169" s="1" t="s">
        <v>1998</v>
      </c>
      <c r="E169" s="1"/>
      <c r="F169" s="1" t="s">
        <v>11</v>
      </c>
      <c r="G169">
        <v>240</v>
      </c>
      <c r="H169">
        <v>370</v>
      </c>
      <c r="I169" s="2"/>
      <c r="J169" s="2">
        <v>45756</v>
      </c>
      <c r="K169" s="2">
        <v>45771</v>
      </c>
    </row>
    <row r="170" spans="1:11" x14ac:dyDescent="0.25">
      <c r="A170" s="1" t="s">
        <v>132</v>
      </c>
      <c r="B170" s="1" t="s">
        <v>1052</v>
      </c>
      <c r="C170" s="1" t="s">
        <v>2061</v>
      </c>
      <c r="D170" s="1" t="s">
        <v>1998</v>
      </c>
      <c r="E170" s="1"/>
      <c r="F170" s="1" t="s">
        <v>11</v>
      </c>
      <c r="G170">
        <v>25</v>
      </c>
      <c r="H170" t="e">
        <v>#NUM!</v>
      </c>
      <c r="I170" s="2"/>
      <c r="J170" s="2">
        <v>45756</v>
      </c>
      <c r="K170" s="2">
        <v>45771</v>
      </c>
    </row>
    <row r="171" spans="1:11" x14ac:dyDescent="0.25">
      <c r="A171" s="1" t="s">
        <v>132</v>
      </c>
      <c r="B171" s="1" t="s">
        <v>1055</v>
      </c>
      <c r="C171" s="1" t="s">
        <v>2064</v>
      </c>
      <c r="D171" s="1" t="s">
        <v>1998</v>
      </c>
      <c r="E171" s="1"/>
      <c r="F171" s="1" t="s">
        <v>11</v>
      </c>
      <c r="G171">
        <v>380</v>
      </c>
      <c r="H171">
        <v>595</v>
      </c>
      <c r="I171" s="2"/>
      <c r="J171" s="2">
        <v>45756</v>
      </c>
      <c r="K171" s="2">
        <v>45771</v>
      </c>
    </row>
    <row r="172" spans="1:11" x14ac:dyDescent="0.25">
      <c r="A172" s="1" t="s">
        <v>132</v>
      </c>
      <c r="B172" s="1" t="s">
        <v>999</v>
      </c>
      <c r="C172" s="1" t="s">
        <v>2017</v>
      </c>
      <c r="D172" s="1" t="s">
        <v>1998</v>
      </c>
      <c r="E172" s="1"/>
      <c r="F172" s="1" t="s">
        <v>11</v>
      </c>
      <c r="G172">
        <v>1</v>
      </c>
      <c r="H172">
        <v>1</v>
      </c>
      <c r="I172" s="2"/>
      <c r="J172" s="2">
        <v>45756</v>
      </c>
      <c r="K172" s="2">
        <v>45771</v>
      </c>
    </row>
    <row r="173" spans="1:11" x14ac:dyDescent="0.25">
      <c r="A173" s="1" t="s">
        <v>132</v>
      </c>
      <c r="B173" s="1" t="s">
        <v>1000</v>
      </c>
      <c r="C173" s="1" t="s">
        <v>2018</v>
      </c>
      <c r="D173" s="1" t="s">
        <v>1998</v>
      </c>
      <c r="E173" s="1"/>
      <c r="F173" s="1" t="s">
        <v>11</v>
      </c>
      <c r="G173">
        <v>1</v>
      </c>
      <c r="H173">
        <v>1</v>
      </c>
      <c r="I173" s="2"/>
      <c r="J173" s="2">
        <v>45756</v>
      </c>
      <c r="K173" s="2">
        <v>45771</v>
      </c>
    </row>
    <row r="174" spans="1:11" x14ac:dyDescent="0.25">
      <c r="A174" s="1" t="s">
        <v>132</v>
      </c>
      <c r="B174" s="1" t="s">
        <v>1001</v>
      </c>
      <c r="C174" s="1" t="s">
        <v>2019</v>
      </c>
      <c r="D174" s="1" t="s">
        <v>1998</v>
      </c>
      <c r="E174" s="1"/>
      <c r="F174" s="1" t="s">
        <v>11</v>
      </c>
      <c r="G174">
        <v>1</v>
      </c>
      <c r="H174">
        <v>1</v>
      </c>
      <c r="I174" s="2"/>
      <c r="J174" s="2">
        <v>45756</v>
      </c>
      <c r="K174" s="2">
        <v>45771</v>
      </c>
    </row>
    <row r="175" spans="1:11" x14ac:dyDescent="0.25">
      <c r="A175" s="1" t="s">
        <v>133</v>
      </c>
      <c r="B175" s="1" t="s">
        <v>1048</v>
      </c>
      <c r="C175" s="1" t="s">
        <v>2057</v>
      </c>
      <c r="D175" s="1" t="s">
        <v>1998</v>
      </c>
      <c r="E175" s="1"/>
      <c r="F175" s="1" t="s">
        <v>11</v>
      </c>
      <c r="G175">
        <v>1</v>
      </c>
      <c r="H175">
        <v>1</v>
      </c>
      <c r="I175" s="2"/>
      <c r="J175" s="2">
        <v>45502</v>
      </c>
      <c r="K175" s="2">
        <v>45777</v>
      </c>
    </row>
    <row r="176" spans="1:11" x14ac:dyDescent="0.25">
      <c r="A176" s="1" t="s">
        <v>133</v>
      </c>
      <c r="B176" s="1" t="s">
        <v>1047</v>
      </c>
      <c r="C176" s="1" t="s">
        <v>2056</v>
      </c>
      <c r="D176" s="1" t="s">
        <v>1998</v>
      </c>
      <c r="E176" s="1"/>
      <c r="F176" s="1" t="s">
        <v>11</v>
      </c>
      <c r="G176">
        <v>95</v>
      </c>
      <c r="H176">
        <v>80</v>
      </c>
      <c r="I176" s="2"/>
      <c r="J176" s="2">
        <v>45502</v>
      </c>
      <c r="K176" s="2">
        <v>45777</v>
      </c>
    </row>
    <row r="177" spans="1:11" x14ac:dyDescent="0.25">
      <c r="A177" s="1" t="s">
        <v>133</v>
      </c>
      <c r="B177" s="1" t="s">
        <v>1049</v>
      </c>
      <c r="C177" s="1" t="s">
        <v>2058</v>
      </c>
      <c r="D177" s="1" t="s">
        <v>1998</v>
      </c>
      <c r="E177" s="1"/>
      <c r="F177" s="1" t="s">
        <v>11</v>
      </c>
      <c r="G177">
        <v>1</v>
      </c>
      <c r="H177">
        <v>1</v>
      </c>
      <c r="I177" s="2"/>
      <c r="J177" s="2">
        <v>45502</v>
      </c>
      <c r="K177" s="2">
        <v>45777</v>
      </c>
    </row>
    <row r="178" spans="1:11" x14ac:dyDescent="0.25">
      <c r="A178" s="1" t="s">
        <v>134</v>
      </c>
      <c r="B178" s="1" t="s">
        <v>1056</v>
      </c>
      <c r="C178" s="1" t="s">
        <v>2065</v>
      </c>
      <c r="D178" s="1" t="s">
        <v>1998</v>
      </c>
      <c r="E178" s="1"/>
      <c r="F178" s="1" t="s">
        <v>11</v>
      </c>
      <c r="G178">
        <v>70</v>
      </c>
      <c r="H178">
        <v>80</v>
      </c>
      <c r="I178" s="2"/>
      <c r="J178" s="2">
        <v>45744</v>
      </c>
      <c r="K178" s="2">
        <v>45765</v>
      </c>
    </row>
    <row r="179" spans="1:11" x14ac:dyDescent="0.25">
      <c r="A179" s="1" t="s">
        <v>134</v>
      </c>
      <c r="B179" s="1" t="s">
        <v>1057</v>
      </c>
      <c r="C179" s="1" t="s">
        <v>2066</v>
      </c>
      <c r="D179" s="1" t="s">
        <v>1998</v>
      </c>
      <c r="E179" s="1"/>
      <c r="F179" s="1" t="s">
        <v>11</v>
      </c>
      <c r="G179">
        <v>5</v>
      </c>
      <c r="H179">
        <v>240</v>
      </c>
      <c r="I179" s="2"/>
      <c r="J179" s="2">
        <v>45744</v>
      </c>
      <c r="K179" s="2">
        <v>45765</v>
      </c>
    </row>
    <row r="180" spans="1:11" x14ac:dyDescent="0.25">
      <c r="A180" s="1" t="s">
        <v>134</v>
      </c>
      <c r="B180" s="1" t="s">
        <v>1058</v>
      </c>
      <c r="C180" s="1" t="s">
        <v>2027</v>
      </c>
      <c r="D180" s="1" t="s">
        <v>1998</v>
      </c>
      <c r="E180" s="1"/>
      <c r="F180" s="1" t="s">
        <v>11</v>
      </c>
      <c r="G180">
        <v>60</v>
      </c>
      <c r="H180">
        <v>60</v>
      </c>
      <c r="I180" s="2"/>
      <c r="J180" s="2">
        <v>45744</v>
      </c>
      <c r="K180" s="2">
        <v>45765</v>
      </c>
    </row>
    <row r="181" spans="1:11" x14ac:dyDescent="0.25">
      <c r="A181" s="1" t="s">
        <v>134</v>
      </c>
      <c r="B181" s="1" t="s">
        <v>1059</v>
      </c>
      <c r="C181" s="1" t="s">
        <v>2027</v>
      </c>
      <c r="D181" s="1" t="s">
        <v>1998</v>
      </c>
      <c r="E181" s="1"/>
      <c r="F181" s="1" t="s">
        <v>11</v>
      </c>
      <c r="G181">
        <v>60</v>
      </c>
      <c r="H181">
        <v>60</v>
      </c>
      <c r="I181" s="2"/>
      <c r="J181" s="2">
        <v>45744</v>
      </c>
      <c r="K181" s="2">
        <v>45765</v>
      </c>
    </row>
    <row r="182" spans="1:11" x14ac:dyDescent="0.25">
      <c r="A182" s="1" t="s">
        <v>134</v>
      </c>
      <c r="B182" s="1" t="s">
        <v>1060</v>
      </c>
      <c r="C182" s="1" t="s">
        <v>2067</v>
      </c>
      <c r="D182" s="1" t="s">
        <v>1998</v>
      </c>
      <c r="E182" s="1"/>
      <c r="F182" s="1" t="s">
        <v>11</v>
      </c>
      <c r="G182">
        <v>95</v>
      </c>
      <c r="H182">
        <v>95</v>
      </c>
      <c r="I182" s="2"/>
      <c r="J182" s="2">
        <v>45744</v>
      </c>
      <c r="K182" s="2">
        <v>45765</v>
      </c>
    </row>
    <row r="183" spans="1:11" x14ac:dyDescent="0.25">
      <c r="A183" s="1" t="s">
        <v>135</v>
      </c>
      <c r="B183" s="1" t="s">
        <v>1061</v>
      </c>
      <c r="C183" s="1" t="s">
        <v>2068</v>
      </c>
      <c r="D183" s="1" t="s">
        <v>1998</v>
      </c>
      <c r="E183" s="1"/>
      <c r="F183" s="1" t="s">
        <v>11</v>
      </c>
      <c r="G183">
        <v>225</v>
      </c>
      <c r="H183">
        <v>205</v>
      </c>
      <c r="I183" s="2"/>
      <c r="J183" s="2">
        <v>45727</v>
      </c>
      <c r="K183" s="2">
        <v>45733</v>
      </c>
    </row>
    <row r="184" spans="1:11" x14ac:dyDescent="0.25">
      <c r="A184" s="1" t="s">
        <v>136</v>
      </c>
      <c r="B184" s="1" t="s">
        <v>1016</v>
      </c>
      <c r="C184" s="1" t="s">
        <v>2033</v>
      </c>
      <c r="D184" s="1" t="s">
        <v>1998</v>
      </c>
      <c r="E184" s="1"/>
      <c r="F184" s="1" t="s">
        <v>11</v>
      </c>
      <c r="G184">
        <v>5</v>
      </c>
      <c r="H184">
        <v>5</v>
      </c>
      <c r="I184" s="2"/>
      <c r="J184" s="2">
        <v>45720</v>
      </c>
      <c r="K184" s="2">
        <v>45775</v>
      </c>
    </row>
    <row r="185" spans="1:11" x14ac:dyDescent="0.25">
      <c r="A185" s="1" t="s">
        <v>136</v>
      </c>
      <c r="B185" s="1" t="s">
        <v>1017</v>
      </c>
      <c r="C185" s="1" t="s">
        <v>2034</v>
      </c>
      <c r="D185" s="1" t="s">
        <v>1998</v>
      </c>
      <c r="E185" s="1"/>
      <c r="F185" s="1" t="s">
        <v>11</v>
      </c>
      <c r="G185">
        <v>10</v>
      </c>
      <c r="H185">
        <v>10</v>
      </c>
      <c r="I185" s="2"/>
      <c r="J185" s="2">
        <v>45720</v>
      </c>
      <c r="K185" s="2">
        <v>45775</v>
      </c>
    </row>
    <row r="186" spans="1:11" x14ac:dyDescent="0.25">
      <c r="A186" s="1" t="s">
        <v>136</v>
      </c>
      <c r="B186" s="1" t="s">
        <v>1018</v>
      </c>
      <c r="C186" s="1" t="s">
        <v>2035</v>
      </c>
      <c r="D186" s="1" t="s">
        <v>1998</v>
      </c>
      <c r="E186" s="1"/>
      <c r="F186" s="1" t="s">
        <v>11</v>
      </c>
      <c r="G186">
        <v>50</v>
      </c>
      <c r="H186">
        <v>125</v>
      </c>
      <c r="I186" s="2"/>
      <c r="J186" s="2">
        <v>45720</v>
      </c>
      <c r="K186" s="2">
        <v>45775</v>
      </c>
    </row>
    <row r="187" spans="1:11" x14ac:dyDescent="0.25">
      <c r="A187" s="1" t="s">
        <v>136</v>
      </c>
      <c r="B187" s="1" t="s">
        <v>1018</v>
      </c>
      <c r="C187" s="1" t="s">
        <v>2035</v>
      </c>
      <c r="D187" s="1" t="s">
        <v>1998</v>
      </c>
      <c r="E187" s="1"/>
      <c r="F187" s="1" t="s">
        <v>11</v>
      </c>
      <c r="G187">
        <v>105</v>
      </c>
      <c r="H187">
        <v>55</v>
      </c>
      <c r="I187" s="2"/>
      <c r="J187" s="2">
        <v>45720</v>
      </c>
      <c r="K187" s="2">
        <v>45775</v>
      </c>
    </row>
    <row r="188" spans="1:11" x14ac:dyDescent="0.25">
      <c r="A188" s="1" t="s">
        <v>136</v>
      </c>
      <c r="B188" s="1" t="s">
        <v>999</v>
      </c>
      <c r="C188" s="1" t="s">
        <v>2017</v>
      </c>
      <c r="D188" s="1" t="s">
        <v>1998</v>
      </c>
      <c r="E188" s="1"/>
      <c r="F188" s="1" t="s">
        <v>11</v>
      </c>
      <c r="G188">
        <v>1</v>
      </c>
      <c r="H188">
        <v>1</v>
      </c>
      <c r="I188" s="2"/>
      <c r="J188" s="2">
        <v>45720</v>
      </c>
      <c r="K188" s="2">
        <v>45775</v>
      </c>
    </row>
    <row r="189" spans="1:11" x14ac:dyDescent="0.25">
      <c r="A189" s="1" t="s">
        <v>136</v>
      </c>
      <c r="B189" s="1" t="s">
        <v>1000</v>
      </c>
      <c r="C189" s="1" t="s">
        <v>2018</v>
      </c>
      <c r="D189" s="1" t="s">
        <v>1998</v>
      </c>
      <c r="E189" s="1"/>
      <c r="F189" s="1" t="s">
        <v>11</v>
      </c>
      <c r="G189">
        <v>1</v>
      </c>
      <c r="H189">
        <v>1</v>
      </c>
      <c r="I189" s="2"/>
      <c r="J189" s="2">
        <v>45720</v>
      </c>
      <c r="K189" s="2">
        <v>45775</v>
      </c>
    </row>
    <row r="190" spans="1:11" x14ac:dyDescent="0.25">
      <c r="A190" s="1" t="s">
        <v>136</v>
      </c>
      <c r="B190" s="1" t="s">
        <v>1001</v>
      </c>
      <c r="C190" s="1" t="s">
        <v>2019</v>
      </c>
      <c r="D190" s="1" t="s">
        <v>1998</v>
      </c>
      <c r="E190" s="1"/>
      <c r="F190" s="1" t="s">
        <v>11</v>
      </c>
      <c r="G190">
        <v>1</v>
      </c>
      <c r="H190">
        <v>1</v>
      </c>
      <c r="I190" s="2"/>
      <c r="J190" s="2">
        <v>45720</v>
      </c>
      <c r="K190" s="2">
        <v>45775</v>
      </c>
    </row>
    <row r="191" spans="1:11" x14ac:dyDescent="0.25">
      <c r="A191" s="1" t="s">
        <v>136</v>
      </c>
      <c r="B191" s="1" t="s">
        <v>1019</v>
      </c>
      <c r="C191" s="1" t="s">
        <v>2036</v>
      </c>
      <c r="D191" s="1" t="s">
        <v>1998</v>
      </c>
      <c r="E191" s="1"/>
      <c r="F191" s="1" t="s">
        <v>11</v>
      </c>
      <c r="G191">
        <v>180</v>
      </c>
      <c r="H191">
        <v>180</v>
      </c>
      <c r="I191" s="2"/>
      <c r="J191" s="2">
        <v>45720</v>
      </c>
      <c r="K191" s="2">
        <v>45775</v>
      </c>
    </row>
    <row r="192" spans="1:11" x14ac:dyDescent="0.25">
      <c r="A192" s="1" t="s">
        <v>136</v>
      </c>
      <c r="B192" s="1" t="s">
        <v>1020</v>
      </c>
      <c r="C192" s="1" t="s">
        <v>2037</v>
      </c>
      <c r="D192" s="1" t="s">
        <v>1998</v>
      </c>
      <c r="E192" s="1"/>
      <c r="F192" s="1" t="s">
        <v>11</v>
      </c>
      <c r="G192">
        <v>485</v>
      </c>
      <c r="H192">
        <v>485</v>
      </c>
      <c r="I192" s="2"/>
      <c r="J192" s="2">
        <v>45720</v>
      </c>
      <c r="K192" s="2">
        <v>45775</v>
      </c>
    </row>
    <row r="193" spans="1:11" x14ac:dyDescent="0.25">
      <c r="A193" s="1" t="s">
        <v>137</v>
      </c>
      <c r="B193" s="1" t="s">
        <v>1016</v>
      </c>
      <c r="C193" s="1" t="s">
        <v>2033</v>
      </c>
      <c r="D193" s="1" t="s">
        <v>1998</v>
      </c>
      <c r="E193" s="1"/>
      <c r="F193" s="1" t="s">
        <v>11</v>
      </c>
      <c r="G193">
        <v>20</v>
      </c>
      <c r="H193">
        <v>10</v>
      </c>
      <c r="I193" s="2"/>
      <c r="J193" s="2">
        <v>45770</v>
      </c>
      <c r="K193" s="2">
        <v>45776</v>
      </c>
    </row>
    <row r="194" spans="1:11" x14ac:dyDescent="0.25">
      <c r="A194" s="1" t="s">
        <v>137</v>
      </c>
      <c r="B194" s="1" t="s">
        <v>1017</v>
      </c>
      <c r="C194" s="1" t="s">
        <v>2034</v>
      </c>
      <c r="D194" s="1" t="s">
        <v>1998</v>
      </c>
      <c r="E194" s="1"/>
      <c r="F194" s="1" t="s">
        <v>11</v>
      </c>
      <c r="G194">
        <v>45</v>
      </c>
      <c r="H194">
        <v>45</v>
      </c>
      <c r="I194" s="2"/>
      <c r="J194" s="2">
        <v>45770</v>
      </c>
      <c r="K194" s="2">
        <v>45776</v>
      </c>
    </row>
    <row r="195" spans="1:11" x14ac:dyDescent="0.25">
      <c r="A195" s="1" t="s">
        <v>137</v>
      </c>
      <c r="B195" s="1" t="s">
        <v>1018</v>
      </c>
      <c r="C195" s="1" t="s">
        <v>2035</v>
      </c>
      <c r="D195" s="1" t="s">
        <v>1998</v>
      </c>
      <c r="E195" s="1"/>
      <c r="F195" s="1" t="s">
        <v>11</v>
      </c>
      <c r="G195">
        <v>205</v>
      </c>
      <c r="H195">
        <v>45</v>
      </c>
      <c r="I195" s="2"/>
      <c r="J195" s="2">
        <v>45770</v>
      </c>
      <c r="K195" s="2">
        <v>45776</v>
      </c>
    </row>
    <row r="196" spans="1:11" x14ac:dyDescent="0.25">
      <c r="A196" s="1" t="s">
        <v>137</v>
      </c>
      <c r="B196" s="1" t="s">
        <v>999</v>
      </c>
      <c r="C196" s="1" t="s">
        <v>2017</v>
      </c>
      <c r="D196" s="1" t="s">
        <v>1998</v>
      </c>
      <c r="E196" s="1"/>
      <c r="F196" s="1" t="s">
        <v>11</v>
      </c>
      <c r="G196">
        <v>1</v>
      </c>
      <c r="H196">
        <v>1</v>
      </c>
      <c r="I196" s="2"/>
      <c r="J196" s="2">
        <v>45770</v>
      </c>
      <c r="K196" s="2">
        <v>45776</v>
      </c>
    </row>
    <row r="197" spans="1:11" x14ac:dyDescent="0.25">
      <c r="A197" s="1" t="s">
        <v>137</v>
      </c>
      <c r="B197" s="1" t="s">
        <v>1000</v>
      </c>
      <c r="C197" s="1" t="s">
        <v>2018</v>
      </c>
      <c r="D197" s="1" t="s">
        <v>1998</v>
      </c>
      <c r="E197" s="1"/>
      <c r="F197" s="1" t="s">
        <v>11</v>
      </c>
      <c r="G197">
        <v>1</v>
      </c>
      <c r="H197">
        <v>1</v>
      </c>
      <c r="I197" s="2"/>
      <c r="J197" s="2">
        <v>45770</v>
      </c>
      <c r="K197" s="2">
        <v>45776</v>
      </c>
    </row>
    <row r="198" spans="1:11" x14ac:dyDescent="0.25">
      <c r="A198" s="1" t="s">
        <v>137</v>
      </c>
      <c r="B198" s="1" t="s">
        <v>1001</v>
      </c>
      <c r="C198" s="1" t="s">
        <v>2019</v>
      </c>
      <c r="D198" s="1" t="s">
        <v>1998</v>
      </c>
      <c r="E198" s="1"/>
      <c r="F198" s="1" t="s">
        <v>11</v>
      </c>
      <c r="G198">
        <v>1</v>
      </c>
      <c r="H198">
        <v>1</v>
      </c>
      <c r="I198" s="2"/>
      <c r="J198" s="2">
        <v>45770</v>
      </c>
      <c r="K198" s="2">
        <v>45776</v>
      </c>
    </row>
    <row r="199" spans="1:11" x14ac:dyDescent="0.25">
      <c r="A199" s="1" t="s">
        <v>137</v>
      </c>
      <c r="B199" s="1" t="s">
        <v>1019</v>
      </c>
      <c r="C199" s="1" t="s">
        <v>2036</v>
      </c>
      <c r="D199" s="1" t="s">
        <v>1998</v>
      </c>
      <c r="E199" s="1"/>
      <c r="F199" s="1" t="s">
        <v>11</v>
      </c>
      <c r="G199">
        <v>730</v>
      </c>
      <c r="H199">
        <v>730</v>
      </c>
      <c r="I199" s="2"/>
      <c r="J199" s="2">
        <v>45770</v>
      </c>
      <c r="K199" s="2">
        <v>45776</v>
      </c>
    </row>
    <row r="200" spans="1:11" x14ac:dyDescent="0.25">
      <c r="A200" s="1" t="s">
        <v>137</v>
      </c>
      <c r="B200" s="1" t="s">
        <v>1020</v>
      </c>
      <c r="C200" s="1" t="s">
        <v>2037</v>
      </c>
      <c r="D200" s="1" t="s">
        <v>1998</v>
      </c>
      <c r="E200" s="1"/>
      <c r="F200" s="1" t="s">
        <v>11</v>
      </c>
      <c r="G200">
        <v>1950</v>
      </c>
      <c r="H200">
        <v>1950</v>
      </c>
      <c r="I200" s="2"/>
      <c r="J200" s="2">
        <v>45770</v>
      </c>
      <c r="K200" s="2">
        <v>45776</v>
      </c>
    </row>
    <row r="201" spans="1:11" x14ac:dyDescent="0.25">
      <c r="A201" s="1" t="s">
        <v>138</v>
      </c>
      <c r="B201" s="1" t="s">
        <v>1062</v>
      </c>
      <c r="C201" s="1" t="s">
        <v>2069</v>
      </c>
      <c r="D201" s="1" t="s">
        <v>1998</v>
      </c>
      <c r="E201" s="1"/>
      <c r="F201" s="1" t="s">
        <v>11</v>
      </c>
      <c r="G201">
        <v>5</v>
      </c>
      <c r="H201">
        <v>1</v>
      </c>
      <c r="I201" s="2"/>
      <c r="J201" s="2">
        <v>45429</v>
      </c>
      <c r="K201" s="2">
        <v>45750</v>
      </c>
    </row>
    <row r="202" spans="1:11" x14ac:dyDescent="0.25">
      <c r="A202" s="1" t="s">
        <v>138</v>
      </c>
      <c r="B202" s="1" t="s">
        <v>1063</v>
      </c>
      <c r="C202" s="1" t="s">
        <v>2069</v>
      </c>
      <c r="D202" s="1" t="s">
        <v>1998</v>
      </c>
      <c r="E202" s="1"/>
      <c r="F202" s="1" t="s">
        <v>11</v>
      </c>
      <c r="G202">
        <v>5</v>
      </c>
      <c r="H202">
        <v>1</v>
      </c>
      <c r="I202" s="2"/>
      <c r="J202" s="2">
        <v>45429</v>
      </c>
      <c r="K202" s="2">
        <v>45750</v>
      </c>
    </row>
    <row r="203" spans="1:11" x14ac:dyDescent="0.25">
      <c r="A203" s="1" t="s">
        <v>138</v>
      </c>
      <c r="B203" s="1" t="s">
        <v>1064</v>
      </c>
      <c r="C203" s="1" t="s">
        <v>2070</v>
      </c>
      <c r="D203" s="1" t="s">
        <v>1998</v>
      </c>
      <c r="E203" s="1"/>
      <c r="F203" s="1" t="s">
        <v>11</v>
      </c>
      <c r="G203">
        <v>20</v>
      </c>
      <c r="H203">
        <v>20</v>
      </c>
      <c r="I203" s="2"/>
      <c r="J203" s="2">
        <v>45429</v>
      </c>
      <c r="K203" s="2">
        <v>45750</v>
      </c>
    </row>
    <row r="204" spans="1:11" x14ac:dyDescent="0.25">
      <c r="A204" s="1" t="s">
        <v>138</v>
      </c>
      <c r="B204" s="1" t="s">
        <v>1064</v>
      </c>
      <c r="C204" s="1" t="s">
        <v>2070</v>
      </c>
      <c r="D204" s="1" t="s">
        <v>1998</v>
      </c>
      <c r="E204" s="1"/>
      <c r="F204" s="1" t="s">
        <v>11</v>
      </c>
      <c r="G204">
        <v>5</v>
      </c>
      <c r="H204">
        <v>5</v>
      </c>
      <c r="I204" s="2"/>
      <c r="J204" s="2">
        <v>45429</v>
      </c>
      <c r="K204" s="2">
        <v>45750</v>
      </c>
    </row>
    <row r="205" spans="1:11" x14ac:dyDescent="0.25">
      <c r="A205" s="1" t="s">
        <v>138</v>
      </c>
      <c r="B205" s="1" t="s">
        <v>1064</v>
      </c>
      <c r="C205" s="1" t="s">
        <v>2070</v>
      </c>
      <c r="D205" s="1" t="s">
        <v>1998</v>
      </c>
      <c r="E205" s="1"/>
      <c r="F205" s="1" t="s">
        <v>11</v>
      </c>
      <c r="G205">
        <v>5</v>
      </c>
      <c r="H205">
        <v>5</v>
      </c>
      <c r="I205" s="2"/>
      <c r="J205" s="2">
        <v>45429</v>
      </c>
      <c r="K205" s="2">
        <v>45750</v>
      </c>
    </row>
    <row r="206" spans="1:11" x14ac:dyDescent="0.25">
      <c r="A206" s="1" t="s">
        <v>138</v>
      </c>
      <c r="B206" s="1" t="s">
        <v>1064</v>
      </c>
      <c r="C206" s="1" t="s">
        <v>2070</v>
      </c>
      <c r="D206" s="1" t="s">
        <v>1998</v>
      </c>
      <c r="E206" s="1"/>
      <c r="F206" s="1" t="s">
        <v>11</v>
      </c>
      <c r="G206">
        <v>5</v>
      </c>
      <c r="H206">
        <v>5</v>
      </c>
      <c r="I206" s="2"/>
      <c r="J206" s="2">
        <v>45429</v>
      </c>
      <c r="K206" s="2">
        <v>45750</v>
      </c>
    </row>
    <row r="207" spans="1:11" x14ac:dyDescent="0.25">
      <c r="A207" s="1" t="s">
        <v>138</v>
      </c>
      <c r="B207" s="1" t="s">
        <v>1064</v>
      </c>
      <c r="C207" s="1" t="s">
        <v>2070</v>
      </c>
      <c r="D207" s="1" t="s">
        <v>1998</v>
      </c>
      <c r="E207" s="1"/>
      <c r="F207" s="1" t="s">
        <v>11</v>
      </c>
      <c r="G207">
        <v>10</v>
      </c>
      <c r="H207">
        <v>10</v>
      </c>
      <c r="I207" s="2"/>
      <c r="J207" s="2">
        <v>45429</v>
      </c>
      <c r="K207" s="2">
        <v>45750</v>
      </c>
    </row>
    <row r="208" spans="1:11" x14ac:dyDescent="0.25">
      <c r="A208" s="1" t="s">
        <v>138</v>
      </c>
      <c r="B208" s="1" t="s">
        <v>1065</v>
      </c>
      <c r="C208" s="1" t="s">
        <v>2071</v>
      </c>
      <c r="D208" s="1" t="s">
        <v>1998</v>
      </c>
      <c r="E208" s="1"/>
      <c r="F208" s="1" t="s">
        <v>11</v>
      </c>
      <c r="G208">
        <v>20</v>
      </c>
      <c r="H208">
        <v>20</v>
      </c>
      <c r="I208" s="2"/>
      <c r="J208" s="2">
        <v>45429</v>
      </c>
      <c r="K208" s="2">
        <v>45750</v>
      </c>
    </row>
    <row r="209" spans="1:11" x14ac:dyDescent="0.25">
      <c r="A209" s="1" t="s">
        <v>138</v>
      </c>
      <c r="B209" s="1" t="s">
        <v>1066</v>
      </c>
      <c r="C209" s="1" t="s">
        <v>2072</v>
      </c>
      <c r="D209" s="1" t="s">
        <v>1998</v>
      </c>
      <c r="E209" s="1"/>
      <c r="F209" s="1" t="s">
        <v>11</v>
      </c>
      <c r="G209">
        <v>270</v>
      </c>
      <c r="H209">
        <v>270</v>
      </c>
      <c r="I209" s="2"/>
      <c r="J209" s="2">
        <v>45429</v>
      </c>
      <c r="K209" s="2">
        <v>45750</v>
      </c>
    </row>
    <row r="210" spans="1:11" x14ac:dyDescent="0.25">
      <c r="A210" s="1" t="s">
        <v>138</v>
      </c>
      <c r="B210" s="1" t="s">
        <v>1067</v>
      </c>
      <c r="C210" s="1" t="s">
        <v>2073</v>
      </c>
      <c r="D210" s="1" t="s">
        <v>1998</v>
      </c>
      <c r="E210" s="1"/>
      <c r="F210" s="1" t="s">
        <v>11</v>
      </c>
      <c r="G210">
        <v>1</v>
      </c>
      <c r="H210">
        <v>1</v>
      </c>
      <c r="I210" s="2"/>
      <c r="J210" s="2">
        <v>45429</v>
      </c>
      <c r="K210" s="2">
        <v>45750</v>
      </c>
    </row>
    <row r="211" spans="1:11" x14ac:dyDescent="0.25">
      <c r="A211" s="1" t="s">
        <v>138</v>
      </c>
      <c r="B211" s="1" t="s">
        <v>1068</v>
      </c>
      <c r="C211" s="1" t="s">
        <v>2074</v>
      </c>
      <c r="D211" s="1" t="s">
        <v>1998</v>
      </c>
      <c r="E211" s="1"/>
      <c r="F211" s="1" t="s">
        <v>11</v>
      </c>
      <c r="G211">
        <v>5</v>
      </c>
      <c r="H211">
        <v>1</v>
      </c>
      <c r="I211" s="2"/>
      <c r="J211" s="2">
        <v>45429</v>
      </c>
      <c r="K211" s="2">
        <v>45750</v>
      </c>
    </row>
    <row r="212" spans="1:11" x14ac:dyDescent="0.25">
      <c r="A212" s="1" t="s">
        <v>138</v>
      </c>
      <c r="B212" s="1" t="s">
        <v>1069</v>
      </c>
      <c r="C212" s="1" t="s">
        <v>2075</v>
      </c>
      <c r="D212" s="1" t="s">
        <v>1998</v>
      </c>
      <c r="E212" s="1"/>
      <c r="F212" s="1" t="s">
        <v>11</v>
      </c>
      <c r="G212">
        <v>1</v>
      </c>
      <c r="H212">
        <v>1</v>
      </c>
      <c r="I212" s="2"/>
      <c r="J212" s="2">
        <v>45429</v>
      </c>
      <c r="K212" s="2">
        <v>45750</v>
      </c>
    </row>
    <row r="213" spans="1:11" x14ac:dyDescent="0.25">
      <c r="A213" s="1" t="s">
        <v>138</v>
      </c>
      <c r="B213" s="1" t="s">
        <v>1070</v>
      </c>
      <c r="C213" s="1" t="s">
        <v>2076</v>
      </c>
      <c r="D213" s="1" t="s">
        <v>1998</v>
      </c>
      <c r="E213" s="1"/>
      <c r="F213" s="1" t="s">
        <v>11</v>
      </c>
      <c r="G213">
        <v>1</v>
      </c>
      <c r="H213">
        <v>1</v>
      </c>
      <c r="I213" s="2"/>
      <c r="J213" s="2">
        <v>45429</v>
      </c>
      <c r="K213" s="2">
        <v>45750</v>
      </c>
    </row>
    <row r="214" spans="1:11" x14ac:dyDescent="0.25">
      <c r="A214" s="1" t="s">
        <v>138</v>
      </c>
      <c r="B214" s="1" t="s">
        <v>1071</v>
      </c>
      <c r="C214" s="1" t="s">
        <v>2077</v>
      </c>
      <c r="D214" s="1" t="s">
        <v>1998</v>
      </c>
      <c r="E214" s="1"/>
      <c r="F214" s="1" t="s">
        <v>11</v>
      </c>
      <c r="G214">
        <v>25</v>
      </c>
      <c r="H214">
        <v>25</v>
      </c>
      <c r="I214" s="2"/>
      <c r="J214" s="2">
        <v>45429</v>
      </c>
      <c r="K214" s="2">
        <v>45750</v>
      </c>
    </row>
    <row r="215" spans="1:11" x14ac:dyDescent="0.25">
      <c r="A215" s="1" t="s">
        <v>138</v>
      </c>
      <c r="B215" s="1" t="s">
        <v>1072</v>
      </c>
      <c r="C215" s="1" t="s">
        <v>2077</v>
      </c>
      <c r="D215" s="1" t="s">
        <v>1998</v>
      </c>
      <c r="E215" s="1"/>
      <c r="F215" s="1" t="s">
        <v>11</v>
      </c>
      <c r="G215">
        <v>25</v>
      </c>
      <c r="H215">
        <v>25</v>
      </c>
      <c r="I215" s="2"/>
      <c r="J215" s="2">
        <v>45429</v>
      </c>
      <c r="K215" s="2">
        <v>45750</v>
      </c>
    </row>
    <row r="216" spans="1:11" x14ac:dyDescent="0.25">
      <c r="A216" s="1" t="s">
        <v>138</v>
      </c>
      <c r="B216" s="1" t="s">
        <v>1073</v>
      </c>
      <c r="C216" s="1" t="s">
        <v>2077</v>
      </c>
      <c r="D216" s="1" t="s">
        <v>1998</v>
      </c>
      <c r="E216" s="1"/>
      <c r="F216" s="1" t="s">
        <v>11</v>
      </c>
      <c r="G216">
        <v>25</v>
      </c>
      <c r="H216">
        <v>25</v>
      </c>
      <c r="I216" s="2"/>
      <c r="J216" s="2">
        <v>45429</v>
      </c>
      <c r="K216" s="2">
        <v>45750</v>
      </c>
    </row>
    <row r="217" spans="1:11" x14ac:dyDescent="0.25">
      <c r="A217" s="1" t="s">
        <v>138</v>
      </c>
      <c r="B217" s="1" t="s">
        <v>1074</v>
      </c>
      <c r="C217" s="1" t="s">
        <v>2077</v>
      </c>
      <c r="D217" s="1" t="s">
        <v>1998</v>
      </c>
      <c r="E217" s="1"/>
      <c r="F217" s="1" t="s">
        <v>11</v>
      </c>
      <c r="G217">
        <v>25</v>
      </c>
      <c r="H217">
        <v>25</v>
      </c>
      <c r="I217" s="2"/>
      <c r="J217" s="2">
        <v>45429</v>
      </c>
      <c r="K217" s="2">
        <v>45750</v>
      </c>
    </row>
    <row r="218" spans="1:11" x14ac:dyDescent="0.25">
      <c r="A218" s="1" t="s">
        <v>139</v>
      </c>
      <c r="B218" s="1" t="s">
        <v>995</v>
      </c>
      <c r="C218" s="1" t="s">
        <v>2013</v>
      </c>
      <c r="D218" s="1" t="s">
        <v>1998</v>
      </c>
      <c r="E218" s="1"/>
      <c r="F218" s="1" t="s">
        <v>11</v>
      </c>
      <c r="G218">
        <v>155</v>
      </c>
      <c r="H218">
        <v>10</v>
      </c>
      <c r="I218" s="2"/>
      <c r="J218" s="2">
        <v>45758</v>
      </c>
      <c r="K218" s="2">
        <v>45782</v>
      </c>
    </row>
    <row r="219" spans="1:11" x14ac:dyDescent="0.25">
      <c r="A219" s="1" t="s">
        <v>139</v>
      </c>
      <c r="B219" s="1" t="s">
        <v>1075</v>
      </c>
      <c r="C219" s="1" t="s">
        <v>2078</v>
      </c>
      <c r="D219" s="1" t="s">
        <v>1998</v>
      </c>
      <c r="E219" s="1"/>
      <c r="F219" s="1" t="s">
        <v>11</v>
      </c>
      <c r="G219">
        <v>230</v>
      </c>
      <c r="H219">
        <v>235</v>
      </c>
      <c r="I219" s="2"/>
      <c r="J219" s="2">
        <v>45758</v>
      </c>
      <c r="K219" s="2">
        <v>45782</v>
      </c>
    </row>
    <row r="220" spans="1:11" x14ac:dyDescent="0.25">
      <c r="A220" s="1" t="s">
        <v>139</v>
      </c>
      <c r="B220" s="1" t="s">
        <v>1052</v>
      </c>
      <c r="C220" s="1" t="s">
        <v>2061</v>
      </c>
      <c r="D220" s="1" t="s">
        <v>1998</v>
      </c>
      <c r="E220" s="1"/>
      <c r="F220" s="1" t="s">
        <v>11</v>
      </c>
      <c r="G220">
        <v>2140</v>
      </c>
      <c r="H220">
        <v>2140</v>
      </c>
      <c r="I220" s="2"/>
      <c r="J220" s="2">
        <v>45758</v>
      </c>
      <c r="K220" s="2">
        <v>45782</v>
      </c>
    </row>
    <row r="221" spans="1:11" x14ac:dyDescent="0.25">
      <c r="A221" s="1" t="s">
        <v>139</v>
      </c>
      <c r="B221" s="1" t="s">
        <v>1052</v>
      </c>
      <c r="C221" s="1" t="s">
        <v>2061</v>
      </c>
      <c r="D221" s="1" t="s">
        <v>1998</v>
      </c>
      <c r="E221" s="1"/>
      <c r="F221" s="1" t="s">
        <v>11</v>
      </c>
      <c r="G221">
        <v>260</v>
      </c>
      <c r="H221">
        <v>260</v>
      </c>
      <c r="I221" s="2"/>
      <c r="J221" s="2">
        <v>45758</v>
      </c>
      <c r="K221" s="2">
        <v>45782</v>
      </c>
    </row>
    <row r="222" spans="1:11" x14ac:dyDescent="0.25">
      <c r="A222" s="1" t="s">
        <v>139</v>
      </c>
      <c r="B222" s="1" t="s">
        <v>999</v>
      </c>
      <c r="C222" s="1" t="s">
        <v>2017</v>
      </c>
      <c r="D222" s="1" t="s">
        <v>1998</v>
      </c>
      <c r="E222" s="1"/>
      <c r="F222" s="1" t="s">
        <v>11</v>
      </c>
      <c r="G222">
        <v>1</v>
      </c>
      <c r="H222">
        <v>1</v>
      </c>
      <c r="I222" s="2"/>
      <c r="J222" s="2">
        <v>45758</v>
      </c>
      <c r="K222" s="2">
        <v>45782</v>
      </c>
    </row>
    <row r="223" spans="1:11" x14ac:dyDescent="0.25">
      <c r="A223" s="1" t="s">
        <v>139</v>
      </c>
      <c r="B223" s="1" t="s">
        <v>1000</v>
      </c>
      <c r="C223" s="1" t="s">
        <v>2018</v>
      </c>
      <c r="D223" s="1" t="s">
        <v>1998</v>
      </c>
      <c r="E223" s="1"/>
      <c r="F223" s="1" t="s">
        <v>11</v>
      </c>
      <c r="G223">
        <v>10</v>
      </c>
      <c r="H223">
        <v>10</v>
      </c>
      <c r="I223" s="2"/>
      <c r="J223" s="2">
        <v>45758</v>
      </c>
      <c r="K223" s="2">
        <v>45782</v>
      </c>
    </row>
    <row r="224" spans="1:11" x14ac:dyDescent="0.25">
      <c r="A224" s="1" t="s">
        <v>139</v>
      </c>
      <c r="B224" s="1" t="s">
        <v>1001</v>
      </c>
      <c r="C224" s="1" t="s">
        <v>2019</v>
      </c>
      <c r="D224" s="1" t="s">
        <v>1998</v>
      </c>
      <c r="E224" s="1"/>
      <c r="F224" s="1" t="s">
        <v>11</v>
      </c>
      <c r="G224">
        <v>5</v>
      </c>
      <c r="H224">
        <v>5</v>
      </c>
      <c r="I224" s="2"/>
      <c r="J224" s="2">
        <v>45758</v>
      </c>
      <c r="K224" s="2">
        <v>45782</v>
      </c>
    </row>
    <row r="225" spans="1:11" x14ac:dyDescent="0.25">
      <c r="A225" s="1" t="s">
        <v>139</v>
      </c>
      <c r="B225" s="1" t="s">
        <v>1076</v>
      </c>
      <c r="C225" s="1" t="s">
        <v>2079</v>
      </c>
      <c r="D225" s="1" t="s">
        <v>1998</v>
      </c>
      <c r="E225" s="1"/>
      <c r="F225" s="1" t="s">
        <v>11</v>
      </c>
      <c r="G225">
        <v>6070</v>
      </c>
      <c r="H225">
        <v>6125</v>
      </c>
      <c r="I225" s="2"/>
      <c r="J225" s="2">
        <v>45758</v>
      </c>
      <c r="K225" s="2">
        <v>45782</v>
      </c>
    </row>
    <row r="226" spans="1:11" x14ac:dyDescent="0.25">
      <c r="A226" s="1" t="s">
        <v>139</v>
      </c>
      <c r="B226" s="1" t="s">
        <v>1077</v>
      </c>
      <c r="C226" s="1" t="s">
        <v>2080</v>
      </c>
      <c r="D226" s="1" t="s">
        <v>1998</v>
      </c>
      <c r="E226" s="1"/>
      <c r="F226" s="1" t="s">
        <v>11</v>
      </c>
      <c r="G226">
        <v>7035</v>
      </c>
      <c r="H226">
        <v>7100</v>
      </c>
      <c r="I226" s="2"/>
      <c r="J226" s="2">
        <v>45758</v>
      </c>
      <c r="K226" s="2">
        <v>45782</v>
      </c>
    </row>
    <row r="227" spans="1:11" x14ac:dyDescent="0.25">
      <c r="A227" s="1" t="s">
        <v>140</v>
      </c>
      <c r="B227" s="1" t="s">
        <v>1016</v>
      </c>
      <c r="C227" s="1" t="s">
        <v>2033</v>
      </c>
      <c r="D227" s="1" t="s">
        <v>1998</v>
      </c>
      <c r="E227" s="1"/>
      <c r="F227" s="1" t="s">
        <v>11</v>
      </c>
      <c r="G227">
        <v>15</v>
      </c>
      <c r="H227">
        <v>5</v>
      </c>
      <c r="I227" s="2"/>
      <c r="J227" s="2">
        <v>45757</v>
      </c>
      <c r="K227" s="2">
        <v>45778</v>
      </c>
    </row>
    <row r="228" spans="1:11" x14ac:dyDescent="0.25">
      <c r="A228" s="1" t="s">
        <v>140</v>
      </c>
      <c r="B228" s="1" t="s">
        <v>1017</v>
      </c>
      <c r="C228" s="1" t="s">
        <v>2034</v>
      </c>
      <c r="D228" s="1" t="s">
        <v>1998</v>
      </c>
      <c r="E228" s="1"/>
      <c r="F228" s="1" t="s">
        <v>11</v>
      </c>
      <c r="G228">
        <v>35</v>
      </c>
      <c r="H228">
        <v>35</v>
      </c>
      <c r="I228" s="2"/>
      <c r="J228" s="2">
        <v>45757</v>
      </c>
      <c r="K228" s="2">
        <v>45778</v>
      </c>
    </row>
    <row r="229" spans="1:11" x14ac:dyDescent="0.25">
      <c r="A229" s="1" t="s">
        <v>140</v>
      </c>
      <c r="B229" s="1" t="s">
        <v>1018</v>
      </c>
      <c r="C229" s="1" t="s">
        <v>2035</v>
      </c>
      <c r="D229" s="1" t="s">
        <v>1998</v>
      </c>
      <c r="E229" s="1"/>
      <c r="F229" s="1" t="s">
        <v>11</v>
      </c>
      <c r="G229">
        <v>155</v>
      </c>
      <c r="H229">
        <v>155</v>
      </c>
      <c r="I229" s="2"/>
      <c r="J229" s="2">
        <v>45757</v>
      </c>
      <c r="K229" s="2">
        <v>45778</v>
      </c>
    </row>
    <row r="230" spans="1:11" x14ac:dyDescent="0.25">
      <c r="A230" s="1" t="s">
        <v>140</v>
      </c>
      <c r="B230" s="1" t="s">
        <v>1018</v>
      </c>
      <c r="C230" s="1" t="s">
        <v>2035</v>
      </c>
      <c r="D230" s="1" t="s">
        <v>1998</v>
      </c>
      <c r="E230" s="1"/>
      <c r="F230" s="1" t="s">
        <v>12</v>
      </c>
      <c r="G230">
        <v>1</v>
      </c>
      <c r="H230">
        <v>1</v>
      </c>
      <c r="I230" s="2"/>
      <c r="J230" s="2">
        <v>45757</v>
      </c>
      <c r="K230" s="2">
        <v>45778</v>
      </c>
    </row>
    <row r="231" spans="1:11" x14ac:dyDescent="0.25">
      <c r="A231" s="1" t="s">
        <v>140</v>
      </c>
      <c r="B231" s="1" t="s">
        <v>1018</v>
      </c>
      <c r="C231" s="1" t="s">
        <v>2035</v>
      </c>
      <c r="D231" s="1" t="s">
        <v>1998</v>
      </c>
      <c r="E231" s="1"/>
      <c r="F231" s="1" t="s">
        <v>12</v>
      </c>
      <c r="G231">
        <v>1</v>
      </c>
      <c r="H231">
        <v>1</v>
      </c>
      <c r="I231" s="2"/>
      <c r="J231" s="2">
        <v>45757</v>
      </c>
      <c r="K231" s="2">
        <v>45778</v>
      </c>
    </row>
    <row r="232" spans="1:11" x14ac:dyDescent="0.25">
      <c r="A232" s="1" t="s">
        <v>140</v>
      </c>
      <c r="B232" s="1" t="s">
        <v>1018</v>
      </c>
      <c r="C232" s="1" t="s">
        <v>2035</v>
      </c>
      <c r="D232" s="1" t="s">
        <v>1998</v>
      </c>
      <c r="E232" s="1"/>
      <c r="F232" s="1" t="s">
        <v>12</v>
      </c>
      <c r="G232">
        <v>1</v>
      </c>
      <c r="H232">
        <v>1</v>
      </c>
      <c r="I232" s="2"/>
      <c r="J232" s="2">
        <v>45757</v>
      </c>
      <c r="K232" s="2">
        <v>45778</v>
      </c>
    </row>
    <row r="233" spans="1:11" x14ac:dyDescent="0.25">
      <c r="A233" s="1" t="s">
        <v>140</v>
      </c>
      <c r="B233" s="1" t="s">
        <v>999</v>
      </c>
      <c r="C233" s="1" t="s">
        <v>2017</v>
      </c>
      <c r="D233" s="1" t="s">
        <v>1998</v>
      </c>
      <c r="E233" s="1"/>
      <c r="F233" s="1" t="s">
        <v>11</v>
      </c>
      <c r="G233">
        <v>1</v>
      </c>
      <c r="H233">
        <v>1</v>
      </c>
      <c r="I233" s="2"/>
      <c r="J233" s="2">
        <v>45757</v>
      </c>
      <c r="K233" s="2">
        <v>45778</v>
      </c>
    </row>
    <row r="234" spans="1:11" x14ac:dyDescent="0.25">
      <c r="A234" s="1" t="s">
        <v>140</v>
      </c>
      <c r="B234" s="1" t="s">
        <v>1000</v>
      </c>
      <c r="C234" s="1" t="s">
        <v>2018</v>
      </c>
      <c r="D234" s="1" t="s">
        <v>1998</v>
      </c>
      <c r="E234" s="1"/>
      <c r="F234" s="1" t="s">
        <v>11</v>
      </c>
      <c r="G234">
        <v>1</v>
      </c>
      <c r="H234">
        <v>1</v>
      </c>
      <c r="I234" s="2"/>
      <c r="J234" s="2">
        <v>45757</v>
      </c>
      <c r="K234" s="2">
        <v>45778</v>
      </c>
    </row>
    <row r="235" spans="1:11" x14ac:dyDescent="0.25">
      <c r="A235" s="1" t="s">
        <v>140</v>
      </c>
      <c r="B235" s="1" t="s">
        <v>1001</v>
      </c>
      <c r="C235" s="1" t="s">
        <v>2019</v>
      </c>
      <c r="D235" s="1" t="s">
        <v>1998</v>
      </c>
      <c r="E235" s="1"/>
      <c r="F235" s="1" t="s">
        <v>11</v>
      </c>
      <c r="G235">
        <v>1</v>
      </c>
      <c r="H235">
        <v>1</v>
      </c>
      <c r="I235" s="2"/>
      <c r="J235" s="2">
        <v>45757</v>
      </c>
      <c r="K235" s="2">
        <v>45778</v>
      </c>
    </row>
    <row r="236" spans="1:11" x14ac:dyDescent="0.25">
      <c r="A236" s="1" t="s">
        <v>140</v>
      </c>
      <c r="B236" s="1" t="s">
        <v>1019</v>
      </c>
      <c r="C236" s="1" t="s">
        <v>2036</v>
      </c>
      <c r="D236" s="1" t="s">
        <v>1998</v>
      </c>
      <c r="E236" s="1"/>
      <c r="F236" s="1" t="s">
        <v>11</v>
      </c>
      <c r="G236">
        <v>545</v>
      </c>
      <c r="H236">
        <v>545</v>
      </c>
      <c r="I236" s="2"/>
      <c r="J236" s="2">
        <v>45757</v>
      </c>
      <c r="K236" s="2">
        <v>45778</v>
      </c>
    </row>
    <row r="237" spans="1:11" x14ac:dyDescent="0.25">
      <c r="A237" s="1" t="s">
        <v>140</v>
      </c>
      <c r="B237" s="1" t="s">
        <v>1020</v>
      </c>
      <c r="C237" s="1" t="s">
        <v>2037</v>
      </c>
      <c r="D237" s="1" t="s">
        <v>1998</v>
      </c>
      <c r="E237" s="1"/>
      <c r="F237" s="1" t="s">
        <v>11</v>
      </c>
      <c r="G237">
        <v>1460</v>
      </c>
      <c r="H237">
        <v>1460</v>
      </c>
      <c r="I237" s="2"/>
      <c r="J237" s="2">
        <v>45757</v>
      </c>
      <c r="K237" s="2">
        <v>45778</v>
      </c>
    </row>
    <row r="238" spans="1:11" x14ac:dyDescent="0.25">
      <c r="A238" s="1" t="s">
        <v>141</v>
      </c>
      <c r="B238" s="1" t="s">
        <v>1016</v>
      </c>
      <c r="C238" s="1" t="s">
        <v>2033</v>
      </c>
      <c r="D238" s="1" t="s">
        <v>1998</v>
      </c>
      <c r="E238" s="1"/>
      <c r="F238" s="1" t="s">
        <v>11</v>
      </c>
      <c r="G238">
        <v>5</v>
      </c>
      <c r="H238">
        <v>5</v>
      </c>
      <c r="I238" s="2"/>
      <c r="J238" s="2">
        <v>45763</v>
      </c>
      <c r="K238" s="2">
        <v>45778</v>
      </c>
    </row>
    <row r="239" spans="1:11" x14ac:dyDescent="0.25">
      <c r="A239" s="1" t="s">
        <v>141</v>
      </c>
      <c r="B239" s="1" t="s">
        <v>1017</v>
      </c>
      <c r="C239" s="1" t="s">
        <v>2034</v>
      </c>
      <c r="D239" s="1" t="s">
        <v>1998</v>
      </c>
      <c r="E239" s="1"/>
      <c r="F239" s="1" t="s">
        <v>11</v>
      </c>
      <c r="G239">
        <v>10</v>
      </c>
      <c r="H239">
        <v>10</v>
      </c>
      <c r="I239" s="2"/>
      <c r="J239" s="2">
        <v>45763</v>
      </c>
      <c r="K239" s="2">
        <v>45778</v>
      </c>
    </row>
    <row r="240" spans="1:11" x14ac:dyDescent="0.25">
      <c r="A240" s="1" t="s">
        <v>141</v>
      </c>
      <c r="B240" s="1" t="s">
        <v>1018</v>
      </c>
      <c r="C240" s="1" t="s">
        <v>2035</v>
      </c>
      <c r="D240" s="1" t="s">
        <v>1998</v>
      </c>
      <c r="E240" s="1"/>
      <c r="F240" s="1" t="s">
        <v>11</v>
      </c>
      <c r="G240">
        <v>50</v>
      </c>
      <c r="H240">
        <v>1</v>
      </c>
      <c r="I240" s="2"/>
      <c r="J240" s="2">
        <v>45763</v>
      </c>
      <c r="K240" s="2">
        <v>45778</v>
      </c>
    </row>
    <row r="241" spans="1:11" x14ac:dyDescent="0.25">
      <c r="A241" s="1" t="s">
        <v>141</v>
      </c>
      <c r="B241" s="1" t="s">
        <v>999</v>
      </c>
      <c r="C241" s="1" t="s">
        <v>2017</v>
      </c>
      <c r="D241" s="1" t="s">
        <v>1998</v>
      </c>
      <c r="E241" s="1"/>
      <c r="F241" s="1" t="s">
        <v>11</v>
      </c>
      <c r="G241">
        <v>1</v>
      </c>
      <c r="H241">
        <v>1</v>
      </c>
      <c r="I241" s="2"/>
      <c r="J241" s="2">
        <v>45763</v>
      </c>
      <c r="K241" s="2">
        <v>45778</v>
      </c>
    </row>
    <row r="242" spans="1:11" x14ac:dyDescent="0.25">
      <c r="A242" s="1" t="s">
        <v>141</v>
      </c>
      <c r="B242" s="1" t="s">
        <v>1000</v>
      </c>
      <c r="C242" s="1" t="s">
        <v>2018</v>
      </c>
      <c r="D242" s="1" t="s">
        <v>1998</v>
      </c>
      <c r="E242" s="1"/>
      <c r="F242" s="1" t="s">
        <v>11</v>
      </c>
      <c r="G242">
        <v>1</v>
      </c>
      <c r="H242">
        <v>1</v>
      </c>
      <c r="I242" s="2"/>
      <c r="J242" s="2">
        <v>45763</v>
      </c>
      <c r="K242" s="2">
        <v>45778</v>
      </c>
    </row>
    <row r="243" spans="1:11" x14ac:dyDescent="0.25">
      <c r="A243" s="1" t="s">
        <v>141</v>
      </c>
      <c r="B243" s="1" t="s">
        <v>1001</v>
      </c>
      <c r="C243" s="1" t="s">
        <v>2019</v>
      </c>
      <c r="D243" s="1" t="s">
        <v>1998</v>
      </c>
      <c r="E243" s="1"/>
      <c r="F243" s="1" t="s">
        <v>11</v>
      </c>
      <c r="G243">
        <v>1</v>
      </c>
      <c r="H243">
        <v>1</v>
      </c>
      <c r="I243" s="2"/>
      <c r="J243" s="2">
        <v>45763</v>
      </c>
      <c r="K243" s="2">
        <v>45778</v>
      </c>
    </row>
    <row r="244" spans="1:11" x14ac:dyDescent="0.25">
      <c r="A244" s="1" t="s">
        <v>141</v>
      </c>
      <c r="B244" s="1" t="s">
        <v>1019</v>
      </c>
      <c r="C244" s="1" t="s">
        <v>2036</v>
      </c>
      <c r="D244" s="1" t="s">
        <v>1998</v>
      </c>
      <c r="E244" s="1"/>
      <c r="F244" s="1" t="s">
        <v>11</v>
      </c>
      <c r="G244">
        <v>180</v>
      </c>
      <c r="H244">
        <v>180</v>
      </c>
      <c r="I244" s="2"/>
      <c r="J244" s="2">
        <v>45763</v>
      </c>
      <c r="K244" s="2">
        <v>45778</v>
      </c>
    </row>
    <row r="245" spans="1:11" x14ac:dyDescent="0.25">
      <c r="A245" s="1" t="s">
        <v>141</v>
      </c>
      <c r="B245" s="1" t="s">
        <v>1020</v>
      </c>
      <c r="C245" s="1" t="s">
        <v>2037</v>
      </c>
      <c r="D245" s="1" t="s">
        <v>1998</v>
      </c>
      <c r="E245" s="1"/>
      <c r="F245" s="1" t="s">
        <v>11</v>
      </c>
      <c r="G245">
        <v>485</v>
      </c>
      <c r="H245">
        <v>485</v>
      </c>
      <c r="I245" s="2"/>
      <c r="J245" s="2">
        <v>45763</v>
      </c>
      <c r="K245" s="2">
        <v>45778</v>
      </c>
    </row>
    <row r="246" spans="1:11" x14ac:dyDescent="0.25">
      <c r="A246" s="1" t="s">
        <v>142</v>
      </c>
      <c r="B246" s="1" t="s">
        <v>1078</v>
      </c>
      <c r="C246" s="1" t="s">
        <v>2081</v>
      </c>
      <c r="D246" s="1" t="s">
        <v>1998</v>
      </c>
      <c r="E246" s="1"/>
      <c r="F246" s="1" t="s">
        <v>11</v>
      </c>
      <c r="G246">
        <v>4110</v>
      </c>
      <c r="H246">
        <v>4110</v>
      </c>
      <c r="I246" s="2">
        <v>45782</v>
      </c>
      <c r="J246" s="2">
        <v>45296</v>
      </c>
      <c r="K246" s="2">
        <v>45782</v>
      </c>
    </row>
    <row r="247" spans="1:11" x14ac:dyDescent="0.25">
      <c r="A247" s="1" t="s">
        <v>143</v>
      </c>
      <c r="B247" s="1" t="s">
        <v>1079</v>
      </c>
      <c r="C247" s="1" t="s">
        <v>2082</v>
      </c>
      <c r="D247" s="1" t="s">
        <v>1998</v>
      </c>
      <c r="E247" s="1"/>
      <c r="F247" s="1" t="s">
        <v>11</v>
      </c>
      <c r="G247">
        <v>5</v>
      </c>
      <c r="H247">
        <v>5</v>
      </c>
      <c r="I247" s="2"/>
      <c r="J247" s="2">
        <v>45751</v>
      </c>
      <c r="K247" s="2">
        <v>45757</v>
      </c>
    </row>
    <row r="248" spans="1:11" x14ac:dyDescent="0.25">
      <c r="A248" s="1" t="s">
        <v>143</v>
      </c>
      <c r="B248" s="1" t="s">
        <v>1080</v>
      </c>
      <c r="C248" s="1" t="s">
        <v>2083</v>
      </c>
      <c r="D248" s="1" t="s">
        <v>1998</v>
      </c>
      <c r="E248" s="1"/>
      <c r="F248" s="1" t="s">
        <v>11</v>
      </c>
      <c r="G248">
        <v>165</v>
      </c>
      <c r="H248">
        <v>165</v>
      </c>
      <c r="I248" s="2"/>
      <c r="J248" s="2">
        <v>45751</v>
      </c>
      <c r="K248" s="2">
        <v>45757</v>
      </c>
    </row>
    <row r="249" spans="1:11" x14ac:dyDescent="0.25">
      <c r="A249" s="1" t="s">
        <v>143</v>
      </c>
      <c r="B249" s="1" t="s">
        <v>1081</v>
      </c>
      <c r="C249" s="1" t="s">
        <v>2084</v>
      </c>
      <c r="D249" s="1" t="s">
        <v>1998</v>
      </c>
      <c r="E249" s="1"/>
      <c r="F249" s="1" t="s">
        <v>11</v>
      </c>
      <c r="G249">
        <v>525</v>
      </c>
      <c r="H249">
        <v>525</v>
      </c>
      <c r="I249" s="2"/>
      <c r="J249" s="2">
        <v>45751</v>
      </c>
      <c r="K249" s="2">
        <v>45757</v>
      </c>
    </row>
    <row r="250" spans="1:11" x14ac:dyDescent="0.25">
      <c r="A250" s="1" t="s">
        <v>143</v>
      </c>
      <c r="B250" s="1" t="s">
        <v>1082</v>
      </c>
      <c r="C250" s="1" t="s">
        <v>2085</v>
      </c>
      <c r="D250" s="1" t="s">
        <v>1998</v>
      </c>
      <c r="E250" s="1"/>
      <c r="F250" s="1" t="s">
        <v>11</v>
      </c>
      <c r="G250">
        <v>1</v>
      </c>
      <c r="H250">
        <v>1</v>
      </c>
      <c r="I250" s="2"/>
      <c r="J250" s="2">
        <v>45751</v>
      </c>
      <c r="K250" s="2">
        <v>45757</v>
      </c>
    </row>
    <row r="251" spans="1:11" x14ac:dyDescent="0.25">
      <c r="A251" s="1" t="s">
        <v>143</v>
      </c>
      <c r="B251" s="1" t="s">
        <v>1039</v>
      </c>
      <c r="C251" s="1" t="s">
        <v>2049</v>
      </c>
      <c r="D251" s="1" t="s">
        <v>1998</v>
      </c>
      <c r="E251" s="1"/>
      <c r="F251" s="1" t="s">
        <v>11</v>
      </c>
      <c r="G251">
        <v>1</v>
      </c>
      <c r="H251">
        <v>1</v>
      </c>
      <c r="I251" s="2"/>
      <c r="J251" s="2">
        <v>45751</v>
      </c>
      <c r="K251" s="2">
        <v>45757</v>
      </c>
    </row>
    <row r="252" spans="1:11" x14ac:dyDescent="0.25">
      <c r="A252" s="1" t="s">
        <v>143</v>
      </c>
      <c r="B252" s="1" t="s">
        <v>1040</v>
      </c>
      <c r="C252" s="1" t="s">
        <v>2050</v>
      </c>
      <c r="D252" s="1" t="s">
        <v>1998</v>
      </c>
      <c r="E252" s="1"/>
      <c r="F252" s="1" t="s">
        <v>11</v>
      </c>
      <c r="G252">
        <v>1</v>
      </c>
      <c r="H252">
        <v>1</v>
      </c>
      <c r="I252" s="2"/>
      <c r="J252" s="2">
        <v>45751</v>
      </c>
      <c r="K252" s="2">
        <v>45757</v>
      </c>
    </row>
    <row r="253" spans="1:11" x14ac:dyDescent="0.25">
      <c r="A253" s="1" t="s">
        <v>143</v>
      </c>
      <c r="B253" s="1" t="s">
        <v>1040</v>
      </c>
      <c r="C253" s="1" t="s">
        <v>2050</v>
      </c>
      <c r="D253" s="1" t="s">
        <v>1998</v>
      </c>
      <c r="E253" s="1"/>
      <c r="F253" s="1" t="s">
        <v>11</v>
      </c>
      <c r="G253">
        <v>1</v>
      </c>
      <c r="H253">
        <v>1</v>
      </c>
      <c r="I253" s="2"/>
      <c r="J253" s="2">
        <v>45751</v>
      </c>
      <c r="K253" s="2">
        <v>45757</v>
      </c>
    </row>
    <row r="254" spans="1:11" x14ac:dyDescent="0.25">
      <c r="A254" s="1" t="s">
        <v>143</v>
      </c>
      <c r="B254" s="1" t="s">
        <v>1083</v>
      </c>
      <c r="C254" s="1" t="s">
        <v>2086</v>
      </c>
      <c r="D254" s="1" t="s">
        <v>1998</v>
      </c>
      <c r="E254" s="1"/>
      <c r="F254" s="1" t="s">
        <v>11</v>
      </c>
      <c r="G254">
        <v>1</v>
      </c>
      <c r="H254">
        <v>1</v>
      </c>
      <c r="I254" s="2"/>
      <c r="J254" s="2">
        <v>45751</v>
      </c>
      <c r="K254" s="2">
        <v>45757</v>
      </c>
    </row>
    <row r="255" spans="1:11" x14ac:dyDescent="0.25">
      <c r="A255" s="1" t="s">
        <v>144</v>
      </c>
      <c r="B255" s="1" t="s">
        <v>1084</v>
      </c>
      <c r="C255" s="1" t="s">
        <v>2087</v>
      </c>
      <c r="D255" s="1" t="s">
        <v>1998</v>
      </c>
      <c r="E255" s="1"/>
      <c r="F255" s="1" t="s">
        <v>11</v>
      </c>
      <c r="G255">
        <v>1</v>
      </c>
      <c r="H255">
        <v>1320</v>
      </c>
      <c r="I255" s="2"/>
      <c r="J255" s="2">
        <v>45754</v>
      </c>
      <c r="K255" s="2">
        <v>45776</v>
      </c>
    </row>
    <row r="256" spans="1:11" x14ac:dyDescent="0.25">
      <c r="A256" s="1" t="s">
        <v>144</v>
      </c>
      <c r="B256" s="1" t="s">
        <v>1085</v>
      </c>
      <c r="C256" s="1" t="s">
        <v>2088</v>
      </c>
      <c r="D256" s="1" t="s">
        <v>1998</v>
      </c>
      <c r="E256" s="1"/>
      <c r="F256" s="1" t="s">
        <v>11</v>
      </c>
      <c r="G256">
        <v>1</v>
      </c>
      <c r="H256">
        <v>1</v>
      </c>
      <c r="I256" s="2"/>
      <c r="J256" s="2">
        <v>45754</v>
      </c>
      <c r="K256" s="2">
        <v>45776</v>
      </c>
    </row>
    <row r="257" spans="1:11" x14ac:dyDescent="0.25">
      <c r="A257" s="1" t="s">
        <v>144</v>
      </c>
      <c r="B257" s="1" t="s">
        <v>1086</v>
      </c>
      <c r="C257" s="1" t="s">
        <v>2089</v>
      </c>
      <c r="D257" s="1" t="s">
        <v>1998</v>
      </c>
      <c r="E257" s="1"/>
      <c r="F257" s="1" t="s">
        <v>11</v>
      </c>
      <c r="G257">
        <v>1</v>
      </c>
      <c r="H257">
        <v>1</v>
      </c>
      <c r="I257" s="2"/>
      <c r="J257" s="2">
        <v>45754</v>
      </c>
      <c r="K257" s="2">
        <v>45776</v>
      </c>
    </row>
    <row r="258" spans="1:11" x14ac:dyDescent="0.25">
      <c r="A258" s="1" t="s">
        <v>144</v>
      </c>
      <c r="B258" s="1" t="s">
        <v>1087</v>
      </c>
      <c r="C258" s="1" t="s">
        <v>2090</v>
      </c>
      <c r="D258" s="1" t="s">
        <v>1998</v>
      </c>
      <c r="E258" s="1"/>
      <c r="F258" s="1" t="s">
        <v>11</v>
      </c>
      <c r="G258">
        <v>1</v>
      </c>
      <c r="H258">
        <v>1</v>
      </c>
      <c r="I258" s="2"/>
      <c r="J258" s="2">
        <v>45754</v>
      </c>
      <c r="K258" s="2">
        <v>45776</v>
      </c>
    </row>
    <row r="259" spans="1:11" x14ac:dyDescent="0.25">
      <c r="A259" s="1" t="s">
        <v>144</v>
      </c>
      <c r="B259" s="1" t="s">
        <v>1040</v>
      </c>
      <c r="C259" s="1" t="s">
        <v>2050</v>
      </c>
      <c r="D259" s="1" t="s">
        <v>1998</v>
      </c>
      <c r="E259" s="1"/>
      <c r="F259" s="1" t="s">
        <v>11</v>
      </c>
      <c r="G259">
        <v>1</v>
      </c>
      <c r="H259">
        <v>1</v>
      </c>
      <c r="I259" s="2"/>
      <c r="J259" s="2">
        <v>45754</v>
      </c>
      <c r="K259" s="2">
        <v>45776</v>
      </c>
    </row>
    <row r="260" spans="1:11" x14ac:dyDescent="0.25">
      <c r="A260" s="1" t="s">
        <v>144</v>
      </c>
      <c r="B260" s="1" t="s">
        <v>1088</v>
      </c>
      <c r="C260" s="1" t="s">
        <v>2091</v>
      </c>
      <c r="D260" s="1" t="s">
        <v>1998</v>
      </c>
      <c r="E260" s="1"/>
      <c r="F260" s="1" t="s">
        <v>11</v>
      </c>
      <c r="G260">
        <v>1</v>
      </c>
      <c r="H260">
        <v>1</v>
      </c>
      <c r="I260" s="2"/>
      <c r="J260" s="2">
        <v>45754</v>
      </c>
      <c r="K260" s="2">
        <v>45776</v>
      </c>
    </row>
    <row r="261" spans="1:11" x14ac:dyDescent="0.25">
      <c r="A261" s="1" t="s">
        <v>145</v>
      </c>
      <c r="B261" s="1" t="s">
        <v>1089</v>
      </c>
      <c r="C261" s="1" t="s">
        <v>2092</v>
      </c>
      <c r="D261" s="1" t="s">
        <v>1998</v>
      </c>
      <c r="E261" s="1"/>
      <c r="F261" s="1" t="s">
        <v>11</v>
      </c>
      <c r="G261">
        <v>31920</v>
      </c>
      <c r="H261">
        <v>31920</v>
      </c>
      <c r="I261" s="2"/>
      <c r="J261" s="2">
        <v>45770</v>
      </c>
      <c r="K261" s="2">
        <v>45771</v>
      </c>
    </row>
    <row r="262" spans="1:11" x14ac:dyDescent="0.25">
      <c r="A262" s="1" t="s">
        <v>146</v>
      </c>
      <c r="B262" s="1" t="s">
        <v>1090</v>
      </c>
      <c r="C262" s="1" t="s">
        <v>2093</v>
      </c>
      <c r="D262" s="1" t="s">
        <v>1998</v>
      </c>
      <c r="E262" s="1"/>
      <c r="F262" s="1" t="s">
        <v>11</v>
      </c>
      <c r="G262">
        <v>265</v>
      </c>
      <c r="H262">
        <v>265</v>
      </c>
      <c r="I262" s="2"/>
      <c r="J262" s="2">
        <v>45728</v>
      </c>
      <c r="K262" s="2">
        <v>45735</v>
      </c>
    </row>
    <row r="263" spans="1:11" x14ac:dyDescent="0.25">
      <c r="A263" s="1" t="s">
        <v>147</v>
      </c>
      <c r="B263" s="1" t="s">
        <v>1091</v>
      </c>
      <c r="C263" s="1" t="s">
        <v>2094</v>
      </c>
      <c r="D263" s="1" t="s">
        <v>1998</v>
      </c>
      <c r="E263" s="1"/>
      <c r="F263" s="1" t="s">
        <v>12</v>
      </c>
      <c r="G263">
        <v>1</v>
      </c>
      <c r="H263">
        <v>135</v>
      </c>
      <c r="I263" s="2"/>
      <c r="J263" s="2">
        <v>45751</v>
      </c>
      <c r="K263" s="2">
        <v>45756</v>
      </c>
    </row>
    <row r="264" spans="1:11" x14ac:dyDescent="0.25">
      <c r="A264" s="1" t="s">
        <v>147</v>
      </c>
      <c r="B264" s="1" t="s">
        <v>1092</v>
      </c>
      <c r="C264" s="1" t="s">
        <v>2095</v>
      </c>
      <c r="D264" s="1" t="s">
        <v>1998</v>
      </c>
      <c r="E264" s="1"/>
      <c r="F264" s="1" t="s">
        <v>11</v>
      </c>
      <c r="G264">
        <v>1105</v>
      </c>
      <c r="H264">
        <v>1105</v>
      </c>
      <c r="I264" s="2"/>
      <c r="J264" s="2">
        <v>45751</v>
      </c>
      <c r="K264" s="2">
        <v>45756</v>
      </c>
    </row>
    <row r="265" spans="1:11" x14ac:dyDescent="0.25">
      <c r="A265" s="1" t="s">
        <v>148</v>
      </c>
      <c r="B265" s="1" t="s">
        <v>1089</v>
      </c>
      <c r="C265" s="1" t="s">
        <v>2092</v>
      </c>
      <c r="D265" s="1" t="s">
        <v>1998</v>
      </c>
      <c r="E265" s="1"/>
      <c r="F265" s="1" t="s">
        <v>11</v>
      </c>
      <c r="G265">
        <v>1</v>
      </c>
      <c r="H265">
        <v>1</v>
      </c>
      <c r="I265" s="2"/>
      <c r="J265" s="2">
        <v>45707</v>
      </c>
      <c r="K265" s="2">
        <v>45756</v>
      </c>
    </row>
    <row r="266" spans="1:11" x14ac:dyDescent="0.25">
      <c r="A266" s="1" t="s">
        <v>149</v>
      </c>
      <c r="B266" s="1" t="s">
        <v>1062</v>
      </c>
      <c r="C266" s="1" t="s">
        <v>2069</v>
      </c>
      <c r="D266" s="1" t="s">
        <v>1998</v>
      </c>
      <c r="E266" s="1"/>
      <c r="F266" s="1" t="s">
        <v>11</v>
      </c>
      <c r="G266">
        <v>5</v>
      </c>
      <c r="H266">
        <v>5</v>
      </c>
      <c r="I266" s="2"/>
      <c r="J266" s="2">
        <v>45664</v>
      </c>
      <c r="K266" s="2">
        <v>45789</v>
      </c>
    </row>
    <row r="267" spans="1:11" x14ac:dyDescent="0.25">
      <c r="A267" s="1" t="s">
        <v>149</v>
      </c>
      <c r="B267" s="1" t="s">
        <v>1063</v>
      </c>
      <c r="C267" s="1" t="s">
        <v>2069</v>
      </c>
      <c r="D267" s="1" t="s">
        <v>1998</v>
      </c>
      <c r="E267" s="1"/>
      <c r="F267" s="1" t="s">
        <v>11</v>
      </c>
      <c r="G267">
        <v>5</v>
      </c>
      <c r="H267">
        <v>5</v>
      </c>
      <c r="I267" s="2"/>
      <c r="J267" s="2">
        <v>45664</v>
      </c>
      <c r="K267" s="2">
        <v>45789</v>
      </c>
    </row>
    <row r="268" spans="1:11" x14ac:dyDescent="0.25">
      <c r="A268" s="1" t="s">
        <v>149</v>
      </c>
      <c r="B268" s="1" t="s">
        <v>1065</v>
      </c>
      <c r="C268" s="1" t="s">
        <v>2071</v>
      </c>
      <c r="D268" s="1" t="s">
        <v>1998</v>
      </c>
      <c r="E268" s="1"/>
      <c r="F268" s="1" t="s">
        <v>11</v>
      </c>
      <c r="G268">
        <v>20</v>
      </c>
      <c r="H268">
        <v>20</v>
      </c>
      <c r="I268" s="2"/>
      <c r="J268" s="2">
        <v>45664</v>
      </c>
      <c r="K268" s="2">
        <v>45789</v>
      </c>
    </row>
    <row r="269" spans="1:11" x14ac:dyDescent="0.25">
      <c r="A269" s="1" t="s">
        <v>149</v>
      </c>
      <c r="B269" s="1" t="s">
        <v>1093</v>
      </c>
      <c r="C269" s="1" t="s">
        <v>2096</v>
      </c>
      <c r="D269" s="1" t="s">
        <v>1998</v>
      </c>
      <c r="E269" s="1"/>
      <c r="F269" s="1" t="s">
        <v>11</v>
      </c>
      <c r="G269">
        <v>670</v>
      </c>
      <c r="H269">
        <v>670</v>
      </c>
      <c r="I269" s="2"/>
      <c r="J269" s="2">
        <v>45664</v>
      </c>
      <c r="K269" s="2">
        <v>45789</v>
      </c>
    </row>
    <row r="270" spans="1:11" x14ac:dyDescent="0.25">
      <c r="A270" s="1" t="s">
        <v>149</v>
      </c>
      <c r="B270" s="1" t="s">
        <v>1067</v>
      </c>
      <c r="C270" s="1" t="s">
        <v>2073</v>
      </c>
      <c r="D270" s="1" t="s">
        <v>1998</v>
      </c>
      <c r="E270" s="1"/>
      <c r="F270" s="1" t="s">
        <v>11</v>
      </c>
      <c r="G270">
        <v>1</v>
      </c>
      <c r="H270">
        <v>1</v>
      </c>
      <c r="I270" s="2"/>
      <c r="J270" s="2">
        <v>45664</v>
      </c>
      <c r="K270" s="2">
        <v>45789</v>
      </c>
    </row>
    <row r="271" spans="1:11" x14ac:dyDescent="0.25">
      <c r="A271" s="1" t="s">
        <v>149</v>
      </c>
      <c r="B271" s="1" t="s">
        <v>1068</v>
      </c>
      <c r="C271" s="1" t="s">
        <v>2074</v>
      </c>
      <c r="D271" s="1" t="s">
        <v>1998</v>
      </c>
      <c r="E271" s="1"/>
      <c r="F271" s="1" t="s">
        <v>11</v>
      </c>
      <c r="G271">
        <v>5</v>
      </c>
      <c r="H271">
        <v>5</v>
      </c>
      <c r="I271" s="2"/>
      <c r="J271" s="2">
        <v>45664</v>
      </c>
      <c r="K271" s="2">
        <v>45789</v>
      </c>
    </row>
    <row r="272" spans="1:11" x14ac:dyDescent="0.25">
      <c r="A272" s="1" t="s">
        <v>149</v>
      </c>
      <c r="B272" s="1" t="s">
        <v>1069</v>
      </c>
      <c r="C272" s="1" t="s">
        <v>2075</v>
      </c>
      <c r="D272" s="1" t="s">
        <v>1998</v>
      </c>
      <c r="E272" s="1"/>
      <c r="F272" s="1" t="s">
        <v>11</v>
      </c>
      <c r="G272">
        <v>5</v>
      </c>
      <c r="H272">
        <v>5</v>
      </c>
      <c r="I272" s="2"/>
      <c r="J272" s="2">
        <v>45664</v>
      </c>
      <c r="K272" s="2">
        <v>45789</v>
      </c>
    </row>
    <row r="273" spans="1:11" x14ac:dyDescent="0.25">
      <c r="A273" s="1" t="s">
        <v>149</v>
      </c>
      <c r="B273" s="1" t="s">
        <v>1070</v>
      </c>
      <c r="C273" s="1" t="s">
        <v>2076</v>
      </c>
      <c r="D273" s="1" t="s">
        <v>1998</v>
      </c>
      <c r="E273" s="1"/>
      <c r="F273" s="1" t="s">
        <v>11</v>
      </c>
      <c r="G273">
        <v>5</v>
      </c>
      <c r="H273">
        <v>5</v>
      </c>
      <c r="I273" s="2"/>
      <c r="J273" s="2">
        <v>45664</v>
      </c>
      <c r="K273" s="2">
        <v>45789</v>
      </c>
    </row>
    <row r="274" spans="1:11" x14ac:dyDescent="0.25">
      <c r="A274" s="1" t="s">
        <v>150</v>
      </c>
      <c r="B274" s="1" t="s">
        <v>1094</v>
      </c>
      <c r="C274" s="1" t="s">
        <v>2097</v>
      </c>
      <c r="D274" s="1" t="s">
        <v>1998</v>
      </c>
      <c r="E274" s="1"/>
      <c r="F274" s="1" t="s">
        <v>11</v>
      </c>
      <c r="G274">
        <v>40</v>
      </c>
      <c r="H274">
        <v>40</v>
      </c>
      <c r="I274" s="2">
        <v>45784</v>
      </c>
      <c r="J274" s="2">
        <v>45771</v>
      </c>
      <c r="K274" s="2">
        <v>45784</v>
      </c>
    </row>
    <row r="275" spans="1:11" x14ac:dyDescent="0.25">
      <c r="A275" s="1" t="s">
        <v>151</v>
      </c>
      <c r="B275" s="1" t="s">
        <v>1095</v>
      </c>
      <c r="C275" s="1" t="s">
        <v>2098</v>
      </c>
      <c r="D275" s="1" t="s">
        <v>1998</v>
      </c>
      <c r="E275" s="1"/>
      <c r="F275" s="1" t="s">
        <v>11</v>
      </c>
      <c r="G275">
        <v>110</v>
      </c>
      <c r="H275">
        <v>110</v>
      </c>
      <c r="I275" s="2">
        <v>45784</v>
      </c>
      <c r="J275" s="2">
        <v>45768</v>
      </c>
      <c r="K275" s="2">
        <v>45784</v>
      </c>
    </row>
    <row r="276" spans="1:11" x14ac:dyDescent="0.25">
      <c r="A276" s="1" t="s">
        <v>152</v>
      </c>
      <c r="B276" s="1" t="s">
        <v>1096</v>
      </c>
      <c r="C276" s="1" t="s">
        <v>2067</v>
      </c>
      <c r="D276" s="1" t="s">
        <v>1998</v>
      </c>
      <c r="E276" s="1"/>
      <c r="F276" s="1" t="s">
        <v>11</v>
      </c>
      <c r="G276">
        <v>58675</v>
      </c>
      <c r="H276">
        <v>58675</v>
      </c>
      <c r="I276" s="2"/>
      <c r="J276" s="2">
        <v>45740</v>
      </c>
      <c r="K276" s="2">
        <v>45779</v>
      </c>
    </row>
    <row r="277" spans="1:11" x14ac:dyDescent="0.25">
      <c r="A277" s="1" t="s">
        <v>153</v>
      </c>
      <c r="B277" s="1" t="s">
        <v>1097</v>
      </c>
      <c r="C277" s="1" t="s">
        <v>2099</v>
      </c>
      <c r="D277" s="1" t="s">
        <v>1998</v>
      </c>
      <c r="E277" s="1"/>
      <c r="F277" s="1" t="s">
        <v>11</v>
      </c>
      <c r="G277">
        <v>19760</v>
      </c>
      <c r="H277">
        <v>19760</v>
      </c>
      <c r="I277" s="2"/>
      <c r="J277" s="2">
        <v>45741</v>
      </c>
      <c r="K277" s="2">
        <v>45747</v>
      </c>
    </row>
    <row r="278" spans="1:11" x14ac:dyDescent="0.25">
      <c r="A278" s="1" t="s">
        <v>154</v>
      </c>
      <c r="B278" s="1" t="s">
        <v>1091</v>
      </c>
      <c r="C278" s="1" t="s">
        <v>2094</v>
      </c>
      <c r="D278" s="1" t="s">
        <v>1998</v>
      </c>
      <c r="E278" s="1"/>
      <c r="F278" s="1" t="s">
        <v>11</v>
      </c>
      <c r="G278">
        <v>135</v>
      </c>
      <c r="H278">
        <v>1</v>
      </c>
      <c r="I278" s="2"/>
      <c r="J278" s="2">
        <v>45762</v>
      </c>
      <c r="K278" s="2">
        <v>45762</v>
      </c>
    </row>
    <row r="279" spans="1:11" x14ac:dyDescent="0.25">
      <c r="A279" s="1" t="s">
        <v>155</v>
      </c>
      <c r="B279" s="1" t="s">
        <v>1098</v>
      </c>
      <c r="C279" s="1" t="s">
        <v>2100</v>
      </c>
      <c r="D279" s="1" t="s">
        <v>1998</v>
      </c>
      <c r="E279" s="1"/>
      <c r="F279" s="1" t="s">
        <v>11</v>
      </c>
      <c r="G279">
        <v>27870</v>
      </c>
      <c r="H279">
        <v>27870</v>
      </c>
      <c r="I279" s="2">
        <v>45768</v>
      </c>
      <c r="J279" s="2">
        <v>45756</v>
      </c>
      <c r="K279" s="2">
        <v>45768</v>
      </c>
    </row>
    <row r="280" spans="1:11" x14ac:dyDescent="0.25">
      <c r="A280" s="1" t="s">
        <v>156</v>
      </c>
      <c r="B280" s="1" t="s">
        <v>1099</v>
      </c>
      <c r="C280" s="1" t="s">
        <v>2101</v>
      </c>
      <c r="D280" s="1" t="s">
        <v>1998</v>
      </c>
      <c r="E280" s="1"/>
      <c r="F280" s="1" t="s">
        <v>11</v>
      </c>
      <c r="G280">
        <v>355</v>
      </c>
      <c r="H280">
        <v>355</v>
      </c>
      <c r="I280" s="2"/>
      <c r="J280" s="2">
        <v>45770</v>
      </c>
      <c r="K280" s="2">
        <v>45771</v>
      </c>
    </row>
    <row r="281" spans="1:11" x14ac:dyDescent="0.25">
      <c r="A281" s="1" t="s">
        <v>157</v>
      </c>
      <c r="B281" s="1" t="s">
        <v>1100</v>
      </c>
      <c r="C281" s="1" t="s">
        <v>2098</v>
      </c>
      <c r="D281" s="1" t="s">
        <v>1998</v>
      </c>
      <c r="E281" s="1"/>
      <c r="F281" s="1" t="s">
        <v>11</v>
      </c>
      <c r="G281">
        <v>115</v>
      </c>
      <c r="H281">
        <v>115</v>
      </c>
      <c r="I281" s="2">
        <v>45768</v>
      </c>
      <c r="J281" s="2">
        <v>45756</v>
      </c>
      <c r="K281" s="2">
        <v>45768</v>
      </c>
    </row>
    <row r="282" spans="1:11" x14ac:dyDescent="0.25">
      <c r="A282" s="1" t="s">
        <v>157</v>
      </c>
      <c r="B282" s="1" t="s">
        <v>1101</v>
      </c>
      <c r="C282" s="1" t="s">
        <v>2102</v>
      </c>
      <c r="D282" s="1" t="s">
        <v>1998</v>
      </c>
      <c r="E282" s="1"/>
      <c r="F282" s="1" t="s">
        <v>11</v>
      </c>
      <c r="G282">
        <v>5</v>
      </c>
      <c r="H282">
        <v>5</v>
      </c>
      <c r="I282" s="2">
        <v>45768</v>
      </c>
      <c r="J282" s="2">
        <v>45756</v>
      </c>
      <c r="K282" s="2">
        <v>45768</v>
      </c>
    </row>
    <row r="283" spans="1:11" x14ac:dyDescent="0.25">
      <c r="A283" s="1" t="s">
        <v>158</v>
      </c>
      <c r="B283" s="1" t="s">
        <v>1102</v>
      </c>
      <c r="C283" s="1" t="s">
        <v>2103</v>
      </c>
      <c r="D283" s="1" t="s">
        <v>1998</v>
      </c>
      <c r="E283" s="1"/>
      <c r="F283" s="1" t="s">
        <v>11</v>
      </c>
      <c r="G283">
        <v>6680</v>
      </c>
      <c r="H283">
        <v>8785</v>
      </c>
      <c r="I283" s="2"/>
      <c r="J283" s="2">
        <v>45741</v>
      </c>
      <c r="K283" s="2">
        <v>45749</v>
      </c>
    </row>
    <row r="284" spans="1:11" x14ac:dyDescent="0.25">
      <c r="A284" s="1" t="s">
        <v>159</v>
      </c>
      <c r="B284" s="1" t="s">
        <v>1103</v>
      </c>
      <c r="C284" s="1" t="s">
        <v>2104</v>
      </c>
      <c r="D284" s="1" t="s">
        <v>1998</v>
      </c>
      <c r="E284" s="1"/>
      <c r="F284" s="1" t="s">
        <v>11</v>
      </c>
      <c r="G284">
        <v>16440</v>
      </c>
      <c r="H284">
        <v>16440</v>
      </c>
      <c r="I284" s="2"/>
      <c r="J284" s="2">
        <v>45294</v>
      </c>
      <c r="K284" s="2">
        <v>45782</v>
      </c>
    </row>
    <row r="285" spans="1:11" x14ac:dyDescent="0.25">
      <c r="A285" s="1" t="s">
        <v>160</v>
      </c>
      <c r="B285" s="1" t="s">
        <v>1104</v>
      </c>
      <c r="C285" s="1" t="s">
        <v>2105</v>
      </c>
      <c r="D285" s="1" t="s">
        <v>1998</v>
      </c>
      <c r="E285" s="1"/>
      <c r="F285" s="1" t="s">
        <v>11</v>
      </c>
      <c r="G285">
        <v>210</v>
      </c>
      <c r="H285">
        <v>210</v>
      </c>
      <c r="I285" s="2">
        <v>45785</v>
      </c>
      <c r="J285" s="2">
        <v>45769</v>
      </c>
      <c r="K285" s="2">
        <v>45785</v>
      </c>
    </row>
    <row r="286" spans="1:11" x14ac:dyDescent="0.25">
      <c r="A286" s="1" t="s">
        <v>160</v>
      </c>
      <c r="B286" s="1" t="s">
        <v>1105</v>
      </c>
      <c r="C286" s="1" t="s">
        <v>2106</v>
      </c>
      <c r="D286" s="1" t="s">
        <v>1998</v>
      </c>
      <c r="E286" s="1"/>
      <c r="F286" s="1" t="s">
        <v>11</v>
      </c>
      <c r="G286">
        <v>15</v>
      </c>
      <c r="H286">
        <v>15</v>
      </c>
      <c r="I286" s="2">
        <v>45785</v>
      </c>
      <c r="J286" s="2">
        <v>45769</v>
      </c>
      <c r="K286" s="2">
        <v>45785</v>
      </c>
    </row>
    <row r="287" spans="1:11" x14ac:dyDescent="0.25">
      <c r="A287" s="1" t="s">
        <v>160</v>
      </c>
      <c r="B287" s="1" t="s">
        <v>1105</v>
      </c>
      <c r="C287" s="1" t="s">
        <v>2106</v>
      </c>
      <c r="D287" s="1" t="s">
        <v>1998</v>
      </c>
      <c r="E287" s="1"/>
      <c r="F287" s="1" t="s">
        <v>11</v>
      </c>
      <c r="G287">
        <v>1</v>
      </c>
      <c r="H287">
        <v>1</v>
      </c>
      <c r="I287" s="2">
        <v>45785</v>
      </c>
      <c r="J287" s="2">
        <v>45769</v>
      </c>
      <c r="K287" s="2">
        <v>45785</v>
      </c>
    </row>
    <row r="288" spans="1:11" x14ac:dyDescent="0.25">
      <c r="A288" s="1" t="s">
        <v>160</v>
      </c>
      <c r="B288" s="1" t="s">
        <v>1106</v>
      </c>
      <c r="C288" s="1" t="s">
        <v>2107</v>
      </c>
      <c r="D288" s="1" t="s">
        <v>1998</v>
      </c>
      <c r="E288" s="1"/>
      <c r="F288" s="1" t="s">
        <v>11</v>
      </c>
      <c r="G288">
        <v>5</v>
      </c>
      <c r="H288">
        <v>5</v>
      </c>
      <c r="I288" s="2">
        <v>45785</v>
      </c>
      <c r="J288" s="2">
        <v>45769</v>
      </c>
      <c r="K288" s="2">
        <v>45785</v>
      </c>
    </row>
    <row r="289" spans="1:11" x14ac:dyDescent="0.25">
      <c r="A289" s="1" t="s">
        <v>160</v>
      </c>
      <c r="B289" s="1" t="s">
        <v>1107</v>
      </c>
      <c r="C289" s="1" t="s">
        <v>2002</v>
      </c>
      <c r="D289" s="1" t="s">
        <v>1998</v>
      </c>
      <c r="E289" s="1"/>
      <c r="F289" s="1" t="s">
        <v>11</v>
      </c>
      <c r="G289">
        <v>40</v>
      </c>
      <c r="H289">
        <v>40</v>
      </c>
      <c r="I289" s="2">
        <v>45785</v>
      </c>
      <c r="J289" s="2">
        <v>45769</v>
      </c>
      <c r="K289" s="2">
        <v>45785</v>
      </c>
    </row>
    <row r="290" spans="1:11" x14ac:dyDescent="0.25">
      <c r="A290" s="1" t="s">
        <v>160</v>
      </c>
      <c r="B290" s="1" t="s">
        <v>1107</v>
      </c>
      <c r="C290" s="1" t="s">
        <v>2002</v>
      </c>
      <c r="D290" s="1" t="s">
        <v>1998</v>
      </c>
      <c r="E290" s="1"/>
      <c r="F290" s="1" t="s">
        <v>11</v>
      </c>
      <c r="G290">
        <v>5</v>
      </c>
      <c r="H290">
        <v>5</v>
      </c>
      <c r="I290" s="2">
        <v>45785</v>
      </c>
      <c r="J290" s="2">
        <v>45769</v>
      </c>
      <c r="K290" s="2">
        <v>45785</v>
      </c>
    </row>
    <row r="291" spans="1:11" x14ac:dyDescent="0.25">
      <c r="A291" s="1" t="s">
        <v>161</v>
      </c>
      <c r="B291" s="1" t="s">
        <v>1108</v>
      </c>
      <c r="C291" s="1" t="s">
        <v>2108</v>
      </c>
      <c r="D291" s="1" t="s">
        <v>1998</v>
      </c>
      <c r="E291" s="1"/>
      <c r="F291" s="1" t="s">
        <v>11</v>
      </c>
      <c r="G291">
        <v>25</v>
      </c>
      <c r="H291">
        <v>25</v>
      </c>
      <c r="I291" s="2">
        <v>45775</v>
      </c>
      <c r="J291" s="2">
        <v>45747</v>
      </c>
      <c r="K291" s="2">
        <v>45775</v>
      </c>
    </row>
    <row r="292" spans="1:11" x14ac:dyDescent="0.25">
      <c r="A292" s="1" t="s">
        <v>161</v>
      </c>
      <c r="B292" s="1" t="s">
        <v>1105</v>
      </c>
      <c r="C292" s="1" t="s">
        <v>2106</v>
      </c>
      <c r="D292" s="1" t="s">
        <v>1998</v>
      </c>
      <c r="E292" s="1"/>
      <c r="F292" s="1" t="s">
        <v>11</v>
      </c>
      <c r="G292">
        <v>10</v>
      </c>
      <c r="H292">
        <v>10</v>
      </c>
      <c r="I292" s="2">
        <v>45775</v>
      </c>
      <c r="J292" s="2">
        <v>45747</v>
      </c>
      <c r="K292" s="2">
        <v>45775</v>
      </c>
    </row>
    <row r="293" spans="1:11" x14ac:dyDescent="0.25">
      <c r="A293" s="1" t="s">
        <v>161</v>
      </c>
      <c r="B293" s="1" t="s">
        <v>1106</v>
      </c>
      <c r="C293" s="1" t="s">
        <v>2107</v>
      </c>
      <c r="D293" s="1" t="s">
        <v>1998</v>
      </c>
      <c r="E293" s="1"/>
      <c r="F293" s="1" t="s">
        <v>11</v>
      </c>
      <c r="G293">
        <v>25</v>
      </c>
      <c r="H293">
        <v>25</v>
      </c>
      <c r="I293" s="2">
        <v>45775</v>
      </c>
      <c r="J293" s="2">
        <v>45747</v>
      </c>
      <c r="K293" s="2">
        <v>45775</v>
      </c>
    </row>
    <row r="294" spans="1:11" x14ac:dyDescent="0.25">
      <c r="A294" s="1" t="s">
        <v>161</v>
      </c>
      <c r="B294" s="1" t="s">
        <v>1107</v>
      </c>
      <c r="C294" s="1" t="s">
        <v>2002</v>
      </c>
      <c r="D294" s="1" t="s">
        <v>1998</v>
      </c>
      <c r="E294" s="1"/>
      <c r="F294" s="1" t="s">
        <v>11</v>
      </c>
      <c r="G294">
        <v>10</v>
      </c>
      <c r="H294">
        <v>10</v>
      </c>
      <c r="I294" s="2">
        <v>45775</v>
      </c>
      <c r="J294" s="2">
        <v>45747</v>
      </c>
      <c r="K294" s="2">
        <v>45775</v>
      </c>
    </row>
    <row r="295" spans="1:11" x14ac:dyDescent="0.25">
      <c r="A295" s="1" t="s">
        <v>162</v>
      </c>
      <c r="B295" s="1" t="s">
        <v>1097</v>
      </c>
      <c r="C295" s="1" t="s">
        <v>2099</v>
      </c>
      <c r="D295" s="1" t="s">
        <v>1998</v>
      </c>
      <c r="E295" s="1"/>
      <c r="F295" s="1" t="s">
        <v>11</v>
      </c>
      <c r="G295">
        <v>240</v>
      </c>
      <c r="H295">
        <v>240</v>
      </c>
      <c r="I295" s="2"/>
      <c r="J295" s="2">
        <v>45772</v>
      </c>
      <c r="K295" s="2">
        <v>45786</v>
      </c>
    </row>
    <row r="296" spans="1:11" x14ac:dyDescent="0.25">
      <c r="A296" s="1" t="s">
        <v>163</v>
      </c>
      <c r="B296" s="1" t="s">
        <v>1048</v>
      </c>
      <c r="C296" s="1" t="s">
        <v>2057</v>
      </c>
      <c r="D296" s="1" t="s">
        <v>1998</v>
      </c>
      <c r="E296" s="1"/>
      <c r="F296" s="1" t="s">
        <v>11</v>
      </c>
      <c r="G296">
        <v>1</v>
      </c>
      <c r="H296">
        <v>1</v>
      </c>
      <c r="I296" s="2"/>
      <c r="J296" s="2">
        <v>44833</v>
      </c>
      <c r="K296" s="2">
        <v>45768</v>
      </c>
    </row>
    <row r="297" spans="1:11" x14ac:dyDescent="0.25">
      <c r="A297" s="1" t="s">
        <v>163</v>
      </c>
      <c r="B297" s="1" t="s">
        <v>1047</v>
      </c>
      <c r="C297" s="1" t="s">
        <v>2056</v>
      </c>
      <c r="D297" s="1" t="s">
        <v>1998</v>
      </c>
      <c r="E297" s="1"/>
      <c r="F297" s="1" t="s">
        <v>11</v>
      </c>
      <c r="G297">
        <v>1</v>
      </c>
      <c r="H297">
        <v>5</v>
      </c>
      <c r="I297" s="2"/>
      <c r="J297" s="2">
        <v>44833</v>
      </c>
      <c r="K297" s="2">
        <v>45768</v>
      </c>
    </row>
    <row r="298" spans="1:11" x14ac:dyDescent="0.25">
      <c r="A298" s="1" t="s">
        <v>163</v>
      </c>
      <c r="B298" s="1" t="s">
        <v>1049</v>
      </c>
      <c r="C298" s="1" t="s">
        <v>2058</v>
      </c>
      <c r="D298" s="1" t="s">
        <v>1998</v>
      </c>
      <c r="E298" s="1"/>
      <c r="F298" s="1" t="s">
        <v>11</v>
      </c>
      <c r="G298">
        <v>1</v>
      </c>
      <c r="H298">
        <v>1</v>
      </c>
      <c r="I298" s="2"/>
      <c r="J298" s="2">
        <v>44833</v>
      </c>
      <c r="K298" s="2">
        <v>45768</v>
      </c>
    </row>
    <row r="299" spans="1:11" x14ac:dyDescent="0.25">
      <c r="A299" s="1" t="s">
        <v>164</v>
      </c>
      <c r="B299" s="1" t="s">
        <v>1109</v>
      </c>
      <c r="C299" s="1" t="s">
        <v>2109</v>
      </c>
      <c r="D299" s="1" t="s">
        <v>1998</v>
      </c>
      <c r="E299" s="1"/>
      <c r="F299" s="1" t="s">
        <v>11</v>
      </c>
      <c r="G299">
        <v>745</v>
      </c>
      <c r="H299">
        <v>745</v>
      </c>
      <c r="I299" s="2">
        <v>45782</v>
      </c>
      <c r="J299" s="2">
        <v>44916</v>
      </c>
      <c r="K299" s="2">
        <v>45782</v>
      </c>
    </row>
    <row r="300" spans="1:11" x14ac:dyDescent="0.25">
      <c r="A300" s="1" t="s">
        <v>164</v>
      </c>
      <c r="B300" s="1" t="s">
        <v>1110</v>
      </c>
      <c r="C300" s="1" t="s">
        <v>2110</v>
      </c>
      <c r="D300" s="1" t="s">
        <v>1998</v>
      </c>
      <c r="E300" s="1"/>
      <c r="F300" s="1" t="s">
        <v>11</v>
      </c>
      <c r="G300">
        <v>135</v>
      </c>
      <c r="H300">
        <v>135</v>
      </c>
      <c r="I300" s="2">
        <v>45782</v>
      </c>
      <c r="J300" s="2">
        <v>44916</v>
      </c>
      <c r="K300" s="2">
        <v>45782</v>
      </c>
    </row>
    <row r="301" spans="1:11" x14ac:dyDescent="0.25">
      <c r="A301" s="1" t="s">
        <v>164</v>
      </c>
      <c r="B301" s="1" t="s">
        <v>1111</v>
      </c>
      <c r="C301" s="1" t="s">
        <v>2111</v>
      </c>
      <c r="D301" s="1" t="s">
        <v>1998</v>
      </c>
      <c r="E301" s="1"/>
      <c r="F301" s="1" t="s">
        <v>11</v>
      </c>
      <c r="G301">
        <v>800</v>
      </c>
      <c r="H301">
        <v>800</v>
      </c>
      <c r="I301" s="2">
        <v>45782</v>
      </c>
      <c r="J301" s="2">
        <v>44916</v>
      </c>
      <c r="K301" s="2">
        <v>45782</v>
      </c>
    </row>
    <row r="302" spans="1:11" x14ac:dyDescent="0.25">
      <c r="A302" s="1" t="s">
        <v>164</v>
      </c>
      <c r="B302" s="1" t="s">
        <v>1112</v>
      </c>
      <c r="C302" s="1" t="s">
        <v>2112</v>
      </c>
      <c r="D302" s="1" t="s">
        <v>1998</v>
      </c>
      <c r="E302" s="1"/>
      <c r="F302" s="1" t="s">
        <v>11</v>
      </c>
      <c r="G302">
        <v>130</v>
      </c>
      <c r="H302">
        <v>130</v>
      </c>
      <c r="I302" s="2">
        <v>45782</v>
      </c>
      <c r="J302" s="2">
        <v>44916</v>
      </c>
      <c r="K302" s="2">
        <v>45782</v>
      </c>
    </row>
    <row r="303" spans="1:11" x14ac:dyDescent="0.25">
      <c r="A303" s="1" t="s">
        <v>165</v>
      </c>
      <c r="B303" s="1" t="s">
        <v>1050</v>
      </c>
      <c r="C303" s="1" t="s">
        <v>2059</v>
      </c>
      <c r="D303" s="1" t="s">
        <v>1998</v>
      </c>
      <c r="E303" s="1"/>
      <c r="F303" s="1" t="s">
        <v>11</v>
      </c>
      <c r="G303">
        <v>195</v>
      </c>
      <c r="H303">
        <v>200</v>
      </c>
      <c r="I303" s="2"/>
      <c r="J303" s="2">
        <v>45036</v>
      </c>
      <c r="K303" s="2">
        <v>45750</v>
      </c>
    </row>
    <row r="304" spans="1:11" x14ac:dyDescent="0.25">
      <c r="A304" s="1" t="s">
        <v>165</v>
      </c>
      <c r="B304" s="1" t="s">
        <v>1029</v>
      </c>
      <c r="C304" s="1" t="s">
        <v>2042</v>
      </c>
      <c r="D304" s="1" t="s">
        <v>1998</v>
      </c>
      <c r="E304" s="1"/>
      <c r="F304" s="1" t="s">
        <v>11</v>
      </c>
      <c r="G304">
        <v>3505</v>
      </c>
      <c r="H304">
        <v>3505</v>
      </c>
      <c r="I304" s="2"/>
      <c r="J304" s="2">
        <v>45036</v>
      </c>
      <c r="K304" s="2">
        <v>45750</v>
      </c>
    </row>
    <row r="305" spans="1:11" x14ac:dyDescent="0.25">
      <c r="A305" s="1" t="s">
        <v>165</v>
      </c>
      <c r="B305" s="1" t="s">
        <v>1030</v>
      </c>
      <c r="C305" s="1" t="s">
        <v>2043</v>
      </c>
      <c r="D305" s="1" t="s">
        <v>1998</v>
      </c>
      <c r="E305" s="1"/>
      <c r="F305" s="1" t="s">
        <v>11</v>
      </c>
      <c r="G305">
        <v>3390</v>
      </c>
      <c r="H305">
        <v>3390</v>
      </c>
      <c r="I305" s="2"/>
      <c r="J305" s="2">
        <v>45036</v>
      </c>
      <c r="K305" s="2">
        <v>45750</v>
      </c>
    </row>
    <row r="306" spans="1:11" x14ac:dyDescent="0.25">
      <c r="A306" s="1" t="s">
        <v>166</v>
      </c>
      <c r="B306" s="1" t="s">
        <v>1113</v>
      </c>
      <c r="C306" s="1" t="s">
        <v>2113</v>
      </c>
      <c r="D306" s="1" t="s">
        <v>1998</v>
      </c>
      <c r="E306" s="1"/>
      <c r="F306" s="1" t="s">
        <v>11</v>
      </c>
      <c r="G306">
        <v>530</v>
      </c>
      <c r="H306">
        <v>530</v>
      </c>
      <c r="I306" s="2"/>
      <c r="J306" s="2">
        <v>45125</v>
      </c>
      <c r="K306" s="2">
        <v>45744</v>
      </c>
    </row>
    <row r="307" spans="1:11" x14ac:dyDescent="0.25">
      <c r="A307" s="1" t="s">
        <v>166</v>
      </c>
      <c r="B307" s="1" t="s">
        <v>1114</v>
      </c>
      <c r="C307" s="1" t="s">
        <v>2114</v>
      </c>
      <c r="D307" s="1" t="s">
        <v>1998</v>
      </c>
      <c r="E307" s="1"/>
      <c r="F307" s="1" t="s">
        <v>11</v>
      </c>
      <c r="G307">
        <v>1</v>
      </c>
      <c r="H307">
        <v>1</v>
      </c>
      <c r="I307" s="2"/>
      <c r="J307" s="2">
        <v>45125</v>
      </c>
      <c r="K307" s="2">
        <v>45744</v>
      </c>
    </row>
    <row r="308" spans="1:11" x14ac:dyDescent="0.25">
      <c r="A308" s="1" t="s">
        <v>166</v>
      </c>
      <c r="B308" s="1" t="s">
        <v>1115</v>
      </c>
      <c r="C308" s="1" t="s">
        <v>2115</v>
      </c>
      <c r="D308" s="1" t="s">
        <v>1998</v>
      </c>
      <c r="E308" s="1"/>
      <c r="F308" s="1" t="s">
        <v>11</v>
      </c>
      <c r="G308">
        <v>6520</v>
      </c>
      <c r="H308">
        <v>3915</v>
      </c>
      <c r="I308" s="2"/>
      <c r="J308" s="2">
        <v>45125</v>
      </c>
      <c r="K308" s="2">
        <v>45744</v>
      </c>
    </row>
    <row r="309" spans="1:11" x14ac:dyDescent="0.25">
      <c r="A309" s="1" t="s">
        <v>166</v>
      </c>
      <c r="B309" s="1" t="s">
        <v>1116</v>
      </c>
      <c r="C309" s="1" t="s">
        <v>2116</v>
      </c>
      <c r="D309" s="1" t="s">
        <v>1998</v>
      </c>
      <c r="E309" s="1"/>
      <c r="F309" s="1" t="s">
        <v>11</v>
      </c>
      <c r="G309">
        <v>9525</v>
      </c>
      <c r="H309">
        <v>4765</v>
      </c>
      <c r="I309" s="2"/>
      <c r="J309" s="2">
        <v>45125</v>
      </c>
      <c r="K309" s="2">
        <v>45744</v>
      </c>
    </row>
    <row r="310" spans="1:11" x14ac:dyDescent="0.25">
      <c r="A310" s="1" t="s">
        <v>166</v>
      </c>
      <c r="B310" s="1" t="s">
        <v>1117</v>
      </c>
      <c r="C310" s="1" t="s">
        <v>2117</v>
      </c>
      <c r="D310" s="1" t="s">
        <v>1998</v>
      </c>
      <c r="E310" s="1"/>
      <c r="F310" s="1" t="s">
        <v>11</v>
      </c>
      <c r="G310">
        <v>190</v>
      </c>
      <c r="H310">
        <v>115</v>
      </c>
      <c r="I310" s="2"/>
      <c r="J310" s="2">
        <v>45125</v>
      </c>
      <c r="K310" s="2">
        <v>45744</v>
      </c>
    </row>
    <row r="311" spans="1:11" x14ac:dyDescent="0.25">
      <c r="A311" s="1" t="s">
        <v>166</v>
      </c>
      <c r="B311" s="1" t="s">
        <v>1118</v>
      </c>
      <c r="C311" s="1" t="s">
        <v>2118</v>
      </c>
      <c r="D311" s="1" t="s">
        <v>1998</v>
      </c>
      <c r="E311" s="1"/>
      <c r="F311" s="1" t="s">
        <v>11</v>
      </c>
      <c r="G311">
        <v>4855</v>
      </c>
      <c r="H311">
        <v>2910</v>
      </c>
      <c r="I311" s="2"/>
      <c r="J311" s="2">
        <v>45125</v>
      </c>
      <c r="K311" s="2">
        <v>45744</v>
      </c>
    </row>
    <row r="312" spans="1:11" x14ac:dyDescent="0.25">
      <c r="A312" s="1" t="s">
        <v>166</v>
      </c>
      <c r="B312" s="1" t="s">
        <v>1119</v>
      </c>
      <c r="C312" s="1" t="s">
        <v>2119</v>
      </c>
      <c r="D312" s="1" t="s">
        <v>1998</v>
      </c>
      <c r="E312" s="1"/>
      <c r="F312" s="1" t="s">
        <v>11</v>
      </c>
      <c r="G312">
        <v>10</v>
      </c>
      <c r="H312">
        <v>10</v>
      </c>
      <c r="I312" s="2"/>
      <c r="J312" s="2">
        <v>45125</v>
      </c>
      <c r="K312" s="2">
        <v>45744</v>
      </c>
    </row>
    <row r="313" spans="1:11" x14ac:dyDescent="0.25">
      <c r="A313" s="1" t="s">
        <v>166</v>
      </c>
      <c r="B313" s="1" t="s">
        <v>1120</v>
      </c>
      <c r="C313" s="1" t="s">
        <v>2120</v>
      </c>
      <c r="D313" s="1" t="s">
        <v>1998</v>
      </c>
      <c r="E313" s="1"/>
      <c r="F313" s="1" t="s">
        <v>11</v>
      </c>
      <c r="G313">
        <v>15</v>
      </c>
      <c r="H313">
        <v>15</v>
      </c>
      <c r="I313" s="2"/>
      <c r="J313" s="2">
        <v>45125</v>
      </c>
      <c r="K313" s="2">
        <v>45744</v>
      </c>
    </row>
    <row r="314" spans="1:11" x14ac:dyDescent="0.25">
      <c r="A314" s="1" t="s">
        <v>166</v>
      </c>
      <c r="B314" s="1" t="s">
        <v>1121</v>
      </c>
      <c r="C314" s="1" t="s">
        <v>2121</v>
      </c>
      <c r="D314" s="1" t="s">
        <v>1998</v>
      </c>
      <c r="E314" s="1"/>
      <c r="F314" s="1" t="s">
        <v>11</v>
      </c>
      <c r="G314">
        <v>10</v>
      </c>
      <c r="H314">
        <v>10</v>
      </c>
      <c r="I314" s="2"/>
      <c r="J314" s="2">
        <v>45125</v>
      </c>
      <c r="K314" s="2">
        <v>45744</v>
      </c>
    </row>
    <row r="315" spans="1:11" x14ac:dyDescent="0.25">
      <c r="A315" s="1" t="s">
        <v>166</v>
      </c>
      <c r="B315" s="1" t="s">
        <v>1122</v>
      </c>
      <c r="C315" s="1" t="s">
        <v>2122</v>
      </c>
      <c r="D315" s="1" t="s">
        <v>1998</v>
      </c>
      <c r="E315" s="1"/>
      <c r="F315" s="1" t="s">
        <v>11</v>
      </c>
      <c r="G315">
        <v>20</v>
      </c>
      <c r="H315">
        <v>20</v>
      </c>
      <c r="I315" s="2"/>
      <c r="J315" s="2">
        <v>45125</v>
      </c>
      <c r="K315" s="2">
        <v>45744</v>
      </c>
    </row>
    <row r="316" spans="1:11" x14ac:dyDescent="0.25">
      <c r="A316" s="1" t="s">
        <v>167</v>
      </c>
      <c r="B316" s="1" t="s">
        <v>1123</v>
      </c>
      <c r="C316" s="1" t="s">
        <v>2123</v>
      </c>
      <c r="D316" s="1" t="s">
        <v>1998</v>
      </c>
      <c r="E316" s="1"/>
      <c r="F316" s="1" t="s">
        <v>11</v>
      </c>
      <c r="G316">
        <v>1</v>
      </c>
      <c r="H316">
        <v>1</v>
      </c>
      <c r="I316" s="2">
        <v>45782</v>
      </c>
      <c r="J316" s="2">
        <v>45187</v>
      </c>
      <c r="K316" s="2">
        <v>45782</v>
      </c>
    </row>
    <row r="317" spans="1:11" x14ac:dyDescent="0.25">
      <c r="A317" s="1" t="s">
        <v>167</v>
      </c>
      <c r="B317" s="1" t="s">
        <v>1124</v>
      </c>
      <c r="C317" s="1" t="s">
        <v>2124</v>
      </c>
      <c r="D317" s="1" t="s">
        <v>1998</v>
      </c>
      <c r="E317" s="1"/>
      <c r="F317" s="1" t="s">
        <v>11</v>
      </c>
      <c r="G317">
        <v>1</v>
      </c>
      <c r="H317">
        <v>1</v>
      </c>
      <c r="I317" s="2">
        <v>45782</v>
      </c>
      <c r="J317" s="2">
        <v>45187</v>
      </c>
      <c r="K317" s="2">
        <v>45782</v>
      </c>
    </row>
    <row r="318" spans="1:11" x14ac:dyDescent="0.25">
      <c r="A318" s="1" t="s">
        <v>167</v>
      </c>
      <c r="B318" s="1" t="s">
        <v>1125</v>
      </c>
      <c r="C318" s="1" t="s">
        <v>2125</v>
      </c>
      <c r="D318" s="1" t="s">
        <v>1998</v>
      </c>
      <c r="E318" s="1"/>
      <c r="F318" s="1" t="s">
        <v>11</v>
      </c>
      <c r="G318">
        <v>1</v>
      </c>
      <c r="H318">
        <v>1</v>
      </c>
      <c r="I318" s="2">
        <v>45782</v>
      </c>
      <c r="J318" s="2">
        <v>45187</v>
      </c>
      <c r="K318" s="2">
        <v>45782</v>
      </c>
    </row>
    <row r="319" spans="1:11" x14ac:dyDescent="0.25">
      <c r="A319" s="1" t="s">
        <v>167</v>
      </c>
      <c r="B319" s="1" t="s">
        <v>1126</v>
      </c>
      <c r="C319" s="1" t="s">
        <v>2126</v>
      </c>
      <c r="D319" s="1" t="s">
        <v>1998</v>
      </c>
      <c r="E319" s="1"/>
      <c r="F319" s="1" t="s">
        <v>11</v>
      </c>
      <c r="G319">
        <v>1</v>
      </c>
      <c r="H319">
        <v>1</v>
      </c>
      <c r="I319" s="2">
        <v>45782</v>
      </c>
      <c r="J319" s="2">
        <v>45187</v>
      </c>
      <c r="K319" s="2">
        <v>45782</v>
      </c>
    </row>
    <row r="320" spans="1:11" x14ac:dyDescent="0.25">
      <c r="A320" s="1" t="s">
        <v>167</v>
      </c>
      <c r="B320" s="1" t="s">
        <v>1127</v>
      </c>
      <c r="C320" s="1" t="s">
        <v>2127</v>
      </c>
      <c r="D320" s="1" t="s">
        <v>1998</v>
      </c>
      <c r="E320" s="1"/>
      <c r="F320" s="1" t="s">
        <v>11</v>
      </c>
      <c r="G320">
        <v>1</v>
      </c>
      <c r="H320">
        <v>1</v>
      </c>
      <c r="I320" s="2">
        <v>45782</v>
      </c>
      <c r="J320" s="2">
        <v>45187</v>
      </c>
      <c r="K320" s="2">
        <v>45782</v>
      </c>
    </row>
    <row r="321" spans="1:11" x14ac:dyDescent="0.25">
      <c r="A321" s="1" t="s">
        <v>167</v>
      </c>
      <c r="B321" s="1" t="s">
        <v>1128</v>
      </c>
      <c r="C321" s="1" t="s">
        <v>2128</v>
      </c>
      <c r="D321" s="1" t="s">
        <v>1998</v>
      </c>
      <c r="E321" s="1"/>
      <c r="F321" s="1" t="s">
        <v>11</v>
      </c>
      <c r="G321">
        <v>1</v>
      </c>
      <c r="H321">
        <v>1</v>
      </c>
      <c r="I321" s="2">
        <v>45782</v>
      </c>
      <c r="J321" s="2">
        <v>45187</v>
      </c>
      <c r="K321" s="2">
        <v>45782</v>
      </c>
    </row>
    <row r="322" spans="1:11" x14ac:dyDescent="0.25">
      <c r="A322" s="1" t="s">
        <v>167</v>
      </c>
      <c r="B322" s="1" t="s">
        <v>1129</v>
      </c>
      <c r="C322" s="1" t="s">
        <v>2129</v>
      </c>
      <c r="D322" s="1" t="s">
        <v>1998</v>
      </c>
      <c r="E322" s="1"/>
      <c r="F322" s="1" t="s">
        <v>11</v>
      </c>
      <c r="G322">
        <v>1</v>
      </c>
      <c r="H322">
        <v>1</v>
      </c>
      <c r="I322" s="2">
        <v>45782</v>
      </c>
      <c r="J322" s="2">
        <v>45187</v>
      </c>
      <c r="K322" s="2">
        <v>45782</v>
      </c>
    </row>
    <row r="323" spans="1:11" x14ac:dyDescent="0.25">
      <c r="A323" s="1" t="s">
        <v>167</v>
      </c>
      <c r="B323" s="1" t="s">
        <v>1130</v>
      </c>
      <c r="C323" s="1" t="s">
        <v>2130</v>
      </c>
      <c r="D323" s="1" t="s">
        <v>1998</v>
      </c>
      <c r="E323" s="1"/>
      <c r="F323" s="1" t="s">
        <v>11</v>
      </c>
      <c r="G323">
        <v>1</v>
      </c>
      <c r="H323">
        <v>1</v>
      </c>
      <c r="I323" s="2">
        <v>45782</v>
      </c>
      <c r="J323" s="2">
        <v>45187</v>
      </c>
      <c r="K323" s="2">
        <v>45782</v>
      </c>
    </row>
    <row r="324" spans="1:11" x14ac:dyDescent="0.25">
      <c r="A324" s="1" t="s">
        <v>167</v>
      </c>
      <c r="B324" s="1" t="s">
        <v>1131</v>
      </c>
      <c r="C324" s="1" t="s">
        <v>2131</v>
      </c>
      <c r="D324" s="1" t="s">
        <v>1998</v>
      </c>
      <c r="E324" s="1"/>
      <c r="F324" s="1" t="s">
        <v>11</v>
      </c>
      <c r="G324">
        <v>1</v>
      </c>
      <c r="H324">
        <v>1</v>
      </c>
      <c r="I324" s="2">
        <v>45782</v>
      </c>
      <c r="J324" s="2">
        <v>45187</v>
      </c>
      <c r="K324" s="2">
        <v>45782</v>
      </c>
    </row>
    <row r="325" spans="1:11" x14ac:dyDescent="0.25">
      <c r="A325" s="1" t="s">
        <v>167</v>
      </c>
      <c r="B325" s="1" t="s">
        <v>1132</v>
      </c>
      <c r="C325" s="1" t="s">
        <v>2132</v>
      </c>
      <c r="D325" s="1" t="s">
        <v>1998</v>
      </c>
      <c r="E325" s="1"/>
      <c r="F325" s="1" t="s">
        <v>11</v>
      </c>
      <c r="G325">
        <v>1</v>
      </c>
      <c r="H325">
        <v>1</v>
      </c>
      <c r="I325" s="2">
        <v>45782</v>
      </c>
      <c r="J325" s="2">
        <v>45187</v>
      </c>
      <c r="K325" s="2">
        <v>45782</v>
      </c>
    </row>
    <row r="326" spans="1:11" x14ac:dyDescent="0.25">
      <c r="A326" s="1" t="s">
        <v>167</v>
      </c>
      <c r="B326" s="1" t="s">
        <v>1133</v>
      </c>
      <c r="C326" s="1" t="s">
        <v>2133</v>
      </c>
      <c r="D326" s="1" t="s">
        <v>1998</v>
      </c>
      <c r="E326" s="1"/>
      <c r="F326" s="1" t="s">
        <v>11</v>
      </c>
      <c r="G326">
        <v>1</v>
      </c>
      <c r="H326">
        <v>1</v>
      </c>
      <c r="I326" s="2">
        <v>45782</v>
      </c>
      <c r="J326" s="2">
        <v>45187</v>
      </c>
      <c r="K326" s="2">
        <v>45782</v>
      </c>
    </row>
    <row r="327" spans="1:11" x14ac:dyDescent="0.25">
      <c r="A327" s="1" t="s">
        <v>167</v>
      </c>
      <c r="B327" s="1" t="s">
        <v>1134</v>
      </c>
      <c r="C327" s="1" t="s">
        <v>2134</v>
      </c>
      <c r="D327" s="1" t="s">
        <v>1998</v>
      </c>
      <c r="E327" s="1"/>
      <c r="F327" s="1" t="s">
        <v>11</v>
      </c>
      <c r="G327">
        <v>1</v>
      </c>
      <c r="H327">
        <v>1</v>
      </c>
      <c r="I327" s="2">
        <v>45782</v>
      </c>
      <c r="J327" s="2">
        <v>45187</v>
      </c>
      <c r="K327" s="2">
        <v>45782</v>
      </c>
    </row>
    <row r="328" spans="1:11" x14ac:dyDescent="0.25">
      <c r="A328" s="1" t="s">
        <v>167</v>
      </c>
      <c r="B328" s="1" t="s">
        <v>1135</v>
      </c>
      <c r="C328" s="1" t="s">
        <v>2135</v>
      </c>
      <c r="D328" s="1" t="s">
        <v>1998</v>
      </c>
      <c r="E328" s="1"/>
      <c r="F328" s="1" t="s">
        <v>11</v>
      </c>
      <c r="G328">
        <v>1</v>
      </c>
      <c r="H328">
        <v>1</v>
      </c>
      <c r="I328" s="2">
        <v>45782</v>
      </c>
      <c r="J328" s="2">
        <v>45187</v>
      </c>
      <c r="K328" s="2">
        <v>45782</v>
      </c>
    </row>
    <row r="329" spans="1:11" x14ac:dyDescent="0.25">
      <c r="A329" s="1" t="s">
        <v>168</v>
      </c>
      <c r="B329" s="1" t="s">
        <v>1136</v>
      </c>
      <c r="C329" s="1" t="s">
        <v>2105</v>
      </c>
      <c r="D329" s="1" t="s">
        <v>1998</v>
      </c>
      <c r="E329" s="1"/>
      <c r="F329" s="1" t="s">
        <v>11</v>
      </c>
      <c r="G329">
        <v>800</v>
      </c>
      <c r="H329">
        <v>800</v>
      </c>
      <c r="I329" s="2">
        <v>45782</v>
      </c>
      <c r="J329" s="2">
        <v>45296</v>
      </c>
      <c r="K329" s="2">
        <v>45782</v>
      </c>
    </row>
    <row r="330" spans="1:11" x14ac:dyDescent="0.25">
      <c r="A330" s="1" t="s">
        <v>168</v>
      </c>
      <c r="B330" s="1" t="s">
        <v>1137</v>
      </c>
      <c r="C330" s="1" t="s">
        <v>2136</v>
      </c>
      <c r="D330" s="1" t="s">
        <v>1998</v>
      </c>
      <c r="E330" s="1"/>
      <c r="F330" s="1" t="s">
        <v>11</v>
      </c>
      <c r="G330">
        <v>420</v>
      </c>
      <c r="H330">
        <v>420</v>
      </c>
      <c r="I330" s="2">
        <v>45782</v>
      </c>
      <c r="J330" s="2">
        <v>45296</v>
      </c>
      <c r="K330" s="2">
        <v>45782</v>
      </c>
    </row>
    <row r="331" spans="1:11" x14ac:dyDescent="0.25">
      <c r="A331" s="1" t="s">
        <v>169</v>
      </c>
      <c r="B331" s="1" t="s">
        <v>1004</v>
      </c>
      <c r="C331" s="1" t="s">
        <v>2022</v>
      </c>
      <c r="D331" s="1" t="s">
        <v>1998</v>
      </c>
      <c r="E331" s="1"/>
      <c r="F331" s="1" t="s">
        <v>11</v>
      </c>
      <c r="G331">
        <v>1</v>
      </c>
      <c r="H331">
        <v>330</v>
      </c>
      <c r="I331" s="2">
        <v>45768</v>
      </c>
      <c r="J331" s="2">
        <v>45315</v>
      </c>
      <c r="K331" s="2">
        <v>45768</v>
      </c>
    </row>
    <row r="332" spans="1:11" x14ac:dyDescent="0.25">
      <c r="A332" s="1" t="s">
        <v>169</v>
      </c>
      <c r="B332" s="1" t="s">
        <v>1005</v>
      </c>
      <c r="C332" s="1" t="s">
        <v>2023</v>
      </c>
      <c r="D332" s="1" t="s">
        <v>1998</v>
      </c>
      <c r="E332" s="1"/>
      <c r="F332" s="1" t="s">
        <v>11</v>
      </c>
      <c r="G332">
        <v>1</v>
      </c>
      <c r="H332">
        <v>1190</v>
      </c>
      <c r="I332" s="2">
        <v>45768</v>
      </c>
      <c r="J332" s="2">
        <v>45315</v>
      </c>
      <c r="K332" s="2">
        <v>45768</v>
      </c>
    </row>
    <row r="333" spans="1:11" x14ac:dyDescent="0.25">
      <c r="A333" s="1" t="s">
        <v>169</v>
      </c>
      <c r="B333" s="1" t="s">
        <v>1006</v>
      </c>
      <c r="C333" s="1" t="s">
        <v>2024</v>
      </c>
      <c r="D333" s="1" t="s">
        <v>1998</v>
      </c>
      <c r="E333" s="1"/>
      <c r="F333" s="1" t="s">
        <v>11</v>
      </c>
      <c r="G333">
        <v>1</v>
      </c>
      <c r="H333">
        <v>710</v>
      </c>
      <c r="I333" s="2">
        <v>45768</v>
      </c>
      <c r="J333" s="2">
        <v>45315</v>
      </c>
      <c r="K333" s="2">
        <v>45768</v>
      </c>
    </row>
    <row r="334" spans="1:11" x14ac:dyDescent="0.25">
      <c r="A334" s="1" t="s">
        <v>169</v>
      </c>
      <c r="B334" s="1" t="s">
        <v>1007</v>
      </c>
      <c r="C334" s="1" t="s">
        <v>2025</v>
      </c>
      <c r="D334" s="1" t="s">
        <v>1998</v>
      </c>
      <c r="E334" s="1"/>
      <c r="F334" s="1" t="s">
        <v>11</v>
      </c>
      <c r="G334">
        <v>1</v>
      </c>
      <c r="H334">
        <v>5060</v>
      </c>
      <c r="I334" s="2">
        <v>45768</v>
      </c>
      <c r="J334" s="2">
        <v>45315</v>
      </c>
      <c r="K334" s="2">
        <v>45768</v>
      </c>
    </row>
    <row r="335" spans="1:11" x14ac:dyDescent="0.25">
      <c r="A335" s="1" t="s">
        <v>170</v>
      </c>
      <c r="B335" s="1" t="s">
        <v>1138</v>
      </c>
      <c r="C335" s="1" t="s">
        <v>2014</v>
      </c>
      <c r="D335" s="1" t="s">
        <v>1998</v>
      </c>
      <c r="E335" s="1"/>
      <c r="F335" s="1" t="s">
        <v>11</v>
      </c>
      <c r="G335">
        <v>1040</v>
      </c>
      <c r="H335">
        <v>1040</v>
      </c>
      <c r="I335" s="2">
        <v>45770</v>
      </c>
      <c r="J335" s="2">
        <v>45324</v>
      </c>
      <c r="K335" s="2">
        <v>45770</v>
      </c>
    </row>
    <row r="336" spans="1:11" x14ac:dyDescent="0.25">
      <c r="A336" s="1" t="s">
        <v>170</v>
      </c>
      <c r="B336" s="1" t="s">
        <v>1139</v>
      </c>
      <c r="C336" s="1" t="s">
        <v>2137</v>
      </c>
      <c r="D336" s="1" t="s">
        <v>1998</v>
      </c>
      <c r="E336" s="1"/>
      <c r="F336" s="1" t="s">
        <v>11</v>
      </c>
      <c r="G336">
        <v>100</v>
      </c>
      <c r="H336">
        <v>75</v>
      </c>
      <c r="I336" s="2">
        <v>45770</v>
      </c>
      <c r="J336" s="2">
        <v>45324</v>
      </c>
      <c r="K336" s="2">
        <v>45770</v>
      </c>
    </row>
    <row r="337" spans="1:11" x14ac:dyDescent="0.25">
      <c r="A337" s="1" t="s">
        <v>170</v>
      </c>
      <c r="B337" s="1" t="s">
        <v>1140</v>
      </c>
      <c r="C337" s="1" t="s">
        <v>2138</v>
      </c>
      <c r="D337" s="1" t="s">
        <v>1998</v>
      </c>
      <c r="E337" s="1"/>
      <c r="F337" s="1" t="s">
        <v>11</v>
      </c>
      <c r="G337">
        <v>85</v>
      </c>
      <c r="H337">
        <v>115</v>
      </c>
      <c r="I337" s="2">
        <v>45770</v>
      </c>
      <c r="J337" s="2">
        <v>45324</v>
      </c>
      <c r="K337" s="2">
        <v>45770</v>
      </c>
    </row>
    <row r="338" spans="1:11" x14ac:dyDescent="0.25">
      <c r="A338" s="1" t="s">
        <v>170</v>
      </c>
      <c r="B338" s="1" t="s">
        <v>1141</v>
      </c>
      <c r="C338" s="1" t="s">
        <v>2001</v>
      </c>
      <c r="D338" s="1" t="s">
        <v>1998</v>
      </c>
      <c r="E338" s="1"/>
      <c r="F338" s="1" t="s">
        <v>11</v>
      </c>
      <c r="G338">
        <v>4745</v>
      </c>
      <c r="H338">
        <v>4865</v>
      </c>
      <c r="I338" s="2">
        <v>45770</v>
      </c>
      <c r="J338" s="2">
        <v>45324</v>
      </c>
      <c r="K338" s="2">
        <v>45770</v>
      </c>
    </row>
    <row r="339" spans="1:11" x14ac:dyDescent="0.25">
      <c r="A339" s="1" t="s">
        <v>170</v>
      </c>
      <c r="B339" s="1" t="s">
        <v>1141</v>
      </c>
      <c r="C339" s="1" t="s">
        <v>2001</v>
      </c>
      <c r="D339" s="1" t="s">
        <v>1998</v>
      </c>
      <c r="E339" s="1"/>
      <c r="F339" s="1" t="s">
        <v>11</v>
      </c>
      <c r="G339">
        <v>95</v>
      </c>
      <c r="H339">
        <v>1</v>
      </c>
      <c r="I339" s="2">
        <v>45770</v>
      </c>
      <c r="J339" s="2">
        <v>45324</v>
      </c>
      <c r="K339" s="2">
        <v>45770</v>
      </c>
    </row>
    <row r="340" spans="1:11" x14ac:dyDescent="0.25">
      <c r="A340" s="1" t="s">
        <v>170</v>
      </c>
      <c r="B340" s="1" t="s">
        <v>991</v>
      </c>
      <c r="C340" s="1" t="s">
        <v>2009</v>
      </c>
      <c r="D340" s="1" t="s">
        <v>1998</v>
      </c>
      <c r="E340" s="1"/>
      <c r="F340" s="1" t="s">
        <v>12</v>
      </c>
      <c r="G340">
        <v>1</v>
      </c>
      <c r="H340">
        <v>15</v>
      </c>
      <c r="I340" s="2">
        <v>45770</v>
      </c>
      <c r="J340" s="2">
        <v>45324</v>
      </c>
      <c r="K340" s="2">
        <v>45770</v>
      </c>
    </row>
    <row r="341" spans="1:11" x14ac:dyDescent="0.25">
      <c r="A341" s="1" t="s">
        <v>170</v>
      </c>
      <c r="B341" s="1" t="s">
        <v>992</v>
      </c>
      <c r="C341" s="1" t="s">
        <v>2010</v>
      </c>
      <c r="D341" s="1" t="s">
        <v>1998</v>
      </c>
      <c r="E341" s="1"/>
      <c r="F341" s="1" t="s">
        <v>12</v>
      </c>
      <c r="G341">
        <v>1</v>
      </c>
      <c r="H341">
        <v>50</v>
      </c>
      <c r="I341" s="2">
        <v>45770</v>
      </c>
      <c r="J341" s="2">
        <v>45324</v>
      </c>
      <c r="K341" s="2">
        <v>45770</v>
      </c>
    </row>
    <row r="342" spans="1:11" x14ac:dyDescent="0.25">
      <c r="A342" s="1" t="s">
        <v>170</v>
      </c>
      <c r="B342" s="1" t="s">
        <v>993</v>
      </c>
      <c r="C342" s="1" t="s">
        <v>2011</v>
      </c>
      <c r="D342" s="1" t="s">
        <v>1998</v>
      </c>
      <c r="E342" s="1"/>
      <c r="F342" s="1" t="s">
        <v>12</v>
      </c>
      <c r="G342">
        <v>1</v>
      </c>
      <c r="H342">
        <v>5</v>
      </c>
      <c r="I342" s="2">
        <v>45770</v>
      </c>
      <c r="J342" s="2">
        <v>45324</v>
      </c>
      <c r="K342" s="2">
        <v>45770</v>
      </c>
    </row>
    <row r="343" spans="1:11" x14ac:dyDescent="0.25">
      <c r="A343" s="1" t="s">
        <v>170</v>
      </c>
      <c r="B343" s="1" t="s">
        <v>993</v>
      </c>
      <c r="C343" s="1" t="s">
        <v>2011</v>
      </c>
      <c r="D343" s="1" t="s">
        <v>1998</v>
      </c>
      <c r="E343" s="1"/>
      <c r="F343" s="1" t="s">
        <v>12</v>
      </c>
      <c r="G343">
        <v>1</v>
      </c>
      <c r="H343">
        <v>10</v>
      </c>
      <c r="I343" s="2">
        <v>45770</v>
      </c>
      <c r="J343" s="2">
        <v>45324</v>
      </c>
      <c r="K343" s="2">
        <v>45770</v>
      </c>
    </row>
    <row r="344" spans="1:11" x14ac:dyDescent="0.25">
      <c r="A344" s="1" t="s">
        <v>171</v>
      </c>
      <c r="B344" s="1" t="s">
        <v>1142</v>
      </c>
      <c r="C344" s="1" t="s">
        <v>2139</v>
      </c>
      <c r="D344" s="1" t="s">
        <v>1998</v>
      </c>
      <c r="E344" s="1"/>
      <c r="F344" s="1" t="s">
        <v>11</v>
      </c>
      <c r="G344">
        <v>1</v>
      </c>
      <c r="H344">
        <v>1</v>
      </c>
      <c r="I344" s="2">
        <v>45782</v>
      </c>
      <c r="J344" s="2">
        <v>45372</v>
      </c>
      <c r="K344" s="2">
        <v>45782</v>
      </c>
    </row>
    <row r="345" spans="1:11" x14ac:dyDescent="0.25">
      <c r="A345" s="1" t="s">
        <v>171</v>
      </c>
      <c r="B345" s="1" t="s">
        <v>1143</v>
      </c>
      <c r="C345" s="1" t="s">
        <v>2140</v>
      </c>
      <c r="D345" s="1" t="s">
        <v>1998</v>
      </c>
      <c r="E345" s="1"/>
      <c r="F345" s="1" t="s">
        <v>11</v>
      </c>
      <c r="G345">
        <v>1</v>
      </c>
      <c r="H345">
        <v>1</v>
      </c>
      <c r="I345" s="2">
        <v>45782</v>
      </c>
      <c r="J345" s="2">
        <v>45372</v>
      </c>
      <c r="K345" s="2">
        <v>45782</v>
      </c>
    </row>
    <row r="346" spans="1:11" x14ac:dyDescent="0.25">
      <c r="A346" s="1" t="s">
        <v>171</v>
      </c>
      <c r="B346" s="1" t="s">
        <v>1144</v>
      </c>
      <c r="C346" s="1" t="s">
        <v>2141</v>
      </c>
      <c r="D346" s="1" t="s">
        <v>1998</v>
      </c>
      <c r="E346" s="1"/>
      <c r="F346" s="1" t="s">
        <v>11</v>
      </c>
      <c r="G346">
        <v>1</v>
      </c>
      <c r="H346">
        <v>1</v>
      </c>
      <c r="I346" s="2">
        <v>45782</v>
      </c>
      <c r="J346" s="2">
        <v>45372</v>
      </c>
      <c r="K346" s="2">
        <v>45782</v>
      </c>
    </row>
    <row r="347" spans="1:11" x14ac:dyDescent="0.25">
      <c r="A347" s="1" t="s">
        <v>171</v>
      </c>
      <c r="B347" s="1" t="s">
        <v>1145</v>
      </c>
      <c r="C347" s="1" t="s">
        <v>2141</v>
      </c>
      <c r="D347" s="1" t="s">
        <v>1998</v>
      </c>
      <c r="E347" s="1"/>
      <c r="F347" s="1" t="s">
        <v>11</v>
      </c>
      <c r="G347">
        <v>1</v>
      </c>
      <c r="H347">
        <v>1</v>
      </c>
      <c r="I347" s="2">
        <v>45782</v>
      </c>
      <c r="J347" s="2">
        <v>45372</v>
      </c>
      <c r="K347" s="2">
        <v>45782</v>
      </c>
    </row>
    <row r="348" spans="1:11" x14ac:dyDescent="0.25">
      <c r="A348" s="1" t="s">
        <v>171</v>
      </c>
      <c r="B348" s="1" t="s">
        <v>1146</v>
      </c>
      <c r="C348" s="1" t="s">
        <v>2142</v>
      </c>
      <c r="D348" s="1" t="s">
        <v>1998</v>
      </c>
      <c r="E348" s="1"/>
      <c r="F348" s="1" t="s">
        <v>11</v>
      </c>
      <c r="G348">
        <v>1</v>
      </c>
      <c r="H348">
        <v>1</v>
      </c>
      <c r="I348" s="2">
        <v>45782</v>
      </c>
      <c r="J348" s="2">
        <v>45372</v>
      </c>
      <c r="K348" s="2">
        <v>45782</v>
      </c>
    </row>
    <row r="349" spans="1:11" x14ac:dyDescent="0.25">
      <c r="A349" s="1" t="s">
        <v>172</v>
      </c>
      <c r="B349" s="1" t="s">
        <v>1147</v>
      </c>
      <c r="C349" s="1" t="s">
        <v>2143</v>
      </c>
      <c r="D349" s="1" t="s">
        <v>1998</v>
      </c>
      <c r="E349" s="1"/>
      <c r="F349" s="1" t="s">
        <v>11</v>
      </c>
      <c r="G349">
        <v>1090</v>
      </c>
      <c r="H349">
        <v>1115</v>
      </c>
      <c r="I349" s="2"/>
      <c r="J349" s="2">
        <v>45408</v>
      </c>
      <c r="K349" s="2">
        <v>45771</v>
      </c>
    </row>
    <row r="350" spans="1:11" x14ac:dyDescent="0.25">
      <c r="A350" s="1" t="s">
        <v>172</v>
      </c>
      <c r="B350" s="1" t="s">
        <v>1148</v>
      </c>
      <c r="C350" s="1" t="s">
        <v>2027</v>
      </c>
      <c r="D350" s="1" t="s">
        <v>1998</v>
      </c>
      <c r="E350" s="1"/>
      <c r="F350" s="1" t="s">
        <v>11</v>
      </c>
      <c r="G350">
        <v>775</v>
      </c>
      <c r="H350">
        <v>775</v>
      </c>
      <c r="I350" s="2"/>
      <c r="J350" s="2">
        <v>45408</v>
      </c>
      <c r="K350" s="2">
        <v>45771</v>
      </c>
    </row>
    <row r="351" spans="1:11" x14ac:dyDescent="0.25">
      <c r="A351" s="1" t="s">
        <v>172</v>
      </c>
      <c r="B351" s="1" t="s">
        <v>1148</v>
      </c>
      <c r="C351" s="1" t="s">
        <v>2027</v>
      </c>
      <c r="D351" s="1" t="s">
        <v>1998</v>
      </c>
      <c r="E351" s="1"/>
      <c r="F351" s="1" t="s">
        <v>11</v>
      </c>
      <c r="G351">
        <v>240</v>
      </c>
      <c r="H351">
        <v>210</v>
      </c>
      <c r="I351" s="2"/>
      <c r="J351" s="2">
        <v>45408</v>
      </c>
      <c r="K351" s="2">
        <v>45771</v>
      </c>
    </row>
    <row r="352" spans="1:11" x14ac:dyDescent="0.25">
      <c r="A352" s="1" t="s">
        <v>172</v>
      </c>
      <c r="B352" s="1" t="s">
        <v>1149</v>
      </c>
      <c r="C352" s="1" t="s">
        <v>2144</v>
      </c>
      <c r="D352" s="1" t="s">
        <v>1998</v>
      </c>
      <c r="E352" s="1"/>
      <c r="F352" s="1" t="s">
        <v>11</v>
      </c>
      <c r="G352">
        <v>1190</v>
      </c>
      <c r="H352">
        <v>1190</v>
      </c>
      <c r="I352" s="2"/>
      <c r="J352" s="2">
        <v>45408</v>
      </c>
      <c r="K352" s="2">
        <v>45771</v>
      </c>
    </row>
    <row r="353" spans="1:11" x14ac:dyDescent="0.25">
      <c r="A353" s="1" t="s">
        <v>172</v>
      </c>
      <c r="B353" s="1" t="s">
        <v>1149</v>
      </c>
      <c r="C353" s="1" t="s">
        <v>2144</v>
      </c>
      <c r="D353" s="1" t="s">
        <v>1998</v>
      </c>
      <c r="E353" s="1"/>
      <c r="F353" s="1" t="s">
        <v>11</v>
      </c>
      <c r="G353">
        <v>230</v>
      </c>
      <c r="H353">
        <v>230</v>
      </c>
      <c r="I353" s="2"/>
      <c r="J353" s="2">
        <v>45408</v>
      </c>
      <c r="K353" s="2">
        <v>45771</v>
      </c>
    </row>
    <row r="354" spans="1:11" x14ac:dyDescent="0.25">
      <c r="A354" s="1" t="s">
        <v>172</v>
      </c>
      <c r="B354" s="1" t="s">
        <v>1150</v>
      </c>
      <c r="C354" s="1" t="s">
        <v>2145</v>
      </c>
      <c r="D354" s="1" t="s">
        <v>1998</v>
      </c>
      <c r="E354" s="1"/>
      <c r="F354" s="1" t="s">
        <v>11</v>
      </c>
      <c r="G354">
        <v>1140</v>
      </c>
      <c r="H354">
        <v>920</v>
      </c>
      <c r="I354" s="2"/>
      <c r="J354" s="2">
        <v>45408</v>
      </c>
      <c r="K354" s="2">
        <v>45771</v>
      </c>
    </row>
    <row r="355" spans="1:11" x14ac:dyDescent="0.25">
      <c r="A355" s="1" t="s">
        <v>172</v>
      </c>
      <c r="B355" s="1" t="s">
        <v>1150</v>
      </c>
      <c r="C355" s="1" t="s">
        <v>2145</v>
      </c>
      <c r="D355" s="1" t="s">
        <v>1998</v>
      </c>
      <c r="E355" s="1"/>
      <c r="F355" s="1" t="s">
        <v>11</v>
      </c>
      <c r="G355">
        <v>220</v>
      </c>
      <c r="H355">
        <v>1</v>
      </c>
      <c r="I355" s="2"/>
      <c r="J355" s="2">
        <v>45408</v>
      </c>
      <c r="K355" s="2">
        <v>45771</v>
      </c>
    </row>
    <row r="356" spans="1:11" x14ac:dyDescent="0.25">
      <c r="A356" s="1" t="s">
        <v>172</v>
      </c>
      <c r="B356" s="1" t="s">
        <v>1012</v>
      </c>
      <c r="C356" s="1" t="s">
        <v>2029</v>
      </c>
      <c r="D356" s="1" t="s">
        <v>1998</v>
      </c>
      <c r="E356" s="1"/>
      <c r="F356" s="1" t="s">
        <v>11</v>
      </c>
      <c r="G356">
        <v>205</v>
      </c>
      <c r="H356">
        <v>15</v>
      </c>
      <c r="I356" s="2"/>
      <c r="J356" s="2">
        <v>45408</v>
      </c>
      <c r="K356" s="2">
        <v>45771</v>
      </c>
    </row>
    <row r="357" spans="1:11" x14ac:dyDescent="0.25">
      <c r="A357" s="1" t="s">
        <v>172</v>
      </c>
      <c r="B357" s="1" t="s">
        <v>1027</v>
      </c>
      <c r="C357" s="1" t="s">
        <v>2040</v>
      </c>
      <c r="D357" s="1" t="s">
        <v>1998</v>
      </c>
      <c r="E357" s="1"/>
      <c r="F357" s="1" t="s">
        <v>12</v>
      </c>
      <c r="G357">
        <v>1</v>
      </c>
      <c r="H357">
        <v>310</v>
      </c>
      <c r="I357" s="2"/>
      <c r="J357" s="2">
        <v>45408</v>
      </c>
      <c r="K357" s="2">
        <v>45771</v>
      </c>
    </row>
    <row r="358" spans="1:11" x14ac:dyDescent="0.25">
      <c r="A358" s="1" t="s">
        <v>172</v>
      </c>
      <c r="B358" s="1" t="s">
        <v>1013</v>
      </c>
      <c r="C358" s="1" t="s">
        <v>2030</v>
      </c>
      <c r="D358" s="1" t="s">
        <v>1998</v>
      </c>
      <c r="E358" s="1"/>
      <c r="F358" s="1" t="s">
        <v>11</v>
      </c>
      <c r="G358">
        <v>55</v>
      </c>
      <c r="H358">
        <v>70</v>
      </c>
      <c r="I358" s="2"/>
      <c r="J358" s="2">
        <v>45408</v>
      </c>
      <c r="K358" s="2">
        <v>45771</v>
      </c>
    </row>
    <row r="359" spans="1:11" x14ac:dyDescent="0.25">
      <c r="A359" s="1" t="s">
        <v>172</v>
      </c>
      <c r="B359" s="1" t="s">
        <v>993</v>
      </c>
      <c r="C359" s="1" t="s">
        <v>2011</v>
      </c>
      <c r="D359" s="1" t="s">
        <v>1998</v>
      </c>
      <c r="E359" s="1"/>
      <c r="F359" s="1" t="s">
        <v>11</v>
      </c>
      <c r="G359">
        <v>15</v>
      </c>
      <c r="H359">
        <v>15</v>
      </c>
      <c r="I359" s="2"/>
      <c r="J359" s="2">
        <v>45408</v>
      </c>
      <c r="K359" s="2">
        <v>45771</v>
      </c>
    </row>
    <row r="360" spans="1:11" x14ac:dyDescent="0.25">
      <c r="A360" s="1" t="s">
        <v>172</v>
      </c>
      <c r="B360" s="1" t="s">
        <v>993</v>
      </c>
      <c r="C360" s="1" t="s">
        <v>2011</v>
      </c>
      <c r="D360" s="1" t="s">
        <v>1998</v>
      </c>
      <c r="E360" s="1"/>
      <c r="F360" s="1" t="s">
        <v>11</v>
      </c>
      <c r="G360">
        <v>15</v>
      </c>
      <c r="H360">
        <v>20</v>
      </c>
      <c r="I360" s="2"/>
      <c r="J360" s="2">
        <v>45408</v>
      </c>
      <c r="K360" s="2">
        <v>45771</v>
      </c>
    </row>
    <row r="361" spans="1:11" x14ac:dyDescent="0.25">
      <c r="A361" s="1" t="s">
        <v>173</v>
      </c>
      <c r="B361" s="1" t="s">
        <v>1151</v>
      </c>
      <c r="C361" s="1" t="s">
        <v>2146</v>
      </c>
      <c r="D361" s="1" t="s">
        <v>1998</v>
      </c>
      <c r="E361" s="1"/>
      <c r="F361" s="1" t="s">
        <v>11</v>
      </c>
      <c r="G361">
        <v>15</v>
      </c>
      <c r="H361">
        <v>15</v>
      </c>
      <c r="I361" s="2">
        <v>45782</v>
      </c>
      <c r="J361" s="2">
        <v>45441</v>
      </c>
      <c r="K361" s="2">
        <v>45782</v>
      </c>
    </row>
    <row r="362" spans="1:11" x14ac:dyDescent="0.25">
      <c r="A362" s="1" t="s">
        <v>173</v>
      </c>
      <c r="B362" s="1" t="s">
        <v>1151</v>
      </c>
      <c r="C362" s="1" t="s">
        <v>2146</v>
      </c>
      <c r="D362" s="1" t="s">
        <v>1998</v>
      </c>
      <c r="E362" s="1"/>
      <c r="F362" s="1" t="s">
        <v>16</v>
      </c>
      <c r="G362">
        <v>1</v>
      </c>
      <c r="H362">
        <v>1</v>
      </c>
      <c r="I362" s="2">
        <v>45782</v>
      </c>
      <c r="J362" s="2">
        <v>45441</v>
      </c>
      <c r="K362" s="2">
        <v>45782</v>
      </c>
    </row>
    <row r="363" spans="1:11" x14ac:dyDescent="0.25">
      <c r="A363" s="1" t="s">
        <v>173</v>
      </c>
      <c r="B363" s="1" t="s">
        <v>1152</v>
      </c>
      <c r="C363" s="1" t="s">
        <v>2147</v>
      </c>
      <c r="D363" s="1" t="s">
        <v>1998</v>
      </c>
      <c r="E363" s="1"/>
      <c r="F363" s="1" t="s">
        <v>11</v>
      </c>
      <c r="G363">
        <v>500</v>
      </c>
      <c r="H363">
        <v>500</v>
      </c>
      <c r="I363" s="2">
        <v>45782</v>
      </c>
      <c r="J363" s="2">
        <v>45441</v>
      </c>
      <c r="K363" s="2">
        <v>45782</v>
      </c>
    </row>
    <row r="364" spans="1:11" x14ac:dyDescent="0.25">
      <c r="A364" s="1" t="s">
        <v>173</v>
      </c>
      <c r="B364" s="1" t="s">
        <v>1153</v>
      </c>
      <c r="C364" s="1" t="s">
        <v>2148</v>
      </c>
      <c r="D364" s="1" t="s">
        <v>1998</v>
      </c>
      <c r="E364" s="1"/>
      <c r="F364" s="1" t="s">
        <v>11</v>
      </c>
      <c r="G364">
        <v>15</v>
      </c>
      <c r="H364">
        <v>15</v>
      </c>
      <c r="I364" s="2">
        <v>45782</v>
      </c>
      <c r="J364" s="2">
        <v>45441</v>
      </c>
      <c r="K364" s="2">
        <v>45782</v>
      </c>
    </row>
    <row r="365" spans="1:11" x14ac:dyDescent="0.25">
      <c r="A365" s="1" t="s">
        <v>173</v>
      </c>
      <c r="B365" s="1" t="s">
        <v>1154</v>
      </c>
      <c r="C365" s="1" t="s">
        <v>2072</v>
      </c>
      <c r="D365" s="1" t="s">
        <v>1998</v>
      </c>
      <c r="E365" s="1"/>
      <c r="F365" s="1" t="s">
        <v>11</v>
      </c>
      <c r="G365">
        <v>1960</v>
      </c>
      <c r="H365">
        <v>1960</v>
      </c>
      <c r="I365" s="2">
        <v>45782</v>
      </c>
      <c r="J365" s="2">
        <v>45441</v>
      </c>
      <c r="K365" s="2">
        <v>45782</v>
      </c>
    </row>
    <row r="366" spans="1:11" x14ac:dyDescent="0.25">
      <c r="A366" s="1" t="s">
        <v>173</v>
      </c>
      <c r="B366" s="1" t="s">
        <v>1154</v>
      </c>
      <c r="C366" s="1" t="s">
        <v>2072</v>
      </c>
      <c r="D366" s="1" t="s">
        <v>1998</v>
      </c>
      <c r="E366" s="1"/>
      <c r="F366" s="1" t="s">
        <v>16</v>
      </c>
      <c r="G366">
        <v>130</v>
      </c>
      <c r="H366">
        <v>130</v>
      </c>
      <c r="I366" s="2">
        <v>45782</v>
      </c>
      <c r="J366" s="2">
        <v>45441</v>
      </c>
      <c r="K366" s="2">
        <v>45782</v>
      </c>
    </row>
    <row r="367" spans="1:11" x14ac:dyDescent="0.25">
      <c r="A367" s="1" t="s">
        <v>173</v>
      </c>
      <c r="B367" s="1" t="s">
        <v>1155</v>
      </c>
      <c r="C367" s="1" t="s">
        <v>2149</v>
      </c>
      <c r="D367" s="1" t="s">
        <v>1998</v>
      </c>
      <c r="E367" s="1"/>
      <c r="F367" s="1" t="s">
        <v>11</v>
      </c>
      <c r="G367">
        <v>1540</v>
      </c>
      <c r="H367">
        <v>1540</v>
      </c>
      <c r="I367" s="2">
        <v>45782</v>
      </c>
      <c r="J367" s="2">
        <v>45441</v>
      </c>
      <c r="K367" s="2">
        <v>45782</v>
      </c>
    </row>
    <row r="368" spans="1:11" x14ac:dyDescent="0.25">
      <c r="A368" s="1" t="s">
        <v>173</v>
      </c>
      <c r="B368" s="1" t="s">
        <v>1155</v>
      </c>
      <c r="C368" s="1" t="s">
        <v>2149</v>
      </c>
      <c r="D368" s="1" t="s">
        <v>1998</v>
      </c>
      <c r="E368" s="1"/>
      <c r="F368" s="1" t="s">
        <v>16</v>
      </c>
      <c r="G368">
        <v>105</v>
      </c>
      <c r="H368">
        <v>105</v>
      </c>
      <c r="I368" s="2">
        <v>45782</v>
      </c>
      <c r="J368" s="2">
        <v>45441</v>
      </c>
      <c r="K368" s="2">
        <v>45782</v>
      </c>
    </row>
    <row r="369" spans="1:11" x14ac:dyDescent="0.25">
      <c r="A369" s="1" t="s">
        <v>174</v>
      </c>
      <c r="B369" s="1" t="s">
        <v>1156</v>
      </c>
      <c r="C369" s="1" t="s">
        <v>2150</v>
      </c>
      <c r="D369" s="1" t="s">
        <v>1998</v>
      </c>
      <c r="E369" s="1"/>
      <c r="F369" s="1" t="s">
        <v>11</v>
      </c>
      <c r="G369">
        <v>100</v>
      </c>
      <c r="H369">
        <v>195</v>
      </c>
      <c r="I369" s="2"/>
      <c r="J369" s="2">
        <v>45463</v>
      </c>
      <c r="K369" s="2">
        <v>45745</v>
      </c>
    </row>
    <row r="370" spans="1:11" x14ac:dyDescent="0.25">
      <c r="A370" s="1" t="s">
        <v>174</v>
      </c>
      <c r="B370" s="1" t="s">
        <v>1157</v>
      </c>
      <c r="C370" s="1" t="s">
        <v>2151</v>
      </c>
      <c r="D370" s="1" t="s">
        <v>1998</v>
      </c>
      <c r="E370" s="1"/>
      <c r="F370" s="1" t="s">
        <v>11</v>
      </c>
      <c r="G370">
        <v>125</v>
      </c>
      <c r="H370">
        <v>490</v>
      </c>
      <c r="I370" s="2"/>
      <c r="J370" s="2">
        <v>45463</v>
      </c>
      <c r="K370" s="2">
        <v>45745</v>
      </c>
    </row>
    <row r="371" spans="1:11" x14ac:dyDescent="0.25">
      <c r="A371" s="1" t="s">
        <v>174</v>
      </c>
      <c r="B371" s="1" t="s">
        <v>1158</v>
      </c>
      <c r="C371" s="1" t="s">
        <v>2152</v>
      </c>
      <c r="D371" s="1" t="s">
        <v>1998</v>
      </c>
      <c r="E371" s="1"/>
      <c r="F371" s="1" t="s">
        <v>11</v>
      </c>
      <c r="G371">
        <v>270</v>
      </c>
      <c r="H371">
        <v>270</v>
      </c>
      <c r="I371" s="2"/>
      <c r="J371" s="2">
        <v>45463</v>
      </c>
      <c r="K371" s="2">
        <v>45745</v>
      </c>
    </row>
    <row r="372" spans="1:11" x14ac:dyDescent="0.25">
      <c r="A372" s="1" t="s">
        <v>174</v>
      </c>
      <c r="B372" s="1" t="s">
        <v>1159</v>
      </c>
      <c r="C372" s="1" t="s">
        <v>2153</v>
      </c>
      <c r="D372" s="1" t="s">
        <v>1998</v>
      </c>
      <c r="E372" s="1"/>
      <c r="F372" s="1" t="s">
        <v>11</v>
      </c>
      <c r="G372">
        <v>165</v>
      </c>
      <c r="H372">
        <v>165</v>
      </c>
      <c r="I372" s="2"/>
      <c r="J372" s="2">
        <v>45463</v>
      </c>
      <c r="K372" s="2">
        <v>45745</v>
      </c>
    </row>
    <row r="373" spans="1:11" x14ac:dyDescent="0.25">
      <c r="A373" s="1" t="s">
        <v>174</v>
      </c>
      <c r="B373" s="1" t="s">
        <v>1159</v>
      </c>
      <c r="C373" s="1" t="s">
        <v>2153</v>
      </c>
      <c r="D373" s="1" t="s">
        <v>1998</v>
      </c>
      <c r="E373" s="1"/>
      <c r="F373" s="1" t="s">
        <v>14</v>
      </c>
      <c r="G373">
        <v>125</v>
      </c>
      <c r="H373">
        <v>275</v>
      </c>
      <c r="I373" s="2"/>
      <c r="J373" s="2">
        <v>45463</v>
      </c>
      <c r="K373" s="2">
        <v>45745</v>
      </c>
    </row>
    <row r="374" spans="1:11" x14ac:dyDescent="0.25">
      <c r="A374" s="1" t="s">
        <v>174</v>
      </c>
      <c r="B374" s="1" t="s">
        <v>1160</v>
      </c>
      <c r="C374" s="1" t="s">
        <v>2154</v>
      </c>
      <c r="D374" s="1" t="s">
        <v>1998</v>
      </c>
      <c r="E374" s="1"/>
      <c r="F374" s="1" t="s">
        <v>11</v>
      </c>
      <c r="G374">
        <v>1</v>
      </c>
      <c r="H374">
        <v>1</v>
      </c>
      <c r="I374" s="2"/>
      <c r="J374" s="2">
        <v>45463</v>
      </c>
      <c r="K374" s="2">
        <v>45745</v>
      </c>
    </row>
    <row r="375" spans="1:11" x14ac:dyDescent="0.25">
      <c r="A375" s="1" t="s">
        <v>174</v>
      </c>
      <c r="B375" s="1" t="s">
        <v>1013</v>
      </c>
      <c r="C375" s="1" t="s">
        <v>2030</v>
      </c>
      <c r="D375" s="1" t="s">
        <v>1998</v>
      </c>
      <c r="E375" s="1"/>
      <c r="F375" s="1" t="s">
        <v>11</v>
      </c>
      <c r="G375">
        <v>5</v>
      </c>
      <c r="H375">
        <v>5</v>
      </c>
      <c r="I375" s="2"/>
      <c r="J375" s="2">
        <v>45463</v>
      </c>
      <c r="K375" s="2">
        <v>45745</v>
      </c>
    </row>
    <row r="376" spans="1:11" x14ac:dyDescent="0.25">
      <c r="A376" s="1" t="s">
        <v>174</v>
      </c>
      <c r="B376" s="1" t="s">
        <v>993</v>
      </c>
      <c r="C376" s="1" t="s">
        <v>2011</v>
      </c>
      <c r="D376" s="1" t="s">
        <v>1998</v>
      </c>
      <c r="E376" s="1"/>
      <c r="F376" s="1" t="s">
        <v>11</v>
      </c>
      <c r="G376">
        <v>1</v>
      </c>
      <c r="H376">
        <v>1</v>
      </c>
      <c r="I376" s="2"/>
      <c r="J376" s="2">
        <v>45463</v>
      </c>
      <c r="K376" s="2">
        <v>45745</v>
      </c>
    </row>
    <row r="377" spans="1:11" x14ac:dyDescent="0.25">
      <c r="A377" s="1" t="s">
        <v>174</v>
      </c>
      <c r="B377" s="1" t="s">
        <v>993</v>
      </c>
      <c r="C377" s="1" t="s">
        <v>2011</v>
      </c>
      <c r="D377" s="1" t="s">
        <v>1998</v>
      </c>
      <c r="E377" s="1"/>
      <c r="F377" s="1" t="s">
        <v>11</v>
      </c>
      <c r="G377">
        <v>1</v>
      </c>
      <c r="H377">
        <v>1</v>
      </c>
      <c r="I377" s="2"/>
      <c r="J377" s="2">
        <v>45463</v>
      </c>
      <c r="K377" s="2">
        <v>45745</v>
      </c>
    </row>
    <row r="378" spans="1:11" x14ac:dyDescent="0.25">
      <c r="A378" s="1" t="s">
        <v>175</v>
      </c>
      <c r="B378" s="1" t="s">
        <v>1161</v>
      </c>
      <c r="C378" s="1" t="s">
        <v>2155</v>
      </c>
      <c r="D378" s="1" t="s">
        <v>1998</v>
      </c>
      <c r="E378" s="1"/>
      <c r="F378" s="1" t="s">
        <v>11</v>
      </c>
      <c r="G378">
        <v>2260</v>
      </c>
      <c r="H378">
        <v>3035</v>
      </c>
      <c r="I378" s="2">
        <v>45768</v>
      </c>
      <c r="J378" s="2">
        <v>45467</v>
      </c>
      <c r="K378" s="2">
        <v>45768</v>
      </c>
    </row>
    <row r="379" spans="1:11" x14ac:dyDescent="0.25">
      <c r="A379" s="1" t="s">
        <v>175</v>
      </c>
      <c r="B379" s="1" t="s">
        <v>1162</v>
      </c>
      <c r="C379" s="1" t="s">
        <v>2156</v>
      </c>
      <c r="D379" s="1" t="s">
        <v>1998</v>
      </c>
      <c r="E379" s="1"/>
      <c r="F379" s="1" t="s">
        <v>11</v>
      </c>
      <c r="G379">
        <v>22150</v>
      </c>
      <c r="H379">
        <v>21820</v>
      </c>
      <c r="I379" s="2">
        <v>45768</v>
      </c>
      <c r="J379" s="2">
        <v>45467</v>
      </c>
      <c r="K379" s="2">
        <v>45768</v>
      </c>
    </row>
    <row r="380" spans="1:11" x14ac:dyDescent="0.25">
      <c r="A380" s="1" t="s">
        <v>175</v>
      </c>
      <c r="B380" s="1" t="s">
        <v>1163</v>
      </c>
      <c r="C380" s="1" t="s">
        <v>2157</v>
      </c>
      <c r="D380" s="1" t="s">
        <v>1998</v>
      </c>
      <c r="E380" s="1"/>
      <c r="F380" s="1" t="s">
        <v>11</v>
      </c>
      <c r="G380">
        <v>27090</v>
      </c>
      <c r="H380">
        <v>26955</v>
      </c>
      <c r="I380" s="2">
        <v>45768</v>
      </c>
      <c r="J380" s="2">
        <v>45467</v>
      </c>
      <c r="K380" s="2">
        <v>45768</v>
      </c>
    </row>
    <row r="381" spans="1:11" x14ac:dyDescent="0.25">
      <c r="A381" s="1" t="s">
        <v>175</v>
      </c>
      <c r="B381" s="1" t="s">
        <v>1164</v>
      </c>
      <c r="C381" s="1" t="s">
        <v>2158</v>
      </c>
      <c r="D381" s="1" t="s">
        <v>1998</v>
      </c>
      <c r="E381" s="1"/>
      <c r="F381" s="1" t="s">
        <v>11</v>
      </c>
      <c r="G381">
        <v>43890</v>
      </c>
      <c r="H381">
        <v>43670</v>
      </c>
      <c r="I381" s="2">
        <v>45768</v>
      </c>
      <c r="J381" s="2">
        <v>45467</v>
      </c>
      <c r="K381" s="2">
        <v>45768</v>
      </c>
    </row>
    <row r="382" spans="1:11" x14ac:dyDescent="0.25">
      <c r="A382" s="1" t="s">
        <v>175</v>
      </c>
      <c r="B382" s="1" t="s">
        <v>1165</v>
      </c>
      <c r="C382" s="1" t="s">
        <v>2159</v>
      </c>
      <c r="D382" s="1" t="s">
        <v>1998</v>
      </c>
      <c r="E382" s="1"/>
      <c r="F382" s="1" t="s">
        <v>11</v>
      </c>
      <c r="G382">
        <v>58340</v>
      </c>
      <c r="H382">
        <v>58340</v>
      </c>
      <c r="I382" s="2">
        <v>45768</v>
      </c>
      <c r="J382" s="2">
        <v>45467</v>
      </c>
      <c r="K382" s="2">
        <v>45768</v>
      </c>
    </row>
    <row r="383" spans="1:11" x14ac:dyDescent="0.25">
      <c r="A383" s="1" t="s">
        <v>176</v>
      </c>
      <c r="B383" s="1" t="s">
        <v>1048</v>
      </c>
      <c r="C383" s="1" t="s">
        <v>2057</v>
      </c>
      <c r="D383" s="1" t="s">
        <v>1998</v>
      </c>
      <c r="E383" s="1"/>
      <c r="F383" s="1" t="s">
        <v>11</v>
      </c>
      <c r="G383">
        <v>1</v>
      </c>
      <c r="H383">
        <v>1</v>
      </c>
      <c r="I383" s="2"/>
      <c r="J383" s="2">
        <v>45483</v>
      </c>
      <c r="K383" s="2">
        <v>45757</v>
      </c>
    </row>
    <row r="384" spans="1:11" x14ac:dyDescent="0.25">
      <c r="A384" s="1" t="s">
        <v>176</v>
      </c>
      <c r="B384" s="1" t="s">
        <v>1047</v>
      </c>
      <c r="C384" s="1" t="s">
        <v>2056</v>
      </c>
      <c r="D384" s="1" t="s">
        <v>1998</v>
      </c>
      <c r="E384" s="1"/>
      <c r="F384" s="1" t="s">
        <v>11</v>
      </c>
      <c r="G384">
        <v>15</v>
      </c>
      <c r="H384">
        <v>15</v>
      </c>
      <c r="I384" s="2"/>
      <c r="J384" s="2">
        <v>45483</v>
      </c>
      <c r="K384" s="2">
        <v>45757</v>
      </c>
    </row>
    <row r="385" spans="1:11" x14ac:dyDescent="0.25">
      <c r="A385" s="1" t="s">
        <v>176</v>
      </c>
      <c r="B385" s="1" t="s">
        <v>1049</v>
      </c>
      <c r="C385" s="1" t="s">
        <v>2058</v>
      </c>
      <c r="D385" s="1" t="s">
        <v>1998</v>
      </c>
      <c r="E385" s="1"/>
      <c r="F385" s="1" t="s">
        <v>11</v>
      </c>
      <c r="G385">
        <v>1</v>
      </c>
      <c r="H385">
        <v>1</v>
      </c>
      <c r="I385" s="2"/>
      <c r="J385" s="2">
        <v>45483</v>
      </c>
      <c r="K385" s="2">
        <v>45757</v>
      </c>
    </row>
    <row r="386" spans="1:11" x14ac:dyDescent="0.25">
      <c r="A386" s="1" t="s">
        <v>177</v>
      </c>
      <c r="B386" s="1" t="s">
        <v>1151</v>
      </c>
      <c r="C386" s="1" t="s">
        <v>2146</v>
      </c>
      <c r="D386" s="1" t="s">
        <v>1998</v>
      </c>
      <c r="E386" s="1"/>
      <c r="F386" s="1" t="s">
        <v>11</v>
      </c>
      <c r="G386">
        <v>15</v>
      </c>
      <c r="H386">
        <v>15</v>
      </c>
      <c r="I386" s="2"/>
      <c r="J386" s="2">
        <v>45509</v>
      </c>
      <c r="K386" s="2">
        <v>45783</v>
      </c>
    </row>
    <row r="387" spans="1:11" x14ac:dyDescent="0.25">
      <c r="A387" s="1" t="s">
        <v>177</v>
      </c>
      <c r="B387" s="1" t="s">
        <v>1151</v>
      </c>
      <c r="C387" s="1" t="s">
        <v>2146</v>
      </c>
      <c r="D387" s="1" t="s">
        <v>1998</v>
      </c>
      <c r="E387" s="1"/>
      <c r="F387" s="1" t="s">
        <v>11</v>
      </c>
      <c r="G387">
        <v>1</v>
      </c>
      <c r="H387">
        <v>1</v>
      </c>
      <c r="I387" s="2"/>
      <c r="J387" s="2">
        <v>45509</v>
      </c>
      <c r="K387" s="2">
        <v>45783</v>
      </c>
    </row>
    <row r="388" spans="1:11" x14ac:dyDescent="0.25">
      <c r="A388" s="1" t="s">
        <v>177</v>
      </c>
      <c r="B388" s="1" t="s">
        <v>1151</v>
      </c>
      <c r="C388" s="1" t="s">
        <v>2146</v>
      </c>
      <c r="D388" s="1" t="s">
        <v>1998</v>
      </c>
      <c r="E388" s="1"/>
      <c r="F388" s="1" t="s">
        <v>11</v>
      </c>
      <c r="G388">
        <v>1</v>
      </c>
      <c r="H388">
        <v>1</v>
      </c>
      <c r="I388" s="2"/>
      <c r="J388" s="2">
        <v>45509</v>
      </c>
      <c r="K388" s="2">
        <v>45783</v>
      </c>
    </row>
    <row r="389" spans="1:11" x14ac:dyDescent="0.25">
      <c r="A389" s="1" t="s">
        <v>177</v>
      </c>
      <c r="B389" s="1" t="s">
        <v>1152</v>
      </c>
      <c r="C389" s="1" t="s">
        <v>2147</v>
      </c>
      <c r="D389" s="1" t="s">
        <v>1998</v>
      </c>
      <c r="E389" s="1"/>
      <c r="F389" s="1" t="s">
        <v>11</v>
      </c>
      <c r="G389">
        <v>500</v>
      </c>
      <c r="H389">
        <v>500</v>
      </c>
      <c r="I389" s="2"/>
      <c r="J389" s="2">
        <v>45509</v>
      </c>
      <c r="K389" s="2">
        <v>45783</v>
      </c>
    </row>
    <row r="390" spans="1:11" x14ac:dyDescent="0.25">
      <c r="A390" s="1" t="s">
        <v>177</v>
      </c>
      <c r="B390" s="1" t="s">
        <v>1153</v>
      </c>
      <c r="C390" s="1" t="s">
        <v>2148</v>
      </c>
      <c r="D390" s="1" t="s">
        <v>1998</v>
      </c>
      <c r="E390" s="1"/>
      <c r="F390" s="1" t="s">
        <v>11</v>
      </c>
      <c r="G390">
        <v>15</v>
      </c>
      <c r="H390">
        <v>15</v>
      </c>
      <c r="I390" s="2"/>
      <c r="J390" s="2">
        <v>45509</v>
      </c>
      <c r="K390" s="2">
        <v>45783</v>
      </c>
    </row>
    <row r="391" spans="1:11" x14ac:dyDescent="0.25">
      <c r="A391" s="1" t="s">
        <v>177</v>
      </c>
      <c r="B391" s="1" t="s">
        <v>1154</v>
      </c>
      <c r="C391" s="1" t="s">
        <v>2072</v>
      </c>
      <c r="D391" s="1" t="s">
        <v>1998</v>
      </c>
      <c r="E391" s="1"/>
      <c r="F391" s="1" t="s">
        <v>11</v>
      </c>
      <c r="G391">
        <v>1960</v>
      </c>
      <c r="H391">
        <v>1960</v>
      </c>
      <c r="I391" s="2"/>
      <c r="J391" s="2">
        <v>45509</v>
      </c>
      <c r="K391" s="2">
        <v>45783</v>
      </c>
    </row>
    <row r="392" spans="1:11" x14ac:dyDescent="0.25">
      <c r="A392" s="1" t="s">
        <v>177</v>
      </c>
      <c r="B392" s="1" t="s">
        <v>1154</v>
      </c>
      <c r="C392" s="1" t="s">
        <v>2072</v>
      </c>
      <c r="D392" s="1" t="s">
        <v>1998</v>
      </c>
      <c r="E392" s="1"/>
      <c r="F392" s="1" t="s">
        <v>11</v>
      </c>
      <c r="G392">
        <v>105</v>
      </c>
      <c r="H392">
        <v>105</v>
      </c>
      <c r="I392" s="2"/>
      <c r="J392" s="2">
        <v>45509</v>
      </c>
      <c r="K392" s="2">
        <v>45783</v>
      </c>
    </row>
    <row r="393" spans="1:11" x14ac:dyDescent="0.25">
      <c r="A393" s="1" t="s">
        <v>177</v>
      </c>
      <c r="B393" s="1" t="s">
        <v>1154</v>
      </c>
      <c r="C393" s="1" t="s">
        <v>2072</v>
      </c>
      <c r="D393" s="1" t="s">
        <v>1998</v>
      </c>
      <c r="E393" s="1"/>
      <c r="F393" s="1" t="s">
        <v>11</v>
      </c>
      <c r="G393">
        <v>80</v>
      </c>
      <c r="H393">
        <v>80</v>
      </c>
      <c r="I393" s="2"/>
      <c r="J393" s="2">
        <v>45509</v>
      </c>
      <c r="K393" s="2">
        <v>45783</v>
      </c>
    </row>
    <row r="394" spans="1:11" x14ac:dyDescent="0.25">
      <c r="A394" s="1" t="s">
        <v>177</v>
      </c>
      <c r="B394" s="1" t="s">
        <v>1155</v>
      </c>
      <c r="C394" s="1" t="s">
        <v>2149</v>
      </c>
      <c r="D394" s="1" t="s">
        <v>1998</v>
      </c>
      <c r="E394" s="1"/>
      <c r="F394" s="1" t="s">
        <v>11</v>
      </c>
      <c r="G394">
        <v>1540</v>
      </c>
      <c r="H394">
        <v>1540</v>
      </c>
      <c r="I394" s="2"/>
      <c r="J394" s="2">
        <v>45509</v>
      </c>
      <c r="K394" s="2">
        <v>45783</v>
      </c>
    </row>
    <row r="395" spans="1:11" x14ac:dyDescent="0.25">
      <c r="A395" s="1" t="s">
        <v>177</v>
      </c>
      <c r="B395" s="1" t="s">
        <v>1155</v>
      </c>
      <c r="C395" s="1" t="s">
        <v>2149</v>
      </c>
      <c r="D395" s="1" t="s">
        <v>1998</v>
      </c>
      <c r="E395" s="1"/>
      <c r="F395" s="1" t="s">
        <v>11</v>
      </c>
      <c r="G395">
        <v>145</v>
      </c>
      <c r="H395">
        <v>145</v>
      </c>
      <c r="I395" s="2"/>
      <c r="J395" s="2">
        <v>45509</v>
      </c>
      <c r="K395" s="2">
        <v>45783</v>
      </c>
    </row>
    <row r="396" spans="1:11" x14ac:dyDescent="0.25">
      <c r="A396" s="1" t="s">
        <v>177</v>
      </c>
      <c r="B396" s="1" t="s">
        <v>1155</v>
      </c>
      <c r="C396" s="1" t="s">
        <v>2149</v>
      </c>
      <c r="D396" s="1" t="s">
        <v>1998</v>
      </c>
      <c r="E396" s="1"/>
      <c r="F396" s="1" t="s">
        <v>11</v>
      </c>
      <c r="G396">
        <v>60</v>
      </c>
      <c r="H396">
        <v>60</v>
      </c>
      <c r="I396" s="2"/>
      <c r="J396" s="2">
        <v>45509</v>
      </c>
      <c r="K396" s="2">
        <v>45783</v>
      </c>
    </row>
    <row r="397" spans="1:11" x14ac:dyDescent="0.25">
      <c r="A397" s="1" t="s">
        <v>178</v>
      </c>
      <c r="B397" s="1" t="s">
        <v>1166</v>
      </c>
      <c r="C397" s="1" t="s">
        <v>2160</v>
      </c>
      <c r="D397" s="1" t="s">
        <v>1998</v>
      </c>
      <c r="E397" s="1"/>
      <c r="F397" s="1" t="s">
        <v>11</v>
      </c>
      <c r="G397">
        <v>530</v>
      </c>
      <c r="H397">
        <v>530</v>
      </c>
      <c r="I397" s="2">
        <v>45735</v>
      </c>
      <c r="J397" s="2">
        <v>45497</v>
      </c>
      <c r="K397" s="2">
        <v>45735</v>
      </c>
    </row>
    <row r="398" spans="1:11" x14ac:dyDescent="0.25">
      <c r="A398" s="1" t="s">
        <v>178</v>
      </c>
      <c r="B398" s="1" t="s">
        <v>1167</v>
      </c>
      <c r="C398" s="1" t="s">
        <v>2161</v>
      </c>
      <c r="D398" s="1" t="s">
        <v>1998</v>
      </c>
      <c r="E398" s="1"/>
      <c r="F398" s="1" t="s">
        <v>11</v>
      </c>
      <c r="G398">
        <v>3400</v>
      </c>
      <c r="H398">
        <v>3325</v>
      </c>
      <c r="I398" s="2">
        <v>45735</v>
      </c>
      <c r="J398" s="2">
        <v>45497</v>
      </c>
      <c r="K398" s="2">
        <v>45735</v>
      </c>
    </row>
    <row r="399" spans="1:11" x14ac:dyDescent="0.25">
      <c r="A399" s="1" t="s">
        <v>178</v>
      </c>
      <c r="B399" s="1" t="s">
        <v>1168</v>
      </c>
      <c r="C399" s="1" t="s">
        <v>2162</v>
      </c>
      <c r="D399" s="1" t="s">
        <v>1998</v>
      </c>
      <c r="E399" s="1"/>
      <c r="F399" s="1" t="s">
        <v>11</v>
      </c>
      <c r="G399">
        <v>555</v>
      </c>
      <c r="H399">
        <v>1145</v>
      </c>
      <c r="I399" s="2">
        <v>45735</v>
      </c>
      <c r="J399" s="2">
        <v>45497</v>
      </c>
      <c r="K399" s="2">
        <v>45735</v>
      </c>
    </row>
    <row r="400" spans="1:11" x14ac:dyDescent="0.25">
      <c r="A400" s="1" t="s">
        <v>178</v>
      </c>
      <c r="B400" s="1" t="s">
        <v>1169</v>
      </c>
      <c r="C400" s="1" t="s">
        <v>2163</v>
      </c>
      <c r="D400" s="1" t="s">
        <v>1998</v>
      </c>
      <c r="E400" s="1"/>
      <c r="F400" s="1" t="s">
        <v>11</v>
      </c>
      <c r="G400">
        <v>9705</v>
      </c>
      <c r="H400">
        <v>15165</v>
      </c>
      <c r="I400" s="2">
        <v>45735</v>
      </c>
      <c r="J400" s="2">
        <v>45497</v>
      </c>
      <c r="K400" s="2">
        <v>45735</v>
      </c>
    </row>
    <row r="401" spans="1:11" x14ac:dyDescent="0.25">
      <c r="A401" s="1" t="s">
        <v>178</v>
      </c>
      <c r="B401" s="1" t="s">
        <v>1039</v>
      </c>
      <c r="C401" s="1" t="s">
        <v>2049</v>
      </c>
      <c r="D401" s="1" t="s">
        <v>1998</v>
      </c>
      <c r="E401" s="1"/>
      <c r="F401" s="1" t="s">
        <v>11</v>
      </c>
      <c r="G401">
        <v>10</v>
      </c>
      <c r="H401">
        <v>75</v>
      </c>
      <c r="I401" s="2">
        <v>45735</v>
      </c>
      <c r="J401" s="2">
        <v>45497</v>
      </c>
      <c r="K401" s="2">
        <v>45735</v>
      </c>
    </row>
    <row r="402" spans="1:11" x14ac:dyDescent="0.25">
      <c r="A402" s="1" t="s">
        <v>178</v>
      </c>
      <c r="B402" s="1" t="s">
        <v>1087</v>
      </c>
      <c r="C402" s="1" t="s">
        <v>2090</v>
      </c>
      <c r="D402" s="1" t="s">
        <v>1998</v>
      </c>
      <c r="E402" s="1"/>
      <c r="F402" s="1" t="s">
        <v>11</v>
      </c>
      <c r="G402">
        <v>30</v>
      </c>
      <c r="H402">
        <v>70</v>
      </c>
      <c r="I402" s="2">
        <v>45735</v>
      </c>
      <c r="J402" s="2">
        <v>45497</v>
      </c>
      <c r="K402" s="2">
        <v>45735</v>
      </c>
    </row>
    <row r="403" spans="1:11" x14ac:dyDescent="0.25">
      <c r="A403" s="1" t="s">
        <v>178</v>
      </c>
      <c r="B403" s="1" t="s">
        <v>1040</v>
      </c>
      <c r="C403" s="1" t="s">
        <v>2050</v>
      </c>
      <c r="D403" s="1" t="s">
        <v>1998</v>
      </c>
      <c r="E403" s="1"/>
      <c r="F403" s="1" t="s">
        <v>11</v>
      </c>
      <c r="G403">
        <v>25</v>
      </c>
      <c r="H403">
        <v>40</v>
      </c>
      <c r="I403" s="2">
        <v>45735</v>
      </c>
      <c r="J403" s="2">
        <v>45497</v>
      </c>
      <c r="K403" s="2">
        <v>45735</v>
      </c>
    </row>
    <row r="404" spans="1:11" x14ac:dyDescent="0.25">
      <c r="A404" s="1" t="s">
        <v>178</v>
      </c>
      <c r="B404" s="1" t="s">
        <v>1040</v>
      </c>
      <c r="C404" s="1" t="s">
        <v>2050</v>
      </c>
      <c r="D404" s="1" t="s">
        <v>1998</v>
      </c>
      <c r="E404" s="1"/>
      <c r="F404" s="1" t="s">
        <v>11</v>
      </c>
      <c r="G404">
        <v>10</v>
      </c>
      <c r="H404">
        <v>10</v>
      </c>
      <c r="I404" s="2">
        <v>45735</v>
      </c>
      <c r="J404" s="2">
        <v>45497</v>
      </c>
      <c r="K404" s="2">
        <v>45735</v>
      </c>
    </row>
    <row r="405" spans="1:11" x14ac:dyDescent="0.25">
      <c r="A405" s="1" t="s">
        <v>178</v>
      </c>
      <c r="B405" s="1" t="s">
        <v>1013</v>
      </c>
      <c r="C405" s="1" t="s">
        <v>2030</v>
      </c>
      <c r="D405" s="1" t="s">
        <v>1998</v>
      </c>
      <c r="E405" s="1"/>
      <c r="F405" s="1" t="s">
        <v>11</v>
      </c>
      <c r="G405">
        <v>35</v>
      </c>
      <c r="H405">
        <v>60</v>
      </c>
      <c r="I405" s="2">
        <v>45735</v>
      </c>
      <c r="J405" s="2">
        <v>45497</v>
      </c>
      <c r="K405" s="2">
        <v>45735</v>
      </c>
    </row>
    <row r="406" spans="1:11" x14ac:dyDescent="0.25">
      <c r="A406" s="1" t="s">
        <v>178</v>
      </c>
      <c r="B406" s="1" t="s">
        <v>993</v>
      </c>
      <c r="C406" s="1" t="s">
        <v>2011</v>
      </c>
      <c r="D406" s="1" t="s">
        <v>1998</v>
      </c>
      <c r="E406" s="1"/>
      <c r="F406" s="1" t="s">
        <v>11</v>
      </c>
      <c r="G406">
        <v>10</v>
      </c>
      <c r="H406">
        <v>20</v>
      </c>
      <c r="I406" s="2">
        <v>45735</v>
      </c>
      <c r="J406" s="2">
        <v>45497</v>
      </c>
      <c r="K406" s="2">
        <v>45735</v>
      </c>
    </row>
    <row r="407" spans="1:11" x14ac:dyDescent="0.25">
      <c r="A407" s="1" t="s">
        <v>178</v>
      </c>
      <c r="B407" s="1" t="s">
        <v>993</v>
      </c>
      <c r="C407" s="1" t="s">
        <v>2011</v>
      </c>
      <c r="D407" s="1" t="s">
        <v>1998</v>
      </c>
      <c r="E407" s="1"/>
      <c r="F407" s="1" t="s">
        <v>11</v>
      </c>
      <c r="G407">
        <v>25</v>
      </c>
      <c r="H407">
        <v>90</v>
      </c>
      <c r="I407" s="2">
        <v>45735</v>
      </c>
      <c r="J407" s="2">
        <v>45497</v>
      </c>
      <c r="K407" s="2">
        <v>45735</v>
      </c>
    </row>
    <row r="408" spans="1:11" x14ac:dyDescent="0.25">
      <c r="A408" s="1" t="s">
        <v>178</v>
      </c>
      <c r="B408" s="1" t="s">
        <v>1170</v>
      </c>
      <c r="C408" s="1" t="s">
        <v>2164</v>
      </c>
      <c r="D408" s="1" t="s">
        <v>1998</v>
      </c>
      <c r="E408" s="1"/>
      <c r="F408" s="1" t="s">
        <v>11</v>
      </c>
      <c r="G408">
        <v>320</v>
      </c>
      <c r="H408">
        <v>380</v>
      </c>
      <c r="I408" s="2">
        <v>45735</v>
      </c>
      <c r="J408" s="2">
        <v>45497</v>
      </c>
      <c r="K408" s="2">
        <v>45735</v>
      </c>
    </row>
    <row r="409" spans="1:11" x14ac:dyDescent="0.25">
      <c r="A409" s="1" t="s">
        <v>178</v>
      </c>
      <c r="B409" s="1" t="s">
        <v>1171</v>
      </c>
      <c r="C409" s="1" t="s">
        <v>2165</v>
      </c>
      <c r="D409" s="1" t="s">
        <v>1998</v>
      </c>
      <c r="E409" s="1"/>
      <c r="F409" s="1" t="s">
        <v>11</v>
      </c>
      <c r="G409">
        <v>10020</v>
      </c>
      <c r="H409">
        <v>15655</v>
      </c>
      <c r="I409" s="2">
        <v>45735</v>
      </c>
      <c r="J409" s="2">
        <v>45497</v>
      </c>
      <c r="K409" s="2">
        <v>45735</v>
      </c>
    </row>
    <row r="410" spans="1:11" x14ac:dyDescent="0.25">
      <c r="A410" s="1" t="s">
        <v>179</v>
      </c>
      <c r="B410" s="1" t="s">
        <v>1172</v>
      </c>
      <c r="C410" s="1" t="s">
        <v>2166</v>
      </c>
      <c r="D410" s="1" t="s">
        <v>1998</v>
      </c>
      <c r="E410" s="1"/>
      <c r="F410" s="1" t="s">
        <v>11</v>
      </c>
      <c r="G410">
        <v>5255</v>
      </c>
      <c r="H410">
        <v>5255</v>
      </c>
      <c r="I410" s="2"/>
      <c r="J410" s="2">
        <v>45552</v>
      </c>
      <c r="K410" s="2">
        <v>45764</v>
      </c>
    </row>
    <row r="411" spans="1:11" x14ac:dyDescent="0.25">
      <c r="A411" s="1" t="s">
        <v>180</v>
      </c>
      <c r="B411" s="1" t="s">
        <v>1021</v>
      </c>
      <c r="C411" s="1" t="s">
        <v>2038</v>
      </c>
      <c r="D411" s="1" t="s">
        <v>1998</v>
      </c>
      <c r="E411" s="1"/>
      <c r="F411" s="1" t="s">
        <v>11</v>
      </c>
      <c r="G411">
        <v>39400</v>
      </c>
      <c r="H411">
        <v>39320</v>
      </c>
      <c r="I411" s="2"/>
      <c r="J411" s="2">
        <v>45560</v>
      </c>
      <c r="K411" s="2">
        <v>45736</v>
      </c>
    </row>
    <row r="412" spans="1:11" x14ac:dyDescent="0.25">
      <c r="A412" s="1" t="s">
        <v>180</v>
      </c>
      <c r="B412" s="1" t="s">
        <v>1022</v>
      </c>
      <c r="C412" s="1" t="s">
        <v>2039</v>
      </c>
      <c r="D412" s="1" t="s">
        <v>1998</v>
      </c>
      <c r="E412" s="1"/>
      <c r="F412" s="1" t="s">
        <v>11</v>
      </c>
      <c r="G412">
        <v>36270</v>
      </c>
      <c r="H412">
        <v>36270</v>
      </c>
      <c r="I412" s="2"/>
      <c r="J412" s="2">
        <v>45560</v>
      </c>
      <c r="K412" s="2">
        <v>45736</v>
      </c>
    </row>
    <row r="413" spans="1:11" x14ac:dyDescent="0.25">
      <c r="A413" s="1" t="s">
        <v>180</v>
      </c>
      <c r="B413" s="1" t="s">
        <v>1173</v>
      </c>
      <c r="C413" s="1" t="s">
        <v>2167</v>
      </c>
      <c r="D413" s="1" t="s">
        <v>1998</v>
      </c>
      <c r="E413" s="1"/>
      <c r="F413" s="1" t="s">
        <v>11</v>
      </c>
      <c r="G413">
        <v>930</v>
      </c>
      <c r="H413">
        <v>930</v>
      </c>
      <c r="I413" s="2"/>
      <c r="J413" s="2">
        <v>45560</v>
      </c>
      <c r="K413" s="2">
        <v>45736</v>
      </c>
    </row>
    <row r="414" spans="1:11" x14ac:dyDescent="0.25">
      <c r="A414" s="1" t="s">
        <v>180</v>
      </c>
      <c r="B414" s="1" t="s">
        <v>1173</v>
      </c>
      <c r="C414" s="1" t="s">
        <v>2167</v>
      </c>
      <c r="D414" s="1" t="s">
        <v>1998</v>
      </c>
      <c r="E414" s="1"/>
      <c r="F414" s="1" t="s">
        <v>11</v>
      </c>
      <c r="G414">
        <v>5</v>
      </c>
      <c r="H414">
        <v>5</v>
      </c>
      <c r="I414" s="2"/>
      <c r="J414" s="2">
        <v>45560</v>
      </c>
      <c r="K414" s="2">
        <v>45736</v>
      </c>
    </row>
    <row r="415" spans="1:11" x14ac:dyDescent="0.25">
      <c r="A415" s="1" t="s">
        <v>180</v>
      </c>
      <c r="B415" s="1" t="s">
        <v>1173</v>
      </c>
      <c r="C415" s="1" t="s">
        <v>2167</v>
      </c>
      <c r="D415" s="1" t="s">
        <v>1998</v>
      </c>
      <c r="E415" s="1"/>
      <c r="F415" s="1" t="s">
        <v>11</v>
      </c>
      <c r="G415">
        <v>105</v>
      </c>
      <c r="H415">
        <v>1</v>
      </c>
      <c r="I415" s="2"/>
      <c r="J415" s="2">
        <v>45560</v>
      </c>
      <c r="K415" s="2">
        <v>45736</v>
      </c>
    </row>
    <row r="416" spans="1:11" x14ac:dyDescent="0.25">
      <c r="A416" s="1" t="s">
        <v>180</v>
      </c>
      <c r="B416" s="1" t="s">
        <v>999</v>
      </c>
      <c r="C416" s="1" t="s">
        <v>2168</v>
      </c>
      <c r="D416" s="1" t="s">
        <v>1998</v>
      </c>
      <c r="E416" s="1"/>
      <c r="F416" s="1" t="s">
        <v>11</v>
      </c>
      <c r="G416">
        <v>1</v>
      </c>
      <c r="H416">
        <v>1</v>
      </c>
      <c r="I416" s="2"/>
      <c r="J416" s="2">
        <v>45560</v>
      </c>
      <c r="K416" s="2">
        <v>45736</v>
      </c>
    </row>
    <row r="417" spans="1:11" x14ac:dyDescent="0.25">
      <c r="A417" s="1" t="s">
        <v>180</v>
      </c>
      <c r="B417" s="1" t="s">
        <v>1000</v>
      </c>
      <c r="C417" s="1" t="s">
        <v>2018</v>
      </c>
      <c r="D417" s="1" t="s">
        <v>1998</v>
      </c>
      <c r="E417" s="1"/>
      <c r="F417" s="1" t="s">
        <v>11</v>
      </c>
      <c r="G417">
        <v>1</v>
      </c>
      <c r="H417">
        <v>1</v>
      </c>
      <c r="I417" s="2"/>
      <c r="J417" s="2">
        <v>45560</v>
      </c>
      <c r="K417" s="2">
        <v>45736</v>
      </c>
    </row>
    <row r="418" spans="1:11" x14ac:dyDescent="0.25">
      <c r="A418" s="1" t="s">
        <v>180</v>
      </c>
      <c r="B418" s="1" t="s">
        <v>1001</v>
      </c>
      <c r="C418" s="1" t="s">
        <v>2019</v>
      </c>
      <c r="D418" s="1" t="s">
        <v>1998</v>
      </c>
      <c r="E418" s="1"/>
      <c r="F418" s="1" t="s">
        <v>11</v>
      </c>
      <c r="G418">
        <v>1</v>
      </c>
      <c r="H418">
        <v>1</v>
      </c>
      <c r="I418" s="2"/>
      <c r="J418" s="2">
        <v>45560</v>
      </c>
      <c r="K418" s="2">
        <v>45736</v>
      </c>
    </row>
    <row r="419" spans="1:11" x14ac:dyDescent="0.25">
      <c r="A419" s="1" t="s">
        <v>181</v>
      </c>
      <c r="B419" s="1" t="s">
        <v>1174</v>
      </c>
      <c r="C419" s="1" t="s">
        <v>2169</v>
      </c>
      <c r="D419" s="1" t="s">
        <v>1998</v>
      </c>
      <c r="E419" s="1"/>
      <c r="F419" s="1" t="s">
        <v>11</v>
      </c>
      <c r="G419">
        <v>5</v>
      </c>
      <c r="H419">
        <v>5</v>
      </c>
      <c r="I419" s="2"/>
      <c r="J419" s="2">
        <v>45560</v>
      </c>
      <c r="K419" s="2">
        <v>45783</v>
      </c>
    </row>
    <row r="420" spans="1:11" x14ac:dyDescent="0.25">
      <c r="A420" s="1" t="s">
        <v>181</v>
      </c>
      <c r="B420" s="1" t="s">
        <v>1175</v>
      </c>
      <c r="C420" s="1" t="s">
        <v>2170</v>
      </c>
      <c r="D420" s="1" t="s">
        <v>1998</v>
      </c>
      <c r="E420" s="1"/>
      <c r="F420" s="1" t="s">
        <v>11</v>
      </c>
      <c r="G420">
        <v>1</v>
      </c>
      <c r="H420">
        <v>1</v>
      </c>
      <c r="I420" s="2"/>
      <c r="J420" s="2">
        <v>45560</v>
      </c>
      <c r="K420" s="2">
        <v>45783</v>
      </c>
    </row>
    <row r="421" spans="1:11" x14ac:dyDescent="0.25">
      <c r="A421" s="1" t="s">
        <v>181</v>
      </c>
      <c r="B421" s="1" t="s">
        <v>1176</v>
      </c>
      <c r="C421" s="1" t="s">
        <v>2171</v>
      </c>
      <c r="D421" s="1" t="s">
        <v>1998</v>
      </c>
      <c r="E421" s="1"/>
      <c r="F421" s="1" t="s">
        <v>11</v>
      </c>
      <c r="G421">
        <v>1</v>
      </c>
      <c r="H421">
        <v>1</v>
      </c>
      <c r="I421" s="2"/>
      <c r="J421" s="2">
        <v>45560</v>
      </c>
      <c r="K421" s="2">
        <v>45783</v>
      </c>
    </row>
    <row r="422" spans="1:11" x14ac:dyDescent="0.25">
      <c r="A422" s="1" t="s">
        <v>181</v>
      </c>
      <c r="B422" s="1" t="s">
        <v>1177</v>
      </c>
      <c r="C422" s="1" t="s">
        <v>2172</v>
      </c>
      <c r="D422" s="1" t="s">
        <v>1998</v>
      </c>
      <c r="E422" s="1"/>
      <c r="F422" s="1" t="s">
        <v>11</v>
      </c>
      <c r="G422">
        <v>10</v>
      </c>
      <c r="H422">
        <v>10</v>
      </c>
      <c r="I422" s="2"/>
      <c r="J422" s="2">
        <v>45560</v>
      </c>
      <c r="K422" s="2">
        <v>45783</v>
      </c>
    </row>
    <row r="423" spans="1:11" x14ac:dyDescent="0.25">
      <c r="A423" s="1" t="s">
        <v>181</v>
      </c>
      <c r="B423" s="1" t="s">
        <v>1178</v>
      </c>
      <c r="C423" s="1" t="s">
        <v>2173</v>
      </c>
      <c r="D423" s="1" t="s">
        <v>1998</v>
      </c>
      <c r="E423" s="1"/>
      <c r="F423" s="1" t="s">
        <v>11</v>
      </c>
      <c r="G423">
        <v>20</v>
      </c>
      <c r="H423">
        <v>20</v>
      </c>
      <c r="I423" s="2"/>
      <c r="J423" s="2">
        <v>45560</v>
      </c>
      <c r="K423" s="2">
        <v>45783</v>
      </c>
    </row>
    <row r="424" spans="1:11" x14ac:dyDescent="0.25">
      <c r="A424" s="1" t="s">
        <v>181</v>
      </c>
      <c r="B424" s="1" t="s">
        <v>1179</v>
      </c>
      <c r="C424" s="1" t="s">
        <v>2174</v>
      </c>
      <c r="D424" s="1" t="s">
        <v>1998</v>
      </c>
      <c r="E424" s="1"/>
      <c r="F424" s="1" t="s">
        <v>11</v>
      </c>
      <c r="G424">
        <v>110</v>
      </c>
      <c r="H424">
        <v>110</v>
      </c>
      <c r="I424" s="2"/>
      <c r="J424" s="2">
        <v>45560</v>
      </c>
      <c r="K424" s="2">
        <v>45783</v>
      </c>
    </row>
    <row r="425" spans="1:11" x14ac:dyDescent="0.25">
      <c r="A425" s="1" t="s">
        <v>181</v>
      </c>
      <c r="B425" s="1" t="s">
        <v>1180</v>
      </c>
      <c r="C425" s="1" t="s">
        <v>2175</v>
      </c>
      <c r="D425" s="1" t="s">
        <v>1998</v>
      </c>
      <c r="E425" s="1"/>
      <c r="F425" s="1" t="s">
        <v>11</v>
      </c>
      <c r="G425">
        <v>115</v>
      </c>
      <c r="H425">
        <v>115</v>
      </c>
      <c r="I425" s="2"/>
      <c r="J425" s="2">
        <v>45560</v>
      </c>
      <c r="K425" s="2">
        <v>45783</v>
      </c>
    </row>
    <row r="426" spans="1:11" x14ac:dyDescent="0.25">
      <c r="A426" s="1" t="s">
        <v>181</v>
      </c>
      <c r="B426" s="1" t="s">
        <v>1181</v>
      </c>
      <c r="C426" s="1" t="s">
        <v>2176</v>
      </c>
      <c r="D426" s="1" t="s">
        <v>1998</v>
      </c>
      <c r="E426" s="1"/>
      <c r="F426" s="1" t="s">
        <v>11</v>
      </c>
      <c r="G426">
        <v>245</v>
      </c>
      <c r="H426">
        <v>275</v>
      </c>
      <c r="I426" s="2"/>
      <c r="J426" s="2">
        <v>45560</v>
      </c>
      <c r="K426" s="2">
        <v>45783</v>
      </c>
    </row>
    <row r="427" spans="1:11" x14ac:dyDescent="0.25">
      <c r="A427" s="1" t="s">
        <v>181</v>
      </c>
      <c r="B427" s="1" t="s">
        <v>1181</v>
      </c>
      <c r="C427" s="1" t="s">
        <v>2176</v>
      </c>
      <c r="D427" s="1" t="s">
        <v>1998</v>
      </c>
      <c r="E427" s="1"/>
      <c r="F427" s="1" t="s">
        <v>11</v>
      </c>
      <c r="G427">
        <v>270</v>
      </c>
      <c r="H427">
        <v>1</v>
      </c>
      <c r="I427" s="2"/>
      <c r="J427" s="2">
        <v>45560</v>
      </c>
      <c r="K427" s="2">
        <v>45783</v>
      </c>
    </row>
    <row r="428" spans="1:11" x14ac:dyDescent="0.25">
      <c r="A428" s="1" t="s">
        <v>181</v>
      </c>
      <c r="B428" s="1" t="s">
        <v>1181</v>
      </c>
      <c r="C428" s="1" t="s">
        <v>2176</v>
      </c>
      <c r="D428" s="1" t="s">
        <v>1998</v>
      </c>
      <c r="E428" s="1"/>
      <c r="F428" s="1" t="s">
        <v>11</v>
      </c>
      <c r="G428">
        <v>270</v>
      </c>
      <c r="H428">
        <v>1</v>
      </c>
      <c r="I428" s="2"/>
      <c r="J428" s="2">
        <v>45560</v>
      </c>
      <c r="K428" s="2">
        <v>45783</v>
      </c>
    </row>
    <row r="429" spans="1:11" x14ac:dyDescent="0.25">
      <c r="A429" s="1" t="s">
        <v>181</v>
      </c>
      <c r="B429" s="1" t="s">
        <v>1182</v>
      </c>
      <c r="C429" s="1" t="s">
        <v>2177</v>
      </c>
      <c r="D429" s="1" t="s">
        <v>1998</v>
      </c>
      <c r="E429" s="1"/>
      <c r="F429" s="1" t="s">
        <v>11</v>
      </c>
      <c r="G429">
        <v>20</v>
      </c>
      <c r="H429">
        <v>60</v>
      </c>
      <c r="I429" s="2"/>
      <c r="J429" s="2">
        <v>45560</v>
      </c>
      <c r="K429" s="2">
        <v>45783</v>
      </c>
    </row>
    <row r="430" spans="1:11" x14ac:dyDescent="0.25">
      <c r="A430" s="1" t="s">
        <v>181</v>
      </c>
      <c r="B430" s="1" t="s">
        <v>1013</v>
      </c>
      <c r="C430" s="1" t="s">
        <v>2030</v>
      </c>
      <c r="D430" s="1" t="s">
        <v>1998</v>
      </c>
      <c r="E430" s="1"/>
      <c r="F430" s="1" t="s">
        <v>11</v>
      </c>
      <c r="G430">
        <v>15</v>
      </c>
      <c r="H430">
        <v>45</v>
      </c>
      <c r="I430" s="2"/>
      <c r="J430" s="2">
        <v>45560</v>
      </c>
      <c r="K430" s="2">
        <v>45783</v>
      </c>
    </row>
    <row r="431" spans="1:11" x14ac:dyDescent="0.25">
      <c r="A431" s="1" t="s">
        <v>181</v>
      </c>
      <c r="B431" s="1" t="s">
        <v>993</v>
      </c>
      <c r="C431" s="1" t="s">
        <v>2011</v>
      </c>
      <c r="D431" s="1" t="s">
        <v>1998</v>
      </c>
      <c r="E431" s="1"/>
      <c r="F431" s="1" t="s">
        <v>11</v>
      </c>
      <c r="G431">
        <v>5</v>
      </c>
      <c r="H431">
        <v>5</v>
      </c>
      <c r="I431" s="2"/>
      <c r="J431" s="2">
        <v>45560</v>
      </c>
      <c r="K431" s="2">
        <v>45783</v>
      </c>
    </row>
    <row r="432" spans="1:11" x14ac:dyDescent="0.25">
      <c r="A432" s="1" t="s">
        <v>181</v>
      </c>
      <c r="B432" s="1" t="s">
        <v>993</v>
      </c>
      <c r="C432" s="1" t="s">
        <v>2011</v>
      </c>
      <c r="D432" s="1" t="s">
        <v>1998</v>
      </c>
      <c r="E432" s="1"/>
      <c r="F432" s="1" t="s">
        <v>11</v>
      </c>
      <c r="G432">
        <v>10</v>
      </c>
      <c r="H432">
        <v>45</v>
      </c>
      <c r="I432" s="2"/>
      <c r="J432" s="2">
        <v>45560</v>
      </c>
      <c r="K432" s="2">
        <v>45783</v>
      </c>
    </row>
    <row r="433" spans="1:11" x14ac:dyDescent="0.25">
      <c r="A433" s="1" t="s">
        <v>182</v>
      </c>
      <c r="B433" s="1" t="s">
        <v>1174</v>
      </c>
      <c r="C433" s="1" t="s">
        <v>2169</v>
      </c>
      <c r="D433" s="1" t="s">
        <v>1998</v>
      </c>
      <c r="E433" s="1"/>
      <c r="F433" s="1" t="s">
        <v>11</v>
      </c>
      <c r="G433">
        <v>5</v>
      </c>
      <c r="H433">
        <v>5</v>
      </c>
      <c r="I433" s="2"/>
      <c r="J433" s="2">
        <v>45559</v>
      </c>
      <c r="K433" s="2">
        <v>45783</v>
      </c>
    </row>
    <row r="434" spans="1:11" x14ac:dyDescent="0.25">
      <c r="A434" s="1" t="s">
        <v>182</v>
      </c>
      <c r="B434" s="1" t="s">
        <v>1175</v>
      </c>
      <c r="C434" s="1" t="s">
        <v>2170</v>
      </c>
      <c r="D434" s="1" t="s">
        <v>1998</v>
      </c>
      <c r="E434" s="1"/>
      <c r="F434" s="1" t="s">
        <v>11</v>
      </c>
      <c r="G434">
        <v>1</v>
      </c>
      <c r="H434">
        <v>1</v>
      </c>
      <c r="I434" s="2"/>
      <c r="J434" s="2">
        <v>45559</v>
      </c>
      <c r="K434" s="2">
        <v>45783</v>
      </c>
    </row>
    <row r="435" spans="1:11" x14ac:dyDescent="0.25">
      <c r="A435" s="1" t="s">
        <v>182</v>
      </c>
      <c r="B435" s="1" t="s">
        <v>1176</v>
      </c>
      <c r="C435" s="1" t="s">
        <v>2171</v>
      </c>
      <c r="D435" s="1" t="s">
        <v>1998</v>
      </c>
      <c r="E435" s="1"/>
      <c r="F435" s="1" t="s">
        <v>11</v>
      </c>
      <c r="G435">
        <v>1</v>
      </c>
      <c r="H435">
        <v>1</v>
      </c>
      <c r="I435" s="2"/>
      <c r="J435" s="2">
        <v>45559</v>
      </c>
      <c r="K435" s="2">
        <v>45783</v>
      </c>
    </row>
    <row r="436" spans="1:11" x14ac:dyDescent="0.25">
      <c r="A436" s="1" t="s">
        <v>182</v>
      </c>
      <c r="B436" s="1" t="s">
        <v>1177</v>
      </c>
      <c r="C436" s="1" t="s">
        <v>2172</v>
      </c>
      <c r="D436" s="1" t="s">
        <v>1998</v>
      </c>
      <c r="E436" s="1"/>
      <c r="F436" s="1" t="s">
        <v>11</v>
      </c>
      <c r="G436">
        <v>10</v>
      </c>
      <c r="H436">
        <v>10</v>
      </c>
      <c r="I436" s="2"/>
      <c r="J436" s="2">
        <v>45559</v>
      </c>
      <c r="K436" s="2">
        <v>45783</v>
      </c>
    </row>
    <row r="437" spans="1:11" x14ac:dyDescent="0.25">
      <c r="A437" s="1" t="s">
        <v>182</v>
      </c>
      <c r="B437" s="1" t="s">
        <v>1178</v>
      </c>
      <c r="C437" s="1" t="s">
        <v>2173</v>
      </c>
      <c r="D437" s="1" t="s">
        <v>1998</v>
      </c>
      <c r="E437" s="1"/>
      <c r="F437" s="1" t="s">
        <v>11</v>
      </c>
      <c r="G437">
        <v>20</v>
      </c>
      <c r="H437">
        <v>20</v>
      </c>
      <c r="I437" s="2"/>
      <c r="J437" s="2">
        <v>45559</v>
      </c>
      <c r="K437" s="2">
        <v>45783</v>
      </c>
    </row>
    <row r="438" spans="1:11" x14ac:dyDescent="0.25">
      <c r="A438" s="1" t="s">
        <v>182</v>
      </c>
      <c r="B438" s="1" t="s">
        <v>1179</v>
      </c>
      <c r="C438" s="1" t="s">
        <v>2174</v>
      </c>
      <c r="D438" s="1" t="s">
        <v>1998</v>
      </c>
      <c r="E438" s="1"/>
      <c r="F438" s="1" t="s">
        <v>11</v>
      </c>
      <c r="G438">
        <v>110</v>
      </c>
      <c r="H438">
        <v>110</v>
      </c>
      <c r="I438" s="2"/>
      <c r="J438" s="2">
        <v>45559</v>
      </c>
      <c r="K438" s="2">
        <v>45783</v>
      </c>
    </row>
    <row r="439" spans="1:11" x14ac:dyDescent="0.25">
      <c r="A439" s="1" t="s">
        <v>182</v>
      </c>
      <c r="B439" s="1" t="s">
        <v>1180</v>
      </c>
      <c r="C439" s="1" t="s">
        <v>2175</v>
      </c>
      <c r="D439" s="1" t="s">
        <v>1998</v>
      </c>
      <c r="E439" s="1"/>
      <c r="F439" s="1" t="s">
        <v>11</v>
      </c>
      <c r="G439">
        <v>115</v>
      </c>
      <c r="H439">
        <v>115</v>
      </c>
      <c r="I439" s="2"/>
      <c r="J439" s="2">
        <v>45559</v>
      </c>
      <c r="K439" s="2">
        <v>45783</v>
      </c>
    </row>
    <row r="440" spans="1:11" x14ac:dyDescent="0.25">
      <c r="A440" s="1" t="s">
        <v>182</v>
      </c>
      <c r="B440" s="1" t="s">
        <v>1181</v>
      </c>
      <c r="C440" s="1" t="s">
        <v>2176</v>
      </c>
      <c r="D440" s="1" t="s">
        <v>1998</v>
      </c>
      <c r="E440" s="1"/>
      <c r="F440" s="1" t="s">
        <v>11</v>
      </c>
      <c r="G440">
        <v>245</v>
      </c>
      <c r="H440">
        <v>275</v>
      </c>
      <c r="I440" s="2"/>
      <c r="J440" s="2">
        <v>45559</v>
      </c>
      <c r="K440" s="2">
        <v>45783</v>
      </c>
    </row>
    <row r="441" spans="1:11" x14ac:dyDescent="0.25">
      <c r="A441" s="1" t="s">
        <v>182</v>
      </c>
      <c r="B441" s="1" t="s">
        <v>1182</v>
      </c>
      <c r="C441" s="1" t="s">
        <v>2177</v>
      </c>
      <c r="D441" s="1" t="s">
        <v>1998</v>
      </c>
      <c r="E441" s="1"/>
      <c r="F441" s="1" t="s">
        <v>11</v>
      </c>
      <c r="G441">
        <v>20</v>
      </c>
      <c r="H441">
        <v>20</v>
      </c>
      <c r="I441" s="2"/>
      <c r="J441" s="2">
        <v>45559</v>
      </c>
      <c r="K441" s="2">
        <v>45783</v>
      </c>
    </row>
    <row r="442" spans="1:11" x14ac:dyDescent="0.25">
      <c r="A442" s="1" t="s">
        <v>182</v>
      </c>
      <c r="B442" s="1" t="s">
        <v>1013</v>
      </c>
      <c r="C442" s="1" t="s">
        <v>2030</v>
      </c>
      <c r="D442" s="1" t="s">
        <v>1998</v>
      </c>
      <c r="E442" s="1"/>
      <c r="F442" s="1" t="s">
        <v>11</v>
      </c>
      <c r="G442">
        <v>15</v>
      </c>
      <c r="H442">
        <v>15</v>
      </c>
      <c r="I442" s="2"/>
      <c r="J442" s="2">
        <v>45559</v>
      </c>
      <c r="K442" s="2">
        <v>45783</v>
      </c>
    </row>
    <row r="443" spans="1:11" x14ac:dyDescent="0.25">
      <c r="A443" s="1" t="s">
        <v>182</v>
      </c>
      <c r="B443" s="1" t="s">
        <v>993</v>
      </c>
      <c r="C443" s="1" t="s">
        <v>2011</v>
      </c>
      <c r="D443" s="1" t="s">
        <v>1998</v>
      </c>
      <c r="E443" s="1"/>
      <c r="F443" s="1" t="s">
        <v>11</v>
      </c>
      <c r="G443">
        <v>5</v>
      </c>
      <c r="H443">
        <v>5</v>
      </c>
      <c r="I443" s="2"/>
      <c r="J443" s="2">
        <v>45559</v>
      </c>
      <c r="K443" s="2">
        <v>45783</v>
      </c>
    </row>
    <row r="444" spans="1:11" x14ac:dyDescent="0.25">
      <c r="A444" s="1" t="s">
        <v>182</v>
      </c>
      <c r="B444" s="1" t="s">
        <v>993</v>
      </c>
      <c r="C444" s="1" t="s">
        <v>2011</v>
      </c>
      <c r="D444" s="1" t="s">
        <v>1998</v>
      </c>
      <c r="E444" s="1"/>
      <c r="F444" s="1" t="s">
        <v>11</v>
      </c>
      <c r="G444">
        <v>10</v>
      </c>
      <c r="H444">
        <v>10</v>
      </c>
      <c r="I444" s="2"/>
      <c r="J444" s="2">
        <v>45559</v>
      </c>
      <c r="K444" s="2">
        <v>45783</v>
      </c>
    </row>
    <row r="445" spans="1:11" x14ac:dyDescent="0.25">
      <c r="A445" s="1" t="s">
        <v>183</v>
      </c>
      <c r="B445" s="1" t="s">
        <v>1174</v>
      </c>
      <c r="C445" s="1" t="s">
        <v>2169</v>
      </c>
      <c r="D445" s="1" t="s">
        <v>1998</v>
      </c>
      <c r="E445" s="1"/>
      <c r="F445" s="1" t="s">
        <v>11</v>
      </c>
      <c r="G445">
        <v>5</v>
      </c>
      <c r="H445">
        <v>5</v>
      </c>
      <c r="I445" s="2"/>
      <c r="J445" s="2">
        <v>45601</v>
      </c>
      <c r="K445" s="2">
        <v>45747</v>
      </c>
    </row>
    <row r="446" spans="1:11" x14ac:dyDescent="0.25">
      <c r="A446" s="1" t="s">
        <v>183</v>
      </c>
      <c r="B446" s="1" t="s">
        <v>1175</v>
      </c>
      <c r="C446" s="1" t="s">
        <v>2170</v>
      </c>
      <c r="D446" s="1" t="s">
        <v>1998</v>
      </c>
      <c r="E446" s="1"/>
      <c r="F446" s="1" t="s">
        <v>11</v>
      </c>
      <c r="G446">
        <v>1</v>
      </c>
      <c r="H446">
        <v>1</v>
      </c>
      <c r="I446" s="2"/>
      <c r="J446" s="2">
        <v>45601</v>
      </c>
      <c r="K446" s="2">
        <v>45747</v>
      </c>
    </row>
    <row r="447" spans="1:11" x14ac:dyDescent="0.25">
      <c r="A447" s="1" t="s">
        <v>183</v>
      </c>
      <c r="B447" s="1" t="s">
        <v>1176</v>
      </c>
      <c r="C447" s="1" t="s">
        <v>2171</v>
      </c>
      <c r="D447" s="1" t="s">
        <v>1998</v>
      </c>
      <c r="E447" s="1"/>
      <c r="F447" s="1" t="s">
        <v>11</v>
      </c>
      <c r="G447">
        <v>1</v>
      </c>
      <c r="H447">
        <v>1</v>
      </c>
      <c r="I447" s="2"/>
      <c r="J447" s="2">
        <v>45601</v>
      </c>
      <c r="K447" s="2">
        <v>45747</v>
      </c>
    </row>
    <row r="448" spans="1:11" x14ac:dyDescent="0.25">
      <c r="A448" s="1" t="s">
        <v>183</v>
      </c>
      <c r="B448" s="1" t="s">
        <v>1177</v>
      </c>
      <c r="C448" s="1" t="s">
        <v>2172</v>
      </c>
      <c r="D448" s="1" t="s">
        <v>1998</v>
      </c>
      <c r="E448" s="1"/>
      <c r="F448" s="1" t="s">
        <v>11</v>
      </c>
      <c r="G448">
        <v>10</v>
      </c>
      <c r="H448">
        <v>10</v>
      </c>
      <c r="I448" s="2"/>
      <c r="J448" s="2">
        <v>45601</v>
      </c>
      <c r="K448" s="2">
        <v>45747</v>
      </c>
    </row>
    <row r="449" spans="1:11" x14ac:dyDescent="0.25">
      <c r="A449" s="1" t="s">
        <v>183</v>
      </c>
      <c r="B449" s="1" t="s">
        <v>1178</v>
      </c>
      <c r="C449" s="1" t="s">
        <v>2173</v>
      </c>
      <c r="D449" s="1" t="s">
        <v>1998</v>
      </c>
      <c r="E449" s="1"/>
      <c r="F449" s="1" t="s">
        <v>11</v>
      </c>
      <c r="G449">
        <v>20</v>
      </c>
      <c r="H449">
        <v>20</v>
      </c>
      <c r="I449" s="2"/>
      <c r="J449" s="2">
        <v>45601</v>
      </c>
      <c r="K449" s="2">
        <v>45747</v>
      </c>
    </row>
    <row r="450" spans="1:11" x14ac:dyDescent="0.25">
      <c r="A450" s="1" t="s">
        <v>183</v>
      </c>
      <c r="B450" s="1" t="s">
        <v>1179</v>
      </c>
      <c r="C450" s="1" t="s">
        <v>2174</v>
      </c>
      <c r="D450" s="1" t="s">
        <v>1998</v>
      </c>
      <c r="E450" s="1"/>
      <c r="F450" s="1" t="s">
        <v>11</v>
      </c>
      <c r="G450">
        <v>110</v>
      </c>
      <c r="H450">
        <v>110</v>
      </c>
      <c r="I450" s="2"/>
      <c r="J450" s="2">
        <v>45601</v>
      </c>
      <c r="K450" s="2">
        <v>45747</v>
      </c>
    </row>
    <row r="451" spans="1:11" x14ac:dyDescent="0.25">
      <c r="A451" s="1" t="s">
        <v>183</v>
      </c>
      <c r="B451" s="1" t="s">
        <v>1180</v>
      </c>
      <c r="C451" s="1" t="s">
        <v>2175</v>
      </c>
      <c r="D451" s="1" t="s">
        <v>1998</v>
      </c>
      <c r="E451" s="1"/>
      <c r="F451" s="1" t="s">
        <v>11</v>
      </c>
      <c r="G451">
        <v>115</v>
      </c>
      <c r="H451">
        <v>115</v>
      </c>
      <c r="I451" s="2"/>
      <c r="J451" s="2">
        <v>45601</v>
      </c>
      <c r="K451" s="2">
        <v>45747</v>
      </c>
    </row>
    <row r="452" spans="1:11" x14ac:dyDescent="0.25">
      <c r="A452" s="1" t="s">
        <v>183</v>
      </c>
      <c r="B452" s="1" t="s">
        <v>1181</v>
      </c>
      <c r="C452" s="1" t="s">
        <v>2176</v>
      </c>
      <c r="D452" s="1" t="s">
        <v>1998</v>
      </c>
      <c r="E452" s="1"/>
      <c r="F452" s="1" t="s">
        <v>11</v>
      </c>
      <c r="G452">
        <v>245</v>
      </c>
      <c r="H452">
        <v>270</v>
      </c>
      <c r="I452" s="2"/>
      <c r="J452" s="2">
        <v>45601</v>
      </c>
      <c r="K452" s="2">
        <v>45747</v>
      </c>
    </row>
    <row r="453" spans="1:11" x14ac:dyDescent="0.25">
      <c r="A453" s="1" t="s">
        <v>183</v>
      </c>
      <c r="B453" s="1" t="s">
        <v>1182</v>
      </c>
      <c r="C453" s="1" t="s">
        <v>2177</v>
      </c>
      <c r="D453" s="1" t="s">
        <v>1998</v>
      </c>
      <c r="E453" s="1"/>
      <c r="F453" s="1" t="s">
        <v>11</v>
      </c>
      <c r="G453">
        <v>20</v>
      </c>
      <c r="H453">
        <v>20</v>
      </c>
      <c r="I453" s="2"/>
      <c r="J453" s="2">
        <v>45601</v>
      </c>
      <c r="K453" s="2">
        <v>45747</v>
      </c>
    </row>
    <row r="454" spans="1:11" x14ac:dyDescent="0.25">
      <c r="A454" s="1" t="s">
        <v>183</v>
      </c>
      <c r="B454" s="1" t="s">
        <v>1013</v>
      </c>
      <c r="C454" s="1" t="s">
        <v>2030</v>
      </c>
      <c r="D454" s="1" t="s">
        <v>1998</v>
      </c>
      <c r="E454" s="1"/>
      <c r="F454" s="1" t="s">
        <v>11</v>
      </c>
      <c r="G454">
        <v>15</v>
      </c>
      <c r="H454">
        <v>15</v>
      </c>
      <c r="I454" s="2"/>
      <c r="J454" s="2">
        <v>45601</v>
      </c>
      <c r="K454" s="2">
        <v>45747</v>
      </c>
    </row>
    <row r="455" spans="1:11" x14ac:dyDescent="0.25">
      <c r="A455" s="1" t="s">
        <v>183</v>
      </c>
      <c r="B455" s="1" t="s">
        <v>993</v>
      </c>
      <c r="C455" s="1" t="s">
        <v>2011</v>
      </c>
      <c r="D455" s="1" t="s">
        <v>1998</v>
      </c>
      <c r="E455" s="1"/>
      <c r="F455" s="1" t="s">
        <v>11</v>
      </c>
      <c r="G455">
        <v>5</v>
      </c>
      <c r="H455">
        <v>5</v>
      </c>
      <c r="I455" s="2"/>
      <c r="J455" s="2">
        <v>45601</v>
      </c>
      <c r="K455" s="2">
        <v>45747</v>
      </c>
    </row>
    <row r="456" spans="1:11" x14ac:dyDescent="0.25">
      <c r="A456" s="1" t="s">
        <v>183</v>
      </c>
      <c r="B456" s="1" t="s">
        <v>993</v>
      </c>
      <c r="C456" s="1" t="s">
        <v>2011</v>
      </c>
      <c r="D456" s="1" t="s">
        <v>1998</v>
      </c>
      <c r="E456" s="1"/>
      <c r="F456" s="1" t="s">
        <v>11</v>
      </c>
      <c r="G456">
        <v>10</v>
      </c>
      <c r="H456">
        <v>10</v>
      </c>
      <c r="I456" s="2"/>
      <c r="J456" s="2">
        <v>45601</v>
      </c>
      <c r="K456" s="2">
        <v>45747</v>
      </c>
    </row>
    <row r="457" spans="1:11" x14ac:dyDescent="0.25">
      <c r="A457" s="1" t="s">
        <v>184</v>
      </c>
      <c r="B457" s="1" t="s">
        <v>1174</v>
      </c>
      <c r="C457" s="1" t="s">
        <v>2169</v>
      </c>
      <c r="D457" s="1" t="s">
        <v>1998</v>
      </c>
      <c r="E457" s="1"/>
      <c r="F457" s="1" t="s">
        <v>11</v>
      </c>
      <c r="G457">
        <v>5</v>
      </c>
      <c r="H457">
        <v>5</v>
      </c>
      <c r="I457" s="2"/>
      <c r="J457" s="2">
        <v>45601</v>
      </c>
      <c r="K457" s="2">
        <v>45772</v>
      </c>
    </row>
    <row r="458" spans="1:11" x14ac:dyDescent="0.25">
      <c r="A458" s="1" t="s">
        <v>184</v>
      </c>
      <c r="B458" s="1" t="s">
        <v>1175</v>
      </c>
      <c r="C458" s="1" t="s">
        <v>2170</v>
      </c>
      <c r="D458" s="1" t="s">
        <v>1998</v>
      </c>
      <c r="E458" s="1"/>
      <c r="F458" s="1" t="s">
        <v>11</v>
      </c>
      <c r="G458">
        <v>1</v>
      </c>
      <c r="H458">
        <v>1</v>
      </c>
      <c r="I458" s="2"/>
      <c r="J458" s="2">
        <v>45601</v>
      </c>
      <c r="K458" s="2">
        <v>45772</v>
      </c>
    </row>
    <row r="459" spans="1:11" x14ac:dyDescent="0.25">
      <c r="A459" s="1" t="s">
        <v>184</v>
      </c>
      <c r="B459" s="1" t="s">
        <v>1176</v>
      </c>
      <c r="C459" s="1" t="s">
        <v>2171</v>
      </c>
      <c r="D459" s="1" t="s">
        <v>1998</v>
      </c>
      <c r="E459" s="1"/>
      <c r="F459" s="1" t="s">
        <v>11</v>
      </c>
      <c r="G459">
        <v>1</v>
      </c>
      <c r="H459">
        <v>1</v>
      </c>
      <c r="I459" s="2"/>
      <c r="J459" s="2">
        <v>45601</v>
      </c>
      <c r="K459" s="2">
        <v>45772</v>
      </c>
    </row>
    <row r="460" spans="1:11" x14ac:dyDescent="0.25">
      <c r="A460" s="1" t="s">
        <v>184</v>
      </c>
      <c r="B460" s="1" t="s">
        <v>1177</v>
      </c>
      <c r="C460" s="1" t="s">
        <v>2172</v>
      </c>
      <c r="D460" s="1" t="s">
        <v>1998</v>
      </c>
      <c r="E460" s="1"/>
      <c r="F460" s="1" t="s">
        <v>11</v>
      </c>
      <c r="G460">
        <v>10</v>
      </c>
      <c r="H460">
        <v>10</v>
      </c>
      <c r="I460" s="2"/>
      <c r="J460" s="2">
        <v>45601</v>
      </c>
      <c r="K460" s="2">
        <v>45772</v>
      </c>
    </row>
    <row r="461" spans="1:11" x14ac:dyDescent="0.25">
      <c r="A461" s="1" t="s">
        <v>184</v>
      </c>
      <c r="B461" s="1" t="s">
        <v>1178</v>
      </c>
      <c r="C461" s="1" t="s">
        <v>2173</v>
      </c>
      <c r="D461" s="1" t="s">
        <v>1998</v>
      </c>
      <c r="E461" s="1"/>
      <c r="F461" s="1" t="s">
        <v>11</v>
      </c>
      <c r="G461">
        <v>20</v>
      </c>
      <c r="H461">
        <v>20</v>
      </c>
      <c r="I461" s="2"/>
      <c r="J461" s="2">
        <v>45601</v>
      </c>
      <c r="K461" s="2">
        <v>45772</v>
      </c>
    </row>
    <row r="462" spans="1:11" x14ac:dyDescent="0.25">
      <c r="A462" s="1" t="s">
        <v>184</v>
      </c>
      <c r="B462" s="1" t="s">
        <v>1179</v>
      </c>
      <c r="C462" s="1" t="s">
        <v>2174</v>
      </c>
      <c r="D462" s="1" t="s">
        <v>1998</v>
      </c>
      <c r="E462" s="1"/>
      <c r="F462" s="1" t="s">
        <v>11</v>
      </c>
      <c r="G462">
        <v>110</v>
      </c>
      <c r="H462">
        <v>350</v>
      </c>
      <c r="I462" s="2"/>
      <c r="J462" s="2">
        <v>45601</v>
      </c>
      <c r="K462" s="2">
        <v>45772</v>
      </c>
    </row>
    <row r="463" spans="1:11" x14ac:dyDescent="0.25">
      <c r="A463" s="1" t="s">
        <v>184</v>
      </c>
      <c r="B463" s="1" t="s">
        <v>1180</v>
      </c>
      <c r="C463" s="1" t="s">
        <v>2175</v>
      </c>
      <c r="D463" s="1" t="s">
        <v>1998</v>
      </c>
      <c r="E463" s="1"/>
      <c r="F463" s="1" t="s">
        <v>11</v>
      </c>
      <c r="G463">
        <v>115</v>
      </c>
      <c r="H463">
        <v>195</v>
      </c>
      <c r="I463" s="2"/>
      <c r="J463" s="2">
        <v>45601</v>
      </c>
      <c r="K463" s="2">
        <v>45772</v>
      </c>
    </row>
    <row r="464" spans="1:11" x14ac:dyDescent="0.25">
      <c r="A464" s="1" t="s">
        <v>184</v>
      </c>
      <c r="B464" s="1" t="s">
        <v>1181</v>
      </c>
      <c r="C464" s="1" t="s">
        <v>2176</v>
      </c>
      <c r="D464" s="1" t="s">
        <v>1998</v>
      </c>
      <c r="E464" s="1"/>
      <c r="F464" s="1" t="s">
        <v>11</v>
      </c>
      <c r="G464">
        <v>245</v>
      </c>
      <c r="H464">
        <v>270</v>
      </c>
      <c r="I464" s="2"/>
      <c r="J464" s="2">
        <v>45601</v>
      </c>
      <c r="K464" s="2">
        <v>45772</v>
      </c>
    </row>
    <row r="465" spans="1:11" x14ac:dyDescent="0.25">
      <c r="A465" s="1" t="s">
        <v>184</v>
      </c>
      <c r="B465" s="1" t="s">
        <v>1182</v>
      </c>
      <c r="C465" s="1" t="s">
        <v>2177</v>
      </c>
      <c r="D465" s="1" t="s">
        <v>1998</v>
      </c>
      <c r="E465" s="1"/>
      <c r="F465" s="1" t="s">
        <v>11</v>
      </c>
      <c r="G465">
        <v>20</v>
      </c>
      <c r="H465">
        <v>35</v>
      </c>
      <c r="I465" s="2"/>
      <c r="J465" s="2">
        <v>45601</v>
      </c>
      <c r="K465" s="2">
        <v>45772</v>
      </c>
    </row>
    <row r="466" spans="1:11" x14ac:dyDescent="0.25">
      <c r="A466" s="1" t="s">
        <v>184</v>
      </c>
      <c r="B466" s="1" t="s">
        <v>1013</v>
      </c>
      <c r="C466" s="1" t="s">
        <v>2030</v>
      </c>
      <c r="D466" s="1" t="s">
        <v>1998</v>
      </c>
      <c r="E466" s="1"/>
      <c r="F466" s="1" t="s">
        <v>11</v>
      </c>
      <c r="G466">
        <v>15</v>
      </c>
      <c r="H466">
        <v>30</v>
      </c>
      <c r="I466" s="2"/>
      <c r="J466" s="2">
        <v>45601</v>
      </c>
      <c r="K466" s="2">
        <v>45772</v>
      </c>
    </row>
    <row r="467" spans="1:11" x14ac:dyDescent="0.25">
      <c r="A467" s="1" t="s">
        <v>184</v>
      </c>
      <c r="B467" s="1" t="s">
        <v>993</v>
      </c>
      <c r="C467" s="1" t="s">
        <v>2011</v>
      </c>
      <c r="D467" s="1" t="s">
        <v>1998</v>
      </c>
      <c r="E467" s="1"/>
      <c r="F467" s="1" t="s">
        <v>11</v>
      </c>
      <c r="G467">
        <v>5</v>
      </c>
      <c r="H467">
        <v>5</v>
      </c>
      <c r="I467" s="2"/>
      <c r="J467" s="2">
        <v>45601</v>
      </c>
      <c r="K467" s="2">
        <v>45772</v>
      </c>
    </row>
    <row r="468" spans="1:11" x14ac:dyDescent="0.25">
      <c r="A468" s="1" t="s">
        <v>184</v>
      </c>
      <c r="B468" s="1" t="s">
        <v>993</v>
      </c>
      <c r="C468" s="1" t="s">
        <v>2011</v>
      </c>
      <c r="D468" s="1" t="s">
        <v>1998</v>
      </c>
      <c r="E468" s="1"/>
      <c r="F468" s="1" t="s">
        <v>11</v>
      </c>
      <c r="G468">
        <v>10</v>
      </c>
      <c r="H468">
        <v>30</v>
      </c>
      <c r="I468" s="2"/>
      <c r="J468" s="2">
        <v>45601</v>
      </c>
      <c r="K468" s="2">
        <v>45772</v>
      </c>
    </row>
    <row r="469" spans="1:11" x14ac:dyDescent="0.25">
      <c r="A469" s="1" t="s">
        <v>185</v>
      </c>
      <c r="B469" s="1" t="s">
        <v>1174</v>
      </c>
      <c r="C469" s="1" t="s">
        <v>2169</v>
      </c>
      <c r="D469" s="1" t="s">
        <v>1998</v>
      </c>
      <c r="E469" s="1"/>
      <c r="F469" s="1" t="s">
        <v>11</v>
      </c>
      <c r="G469">
        <v>5</v>
      </c>
      <c r="H469">
        <v>5</v>
      </c>
      <c r="I469" s="2"/>
      <c r="J469" s="2">
        <v>45601</v>
      </c>
      <c r="K469" s="2">
        <v>45737</v>
      </c>
    </row>
    <row r="470" spans="1:11" x14ac:dyDescent="0.25">
      <c r="A470" s="1" t="s">
        <v>185</v>
      </c>
      <c r="B470" s="1" t="s">
        <v>1175</v>
      </c>
      <c r="C470" s="1" t="s">
        <v>2170</v>
      </c>
      <c r="D470" s="1" t="s">
        <v>1998</v>
      </c>
      <c r="E470" s="1"/>
      <c r="F470" s="1" t="s">
        <v>11</v>
      </c>
      <c r="G470">
        <v>1</v>
      </c>
      <c r="H470">
        <v>1</v>
      </c>
      <c r="I470" s="2"/>
      <c r="J470" s="2">
        <v>45601</v>
      </c>
      <c r="K470" s="2">
        <v>45737</v>
      </c>
    </row>
    <row r="471" spans="1:11" x14ac:dyDescent="0.25">
      <c r="A471" s="1" t="s">
        <v>185</v>
      </c>
      <c r="B471" s="1" t="s">
        <v>1176</v>
      </c>
      <c r="C471" s="1" t="s">
        <v>2171</v>
      </c>
      <c r="D471" s="1" t="s">
        <v>1998</v>
      </c>
      <c r="E471" s="1"/>
      <c r="F471" s="1" t="s">
        <v>11</v>
      </c>
      <c r="G471">
        <v>1</v>
      </c>
      <c r="H471">
        <v>1</v>
      </c>
      <c r="I471" s="2"/>
      <c r="J471" s="2">
        <v>45601</v>
      </c>
      <c r="K471" s="2">
        <v>45737</v>
      </c>
    </row>
    <row r="472" spans="1:11" x14ac:dyDescent="0.25">
      <c r="A472" s="1" t="s">
        <v>185</v>
      </c>
      <c r="B472" s="1" t="s">
        <v>1177</v>
      </c>
      <c r="C472" s="1" t="s">
        <v>2172</v>
      </c>
      <c r="D472" s="1" t="s">
        <v>1998</v>
      </c>
      <c r="E472" s="1"/>
      <c r="F472" s="1" t="s">
        <v>11</v>
      </c>
      <c r="G472">
        <v>10</v>
      </c>
      <c r="H472">
        <v>10</v>
      </c>
      <c r="I472" s="2"/>
      <c r="J472" s="2">
        <v>45601</v>
      </c>
      <c r="K472" s="2">
        <v>45737</v>
      </c>
    </row>
    <row r="473" spans="1:11" x14ac:dyDescent="0.25">
      <c r="A473" s="1" t="s">
        <v>185</v>
      </c>
      <c r="B473" s="1" t="s">
        <v>1178</v>
      </c>
      <c r="C473" s="1" t="s">
        <v>2173</v>
      </c>
      <c r="D473" s="1" t="s">
        <v>1998</v>
      </c>
      <c r="E473" s="1"/>
      <c r="F473" s="1" t="s">
        <v>11</v>
      </c>
      <c r="G473">
        <v>20</v>
      </c>
      <c r="H473">
        <v>20</v>
      </c>
      <c r="I473" s="2"/>
      <c r="J473" s="2">
        <v>45601</v>
      </c>
      <c r="K473" s="2">
        <v>45737</v>
      </c>
    </row>
    <row r="474" spans="1:11" x14ac:dyDescent="0.25">
      <c r="A474" s="1" t="s">
        <v>185</v>
      </c>
      <c r="B474" s="1" t="s">
        <v>1179</v>
      </c>
      <c r="C474" s="1" t="s">
        <v>2174</v>
      </c>
      <c r="D474" s="1" t="s">
        <v>1998</v>
      </c>
      <c r="E474" s="1"/>
      <c r="F474" s="1" t="s">
        <v>11</v>
      </c>
      <c r="G474">
        <v>110</v>
      </c>
      <c r="H474">
        <v>110</v>
      </c>
      <c r="I474" s="2"/>
      <c r="J474" s="2">
        <v>45601</v>
      </c>
      <c r="K474" s="2">
        <v>45737</v>
      </c>
    </row>
    <row r="475" spans="1:11" x14ac:dyDescent="0.25">
      <c r="A475" s="1" t="s">
        <v>185</v>
      </c>
      <c r="B475" s="1" t="s">
        <v>1180</v>
      </c>
      <c r="C475" s="1" t="s">
        <v>2175</v>
      </c>
      <c r="D475" s="1" t="s">
        <v>1998</v>
      </c>
      <c r="E475" s="1"/>
      <c r="F475" s="1" t="s">
        <v>11</v>
      </c>
      <c r="G475">
        <v>115</v>
      </c>
      <c r="H475">
        <v>115</v>
      </c>
      <c r="I475" s="2"/>
      <c r="J475" s="2">
        <v>45601</v>
      </c>
      <c r="K475" s="2">
        <v>45737</v>
      </c>
    </row>
    <row r="476" spans="1:11" x14ac:dyDescent="0.25">
      <c r="A476" s="1" t="s">
        <v>185</v>
      </c>
      <c r="B476" s="1" t="s">
        <v>1181</v>
      </c>
      <c r="C476" s="1" t="s">
        <v>2176</v>
      </c>
      <c r="D476" s="1" t="s">
        <v>1998</v>
      </c>
      <c r="E476" s="1"/>
      <c r="F476" s="1" t="s">
        <v>11</v>
      </c>
      <c r="G476">
        <v>245</v>
      </c>
      <c r="H476">
        <v>1</v>
      </c>
      <c r="I476" s="2"/>
      <c r="J476" s="2">
        <v>45601</v>
      </c>
      <c r="K476" s="2">
        <v>45737</v>
      </c>
    </row>
    <row r="477" spans="1:11" x14ac:dyDescent="0.25">
      <c r="A477" s="1" t="s">
        <v>185</v>
      </c>
      <c r="B477" s="1" t="s">
        <v>1182</v>
      </c>
      <c r="C477" s="1" t="s">
        <v>2177</v>
      </c>
      <c r="D477" s="1" t="s">
        <v>1998</v>
      </c>
      <c r="E477" s="1"/>
      <c r="F477" s="1" t="s">
        <v>11</v>
      </c>
      <c r="G477">
        <v>20</v>
      </c>
      <c r="H477">
        <v>40</v>
      </c>
      <c r="I477" s="2"/>
      <c r="J477" s="2">
        <v>45601</v>
      </c>
      <c r="K477" s="2">
        <v>45737</v>
      </c>
    </row>
    <row r="478" spans="1:11" x14ac:dyDescent="0.25">
      <c r="A478" s="1" t="s">
        <v>185</v>
      </c>
      <c r="B478" s="1" t="s">
        <v>1013</v>
      </c>
      <c r="C478" s="1" t="s">
        <v>2030</v>
      </c>
      <c r="D478" s="1" t="s">
        <v>1998</v>
      </c>
      <c r="E478" s="1"/>
      <c r="F478" s="1" t="s">
        <v>11</v>
      </c>
      <c r="G478">
        <v>15</v>
      </c>
      <c r="H478">
        <v>30</v>
      </c>
      <c r="I478" s="2"/>
      <c r="J478" s="2">
        <v>45601</v>
      </c>
      <c r="K478" s="2">
        <v>45737</v>
      </c>
    </row>
    <row r="479" spans="1:11" x14ac:dyDescent="0.25">
      <c r="A479" s="1" t="s">
        <v>185</v>
      </c>
      <c r="B479" s="1" t="s">
        <v>993</v>
      </c>
      <c r="C479" s="1" t="s">
        <v>2011</v>
      </c>
      <c r="D479" s="1" t="s">
        <v>1998</v>
      </c>
      <c r="E479" s="1"/>
      <c r="F479" s="1" t="s">
        <v>11</v>
      </c>
      <c r="G479">
        <v>5</v>
      </c>
      <c r="H479">
        <v>5</v>
      </c>
      <c r="I479" s="2"/>
      <c r="J479" s="2">
        <v>45601</v>
      </c>
      <c r="K479" s="2">
        <v>45737</v>
      </c>
    </row>
    <row r="480" spans="1:11" x14ac:dyDescent="0.25">
      <c r="A480" s="1" t="s">
        <v>185</v>
      </c>
      <c r="B480" s="1" t="s">
        <v>993</v>
      </c>
      <c r="C480" s="1" t="s">
        <v>2011</v>
      </c>
      <c r="D480" s="1" t="s">
        <v>1998</v>
      </c>
      <c r="E480" s="1"/>
      <c r="F480" s="1" t="s">
        <v>11</v>
      </c>
      <c r="G480">
        <v>10</v>
      </c>
      <c r="H480">
        <v>30</v>
      </c>
      <c r="I480" s="2"/>
      <c r="J480" s="2">
        <v>45601</v>
      </c>
      <c r="K480" s="2">
        <v>45737</v>
      </c>
    </row>
    <row r="481" spans="1:11" x14ac:dyDescent="0.25">
      <c r="A481" s="1" t="s">
        <v>186</v>
      </c>
      <c r="B481" s="1" t="s">
        <v>1183</v>
      </c>
      <c r="C481" s="1" t="s">
        <v>2178</v>
      </c>
      <c r="D481" s="1" t="s">
        <v>1998</v>
      </c>
      <c r="E481" s="1"/>
      <c r="F481" s="1" t="s">
        <v>11</v>
      </c>
      <c r="G481">
        <v>475</v>
      </c>
      <c r="H481">
        <v>690</v>
      </c>
      <c r="I481" s="2"/>
      <c r="J481" s="2">
        <v>45561</v>
      </c>
      <c r="K481" s="2">
        <v>45757</v>
      </c>
    </row>
    <row r="482" spans="1:11" x14ac:dyDescent="0.25">
      <c r="A482" s="1" t="s">
        <v>186</v>
      </c>
      <c r="B482" s="1" t="s">
        <v>1184</v>
      </c>
      <c r="C482" s="1" t="s">
        <v>2043</v>
      </c>
      <c r="D482" s="1" t="s">
        <v>1998</v>
      </c>
      <c r="E482" s="1"/>
      <c r="F482" s="1" t="s">
        <v>11</v>
      </c>
      <c r="G482">
        <v>6665</v>
      </c>
      <c r="H482">
        <v>4465</v>
      </c>
      <c r="I482" s="2"/>
      <c r="J482" s="2">
        <v>45561</v>
      </c>
      <c r="K482" s="2">
        <v>45757</v>
      </c>
    </row>
    <row r="483" spans="1:11" x14ac:dyDescent="0.25">
      <c r="A483" s="1" t="s">
        <v>186</v>
      </c>
      <c r="B483" s="1" t="s">
        <v>1185</v>
      </c>
      <c r="C483" s="1" t="s">
        <v>2042</v>
      </c>
      <c r="D483" s="1" t="s">
        <v>1998</v>
      </c>
      <c r="E483" s="1"/>
      <c r="F483" s="1" t="s">
        <v>11</v>
      </c>
      <c r="G483">
        <v>5260</v>
      </c>
      <c r="H483">
        <v>2875</v>
      </c>
      <c r="I483" s="2"/>
      <c r="J483" s="2">
        <v>45561</v>
      </c>
      <c r="K483" s="2">
        <v>45757</v>
      </c>
    </row>
    <row r="484" spans="1:11" x14ac:dyDescent="0.25">
      <c r="A484" s="1" t="s">
        <v>187</v>
      </c>
      <c r="B484" s="1" t="s">
        <v>1048</v>
      </c>
      <c r="C484" s="1" t="s">
        <v>2057</v>
      </c>
      <c r="D484" s="1" t="s">
        <v>1998</v>
      </c>
      <c r="E484" s="1"/>
      <c r="F484" s="1" t="s">
        <v>11</v>
      </c>
      <c r="G484">
        <v>1</v>
      </c>
      <c r="H484">
        <v>1</v>
      </c>
      <c r="I484" s="2"/>
      <c r="J484" s="2">
        <v>45568</v>
      </c>
      <c r="K484" s="2">
        <v>45777</v>
      </c>
    </row>
    <row r="485" spans="1:11" x14ac:dyDescent="0.25">
      <c r="A485" s="1" t="s">
        <v>187</v>
      </c>
      <c r="B485" s="1" t="s">
        <v>1047</v>
      </c>
      <c r="C485" s="1" t="s">
        <v>2056</v>
      </c>
      <c r="D485" s="1" t="s">
        <v>1998</v>
      </c>
      <c r="E485" s="1"/>
      <c r="F485" s="1" t="s">
        <v>11</v>
      </c>
      <c r="G485">
        <v>45</v>
      </c>
      <c r="H485">
        <v>45</v>
      </c>
      <c r="I485" s="2"/>
      <c r="J485" s="2">
        <v>45568</v>
      </c>
      <c r="K485" s="2">
        <v>45777</v>
      </c>
    </row>
    <row r="486" spans="1:11" x14ac:dyDescent="0.25">
      <c r="A486" s="1" t="s">
        <v>187</v>
      </c>
      <c r="B486" s="1" t="s">
        <v>1049</v>
      </c>
      <c r="C486" s="1" t="s">
        <v>2058</v>
      </c>
      <c r="D486" s="1" t="s">
        <v>1998</v>
      </c>
      <c r="E486" s="1"/>
      <c r="F486" s="1" t="s">
        <v>11</v>
      </c>
      <c r="G486">
        <v>1</v>
      </c>
      <c r="H486">
        <v>1</v>
      </c>
      <c r="I486" s="2"/>
      <c r="J486" s="2">
        <v>45568</v>
      </c>
      <c r="K486" s="2">
        <v>45777</v>
      </c>
    </row>
    <row r="487" spans="1:11" x14ac:dyDescent="0.25">
      <c r="A487" s="1" t="s">
        <v>188</v>
      </c>
      <c r="B487" s="1" t="s">
        <v>1008</v>
      </c>
      <c r="C487" s="1" t="s">
        <v>2014</v>
      </c>
      <c r="D487" s="1" t="s">
        <v>1998</v>
      </c>
      <c r="E487" s="1"/>
      <c r="F487" s="1" t="s">
        <v>11</v>
      </c>
      <c r="G487">
        <v>945</v>
      </c>
      <c r="H487">
        <v>945</v>
      </c>
      <c r="I487" s="2"/>
      <c r="J487" s="2">
        <v>45586</v>
      </c>
      <c r="K487" s="2">
        <v>45764</v>
      </c>
    </row>
    <row r="488" spans="1:11" x14ac:dyDescent="0.25">
      <c r="A488" s="1" t="s">
        <v>188</v>
      </c>
      <c r="B488" s="1" t="s">
        <v>1009</v>
      </c>
      <c r="C488" s="1" t="s">
        <v>2026</v>
      </c>
      <c r="D488" s="1" t="s">
        <v>1998</v>
      </c>
      <c r="E488" s="1"/>
      <c r="F488" s="1" t="s">
        <v>11</v>
      </c>
      <c r="G488">
        <v>1300</v>
      </c>
      <c r="H488">
        <v>1300</v>
      </c>
      <c r="I488" s="2"/>
      <c r="J488" s="2">
        <v>45586</v>
      </c>
      <c r="K488" s="2">
        <v>45764</v>
      </c>
    </row>
    <row r="489" spans="1:11" x14ac:dyDescent="0.25">
      <c r="A489" s="1" t="s">
        <v>188</v>
      </c>
      <c r="B489" s="1" t="s">
        <v>1010</v>
      </c>
      <c r="C489" s="1" t="s">
        <v>2027</v>
      </c>
      <c r="D489" s="1" t="s">
        <v>1998</v>
      </c>
      <c r="E489" s="1"/>
      <c r="F489" s="1" t="s">
        <v>11</v>
      </c>
      <c r="G489">
        <v>545</v>
      </c>
      <c r="H489">
        <v>545</v>
      </c>
      <c r="I489" s="2"/>
      <c r="J489" s="2">
        <v>45586</v>
      </c>
      <c r="K489" s="2">
        <v>45764</v>
      </c>
    </row>
    <row r="490" spans="1:11" x14ac:dyDescent="0.25">
      <c r="A490" s="1" t="s">
        <v>188</v>
      </c>
      <c r="B490" s="1" t="s">
        <v>1011</v>
      </c>
      <c r="C490" s="1" t="s">
        <v>2028</v>
      </c>
      <c r="D490" s="1" t="s">
        <v>1998</v>
      </c>
      <c r="E490" s="1"/>
      <c r="F490" s="1" t="s">
        <v>11</v>
      </c>
      <c r="G490">
        <v>305</v>
      </c>
      <c r="H490">
        <v>755</v>
      </c>
      <c r="I490" s="2"/>
      <c r="J490" s="2">
        <v>45586</v>
      </c>
      <c r="K490" s="2">
        <v>45764</v>
      </c>
    </row>
    <row r="491" spans="1:11" x14ac:dyDescent="0.25">
      <c r="A491" s="1" t="s">
        <v>188</v>
      </c>
      <c r="B491" s="1" t="s">
        <v>1012</v>
      </c>
      <c r="C491" s="1" t="s">
        <v>2029</v>
      </c>
      <c r="D491" s="1" t="s">
        <v>1998</v>
      </c>
      <c r="E491" s="1"/>
      <c r="F491" s="1" t="s">
        <v>11</v>
      </c>
      <c r="G491">
        <v>150</v>
      </c>
      <c r="H491">
        <v>330</v>
      </c>
      <c r="I491" s="2"/>
      <c r="J491" s="2">
        <v>45586</v>
      </c>
      <c r="K491" s="2">
        <v>45764</v>
      </c>
    </row>
    <row r="492" spans="1:11" x14ac:dyDescent="0.25">
      <c r="A492" s="1" t="s">
        <v>188</v>
      </c>
      <c r="B492" s="1" t="s">
        <v>1013</v>
      </c>
      <c r="C492" s="1" t="s">
        <v>2030</v>
      </c>
      <c r="D492" s="1" t="s">
        <v>1998</v>
      </c>
      <c r="E492" s="1"/>
      <c r="F492" s="1" t="s">
        <v>11</v>
      </c>
      <c r="G492">
        <v>30</v>
      </c>
      <c r="H492">
        <v>60</v>
      </c>
      <c r="I492" s="2"/>
      <c r="J492" s="2">
        <v>45586</v>
      </c>
      <c r="K492" s="2">
        <v>45764</v>
      </c>
    </row>
    <row r="493" spans="1:11" x14ac:dyDescent="0.25">
      <c r="A493" s="1" t="s">
        <v>188</v>
      </c>
      <c r="B493" s="1" t="s">
        <v>993</v>
      </c>
      <c r="C493" s="1" t="s">
        <v>2011</v>
      </c>
      <c r="D493" s="1" t="s">
        <v>1998</v>
      </c>
      <c r="E493" s="1"/>
      <c r="F493" s="1" t="s">
        <v>11</v>
      </c>
      <c r="G493">
        <v>10</v>
      </c>
      <c r="H493">
        <v>20</v>
      </c>
      <c r="I493" s="2"/>
      <c r="J493" s="2">
        <v>45586</v>
      </c>
      <c r="K493" s="2">
        <v>45764</v>
      </c>
    </row>
    <row r="494" spans="1:11" x14ac:dyDescent="0.25">
      <c r="A494" s="1" t="s">
        <v>189</v>
      </c>
      <c r="B494" s="1" t="s">
        <v>1186</v>
      </c>
      <c r="C494" s="1" t="s">
        <v>2179</v>
      </c>
      <c r="D494" s="1" t="s">
        <v>1998</v>
      </c>
      <c r="E494" s="1"/>
      <c r="F494" s="1" t="s">
        <v>11</v>
      </c>
      <c r="G494">
        <v>2335</v>
      </c>
      <c r="H494">
        <v>2170</v>
      </c>
      <c r="I494" s="2"/>
      <c r="J494" s="2">
        <v>45596</v>
      </c>
      <c r="K494" s="2">
        <v>45755</v>
      </c>
    </row>
    <row r="495" spans="1:11" x14ac:dyDescent="0.25">
      <c r="A495" s="1" t="s">
        <v>189</v>
      </c>
      <c r="B495" s="1" t="s">
        <v>1186</v>
      </c>
      <c r="C495" s="1" t="s">
        <v>2179</v>
      </c>
      <c r="D495" s="1" t="s">
        <v>1998</v>
      </c>
      <c r="E495" s="1"/>
      <c r="F495" s="1" t="s">
        <v>14</v>
      </c>
      <c r="G495">
        <v>1010</v>
      </c>
      <c r="H495">
        <v>930</v>
      </c>
      <c r="I495" s="2"/>
      <c r="J495" s="2">
        <v>45596</v>
      </c>
      <c r="K495" s="2">
        <v>45755</v>
      </c>
    </row>
    <row r="496" spans="1:11" x14ac:dyDescent="0.25">
      <c r="A496" s="1" t="s">
        <v>190</v>
      </c>
      <c r="B496" s="1" t="s">
        <v>1138</v>
      </c>
      <c r="C496" s="1" t="s">
        <v>2014</v>
      </c>
      <c r="D496" s="1" t="s">
        <v>1998</v>
      </c>
      <c r="E496" s="1"/>
      <c r="F496" s="1" t="s">
        <v>11</v>
      </c>
      <c r="G496">
        <v>1135</v>
      </c>
      <c r="H496">
        <v>550</v>
      </c>
      <c r="I496" s="2"/>
      <c r="J496" s="2">
        <v>45600</v>
      </c>
      <c r="K496" s="2">
        <v>45769</v>
      </c>
    </row>
    <row r="497" spans="1:11" x14ac:dyDescent="0.25">
      <c r="A497" s="1" t="s">
        <v>190</v>
      </c>
      <c r="B497" s="1" t="s">
        <v>1139</v>
      </c>
      <c r="C497" s="1" t="s">
        <v>2137</v>
      </c>
      <c r="D497" s="1" t="s">
        <v>1998</v>
      </c>
      <c r="E497" s="1"/>
      <c r="F497" s="1" t="s">
        <v>11</v>
      </c>
      <c r="G497">
        <v>105</v>
      </c>
      <c r="H497">
        <v>105</v>
      </c>
      <c r="I497" s="2"/>
      <c r="J497" s="2">
        <v>45600</v>
      </c>
      <c r="K497" s="2">
        <v>45769</v>
      </c>
    </row>
    <row r="498" spans="1:11" x14ac:dyDescent="0.25">
      <c r="A498" s="1" t="s">
        <v>190</v>
      </c>
      <c r="B498" s="1" t="s">
        <v>1139</v>
      </c>
      <c r="C498" s="1" t="s">
        <v>2137</v>
      </c>
      <c r="D498" s="1" t="s">
        <v>1998</v>
      </c>
      <c r="E498" s="1"/>
      <c r="F498" s="1" t="s">
        <v>11</v>
      </c>
      <c r="G498">
        <v>20</v>
      </c>
      <c r="H498">
        <v>20</v>
      </c>
      <c r="I498" s="2"/>
      <c r="J498" s="2">
        <v>45600</v>
      </c>
      <c r="K498" s="2">
        <v>45769</v>
      </c>
    </row>
    <row r="499" spans="1:11" x14ac:dyDescent="0.25">
      <c r="A499" s="1" t="s">
        <v>190</v>
      </c>
      <c r="B499" s="1" t="s">
        <v>1187</v>
      </c>
      <c r="C499" s="1" t="s">
        <v>2180</v>
      </c>
      <c r="D499" s="1" t="s">
        <v>1998</v>
      </c>
      <c r="E499" s="1"/>
      <c r="F499" s="1" t="s">
        <v>11</v>
      </c>
      <c r="G499">
        <v>310</v>
      </c>
      <c r="H499">
        <v>75</v>
      </c>
      <c r="I499" s="2"/>
      <c r="J499" s="2">
        <v>45600</v>
      </c>
      <c r="K499" s="2">
        <v>45769</v>
      </c>
    </row>
    <row r="500" spans="1:11" x14ac:dyDescent="0.25">
      <c r="A500" s="1" t="s">
        <v>190</v>
      </c>
      <c r="B500" s="1" t="s">
        <v>1141</v>
      </c>
      <c r="C500" s="1" t="s">
        <v>2001</v>
      </c>
      <c r="D500" s="1" t="s">
        <v>1998</v>
      </c>
      <c r="E500" s="1"/>
      <c r="F500" s="1" t="s">
        <v>11</v>
      </c>
      <c r="G500">
        <v>5190</v>
      </c>
      <c r="H500">
        <v>2520</v>
      </c>
      <c r="I500" s="2"/>
      <c r="J500" s="2">
        <v>45600</v>
      </c>
      <c r="K500" s="2">
        <v>45769</v>
      </c>
    </row>
    <row r="501" spans="1:11" x14ac:dyDescent="0.25">
      <c r="A501" s="1" t="s">
        <v>190</v>
      </c>
      <c r="B501" s="1" t="s">
        <v>991</v>
      </c>
      <c r="C501" s="1" t="s">
        <v>2009</v>
      </c>
      <c r="D501" s="1" t="s">
        <v>1998</v>
      </c>
      <c r="E501" s="1"/>
      <c r="F501" s="1" t="s">
        <v>11</v>
      </c>
      <c r="G501">
        <v>20</v>
      </c>
      <c r="H501">
        <v>20</v>
      </c>
      <c r="I501" s="2"/>
      <c r="J501" s="2">
        <v>45600</v>
      </c>
      <c r="K501" s="2">
        <v>45769</v>
      </c>
    </row>
    <row r="502" spans="1:11" x14ac:dyDescent="0.25">
      <c r="A502" s="1" t="s">
        <v>190</v>
      </c>
      <c r="B502" s="1" t="s">
        <v>992</v>
      </c>
      <c r="C502" s="1" t="s">
        <v>2010</v>
      </c>
      <c r="D502" s="1" t="s">
        <v>1998</v>
      </c>
      <c r="E502" s="1"/>
      <c r="F502" s="1" t="s">
        <v>11</v>
      </c>
      <c r="G502">
        <v>35</v>
      </c>
      <c r="H502">
        <v>35</v>
      </c>
      <c r="I502" s="2"/>
      <c r="J502" s="2">
        <v>45600</v>
      </c>
      <c r="K502" s="2">
        <v>45769</v>
      </c>
    </row>
    <row r="503" spans="1:11" x14ac:dyDescent="0.25">
      <c r="A503" s="1" t="s">
        <v>191</v>
      </c>
      <c r="B503" s="1" t="s">
        <v>1188</v>
      </c>
      <c r="C503" s="1" t="s">
        <v>2014</v>
      </c>
      <c r="D503" s="1" t="s">
        <v>1998</v>
      </c>
      <c r="E503" s="1"/>
      <c r="F503" s="1" t="s">
        <v>11</v>
      </c>
      <c r="G503">
        <v>1055</v>
      </c>
      <c r="H503">
        <v>1195</v>
      </c>
      <c r="I503" s="2"/>
      <c r="J503" s="2">
        <v>45616</v>
      </c>
      <c r="K503" s="2">
        <v>45749</v>
      </c>
    </row>
    <row r="504" spans="1:11" x14ac:dyDescent="0.25">
      <c r="A504" s="1" t="s">
        <v>191</v>
      </c>
      <c r="B504" s="1" t="s">
        <v>1183</v>
      </c>
      <c r="C504" s="1" t="s">
        <v>2178</v>
      </c>
      <c r="D504" s="1" t="s">
        <v>1998</v>
      </c>
      <c r="E504" s="1"/>
      <c r="F504" s="1" t="s">
        <v>11</v>
      </c>
      <c r="G504">
        <v>20</v>
      </c>
      <c r="H504">
        <v>25</v>
      </c>
      <c r="I504" s="2"/>
      <c r="J504" s="2">
        <v>45616</v>
      </c>
      <c r="K504" s="2">
        <v>45749</v>
      </c>
    </row>
    <row r="505" spans="1:11" x14ac:dyDescent="0.25">
      <c r="A505" s="1" t="s">
        <v>191</v>
      </c>
      <c r="B505" s="1" t="s">
        <v>1183</v>
      </c>
      <c r="C505" s="1" t="s">
        <v>2178</v>
      </c>
      <c r="D505" s="1" t="s">
        <v>1998</v>
      </c>
      <c r="E505" s="1"/>
      <c r="F505" s="1" t="s">
        <v>11</v>
      </c>
      <c r="G505">
        <v>50</v>
      </c>
      <c r="H505">
        <v>45</v>
      </c>
      <c r="I505" s="2"/>
      <c r="J505" s="2">
        <v>45616</v>
      </c>
      <c r="K505" s="2">
        <v>45749</v>
      </c>
    </row>
    <row r="506" spans="1:11" x14ac:dyDescent="0.25">
      <c r="A506" s="1" t="s">
        <v>191</v>
      </c>
      <c r="B506" s="1" t="s">
        <v>1189</v>
      </c>
      <c r="C506" s="1" t="s">
        <v>2027</v>
      </c>
      <c r="D506" s="1" t="s">
        <v>1998</v>
      </c>
      <c r="E506" s="1"/>
      <c r="F506" s="1" t="s">
        <v>11</v>
      </c>
      <c r="G506">
        <v>140</v>
      </c>
      <c r="H506">
        <v>160</v>
      </c>
      <c r="I506" s="2"/>
      <c r="J506" s="2">
        <v>45616</v>
      </c>
      <c r="K506" s="2">
        <v>45749</v>
      </c>
    </row>
    <row r="507" spans="1:11" x14ac:dyDescent="0.25">
      <c r="A507" s="1" t="s">
        <v>191</v>
      </c>
      <c r="B507" s="1" t="s">
        <v>1190</v>
      </c>
      <c r="C507" s="1" t="s">
        <v>2181</v>
      </c>
      <c r="D507" s="1" t="s">
        <v>1998</v>
      </c>
      <c r="E507" s="1"/>
      <c r="F507" s="1" t="s">
        <v>11</v>
      </c>
      <c r="G507">
        <v>175</v>
      </c>
      <c r="H507">
        <v>200</v>
      </c>
      <c r="I507" s="2"/>
      <c r="J507" s="2">
        <v>45616</v>
      </c>
      <c r="K507" s="2">
        <v>45749</v>
      </c>
    </row>
    <row r="508" spans="1:11" x14ac:dyDescent="0.25">
      <c r="A508" s="1" t="s">
        <v>191</v>
      </c>
      <c r="B508" s="1" t="s">
        <v>1191</v>
      </c>
      <c r="C508" s="1" t="s">
        <v>2182</v>
      </c>
      <c r="D508" s="1" t="s">
        <v>1998</v>
      </c>
      <c r="E508" s="1"/>
      <c r="F508" s="1" t="s">
        <v>11</v>
      </c>
      <c r="G508">
        <v>1</v>
      </c>
      <c r="H508">
        <v>1</v>
      </c>
      <c r="I508" s="2"/>
      <c r="J508" s="2">
        <v>45616</v>
      </c>
      <c r="K508" s="2">
        <v>45749</v>
      </c>
    </row>
    <row r="509" spans="1:11" x14ac:dyDescent="0.25">
      <c r="A509" s="1" t="s">
        <v>191</v>
      </c>
      <c r="B509" s="1" t="s">
        <v>1192</v>
      </c>
      <c r="C509" s="1" t="s">
        <v>2183</v>
      </c>
      <c r="D509" s="1" t="s">
        <v>1998</v>
      </c>
      <c r="E509" s="1"/>
      <c r="F509" s="1" t="s">
        <v>11</v>
      </c>
      <c r="G509">
        <v>1</v>
      </c>
      <c r="H509">
        <v>1</v>
      </c>
      <c r="I509" s="2"/>
      <c r="J509" s="2">
        <v>45616</v>
      </c>
      <c r="K509" s="2">
        <v>45749</v>
      </c>
    </row>
    <row r="510" spans="1:11" x14ac:dyDescent="0.25">
      <c r="A510" s="1" t="s">
        <v>191</v>
      </c>
      <c r="B510" s="1" t="s">
        <v>1027</v>
      </c>
      <c r="C510" s="1" t="s">
        <v>2040</v>
      </c>
      <c r="D510" s="1" t="s">
        <v>1998</v>
      </c>
      <c r="E510" s="1"/>
      <c r="F510" s="1" t="s">
        <v>11</v>
      </c>
      <c r="G510">
        <v>30</v>
      </c>
      <c r="H510">
        <v>30</v>
      </c>
      <c r="I510" s="2"/>
      <c r="J510" s="2">
        <v>45616</v>
      </c>
      <c r="K510" s="2">
        <v>45749</v>
      </c>
    </row>
    <row r="511" spans="1:11" x14ac:dyDescent="0.25">
      <c r="A511" s="1" t="s">
        <v>191</v>
      </c>
      <c r="B511" s="1" t="s">
        <v>1013</v>
      </c>
      <c r="C511" s="1" t="s">
        <v>2030</v>
      </c>
      <c r="D511" s="1" t="s">
        <v>1998</v>
      </c>
      <c r="E511" s="1"/>
      <c r="F511" s="1" t="s">
        <v>11</v>
      </c>
      <c r="G511">
        <v>5</v>
      </c>
      <c r="H511">
        <v>5</v>
      </c>
      <c r="I511" s="2"/>
      <c r="J511" s="2">
        <v>45616</v>
      </c>
      <c r="K511" s="2">
        <v>45749</v>
      </c>
    </row>
    <row r="512" spans="1:11" x14ac:dyDescent="0.25">
      <c r="A512" s="1" t="s">
        <v>191</v>
      </c>
      <c r="B512" s="1" t="s">
        <v>993</v>
      </c>
      <c r="C512" s="1" t="s">
        <v>2011</v>
      </c>
      <c r="D512" s="1" t="s">
        <v>1998</v>
      </c>
      <c r="E512" s="1"/>
      <c r="F512" s="1" t="s">
        <v>11</v>
      </c>
      <c r="G512">
        <v>1</v>
      </c>
      <c r="H512">
        <v>1</v>
      </c>
      <c r="I512" s="2"/>
      <c r="J512" s="2">
        <v>45616</v>
      </c>
      <c r="K512" s="2">
        <v>45749</v>
      </c>
    </row>
    <row r="513" spans="1:11" x14ac:dyDescent="0.25">
      <c r="A513" s="1" t="s">
        <v>191</v>
      </c>
      <c r="B513" s="1" t="s">
        <v>993</v>
      </c>
      <c r="C513" s="1" t="s">
        <v>2011</v>
      </c>
      <c r="D513" s="1" t="s">
        <v>1998</v>
      </c>
      <c r="E513" s="1"/>
      <c r="F513" s="1" t="s">
        <v>11</v>
      </c>
      <c r="G513">
        <v>5</v>
      </c>
      <c r="H513">
        <v>5</v>
      </c>
      <c r="I513" s="2"/>
      <c r="J513" s="2">
        <v>45616</v>
      </c>
      <c r="K513" s="2">
        <v>45749</v>
      </c>
    </row>
    <row r="514" spans="1:11" x14ac:dyDescent="0.25">
      <c r="A514" s="1" t="s">
        <v>192</v>
      </c>
      <c r="B514" s="1" t="s">
        <v>1193</v>
      </c>
      <c r="C514" s="1" t="s">
        <v>2184</v>
      </c>
      <c r="D514" s="1" t="s">
        <v>1998</v>
      </c>
      <c r="E514" s="1"/>
      <c r="F514" s="1" t="s">
        <v>11</v>
      </c>
      <c r="G514">
        <v>550</v>
      </c>
      <c r="H514">
        <v>470</v>
      </c>
      <c r="I514" s="2"/>
      <c r="J514" s="2">
        <v>45618</v>
      </c>
      <c r="K514" s="2">
        <v>45755</v>
      </c>
    </row>
    <row r="515" spans="1:11" x14ac:dyDescent="0.25">
      <c r="A515" s="1" t="s">
        <v>192</v>
      </c>
      <c r="B515" s="1" t="s">
        <v>1194</v>
      </c>
      <c r="C515" s="1" t="s">
        <v>2185</v>
      </c>
      <c r="D515" s="1" t="s">
        <v>1998</v>
      </c>
      <c r="E515" s="1"/>
      <c r="F515" s="1" t="s">
        <v>11</v>
      </c>
      <c r="G515">
        <v>2540</v>
      </c>
      <c r="H515">
        <v>2540</v>
      </c>
      <c r="I515" s="2"/>
      <c r="J515" s="2">
        <v>45618</v>
      </c>
      <c r="K515" s="2">
        <v>45755</v>
      </c>
    </row>
    <row r="516" spans="1:11" x14ac:dyDescent="0.25">
      <c r="A516" s="1" t="s">
        <v>192</v>
      </c>
      <c r="B516" s="1" t="s">
        <v>1194</v>
      </c>
      <c r="C516" s="1" t="s">
        <v>2185</v>
      </c>
      <c r="D516" s="1" t="s">
        <v>1998</v>
      </c>
      <c r="E516" s="1"/>
      <c r="F516" s="1" t="s">
        <v>11</v>
      </c>
      <c r="G516">
        <v>780</v>
      </c>
      <c r="H516">
        <v>780</v>
      </c>
      <c r="I516" s="2"/>
      <c r="J516" s="2">
        <v>45618</v>
      </c>
      <c r="K516" s="2">
        <v>45755</v>
      </c>
    </row>
    <row r="517" spans="1:11" x14ac:dyDescent="0.25">
      <c r="A517" s="1" t="s">
        <v>193</v>
      </c>
      <c r="B517" s="1" t="s">
        <v>1008</v>
      </c>
      <c r="C517" s="1" t="s">
        <v>2014</v>
      </c>
      <c r="D517" s="1" t="s">
        <v>1998</v>
      </c>
      <c r="E517" s="1"/>
      <c r="F517" s="1" t="s">
        <v>11</v>
      </c>
      <c r="G517">
        <v>1155</v>
      </c>
      <c r="H517">
        <v>1155</v>
      </c>
      <c r="I517" s="2"/>
      <c r="J517" s="2">
        <v>45623</v>
      </c>
      <c r="K517" s="2">
        <v>45764</v>
      </c>
    </row>
    <row r="518" spans="1:11" x14ac:dyDescent="0.25">
      <c r="A518" s="1" t="s">
        <v>193</v>
      </c>
      <c r="B518" s="1" t="s">
        <v>1009</v>
      </c>
      <c r="C518" s="1" t="s">
        <v>2026</v>
      </c>
      <c r="D518" s="1" t="s">
        <v>1998</v>
      </c>
      <c r="E518" s="1"/>
      <c r="F518" s="1" t="s">
        <v>11</v>
      </c>
      <c r="G518">
        <v>1590</v>
      </c>
      <c r="H518">
        <v>1590</v>
      </c>
      <c r="I518" s="2"/>
      <c r="J518" s="2">
        <v>45623</v>
      </c>
      <c r="K518" s="2">
        <v>45764</v>
      </c>
    </row>
    <row r="519" spans="1:11" x14ac:dyDescent="0.25">
      <c r="A519" s="1" t="s">
        <v>193</v>
      </c>
      <c r="B519" s="1" t="s">
        <v>1010</v>
      </c>
      <c r="C519" s="1" t="s">
        <v>2027</v>
      </c>
      <c r="D519" s="1" t="s">
        <v>1998</v>
      </c>
      <c r="E519" s="1"/>
      <c r="F519" s="1" t="s">
        <v>11</v>
      </c>
      <c r="G519">
        <v>670</v>
      </c>
      <c r="H519">
        <v>670</v>
      </c>
      <c r="I519" s="2"/>
      <c r="J519" s="2">
        <v>45623</v>
      </c>
      <c r="K519" s="2">
        <v>45764</v>
      </c>
    </row>
    <row r="520" spans="1:11" x14ac:dyDescent="0.25">
      <c r="A520" s="1" t="s">
        <v>193</v>
      </c>
      <c r="B520" s="1" t="s">
        <v>1011</v>
      </c>
      <c r="C520" s="1" t="s">
        <v>2028</v>
      </c>
      <c r="D520" s="1" t="s">
        <v>1998</v>
      </c>
      <c r="E520" s="1"/>
      <c r="F520" s="1" t="s">
        <v>11</v>
      </c>
      <c r="G520">
        <v>375</v>
      </c>
      <c r="H520">
        <v>850</v>
      </c>
      <c r="I520" s="2"/>
      <c r="J520" s="2">
        <v>45623</v>
      </c>
      <c r="K520" s="2">
        <v>45764</v>
      </c>
    </row>
    <row r="521" spans="1:11" x14ac:dyDescent="0.25">
      <c r="A521" s="1" t="s">
        <v>193</v>
      </c>
      <c r="B521" s="1" t="s">
        <v>1012</v>
      </c>
      <c r="C521" s="1" t="s">
        <v>2029</v>
      </c>
      <c r="D521" s="1" t="s">
        <v>1998</v>
      </c>
      <c r="E521" s="1"/>
      <c r="F521" s="1" t="s">
        <v>11</v>
      </c>
      <c r="G521">
        <v>180</v>
      </c>
      <c r="H521">
        <v>5</v>
      </c>
      <c r="I521" s="2"/>
      <c r="J521" s="2">
        <v>45623</v>
      </c>
      <c r="K521" s="2">
        <v>45764</v>
      </c>
    </row>
    <row r="522" spans="1:11" x14ac:dyDescent="0.25">
      <c r="A522" s="1" t="s">
        <v>193</v>
      </c>
      <c r="B522" s="1" t="s">
        <v>1013</v>
      </c>
      <c r="C522" s="1" t="s">
        <v>2030</v>
      </c>
      <c r="D522" s="1" t="s">
        <v>1998</v>
      </c>
      <c r="E522" s="1"/>
      <c r="F522" s="1" t="s">
        <v>11</v>
      </c>
      <c r="G522">
        <v>35</v>
      </c>
      <c r="H522">
        <v>1</v>
      </c>
      <c r="I522" s="2"/>
      <c r="J522" s="2">
        <v>45623</v>
      </c>
      <c r="K522" s="2">
        <v>45764</v>
      </c>
    </row>
    <row r="523" spans="1:11" x14ac:dyDescent="0.25">
      <c r="A523" s="1" t="s">
        <v>193</v>
      </c>
      <c r="B523" s="1" t="s">
        <v>993</v>
      </c>
      <c r="C523" s="1" t="s">
        <v>2011</v>
      </c>
      <c r="D523" s="1" t="s">
        <v>1998</v>
      </c>
      <c r="E523" s="1"/>
      <c r="F523" s="1" t="s">
        <v>11</v>
      </c>
      <c r="G523">
        <v>10</v>
      </c>
      <c r="H523">
        <v>20</v>
      </c>
      <c r="I523" s="2"/>
      <c r="J523" s="2">
        <v>45623</v>
      </c>
      <c r="K523" s="2">
        <v>45764</v>
      </c>
    </row>
    <row r="524" spans="1:11" x14ac:dyDescent="0.25">
      <c r="A524" s="1" t="s">
        <v>194</v>
      </c>
      <c r="B524" s="1" t="s">
        <v>995</v>
      </c>
      <c r="C524" s="1" t="s">
        <v>2013</v>
      </c>
      <c r="D524" s="1" t="s">
        <v>1998</v>
      </c>
      <c r="E524" s="1"/>
      <c r="F524" s="1" t="s">
        <v>11</v>
      </c>
      <c r="G524">
        <v>670</v>
      </c>
      <c r="H524">
        <v>5</v>
      </c>
      <c r="I524" s="2"/>
      <c r="J524" s="2">
        <v>45628</v>
      </c>
      <c r="K524" s="2">
        <v>45741</v>
      </c>
    </row>
    <row r="525" spans="1:11" x14ac:dyDescent="0.25">
      <c r="A525" s="1" t="s">
        <v>194</v>
      </c>
      <c r="B525" s="1" t="s">
        <v>1075</v>
      </c>
      <c r="C525" s="1" t="s">
        <v>2078</v>
      </c>
      <c r="D525" s="1" t="s">
        <v>1998</v>
      </c>
      <c r="E525" s="1"/>
      <c r="F525" s="1" t="s">
        <v>11</v>
      </c>
      <c r="G525">
        <v>210</v>
      </c>
      <c r="H525">
        <v>210</v>
      </c>
      <c r="I525" s="2"/>
      <c r="J525" s="2">
        <v>45628</v>
      </c>
      <c r="K525" s="2">
        <v>45741</v>
      </c>
    </row>
    <row r="526" spans="1:11" x14ac:dyDescent="0.25">
      <c r="A526" s="1" t="s">
        <v>194</v>
      </c>
      <c r="B526" s="1" t="s">
        <v>1052</v>
      </c>
      <c r="C526" s="1" t="s">
        <v>2061</v>
      </c>
      <c r="D526" s="1" t="s">
        <v>1998</v>
      </c>
      <c r="E526" s="1"/>
      <c r="F526" s="1" t="s">
        <v>11</v>
      </c>
      <c r="G526">
        <v>1960</v>
      </c>
      <c r="H526">
        <v>1960</v>
      </c>
      <c r="I526" s="2"/>
      <c r="J526" s="2">
        <v>45628</v>
      </c>
      <c r="K526" s="2">
        <v>45741</v>
      </c>
    </row>
    <row r="527" spans="1:11" x14ac:dyDescent="0.25">
      <c r="A527" s="1" t="s">
        <v>194</v>
      </c>
      <c r="B527" s="1" t="s">
        <v>999</v>
      </c>
      <c r="C527" s="1" t="s">
        <v>2168</v>
      </c>
      <c r="D527" s="1" t="s">
        <v>1998</v>
      </c>
      <c r="E527" s="1"/>
      <c r="F527" s="1" t="s">
        <v>11</v>
      </c>
      <c r="G527">
        <v>1</v>
      </c>
      <c r="H527">
        <v>1</v>
      </c>
      <c r="I527" s="2"/>
      <c r="J527" s="2">
        <v>45628</v>
      </c>
      <c r="K527" s="2">
        <v>45741</v>
      </c>
    </row>
    <row r="528" spans="1:11" x14ac:dyDescent="0.25">
      <c r="A528" s="1" t="s">
        <v>194</v>
      </c>
      <c r="B528" s="1" t="s">
        <v>1000</v>
      </c>
      <c r="C528" s="1" t="s">
        <v>2018</v>
      </c>
      <c r="D528" s="1" t="s">
        <v>1998</v>
      </c>
      <c r="E528" s="1"/>
      <c r="F528" s="1" t="s">
        <v>11</v>
      </c>
      <c r="G528">
        <v>10</v>
      </c>
      <c r="H528">
        <v>10</v>
      </c>
      <c r="I528" s="2"/>
      <c r="J528" s="2">
        <v>45628</v>
      </c>
      <c r="K528" s="2">
        <v>45741</v>
      </c>
    </row>
    <row r="529" spans="1:11" x14ac:dyDescent="0.25">
      <c r="A529" s="1" t="s">
        <v>194</v>
      </c>
      <c r="B529" s="1" t="s">
        <v>1001</v>
      </c>
      <c r="C529" s="1" t="s">
        <v>2019</v>
      </c>
      <c r="D529" s="1" t="s">
        <v>1998</v>
      </c>
      <c r="E529" s="1"/>
      <c r="F529" s="1" t="s">
        <v>11</v>
      </c>
      <c r="G529">
        <v>5</v>
      </c>
      <c r="H529">
        <v>5</v>
      </c>
      <c r="I529" s="2"/>
      <c r="J529" s="2">
        <v>45628</v>
      </c>
      <c r="K529" s="2">
        <v>45741</v>
      </c>
    </row>
    <row r="530" spans="1:11" x14ac:dyDescent="0.25">
      <c r="A530" s="1" t="s">
        <v>194</v>
      </c>
      <c r="B530" s="1" t="s">
        <v>1076</v>
      </c>
      <c r="C530" s="1" t="s">
        <v>2079</v>
      </c>
      <c r="D530" s="1" t="s">
        <v>1998</v>
      </c>
      <c r="E530" s="1"/>
      <c r="F530" s="1" t="s">
        <v>11</v>
      </c>
      <c r="G530">
        <v>5520</v>
      </c>
      <c r="H530">
        <v>5520</v>
      </c>
      <c r="I530" s="2"/>
      <c r="J530" s="2">
        <v>45628</v>
      </c>
      <c r="K530" s="2">
        <v>45741</v>
      </c>
    </row>
    <row r="531" spans="1:11" x14ac:dyDescent="0.25">
      <c r="A531" s="1" t="s">
        <v>194</v>
      </c>
      <c r="B531" s="1" t="s">
        <v>1077</v>
      </c>
      <c r="C531" s="1" t="s">
        <v>2080</v>
      </c>
      <c r="D531" s="1" t="s">
        <v>1998</v>
      </c>
      <c r="E531" s="1"/>
      <c r="F531" s="1" t="s">
        <v>11</v>
      </c>
      <c r="G531">
        <v>6395</v>
      </c>
      <c r="H531">
        <v>6395</v>
      </c>
      <c r="I531" s="2"/>
      <c r="J531" s="2">
        <v>45628</v>
      </c>
      <c r="K531" s="2">
        <v>45741</v>
      </c>
    </row>
    <row r="532" spans="1:11" x14ac:dyDescent="0.25">
      <c r="A532" s="1" t="s">
        <v>195</v>
      </c>
      <c r="B532" s="1" t="s">
        <v>1195</v>
      </c>
      <c r="C532" s="1" t="s">
        <v>2186</v>
      </c>
      <c r="D532" s="1" t="s">
        <v>1998</v>
      </c>
      <c r="E532" s="1"/>
      <c r="F532" s="1" t="s">
        <v>11</v>
      </c>
      <c r="G532">
        <v>865</v>
      </c>
      <c r="H532">
        <v>865</v>
      </c>
      <c r="I532" s="2"/>
      <c r="J532" s="2">
        <v>45638</v>
      </c>
      <c r="K532" s="2">
        <v>45778</v>
      </c>
    </row>
    <row r="533" spans="1:11" x14ac:dyDescent="0.25">
      <c r="A533" s="1" t="s">
        <v>196</v>
      </c>
      <c r="B533" s="1" t="s">
        <v>1196</v>
      </c>
      <c r="C533" s="1" t="s">
        <v>2187</v>
      </c>
      <c r="D533" s="1" t="s">
        <v>1998</v>
      </c>
      <c r="E533" s="1"/>
      <c r="F533" s="1" t="s">
        <v>11</v>
      </c>
      <c r="G533">
        <v>510</v>
      </c>
      <c r="H533">
        <v>510</v>
      </c>
      <c r="I533" s="2"/>
      <c r="J533" s="2">
        <v>45656</v>
      </c>
      <c r="K533" s="2">
        <v>45741</v>
      </c>
    </row>
    <row r="534" spans="1:11" x14ac:dyDescent="0.25">
      <c r="A534" s="1" t="s">
        <v>196</v>
      </c>
      <c r="B534" s="1" t="s">
        <v>1197</v>
      </c>
      <c r="C534" s="1" t="s">
        <v>2188</v>
      </c>
      <c r="D534" s="1" t="s">
        <v>1998</v>
      </c>
      <c r="E534" s="1"/>
      <c r="F534" s="1" t="s">
        <v>11</v>
      </c>
      <c r="G534">
        <v>485</v>
      </c>
      <c r="H534">
        <v>215</v>
      </c>
      <c r="I534" s="2"/>
      <c r="J534" s="2">
        <v>45656</v>
      </c>
      <c r="K534" s="2">
        <v>45741</v>
      </c>
    </row>
    <row r="535" spans="1:11" x14ac:dyDescent="0.25">
      <c r="A535" s="1" t="s">
        <v>196</v>
      </c>
      <c r="B535" s="1" t="s">
        <v>1198</v>
      </c>
      <c r="C535" s="1" t="s">
        <v>2189</v>
      </c>
      <c r="D535" s="1" t="s">
        <v>1998</v>
      </c>
      <c r="E535" s="1"/>
      <c r="F535" s="1" t="s">
        <v>11</v>
      </c>
      <c r="G535">
        <v>6805</v>
      </c>
      <c r="H535">
        <v>6770</v>
      </c>
      <c r="I535" s="2"/>
      <c r="J535" s="2">
        <v>45656</v>
      </c>
      <c r="K535" s="2">
        <v>45741</v>
      </c>
    </row>
    <row r="536" spans="1:11" x14ac:dyDescent="0.25">
      <c r="A536" s="1" t="s">
        <v>196</v>
      </c>
      <c r="B536" s="1" t="s">
        <v>1199</v>
      </c>
      <c r="C536" s="1" t="s">
        <v>2190</v>
      </c>
      <c r="D536" s="1" t="s">
        <v>1998</v>
      </c>
      <c r="E536" s="1"/>
      <c r="F536" s="1" t="s">
        <v>11</v>
      </c>
      <c r="G536">
        <v>6155</v>
      </c>
      <c r="H536">
        <v>6155</v>
      </c>
      <c r="I536" s="2"/>
      <c r="J536" s="2">
        <v>45656</v>
      </c>
      <c r="K536" s="2">
        <v>45741</v>
      </c>
    </row>
    <row r="537" spans="1:11" x14ac:dyDescent="0.25">
      <c r="A537" s="1" t="s">
        <v>197</v>
      </c>
      <c r="B537" s="1" t="s">
        <v>1200</v>
      </c>
      <c r="C537" s="1" t="s">
        <v>2191</v>
      </c>
      <c r="D537" s="1" t="s">
        <v>1998</v>
      </c>
      <c r="E537" s="1"/>
      <c r="F537" s="1" t="s">
        <v>11</v>
      </c>
      <c r="G537">
        <v>8080</v>
      </c>
      <c r="H537">
        <v>2205</v>
      </c>
      <c r="I537" s="2"/>
      <c r="J537" s="2">
        <v>45680</v>
      </c>
      <c r="K537" s="2">
        <v>45734</v>
      </c>
    </row>
    <row r="538" spans="1:11" x14ac:dyDescent="0.25">
      <c r="A538" s="1" t="s">
        <v>198</v>
      </c>
      <c r="B538" s="1" t="s">
        <v>1201</v>
      </c>
      <c r="C538" s="1" t="s">
        <v>2192</v>
      </c>
      <c r="D538" s="1" t="s">
        <v>1998</v>
      </c>
      <c r="E538" s="1"/>
      <c r="F538" s="1" t="s">
        <v>11</v>
      </c>
      <c r="G538">
        <v>155</v>
      </c>
      <c r="H538">
        <v>140</v>
      </c>
      <c r="I538" s="2">
        <v>45757</v>
      </c>
      <c r="J538" s="2">
        <v>45656</v>
      </c>
      <c r="K538" s="2">
        <v>45757</v>
      </c>
    </row>
    <row r="539" spans="1:11" x14ac:dyDescent="0.25">
      <c r="A539" s="1" t="s">
        <v>198</v>
      </c>
      <c r="B539" s="1" t="s">
        <v>1027</v>
      </c>
      <c r="C539" s="1" t="s">
        <v>2040</v>
      </c>
      <c r="D539" s="1" t="s">
        <v>1998</v>
      </c>
      <c r="E539" s="1"/>
      <c r="F539" s="1" t="s">
        <v>11</v>
      </c>
      <c r="G539">
        <v>55</v>
      </c>
      <c r="H539">
        <v>55</v>
      </c>
      <c r="I539" s="2">
        <v>45757</v>
      </c>
      <c r="J539" s="2">
        <v>45656</v>
      </c>
      <c r="K539" s="2">
        <v>45757</v>
      </c>
    </row>
    <row r="540" spans="1:11" x14ac:dyDescent="0.25">
      <c r="A540" s="1" t="s">
        <v>198</v>
      </c>
      <c r="B540" s="1" t="s">
        <v>1013</v>
      </c>
      <c r="C540" s="1" t="s">
        <v>2030</v>
      </c>
      <c r="D540" s="1" t="s">
        <v>1998</v>
      </c>
      <c r="E540" s="1"/>
      <c r="F540" s="1" t="s">
        <v>11</v>
      </c>
      <c r="G540">
        <v>10</v>
      </c>
      <c r="H540">
        <v>10</v>
      </c>
      <c r="I540" s="2">
        <v>45757</v>
      </c>
      <c r="J540" s="2">
        <v>45656</v>
      </c>
      <c r="K540" s="2">
        <v>45757</v>
      </c>
    </row>
    <row r="541" spans="1:11" x14ac:dyDescent="0.25">
      <c r="A541" s="1" t="s">
        <v>198</v>
      </c>
      <c r="B541" s="1" t="s">
        <v>993</v>
      </c>
      <c r="C541" s="1" t="s">
        <v>2011</v>
      </c>
      <c r="D541" s="1" t="s">
        <v>1998</v>
      </c>
      <c r="E541" s="1"/>
      <c r="F541" s="1" t="s">
        <v>11</v>
      </c>
      <c r="G541">
        <v>5</v>
      </c>
      <c r="H541">
        <v>5</v>
      </c>
      <c r="I541" s="2">
        <v>45757</v>
      </c>
      <c r="J541" s="2">
        <v>45656</v>
      </c>
      <c r="K541" s="2">
        <v>45757</v>
      </c>
    </row>
    <row r="542" spans="1:11" x14ac:dyDescent="0.25">
      <c r="A542" s="1" t="s">
        <v>198</v>
      </c>
      <c r="B542" s="1" t="s">
        <v>993</v>
      </c>
      <c r="C542" s="1" t="s">
        <v>2011</v>
      </c>
      <c r="D542" s="1" t="s">
        <v>1998</v>
      </c>
      <c r="E542" s="1"/>
      <c r="F542" s="1" t="s">
        <v>11</v>
      </c>
      <c r="G542">
        <v>10</v>
      </c>
      <c r="H542">
        <v>10</v>
      </c>
      <c r="I542" s="2">
        <v>45757</v>
      </c>
      <c r="J542" s="2">
        <v>45656</v>
      </c>
      <c r="K542" s="2">
        <v>45757</v>
      </c>
    </row>
    <row r="543" spans="1:11" x14ac:dyDescent="0.25">
      <c r="A543" s="1" t="s">
        <v>198</v>
      </c>
      <c r="B543" s="1" t="s">
        <v>1202</v>
      </c>
      <c r="C543" s="1" t="s">
        <v>2165</v>
      </c>
      <c r="D543" s="1" t="s">
        <v>1998</v>
      </c>
      <c r="E543" s="1"/>
      <c r="F543" s="1" t="s">
        <v>11</v>
      </c>
      <c r="G543">
        <v>225</v>
      </c>
      <c r="H543">
        <v>225</v>
      </c>
      <c r="I543" s="2">
        <v>45757</v>
      </c>
      <c r="J543" s="2">
        <v>45656</v>
      </c>
      <c r="K543" s="2">
        <v>45757</v>
      </c>
    </row>
    <row r="544" spans="1:11" x14ac:dyDescent="0.25">
      <c r="A544" s="1" t="s">
        <v>198</v>
      </c>
      <c r="B544" s="1" t="s">
        <v>1203</v>
      </c>
      <c r="C544" s="1" t="s">
        <v>2193</v>
      </c>
      <c r="D544" s="1" t="s">
        <v>1998</v>
      </c>
      <c r="E544" s="1"/>
      <c r="F544" s="1" t="s">
        <v>11</v>
      </c>
      <c r="G544">
        <v>235</v>
      </c>
      <c r="H544">
        <v>235</v>
      </c>
      <c r="I544" s="2">
        <v>45757</v>
      </c>
      <c r="J544" s="2">
        <v>45656</v>
      </c>
      <c r="K544" s="2">
        <v>45757</v>
      </c>
    </row>
    <row r="545" spans="1:11" x14ac:dyDescent="0.25">
      <c r="A545" s="1" t="s">
        <v>199</v>
      </c>
      <c r="B545" s="1" t="s">
        <v>1204</v>
      </c>
      <c r="C545" s="1" t="s">
        <v>2194</v>
      </c>
      <c r="D545" s="1" t="s">
        <v>1998</v>
      </c>
      <c r="E545" s="1"/>
      <c r="F545" s="1" t="s">
        <v>11</v>
      </c>
      <c r="G545">
        <v>130</v>
      </c>
      <c r="H545">
        <v>120</v>
      </c>
      <c r="I545" s="2"/>
      <c r="J545" s="2">
        <v>45666</v>
      </c>
      <c r="K545" s="2">
        <v>45747</v>
      </c>
    </row>
    <row r="546" spans="1:11" x14ac:dyDescent="0.25">
      <c r="A546" s="1" t="s">
        <v>199</v>
      </c>
      <c r="B546" s="1" t="s">
        <v>1205</v>
      </c>
      <c r="C546" s="1" t="s">
        <v>2195</v>
      </c>
      <c r="D546" s="1" t="s">
        <v>1998</v>
      </c>
      <c r="E546" s="1"/>
      <c r="F546" s="1" t="s">
        <v>11</v>
      </c>
      <c r="G546">
        <v>5</v>
      </c>
      <c r="H546">
        <v>15</v>
      </c>
      <c r="I546" s="2"/>
      <c r="J546" s="2">
        <v>45666</v>
      </c>
      <c r="K546" s="2">
        <v>45747</v>
      </c>
    </row>
    <row r="547" spans="1:11" x14ac:dyDescent="0.25">
      <c r="A547" s="1" t="s">
        <v>199</v>
      </c>
      <c r="B547" s="1" t="s">
        <v>1206</v>
      </c>
      <c r="C547" s="1" t="s">
        <v>2196</v>
      </c>
      <c r="D547" s="1" t="s">
        <v>1998</v>
      </c>
      <c r="E547" s="1"/>
      <c r="F547" s="1" t="s">
        <v>11</v>
      </c>
      <c r="G547">
        <v>1</v>
      </c>
      <c r="H547">
        <v>1</v>
      </c>
      <c r="I547" s="2"/>
      <c r="J547" s="2">
        <v>45666</v>
      </c>
      <c r="K547" s="2">
        <v>45747</v>
      </c>
    </row>
    <row r="548" spans="1:11" x14ac:dyDescent="0.25">
      <c r="A548" s="1" t="s">
        <v>199</v>
      </c>
      <c r="B548" s="1" t="s">
        <v>1207</v>
      </c>
      <c r="C548" s="1" t="s">
        <v>2197</v>
      </c>
      <c r="D548" s="1" t="s">
        <v>1998</v>
      </c>
      <c r="E548" s="1"/>
      <c r="F548" s="1" t="s">
        <v>11</v>
      </c>
      <c r="G548">
        <v>1</v>
      </c>
      <c r="H548">
        <v>1</v>
      </c>
      <c r="I548" s="2"/>
      <c r="J548" s="2">
        <v>45666</v>
      </c>
      <c r="K548" s="2">
        <v>45747</v>
      </c>
    </row>
    <row r="549" spans="1:11" x14ac:dyDescent="0.25">
      <c r="A549" s="1" t="s">
        <v>199</v>
      </c>
      <c r="B549" s="1" t="s">
        <v>1208</v>
      </c>
      <c r="C549" s="1" t="s">
        <v>2198</v>
      </c>
      <c r="D549" s="1" t="s">
        <v>1998</v>
      </c>
      <c r="E549" s="1"/>
      <c r="F549" s="1" t="s">
        <v>11</v>
      </c>
      <c r="G549">
        <v>1</v>
      </c>
      <c r="H549">
        <v>1</v>
      </c>
      <c r="I549" s="2"/>
      <c r="J549" s="2">
        <v>45666</v>
      </c>
      <c r="K549" s="2">
        <v>45747</v>
      </c>
    </row>
    <row r="550" spans="1:11" x14ac:dyDescent="0.25">
      <c r="A550" s="1" t="s">
        <v>200</v>
      </c>
      <c r="B550" s="1" t="s">
        <v>1008</v>
      </c>
      <c r="C550" s="1" t="s">
        <v>2014</v>
      </c>
      <c r="D550" s="1" t="s">
        <v>1998</v>
      </c>
      <c r="E550" s="1"/>
      <c r="F550" s="1" t="s">
        <v>11</v>
      </c>
      <c r="G550">
        <v>4095</v>
      </c>
      <c r="H550">
        <v>4095</v>
      </c>
      <c r="I550" s="2">
        <v>45757</v>
      </c>
      <c r="J550" s="2">
        <v>45664</v>
      </c>
      <c r="K550" s="2">
        <v>45757</v>
      </c>
    </row>
    <row r="551" spans="1:11" x14ac:dyDescent="0.25">
      <c r="A551" s="1" t="s">
        <v>200</v>
      </c>
      <c r="B551" s="1" t="s">
        <v>1009</v>
      </c>
      <c r="C551" s="1" t="s">
        <v>2026</v>
      </c>
      <c r="D551" s="1" t="s">
        <v>1998</v>
      </c>
      <c r="E551" s="1"/>
      <c r="F551" s="1" t="s">
        <v>11</v>
      </c>
      <c r="G551">
        <v>5645</v>
      </c>
      <c r="H551">
        <v>5645</v>
      </c>
      <c r="I551" s="2">
        <v>45757</v>
      </c>
      <c r="J551" s="2">
        <v>45664</v>
      </c>
      <c r="K551" s="2">
        <v>45757</v>
      </c>
    </row>
    <row r="552" spans="1:11" x14ac:dyDescent="0.25">
      <c r="A552" s="1" t="s">
        <v>200</v>
      </c>
      <c r="B552" s="1" t="s">
        <v>1010</v>
      </c>
      <c r="C552" s="1" t="s">
        <v>2027</v>
      </c>
      <c r="D552" s="1" t="s">
        <v>1998</v>
      </c>
      <c r="E552" s="1"/>
      <c r="F552" s="1" t="s">
        <v>11</v>
      </c>
      <c r="G552">
        <v>2385</v>
      </c>
      <c r="H552">
        <v>2385</v>
      </c>
      <c r="I552" s="2">
        <v>45757</v>
      </c>
      <c r="J552" s="2">
        <v>45664</v>
      </c>
      <c r="K552" s="2">
        <v>45757</v>
      </c>
    </row>
    <row r="553" spans="1:11" x14ac:dyDescent="0.25">
      <c r="A553" s="1" t="s">
        <v>200</v>
      </c>
      <c r="B553" s="1" t="s">
        <v>1011</v>
      </c>
      <c r="C553" s="1" t="s">
        <v>2028</v>
      </c>
      <c r="D553" s="1" t="s">
        <v>1998</v>
      </c>
      <c r="E553" s="1"/>
      <c r="F553" s="1" t="s">
        <v>11</v>
      </c>
      <c r="G553">
        <v>1400</v>
      </c>
      <c r="H553">
        <v>1590</v>
      </c>
      <c r="I553" s="2">
        <v>45757</v>
      </c>
      <c r="J553" s="2">
        <v>45664</v>
      </c>
      <c r="K553" s="2">
        <v>45757</v>
      </c>
    </row>
    <row r="554" spans="1:11" x14ac:dyDescent="0.25">
      <c r="A554" s="1" t="s">
        <v>200</v>
      </c>
      <c r="B554" s="1" t="s">
        <v>1012</v>
      </c>
      <c r="C554" s="1" t="s">
        <v>2029</v>
      </c>
      <c r="D554" s="1" t="s">
        <v>1998</v>
      </c>
      <c r="E554" s="1"/>
      <c r="F554" s="1" t="s">
        <v>11</v>
      </c>
      <c r="G554">
        <v>645</v>
      </c>
      <c r="H554">
        <v>330</v>
      </c>
      <c r="I554" s="2">
        <v>45757</v>
      </c>
      <c r="J554" s="2">
        <v>45664</v>
      </c>
      <c r="K554" s="2">
        <v>45757</v>
      </c>
    </row>
    <row r="555" spans="1:11" x14ac:dyDescent="0.25">
      <c r="A555" s="1" t="s">
        <v>200</v>
      </c>
      <c r="B555" s="1" t="s">
        <v>1013</v>
      </c>
      <c r="C555" s="1" t="s">
        <v>2030</v>
      </c>
      <c r="D555" s="1" t="s">
        <v>1998</v>
      </c>
      <c r="E555" s="1"/>
      <c r="F555" s="1" t="s">
        <v>11</v>
      </c>
      <c r="G555">
        <v>120</v>
      </c>
      <c r="H555">
        <v>60</v>
      </c>
      <c r="I555" s="2">
        <v>45757</v>
      </c>
      <c r="J555" s="2">
        <v>45664</v>
      </c>
      <c r="K555" s="2">
        <v>45757</v>
      </c>
    </row>
    <row r="556" spans="1:11" x14ac:dyDescent="0.25">
      <c r="A556" s="1" t="s">
        <v>200</v>
      </c>
      <c r="B556" s="1" t="s">
        <v>993</v>
      </c>
      <c r="C556" s="1" t="s">
        <v>2011</v>
      </c>
      <c r="D556" s="1" t="s">
        <v>1998</v>
      </c>
      <c r="E556" s="1"/>
      <c r="F556" s="1" t="s">
        <v>11</v>
      </c>
      <c r="G556">
        <v>45</v>
      </c>
      <c r="H556">
        <v>45</v>
      </c>
      <c r="I556" s="2">
        <v>45757</v>
      </c>
      <c r="J556" s="2">
        <v>45664</v>
      </c>
      <c r="K556" s="2">
        <v>45757</v>
      </c>
    </row>
    <row r="557" spans="1:11" x14ac:dyDescent="0.25">
      <c r="A557" s="1" t="s">
        <v>201</v>
      </c>
      <c r="B557" s="1" t="s">
        <v>1004</v>
      </c>
      <c r="C557" s="1" t="s">
        <v>2022</v>
      </c>
      <c r="D557" s="1" t="s">
        <v>1998</v>
      </c>
      <c r="E557" s="1"/>
      <c r="F557" s="1" t="s">
        <v>11</v>
      </c>
      <c r="G557">
        <v>475</v>
      </c>
      <c r="H557">
        <v>630</v>
      </c>
      <c r="I557" s="2"/>
      <c r="J557" s="2">
        <v>45666</v>
      </c>
      <c r="K557" s="2">
        <v>45735</v>
      </c>
    </row>
    <row r="558" spans="1:11" x14ac:dyDescent="0.25">
      <c r="A558" s="1" t="s">
        <v>201</v>
      </c>
      <c r="B558" s="1" t="s">
        <v>1005</v>
      </c>
      <c r="C558" s="1" t="s">
        <v>2023</v>
      </c>
      <c r="D558" s="1" t="s">
        <v>1998</v>
      </c>
      <c r="E558" s="1"/>
      <c r="F558" s="1" t="s">
        <v>11</v>
      </c>
      <c r="G558">
        <v>1735</v>
      </c>
      <c r="H558">
        <v>1735</v>
      </c>
      <c r="I558" s="2"/>
      <c r="J558" s="2">
        <v>45666</v>
      </c>
      <c r="K558" s="2">
        <v>45735</v>
      </c>
    </row>
    <row r="559" spans="1:11" x14ac:dyDescent="0.25">
      <c r="A559" s="1" t="s">
        <v>201</v>
      </c>
      <c r="B559" s="1" t="s">
        <v>1006</v>
      </c>
      <c r="C559" s="1" t="s">
        <v>2024</v>
      </c>
      <c r="D559" s="1" t="s">
        <v>1998</v>
      </c>
      <c r="E559" s="1"/>
      <c r="F559" s="1" t="s">
        <v>11</v>
      </c>
      <c r="G559">
        <v>1560</v>
      </c>
      <c r="H559">
        <v>1570</v>
      </c>
      <c r="I559" s="2"/>
      <c r="J559" s="2">
        <v>45666</v>
      </c>
      <c r="K559" s="2">
        <v>45735</v>
      </c>
    </row>
    <row r="560" spans="1:11" x14ac:dyDescent="0.25">
      <c r="A560" s="1" t="s">
        <v>201</v>
      </c>
      <c r="B560" s="1" t="s">
        <v>1007</v>
      </c>
      <c r="C560" s="1" t="s">
        <v>2025</v>
      </c>
      <c r="D560" s="1" t="s">
        <v>1998</v>
      </c>
      <c r="E560" s="1"/>
      <c r="F560" s="1" t="s">
        <v>11</v>
      </c>
      <c r="G560">
        <v>9685</v>
      </c>
      <c r="H560">
        <v>9685</v>
      </c>
      <c r="I560" s="2"/>
      <c r="J560" s="2">
        <v>45666</v>
      </c>
      <c r="K560" s="2">
        <v>45735</v>
      </c>
    </row>
    <row r="561" spans="1:11" x14ac:dyDescent="0.25">
      <c r="A561" s="1" t="s">
        <v>202</v>
      </c>
      <c r="B561" s="1" t="s">
        <v>1209</v>
      </c>
      <c r="C561" s="1" t="s">
        <v>2199</v>
      </c>
      <c r="D561" s="1" t="s">
        <v>1998</v>
      </c>
      <c r="E561" s="1"/>
      <c r="F561" s="1" t="s">
        <v>11</v>
      </c>
      <c r="G561">
        <v>505</v>
      </c>
      <c r="H561">
        <v>510</v>
      </c>
      <c r="I561" s="2"/>
      <c r="J561" s="2">
        <v>45666</v>
      </c>
      <c r="K561" s="2">
        <v>45740</v>
      </c>
    </row>
    <row r="562" spans="1:11" x14ac:dyDescent="0.25">
      <c r="A562" s="1" t="s">
        <v>202</v>
      </c>
      <c r="B562" s="1" t="s">
        <v>1210</v>
      </c>
      <c r="C562" s="1" t="s">
        <v>2115</v>
      </c>
      <c r="D562" s="1" t="s">
        <v>1998</v>
      </c>
      <c r="E562" s="1"/>
      <c r="F562" s="1" t="s">
        <v>11</v>
      </c>
      <c r="G562">
        <v>10395</v>
      </c>
      <c r="H562">
        <v>10395</v>
      </c>
      <c r="I562" s="2"/>
      <c r="J562" s="2">
        <v>45666</v>
      </c>
      <c r="K562" s="2">
        <v>45740</v>
      </c>
    </row>
    <row r="563" spans="1:11" x14ac:dyDescent="0.25">
      <c r="A563" s="1" t="s">
        <v>202</v>
      </c>
      <c r="B563" s="1" t="s">
        <v>1211</v>
      </c>
      <c r="C563" s="1" t="s">
        <v>2200</v>
      </c>
      <c r="D563" s="1" t="s">
        <v>1998</v>
      </c>
      <c r="E563" s="1"/>
      <c r="F563" s="1" t="s">
        <v>11</v>
      </c>
      <c r="G563">
        <v>4580</v>
      </c>
      <c r="H563">
        <v>4580</v>
      </c>
      <c r="I563" s="2"/>
      <c r="J563" s="2">
        <v>45666</v>
      </c>
      <c r="K563" s="2">
        <v>45740</v>
      </c>
    </row>
    <row r="564" spans="1:11" x14ac:dyDescent="0.25">
      <c r="A564" s="1" t="s">
        <v>202</v>
      </c>
      <c r="B564" s="1" t="s">
        <v>1212</v>
      </c>
      <c r="C564" s="1" t="s">
        <v>2201</v>
      </c>
      <c r="D564" s="1" t="s">
        <v>1998</v>
      </c>
      <c r="E564" s="1"/>
      <c r="F564" s="1" t="s">
        <v>11</v>
      </c>
      <c r="G564">
        <v>3020</v>
      </c>
      <c r="H564">
        <v>3020</v>
      </c>
      <c r="I564" s="2"/>
      <c r="J564" s="2">
        <v>45666</v>
      </c>
      <c r="K564" s="2">
        <v>45740</v>
      </c>
    </row>
    <row r="565" spans="1:11" x14ac:dyDescent="0.25">
      <c r="A565" s="1" t="s">
        <v>203</v>
      </c>
      <c r="B565" s="1" t="s">
        <v>1016</v>
      </c>
      <c r="C565" s="1" t="s">
        <v>2033</v>
      </c>
      <c r="D565" s="1" t="s">
        <v>1998</v>
      </c>
      <c r="E565" s="1"/>
      <c r="F565" s="1" t="s">
        <v>11</v>
      </c>
      <c r="G565">
        <v>60</v>
      </c>
      <c r="H565">
        <v>45</v>
      </c>
      <c r="I565" s="2"/>
      <c r="J565" s="2">
        <v>45671</v>
      </c>
      <c r="K565" s="2">
        <v>45754</v>
      </c>
    </row>
    <row r="566" spans="1:11" x14ac:dyDescent="0.25">
      <c r="A566" s="1" t="s">
        <v>203</v>
      </c>
      <c r="B566" s="1" t="s">
        <v>1017</v>
      </c>
      <c r="C566" s="1" t="s">
        <v>2034</v>
      </c>
      <c r="D566" s="1" t="s">
        <v>1998</v>
      </c>
      <c r="E566" s="1"/>
      <c r="F566" s="1" t="s">
        <v>11</v>
      </c>
      <c r="G566">
        <v>155</v>
      </c>
      <c r="H566">
        <v>185</v>
      </c>
      <c r="I566" s="2"/>
      <c r="J566" s="2">
        <v>45671</v>
      </c>
      <c r="K566" s="2">
        <v>45754</v>
      </c>
    </row>
    <row r="567" spans="1:11" x14ac:dyDescent="0.25">
      <c r="A567" s="1" t="s">
        <v>203</v>
      </c>
      <c r="B567" s="1" t="s">
        <v>1018</v>
      </c>
      <c r="C567" s="1" t="s">
        <v>2035</v>
      </c>
      <c r="D567" s="1" t="s">
        <v>1998</v>
      </c>
      <c r="E567" s="1"/>
      <c r="F567" s="1" t="s">
        <v>11</v>
      </c>
      <c r="G567">
        <v>680</v>
      </c>
      <c r="H567">
        <v>700</v>
      </c>
      <c r="I567" s="2"/>
      <c r="J567" s="2">
        <v>45671</v>
      </c>
      <c r="K567" s="2">
        <v>45754</v>
      </c>
    </row>
    <row r="568" spans="1:11" x14ac:dyDescent="0.25">
      <c r="A568" s="1" t="s">
        <v>203</v>
      </c>
      <c r="B568" s="1" t="s">
        <v>999</v>
      </c>
      <c r="C568" s="1" t="s">
        <v>2168</v>
      </c>
      <c r="D568" s="1" t="s">
        <v>1998</v>
      </c>
      <c r="E568" s="1"/>
      <c r="F568" s="1" t="s">
        <v>11</v>
      </c>
      <c r="G568">
        <v>1</v>
      </c>
      <c r="H568">
        <v>1</v>
      </c>
      <c r="I568" s="2"/>
      <c r="J568" s="2">
        <v>45671</v>
      </c>
      <c r="K568" s="2">
        <v>45754</v>
      </c>
    </row>
    <row r="569" spans="1:11" x14ac:dyDescent="0.25">
      <c r="A569" s="1" t="s">
        <v>203</v>
      </c>
      <c r="B569" s="1" t="s">
        <v>1000</v>
      </c>
      <c r="C569" s="1" t="s">
        <v>2018</v>
      </c>
      <c r="D569" s="1" t="s">
        <v>1998</v>
      </c>
      <c r="E569" s="1"/>
      <c r="F569" s="1" t="s">
        <v>11</v>
      </c>
      <c r="G569">
        <v>5</v>
      </c>
      <c r="H569">
        <v>30</v>
      </c>
      <c r="I569" s="2"/>
      <c r="J569" s="2">
        <v>45671</v>
      </c>
      <c r="K569" s="2">
        <v>45754</v>
      </c>
    </row>
    <row r="570" spans="1:11" x14ac:dyDescent="0.25">
      <c r="A570" s="1" t="s">
        <v>203</v>
      </c>
      <c r="B570" s="1" t="s">
        <v>1001</v>
      </c>
      <c r="C570" s="1" t="s">
        <v>2019</v>
      </c>
      <c r="D570" s="1" t="s">
        <v>1998</v>
      </c>
      <c r="E570" s="1"/>
      <c r="F570" s="1" t="s">
        <v>11</v>
      </c>
      <c r="G570">
        <v>5</v>
      </c>
      <c r="H570">
        <v>5</v>
      </c>
      <c r="I570" s="2"/>
      <c r="J570" s="2">
        <v>45671</v>
      </c>
      <c r="K570" s="2">
        <v>45754</v>
      </c>
    </row>
    <row r="571" spans="1:11" x14ac:dyDescent="0.25">
      <c r="A571" s="1" t="s">
        <v>203</v>
      </c>
      <c r="B571" s="1" t="s">
        <v>1019</v>
      </c>
      <c r="C571" s="1" t="s">
        <v>2036</v>
      </c>
      <c r="D571" s="1" t="s">
        <v>1998</v>
      </c>
      <c r="E571" s="1"/>
      <c r="F571" s="1" t="s">
        <v>11</v>
      </c>
      <c r="G571">
        <v>2395</v>
      </c>
      <c r="H571">
        <v>2380</v>
      </c>
      <c r="I571" s="2"/>
      <c r="J571" s="2">
        <v>45671</v>
      </c>
      <c r="K571" s="2">
        <v>45754</v>
      </c>
    </row>
    <row r="572" spans="1:11" x14ac:dyDescent="0.25">
      <c r="A572" s="1" t="s">
        <v>203</v>
      </c>
      <c r="B572" s="1" t="s">
        <v>1020</v>
      </c>
      <c r="C572" s="1" t="s">
        <v>2037</v>
      </c>
      <c r="D572" s="1" t="s">
        <v>1998</v>
      </c>
      <c r="E572" s="1"/>
      <c r="F572" s="1" t="s">
        <v>11</v>
      </c>
      <c r="G572">
        <v>6400</v>
      </c>
      <c r="H572">
        <v>6400</v>
      </c>
      <c r="I572" s="2"/>
      <c r="J572" s="2">
        <v>45671</v>
      </c>
      <c r="K572" s="2">
        <v>45754</v>
      </c>
    </row>
    <row r="573" spans="1:11" x14ac:dyDescent="0.25">
      <c r="A573" s="1" t="s">
        <v>204</v>
      </c>
      <c r="B573" s="1" t="s">
        <v>1213</v>
      </c>
      <c r="C573" s="1" t="s">
        <v>2014</v>
      </c>
      <c r="D573" s="1" t="s">
        <v>1998</v>
      </c>
      <c r="E573" s="1"/>
      <c r="F573" s="1" t="s">
        <v>11</v>
      </c>
      <c r="G573">
        <v>905</v>
      </c>
      <c r="H573">
        <v>905</v>
      </c>
      <c r="I573" s="2"/>
      <c r="J573" s="2">
        <v>45673</v>
      </c>
      <c r="K573" s="2">
        <v>45775</v>
      </c>
    </row>
    <row r="574" spans="1:11" x14ac:dyDescent="0.25">
      <c r="A574" s="1" t="s">
        <v>204</v>
      </c>
      <c r="B574" s="1" t="s">
        <v>1214</v>
      </c>
      <c r="C574" s="1" t="s">
        <v>2202</v>
      </c>
      <c r="D574" s="1" t="s">
        <v>1998</v>
      </c>
      <c r="E574" s="1"/>
      <c r="F574" s="1" t="s">
        <v>11</v>
      </c>
      <c r="G574">
        <v>435</v>
      </c>
      <c r="H574">
        <v>80</v>
      </c>
      <c r="I574" s="2"/>
      <c r="J574" s="2">
        <v>45673</v>
      </c>
      <c r="K574" s="2">
        <v>45775</v>
      </c>
    </row>
    <row r="575" spans="1:11" x14ac:dyDescent="0.25">
      <c r="A575" s="1" t="s">
        <v>204</v>
      </c>
      <c r="B575" s="1" t="s">
        <v>1215</v>
      </c>
      <c r="C575" s="1" t="s">
        <v>2203</v>
      </c>
      <c r="D575" s="1" t="s">
        <v>1998</v>
      </c>
      <c r="E575" s="1"/>
      <c r="F575" s="1" t="s">
        <v>11</v>
      </c>
      <c r="G575">
        <v>435</v>
      </c>
      <c r="H575">
        <v>435</v>
      </c>
      <c r="I575" s="2"/>
      <c r="J575" s="2">
        <v>45673</v>
      </c>
      <c r="K575" s="2">
        <v>45775</v>
      </c>
    </row>
    <row r="576" spans="1:11" x14ac:dyDescent="0.25">
      <c r="A576" s="1" t="s">
        <v>205</v>
      </c>
      <c r="B576" s="1" t="s">
        <v>1216</v>
      </c>
      <c r="C576" s="1" t="s">
        <v>2204</v>
      </c>
      <c r="D576" s="1" t="s">
        <v>1998</v>
      </c>
      <c r="E576" s="1"/>
      <c r="F576" s="1" t="s">
        <v>11</v>
      </c>
      <c r="G576">
        <v>790</v>
      </c>
      <c r="H576">
        <v>630</v>
      </c>
      <c r="I576" s="2">
        <v>45769</v>
      </c>
      <c r="J576" s="2">
        <v>45680</v>
      </c>
      <c r="K576" s="2">
        <v>45769</v>
      </c>
    </row>
    <row r="577" spans="1:11" x14ac:dyDescent="0.25">
      <c r="A577" s="1" t="s">
        <v>205</v>
      </c>
      <c r="B577" s="1" t="s">
        <v>1217</v>
      </c>
      <c r="C577" s="1" t="s">
        <v>2205</v>
      </c>
      <c r="D577" s="1" t="s">
        <v>1998</v>
      </c>
      <c r="E577" s="1"/>
      <c r="F577" s="1" t="s">
        <v>11</v>
      </c>
      <c r="G577">
        <v>1010</v>
      </c>
      <c r="H577">
        <v>1240</v>
      </c>
      <c r="I577" s="2">
        <v>45769</v>
      </c>
      <c r="J577" s="2">
        <v>45680</v>
      </c>
      <c r="K577" s="2">
        <v>45769</v>
      </c>
    </row>
    <row r="578" spans="1:11" x14ac:dyDescent="0.25">
      <c r="A578" s="1" t="s">
        <v>205</v>
      </c>
      <c r="B578" s="1" t="s">
        <v>1217</v>
      </c>
      <c r="C578" s="1" t="s">
        <v>2205</v>
      </c>
      <c r="D578" s="1" t="s">
        <v>1998</v>
      </c>
      <c r="E578" s="1"/>
      <c r="F578" s="1" t="s">
        <v>11</v>
      </c>
      <c r="G578">
        <v>1205</v>
      </c>
      <c r="H578">
        <v>125</v>
      </c>
      <c r="I578" s="2">
        <v>45769</v>
      </c>
      <c r="J578" s="2">
        <v>45680</v>
      </c>
      <c r="K578" s="2">
        <v>45769</v>
      </c>
    </row>
    <row r="579" spans="1:11" x14ac:dyDescent="0.25">
      <c r="A579" s="1" t="s">
        <v>205</v>
      </c>
      <c r="B579" s="1" t="s">
        <v>1218</v>
      </c>
      <c r="C579" s="1" t="s">
        <v>2163</v>
      </c>
      <c r="D579" s="1" t="s">
        <v>1998</v>
      </c>
      <c r="E579" s="1"/>
      <c r="F579" s="1" t="s">
        <v>11</v>
      </c>
      <c r="G579">
        <v>9090</v>
      </c>
      <c r="H579">
        <v>9090</v>
      </c>
      <c r="I579" s="2">
        <v>45769</v>
      </c>
      <c r="J579" s="2">
        <v>45680</v>
      </c>
      <c r="K579" s="2">
        <v>45769</v>
      </c>
    </row>
    <row r="580" spans="1:11" x14ac:dyDescent="0.25">
      <c r="A580" s="1" t="s">
        <v>205</v>
      </c>
      <c r="B580" s="1" t="s">
        <v>1027</v>
      </c>
      <c r="C580" s="1" t="s">
        <v>2040</v>
      </c>
      <c r="D580" s="1" t="s">
        <v>1998</v>
      </c>
      <c r="E580" s="1"/>
      <c r="F580" s="1" t="s">
        <v>11</v>
      </c>
      <c r="G580">
        <v>460</v>
      </c>
      <c r="H580">
        <v>250</v>
      </c>
      <c r="I580" s="2">
        <v>45769</v>
      </c>
      <c r="J580" s="2">
        <v>45680</v>
      </c>
      <c r="K580" s="2">
        <v>45769</v>
      </c>
    </row>
    <row r="581" spans="1:11" x14ac:dyDescent="0.25">
      <c r="A581" s="1" t="s">
        <v>205</v>
      </c>
      <c r="B581" s="1" t="s">
        <v>1013</v>
      </c>
      <c r="C581" s="1" t="s">
        <v>2030</v>
      </c>
      <c r="D581" s="1" t="s">
        <v>1998</v>
      </c>
      <c r="E581" s="1"/>
      <c r="F581" s="1" t="s">
        <v>11</v>
      </c>
      <c r="G581">
        <v>105</v>
      </c>
      <c r="H581">
        <v>115</v>
      </c>
      <c r="I581" s="2">
        <v>45769</v>
      </c>
      <c r="J581" s="2">
        <v>45680</v>
      </c>
      <c r="K581" s="2">
        <v>45769</v>
      </c>
    </row>
    <row r="582" spans="1:11" x14ac:dyDescent="0.25">
      <c r="A582" s="1" t="s">
        <v>205</v>
      </c>
      <c r="B582" s="1" t="s">
        <v>993</v>
      </c>
      <c r="C582" s="1" t="s">
        <v>2011</v>
      </c>
      <c r="D582" s="1" t="s">
        <v>1998</v>
      </c>
      <c r="E582" s="1"/>
      <c r="F582" s="1" t="s">
        <v>11</v>
      </c>
      <c r="G582">
        <v>40</v>
      </c>
      <c r="H582">
        <v>40</v>
      </c>
      <c r="I582" s="2">
        <v>45769</v>
      </c>
      <c r="J582" s="2">
        <v>45680</v>
      </c>
      <c r="K582" s="2">
        <v>45769</v>
      </c>
    </row>
    <row r="583" spans="1:11" x14ac:dyDescent="0.25">
      <c r="A583" s="1" t="s">
        <v>205</v>
      </c>
      <c r="B583" s="1" t="s">
        <v>993</v>
      </c>
      <c r="C583" s="1" t="s">
        <v>2011</v>
      </c>
      <c r="D583" s="1" t="s">
        <v>1998</v>
      </c>
      <c r="E583" s="1"/>
      <c r="F583" s="1" t="s">
        <v>11</v>
      </c>
      <c r="G583">
        <v>75</v>
      </c>
      <c r="H583">
        <v>75</v>
      </c>
      <c r="I583" s="2">
        <v>45769</v>
      </c>
      <c r="J583" s="2">
        <v>45680</v>
      </c>
      <c r="K583" s="2">
        <v>45769</v>
      </c>
    </row>
    <row r="584" spans="1:11" x14ac:dyDescent="0.25">
      <c r="A584" s="1" t="s">
        <v>205</v>
      </c>
      <c r="B584" s="1" t="s">
        <v>1219</v>
      </c>
      <c r="C584" s="1" t="s">
        <v>2042</v>
      </c>
      <c r="D584" s="1" t="s">
        <v>1998</v>
      </c>
      <c r="E584" s="1"/>
      <c r="F584" s="1" t="s">
        <v>11</v>
      </c>
      <c r="G584">
        <v>5995</v>
      </c>
      <c r="H584">
        <v>5885</v>
      </c>
      <c r="I584" s="2">
        <v>45769</v>
      </c>
      <c r="J584" s="2">
        <v>45680</v>
      </c>
      <c r="K584" s="2">
        <v>45769</v>
      </c>
    </row>
    <row r="585" spans="1:11" x14ac:dyDescent="0.25">
      <c r="A585" s="1" t="s">
        <v>205</v>
      </c>
      <c r="B585" s="1" t="s">
        <v>1220</v>
      </c>
      <c r="C585" s="1" t="s">
        <v>2164</v>
      </c>
      <c r="D585" s="1" t="s">
        <v>1998</v>
      </c>
      <c r="E585" s="1"/>
      <c r="F585" s="1" t="s">
        <v>11</v>
      </c>
      <c r="G585">
        <v>1190</v>
      </c>
      <c r="H585">
        <v>885</v>
      </c>
      <c r="I585" s="2">
        <v>45769</v>
      </c>
      <c r="J585" s="2">
        <v>45680</v>
      </c>
      <c r="K585" s="2">
        <v>45769</v>
      </c>
    </row>
    <row r="586" spans="1:11" x14ac:dyDescent="0.25">
      <c r="A586" s="1" t="s">
        <v>205</v>
      </c>
      <c r="B586" s="1" t="s">
        <v>1221</v>
      </c>
      <c r="C586" s="1" t="s">
        <v>2206</v>
      </c>
      <c r="D586" s="1" t="s">
        <v>1998</v>
      </c>
      <c r="E586" s="1"/>
      <c r="F586" s="1" t="s">
        <v>11</v>
      </c>
      <c r="G586">
        <v>1890</v>
      </c>
      <c r="H586">
        <v>935</v>
      </c>
      <c r="I586" s="2">
        <v>45769</v>
      </c>
      <c r="J586" s="2">
        <v>45680</v>
      </c>
      <c r="K586" s="2">
        <v>45769</v>
      </c>
    </row>
    <row r="587" spans="1:11" x14ac:dyDescent="0.25">
      <c r="A587" s="1" t="s">
        <v>206</v>
      </c>
      <c r="B587" s="1" t="s">
        <v>1004</v>
      </c>
      <c r="C587" s="1" t="s">
        <v>2022</v>
      </c>
      <c r="D587" s="1" t="s">
        <v>1998</v>
      </c>
      <c r="E587" s="1"/>
      <c r="F587" s="1" t="s">
        <v>11</v>
      </c>
      <c r="G587">
        <v>475</v>
      </c>
      <c r="H587">
        <v>630</v>
      </c>
      <c r="I587" s="2"/>
      <c r="J587" s="2">
        <v>45681</v>
      </c>
      <c r="K587" s="2">
        <v>45735</v>
      </c>
    </row>
    <row r="588" spans="1:11" x14ac:dyDescent="0.25">
      <c r="A588" s="1" t="s">
        <v>206</v>
      </c>
      <c r="B588" s="1" t="s">
        <v>1005</v>
      </c>
      <c r="C588" s="1" t="s">
        <v>2023</v>
      </c>
      <c r="D588" s="1" t="s">
        <v>1998</v>
      </c>
      <c r="E588" s="1"/>
      <c r="F588" s="1" t="s">
        <v>11</v>
      </c>
      <c r="G588">
        <v>1735</v>
      </c>
      <c r="H588">
        <v>1735</v>
      </c>
      <c r="I588" s="2"/>
      <c r="J588" s="2">
        <v>45681</v>
      </c>
      <c r="K588" s="2">
        <v>45735</v>
      </c>
    </row>
    <row r="589" spans="1:11" x14ac:dyDescent="0.25">
      <c r="A589" s="1" t="s">
        <v>206</v>
      </c>
      <c r="B589" s="1" t="s">
        <v>1006</v>
      </c>
      <c r="C589" s="1" t="s">
        <v>2024</v>
      </c>
      <c r="D589" s="1" t="s">
        <v>1998</v>
      </c>
      <c r="E589" s="1"/>
      <c r="F589" s="1" t="s">
        <v>11</v>
      </c>
      <c r="G589">
        <v>1560</v>
      </c>
      <c r="H589">
        <v>1555</v>
      </c>
      <c r="I589" s="2"/>
      <c r="J589" s="2">
        <v>45681</v>
      </c>
      <c r="K589" s="2">
        <v>45735</v>
      </c>
    </row>
    <row r="590" spans="1:11" x14ac:dyDescent="0.25">
      <c r="A590" s="1" t="s">
        <v>206</v>
      </c>
      <c r="B590" s="1" t="s">
        <v>1007</v>
      </c>
      <c r="C590" s="1" t="s">
        <v>2025</v>
      </c>
      <c r="D590" s="1" t="s">
        <v>1998</v>
      </c>
      <c r="E590" s="1"/>
      <c r="F590" s="1" t="s">
        <v>11</v>
      </c>
      <c r="G590">
        <v>9685</v>
      </c>
      <c r="H590">
        <v>9685</v>
      </c>
      <c r="I590" s="2"/>
      <c r="J590" s="2">
        <v>45681</v>
      </c>
      <c r="K590" s="2">
        <v>45735</v>
      </c>
    </row>
    <row r="591" spans="1:11" x14ac:dyDescent="0.25">
      <c r="A591" s="1" t="s">
        <v>207</v>
      </c>
      <c r="B591" s="1" t="s">
        <v>1004</v>
      </c>
      <c r="C591" s="1" t="s">
        <v>2022</v>
      </c>
      <c r="D591" s="1" t="s">
        <v>1998</v>
      </c>
      <c r="E591" s="1"/>
      <c r="F591" s="1" t="s">
        <v>11</v>
      </c>
      <c r="G591">
        <v>475</v>
      </c>
      <c r="H591">
        <v>630</v>
      </c>
      <c r="I591" s="2"/>
      <c r="J591" s="2">
        <v>45681</v>
      </c>
      <c r="K591" s="2">
        <v>45740</v>
      </c>
    </row>
    <row r="592" spans="1:11" x14ac:dyDescent="0.25">
      <c r="A592" s="1" t="s">
        <v>207</v>
      </c>
      <c r="B592" s="1" t="s">
        <v>1005</v>
      </c>
      <c r="C592" s="1" t="s">
        <v>2023</v>
      </c>
      <c r="D592" s="1" t="s">
        <v>1998</v>
      </c>
      <c r="E592" s="1"/>
      <c r="F592" s="1" t="s">
        <v>11</v>
      </c>
      <c r="G592">
        <v>1735</v>
      </c>
      <c r="H592">
        <v>1735</v>
      </c>
      <c r="I592" s="2"/>
      <c r="J592" s="2">
        <v>45681</v>
      </c>
      <c r="K592" s="2">
        <v>45740</v>
      </c>
    </row>
    <row r="593" spans="1:11" x14ac:dyDescent="0.25">
      <c r="A593" s="1" t="s">
        <v>207</v>
      </c>
      <c r="B593" s="1" t="s">
        <v>1005</v>
      </c>
      <c r="C593" s="1" t="s">
        <v>2023</v>
      </c>
      <c r="D593" s="1" t="s">
        <v>1998</v>
      </c>
      <c r="E593" s="1"/>
      <c r="F593" s="1" t="s">
        <v>11</v>
      </c>
      <c r="G593">
        <v>160</v>
      </c>
      <c r="H593">
        <v>160</v>
      </c>
      <c r="I593" s="2"/>
      <c r="J593" s="2">
        <v>45681</v>
      </c>
      <c r="K593" s="2">
        <v>45740</v>
      </c>
    </row>
    <row r="594" spans="1:11" x14ac:dyDescent="0.25">
      <c r="A594" s="1" t="s">
        <v>207</v>
      </c>
      <c r="B594" s="1" t="s">
        <v>1006</v>
      </c>
      <c r="C594" s="1" t="s">
        <v>2024</v>
      </c>
      <c r="D594" s="1" t="s">
        <v>1998</v>
      </c>
      <c r="E594" s="1"/>
      <c r="F594" s="1" t="s">
        <v>11</v>
      </c>
      <c r="G594">
        <v>1560</v>
      </c>
      <c r="H594">
        <v>1560</v>
      </c>
      <c r="I594" s="2"/>
      <c r="J594" s="2">
        <v>45681</v>
      </c>
      <c r="K594" s="2">
        <v>45740</v>
      </c>
    </row>
    <row r="595" spans="1:11" x14ac:dyDescent="0.25">
      <c r="A595" s="1" t="s">
        <v>207</v>
      </c>
      <c r="B595" s="1" t="s">
        <v>1007</v>
      </c>
      <c r="C595" s="1" t="s">
        <v>2025</v>
      </c>
      <c r="D595" s="1" t="s">
        <v>1998</v>
      </c>
      <c r="E595" s="1"/>
      <c r="F595" s="1" t="s">
        <v>11</v>
      </c>
      <c r="G595">
        <v>9685</v>
      </c>
      <c r="H595">
        <v>9685</v>
      </c>
      <c r="I595" s="2"/>
      <c r="J595" s="2">
        <v>45681</v>
      </c>
      <c r="K595" s="2">
        <v>45740</v>
      </c>
    </row>
    <row r="596" spans="1:11" x14ac:dyDescent="0.25">
      <c r="A596" s="1" t="s">
        <v>207</v>
      </c>
      <c r="B596" s="1" t="s">
        <v>1007</v>
      </c>
      <c r="C596" s="1" t="s">
        <v>2025</v>
      </c>
      <c r="D596" s="1" t="s">
        <v>1998</v>
      </c>
      <c r="E596" s="1"/>
      <c r="F596" s="1" t="s">
        <v>11</v>
      </c>
      <c r="G596">
        <v>550</v>
      </c>
      <c r="H596">
        <v>550</v>
      </c>
      <c r="I596" s="2"/>
      <c r="J596" s="2">
        <v>45681</v>
      </c>
      <c r="K596" s="2">
        <v>45740</v>
      </c>
    </row>
    <row r="597" spans="1:11" x14ac:dyDescent="0.25">
      <c r="A597" s="1" t="s">
        <v>208</v>
      </c>
      <c r="B597" s="1" t="s">
        <v>1222</v>
      </c>
      <c r="C597" s="1" t="s">
        <v>2014</v>
      </c>
      <c r="D597" s="1" t="s">
        <v>1998</v>
      </c>
      <c r="E597" s="1"/>
      <c r="F597" s="1" t="s">
        <v>11</v>
      </c>
      <c r="G597">
        <v>1215</v>
      </c>
      <c r="H597">
        <v>1215</v>
      </c>
      <c r="I597" s="2"/>
      <c r="J597" s="2">
        <v>45684</v>
      </c>
      <c r="K597" s="2">
        <v>45749</v>
      </c>
    </row>
    <row r="598" spans="1:11" x14ac:dyDescent="0.25">
      <c r="A598" s="1" t="s">
        <v>208</v>
      </c>
      <c r="B598" s="1" t="s">
        <v>1183</v>
      </c>
      <c r="C598" s="1" t="s">
        <v>2178</v>
      </c>
      <c r="D598" s="1" t="s">
        <v>1998</v>
      </c>
      <c r="E598" s="1"/>
      <c r="F598" s="1" t="s">
        <v>11</v>
      </c>
      <c r="G598">
        <v>45</v>
      </c>
      <c r="H598">
        <v>60</v>
      </c>
      <c r="I598" s="2"/>
      <c r="J598" s="2">
        <v>45684</v>
      </c>
      <c r="K598" s="2">
        <v>45749</v>
      </c>
    </row>
    <row r="599" spans="1:11" x14ac:dyDescent="0.25">
      <c r="A599" s="1" t="s">
        <v>208</v>
      </c>
      <c r="B599" s="1" t="s">
        <v>1183</v>
      </c>
      <c r="C599" s="1" t="s">
        <v>2178</v>
      </c>
      <c r="D599" s="1" t="s">
        <v>1998</v>
      </c>
      <c r="E599" s="1"/>
      <c r="F599" s="1" t="s">
        <v>11</v>
      </c>
      <c r="G599">
        <v>45</v>
      </c>
      <c r="H599">
        <v>30</v>
      </c>
      <c r="I599" s="2"/>
      <c r="J599" s="2">
        <v>45684</v>
      </c>
      <c r="K599" s="2">
        <v>45749</v>
      </c>
    </row>
    <row r="600" spans="1:11" x14ac:dyDescent="0.25">
      <c r="A600" s="1" t="s">
        <v>208</v>
      </c>
      <c r="B600" s="1" t="s">
        <v>1189</v>
      </c>
      <c r="C600" s="1" t="s">
        <v>2027</v>
      </c>
      <c r="D600" s="1" t="s">
        <v>1998</v>
      </c>
      <c r="E600" s="1"/>
      <c r="F600" s="1" t="s">
        <v>11</v>
      </c>
      <c r="G600">
        <v>155</v>
      </c>
      <c r="H600">
        <v>155</v>
      </c>
      <c r="I600" s="2"/>
      <c r="J600" s="2">
        <v>45684</v>
      </c>
      <c r="K600" s="2">
        <v>45749</v>
      </c>
    </row>
    <row r="601" spans="1:11" x14ac:dyDescent="0.25">
      <c r="A601" s="1" t="s">
        <v>208</v>
      </c>
      <c r="B601" s="1" t="s">
        <v>1190</v>
      </c>
      <c r="C601" s="1" t="s">
        <v>2181</v>
      </c>
      <c r="D601" s="1" t="s">
        <v>1998</v>
      </c>
      <c r="E601" s="1"/>
      <c r="F601" s="1" t="s">
        <v>11</v>
      </c>
      <c r="G601">
        <v>195</v>
      </c>
      <c r="H601">
        <v>210</v>
      </c>
      <c r="I601" s="2"/>
      <c r="J601" s="2">
        <v>45684</v>
      </c>
      <c r="K601" s="2">
        <v>45749</v>
      </c>
    </row>
    <row r="602" spans="1:11" x14ac:dyDescent="0.25">
      <c r="A602" s="1" t="s">
        <v>208</v>
      </c>
      <c r="B602" s="1" t="s">
        <v>1191</v>
      </c>
      <c r="C602" s="1" t="s">
        <v>2182</v>
      </c>
      <c r="D602" s="1" t="s">
        <v>1998</v>
      </c>
      <c r="E602" s="1"/>
      <c r="F602" s="1" t="s">
        <v>11</v>
      </c>
      <c r="G602">
        <v>1</v>
      </c>
      <c r="H602">
        <v>1</v>
      </c>
      <c r="I602" s="2"/>
      <c r="J602" s="2">
        <v>45684</v>
      </c>
      <c r="K602" s="2">
        <v>45749</v>
      </c>
    </row>
    <row r="603" spans="1:11" x14ac:dyDescent="0.25">
      <c r="A603" s="1" t="s">
        <v>208</v>
      </c>
      <c r="B603" s="1" t="s">
        <v>1192</v>
      </c>
      <c r="C603" s="1" t="s">
        <v>2183</v>
      </c>
      <c r="D603" s="1" t="s">
        <v>1998</v>
      </c>
      <c r="E603" s="1"/>
      <c r="F603" s="1" t="s">
        <v>11</v>
      </c>
      <c r="G603">
        <v>1</v>
      </c>
      <c r="H603">
        <v>1</v>
      </c>
      <c r="I603" s="2"/>
      <c r="J603" s="2">
        <v>45684</v>
      </c>
      <c r="K603" s="2">
        <v>45749</v>
      </c>
    </row>
    <row r="604" spans="1:11" x14ac:dyDescent="0.25">
      <c r="A604" s="1" t="s">
        <v>208</v>
      </c>
      <c r="B604" s="1" t="s">
        <v>1027</v>
      </c>
      <c r="C604" s="1" t="s">
        <v>2040</v>
      </c>
      <c r="D604" s="1" t="s">
        <v>1998</v>
      </c>
      <c r="E604" s="1"/>
      <c r="F604" s="1" t="s">
        <v>11</v>
      </c>
      <c r="G604">
        <v>35</v>
      </c>
      <c r="H604">
        <v>80</v>
      </c>
      <c r="I604" s="2"/>
      <c r="J604" s="2">
        <v>45684</v>
      </c>
      <c r="K604" s="2">
        <v>45749</v>
      </c>
    </row>
    <row r="605" spans="1:11" x14ac:dyDescent="0.25">
      <c r="A605" s="1" t="s">
        <v>208</v>
      </c>
      <c r="B605" s="1" t="s">
        <v>1013</v>
      </c>
      <c r="C605" s="1" t="s">
        <v>2030</v>
      </c>
      <c r="D605" s="1" t="s">
        <v>1998</v>
      </c>
      <c r="E605" s="1"/>
      <c r="F605" s="1" t="s">
        <v>11</v>
      </c>
      <c r="G605">
        <v>5</v>
      </c>
      <c r="H605">
        <v>5</v>
      </c>
      <c r="I605" s="2"/>
      <c r="J605" s="2">
        <v>45684</v>
      </c>
      <c r="K605" s="2">
        <v>45749</v>
      </c>
    </row>
    <row r="606" spans="1:11" x14ac:dyDescent="0.25">
      <c r="A606" s="1" t="s">
        <v>208</v>
      </c>
      <c r="B606" s="1" t="s">
        <v>993</v>
      </c>
      <c r="C606" s="1" t="s">
        <v>2011</v>
      </c>
      <c r="D606" s="1" t="s">
        <v>1998</v>
      </c>
      <c r="E606" s="1"/>
      <c r="F606" s="1" t="s">
        <v>11</v>
      </c>
      <c r="G606">
        <v>1</v>
      </c>
      <c r="H606">
        <v>1</v>
      </c>
      <c r="I606" s="2"/>
      <c r="J606" s="2">
        <v>45684</v>
      </c>
      <c r="K606" s="2">
        <v>45749</v>
      </c>
    </row>
    <row r="607" spans="1:11" x14ac:dyDescent="0.25">
      <c r="A607" s="1" t="s">
        <v>208</v>
      </c>
      <c r="B607" s="1" t="s">
        <v>993</v>
      </c>
      <c r="C607" s="1" t="s">
        <v>2011</v>
      </c>
      <c r="D607" s="1" t="s">
        <v>1998</v>
      </c>
      <c r="E607" s="1"/>
      <c r="F607" s="1" t="s">
        <v>11</v>
      </c>
      <c r="G607">
        <v>5</v>
      </c>
      <c r="H607">
        <v>5</v>
      </c>
      <c r="I607" s="2"/>
      <c r="J607" s="2">
        <v>45684</v>
      </c>
      <c r="K607" s="2">
        <v>45749</v>
      </c>
    </row>
    <row r="608" spans="1:11" x14ac:dyDescent="0.25">
      <c r="A608" s="1" t="s">
        <v>209</v>
      </c>
      <c r="B608" s="1" t="s">
        <v>995</v>
      </c>
      <c r="C608" s="1" t="s">
        <v>2013</v>
      </c>
      <c r="D608" s="1" t="s">
        <v>1998</v>
      </c>
      <c r="E608" s="1"/>
      <c r="F608" s="1" t="s">
        <v>11</v>
      </c>
      <c r="G608">
        <v>715</v>
      </c>
      <c r="H608">
        <v>710</v>
      </c>
      <c r="I608" s="2"/>
      <c r="J608" s="2">
        <v>45698</v>
      </c>
      <c r="K608" s="2">
        <v>45741</v>
      </c>
    </row>
    <row r="609" spans="1:11" x14ac:dyDescent="0.25">
      <c r="A609" s="1" t="s">
        <v>209</v>
      </c>
      <c r="B609" s="1" t="s">
        <v>1075</v>
      </c>
      <c r="C609" s="1" t="s">
        <v>2078</v>
      </c>
      <c r="D609" s="1" t="s">
        <v>1998</v>
      </c>
      <c r="E609" s="1"/>
      <c r="F609" s="1" t="s">
        <v>11</v>
      </c>
      <c r="G609">
        <v>210</v>
      </c>
      <c r="H609">
        <v>215</v>
      </c>
      <c r="I609" s="2"/>
      <c r="J609" s="2">
        <v>45698</v>
      </c>
      <c r="K609" s="2">
        <v>45741</v>
      </c>
    </row>
    <row r="610" spans="1:11" x14ac:dyDescent="0.25">
      <c r="A610" s="1" t="s">
        <v>209</v>
      </c>
      <c r="B610" s="1" t="s">
        <v>1052</v>
      </c>
      <c r="C610" s="1" t="s">
        <v>2061</v>
      </c>
      <c r="D610" s="1" t="s">
        <v>1998</v>
      </c>
      <c r="E610" s="1"/>
      <c r="F610" s="1" t="s">
        <v>11</v>
      </c>
      <c r="G610">
        <v>1945</v>
      </c>
      <c r="H610">
        <v>1935</v>
      </c>
      <c r="I610" s="2"/>
      <c r="J610" s="2">
        <v>45698</v>
      </c>
      <c r="K610" s="2">
        <v>45741</v>
      </c>
    </row>
    <row r="611" spans="1:11" x14ac:dyDescent="0.25">
      <c r="A611" s="1" t="s">
        <v>209</v>
      </c>
      <c r="B611" s="1" t="s">
        <v>999</v>
      </c>
      <c r="C611" s="1" t="s">
        <v>2168</v>
      </c>
      <c r="D611" s="1" t="s">
        <v>1998</v>
      </c>
      <c r="E611" s="1"/>
      <c r="F611" s="1" t="s">
        <v>11</v>
      </c>
      <c r="G611">
        <v>1</v>
      </c>
      <c r="H611">
        <v>1</v>
      </c>
      <c r="I611" s="2"/>
      <c r="J611" s="2">
        <v>45698</v>
      </c>
      <c r="K611" s="2">
        <v>45741</v>
      </c>
    </row>
    <row r="612" spans="1:11" x14ac:dyDescent="0.25">
      <c r="A612" s="1" t="s">
        <v>209</v>
      </c>
      <c r="B612" s="1" t="s">
        <v>1000</v>
      </c>
      <c r="C612" s="1" t="s">
        <v>2018</v>
      </c>
      <c r="D612" s="1" t="s">
        <v>1998</v>
      </c>
      <c r="E612" s="1"/>
      <c r="F612" s="1" t="s">
        <v>11</v>
      </c>
      <c r="G612">
        <v>10</v>
      </c>
      <c r="H612">
        <v>10</v>
      </c>
      <c r="I612" s="2"/>
      <c r="J612" s="2">
        <v>45698</v>
      </c>
      <c r="K612" s="2">
        <v>45741</v>
      </c>
    </row>
    <row r="613" spans="1:11" x14ac:dyDescent="0.25">
      <c r="A613" s="1" t="s">
        <v>209</v>
      </c>
      <c r="B613" s="1" t="s">
        <v>1001</v>
      </c>
      <c r="C613" s="1" t="s">
        <v>2019</v>
      </c>
      <c r="D613" s="1" t="s">
        <v>1998</v>
      </c>
      <c r="E613" s="1"/>
      <c r="F613" s="1" t="s">
        <v>11</v>
      </c>
      <c r="G613">
        <v>5</v>
      </c>
      <c r="H613">
        <v>5</v>
      </c>
      <c r="I613" s="2"/>
      <c r="J613" s="2">
        <v>45698</v>
      </c>
      <c r="K613" s="2">
        <v>45741</v>
      </c>
    </row>
    <row r="614" spans="1:11" x14ac:dyDescent="0.25">
      <c r="A614" s="1" t="s">
        <v>209</v>
      </c>
      <c r="B614" s="1" t="s">
        <v>1076</v>
      </c>
      <c r="C614" s="1" t="s">
        <v>2079</v>
      </c>
      <c r="D614" s="1" t="s">
        <v>1998</v>
      </c>
      <c r="E614" s="1"/>
      <c r="F614" s="1" t="s">
        <v>11</v>
      </c>
      <c r="G614">
        <v>5520</v>
      </c>
      <c r="H614">
        <v>5520</v>
      </c>
      <c r="I614" s="2"/>
      <c r="J614" s="2">
        <v>45698</v>
      </c>
      <c r="K614" s="2">
        <v>45741</v>
      </c>
    </row>
    <row r="615" spans="1:11" x14ac:dyDescent="0.25">
      <c r="A615" s="1" t="s">
        <v>209</v>
      </c>
      <c r="B615" s="1" t="s">
        <v>1077</v>
      </c>
      <c r="C615" s="1" t="s">
        <v>2080</v>
      </c>
      <c r="D615" s="1" t="s">
        <v>1998</v>
      </c>
      <c r="E615" s="1"/>
      <c r="F615" s="1" t="s">
        <v>11</v>
      </c>
      <c r="G615">
        <v>6395</v>
      </c>
      <c r="H615">
        <v>6395</v>
      </c>
      <c r="I615" s="2"/>
      <c r="J615" s="2">
        <v>45698</v>
      </c>
      <c r="K615" s="2">
        <v>45741</v>
      </c>
    </row>
    <row r="616" spans="1:11" x14ac:dyDescent="0.25">
      <c r="A616" s="1" t="s">
        <v>210</v>
      </c>
      <c r="B616" s="1" t="s">
        <v>995</v>
      </c>
      <c r="C616" s="1" t="s">
        <v>2013</v>
      </c>
      <c r="D616" s="1" t="s">
        <v>1998</v>
      </c>
      <c r="E616" s="1"/>
      <c r="F616" s="1" t="s">
        <v>11</v>
      </c>
      <c r="G616">
        <v>715</v>
      </c>
      <c r="H616">
        <v>690</v>
      </c>
      <c r="I616" s="2"/>
      <c r="J616" s="2">
        <v>45700</v>
      </c>
      <c r="K616" s="2">
        <v>45741</v>
      </c>
    </row>
    <row r="617" spans="1:11" x14ac:dyDescent="0.25">
      <c r="A617" s="1" t="s">
        <v>210</v>
      </c>
      <c r="B617" s="1" t="s">
        <v>1075</v>
      </c>
      <c r="C617" s="1" t="s">
        <v>2078</v>
      </c>
      <c r="D617" s="1" t="s">
        <v>1998</v>
      </c>
      <c r="E617" s="1"/>
      <c r="F617" s="1" t="s">
        <v>11</v>
      </c>
      <c r="G617">
        <v>210</v>
      </c>
      <c r="H617">
        <v>210</v>
      </c>
      <c r="I617" s="2"/>
      <c r="J617" s="2">
        <v>45700</v>
      </c>
      <c r="K617" s="2">
        <v>45741</v>
      </c>
    </row>
    <row r="618" spans="1:11" x14ac:dyDescent="0.25">
      <c r="A618" s="1" t="s">
        <v>210</v>
      </c>
      <c r="B618" s="1" t="s">
        <v>1052</v>
      </c>
      <c r="C618" s="1" t="s">
        <v>2061</v>
      </c>
      <c r="D618" s="1" t="s">
        <v>1998</v>
      </c>
      <c r="E618" s="1"/>
      <c r="F618" s="1" t="s">
        <v>11</v>
      </c>
      <c r="G618">
        <v>1945</v>
      </c>
      <c r="H618">
        <v>1945</v>
      </c>
      <c r="I618" s="2"/>
      <c r="J618" s="2">
        <v>45700</v>
      </c>
      <c r="K618" s="2">
        <v>45741</v>
      </c>
    </row>
    <row r="619" spans="1:11" x14ac:dyDescent="0.25">
      <c r="A619" s="1" t="s">
        <v>210</v>
      </c>
      <c r="B619" s="1" t="s">
        <v>999</v>
      </c>
      <c r="C619" s="1" t="s">
        <v>2168</v>
      </c>
      <c r="D619" s="1" t="s">
        <v>1998</v>
      </c>
      <c r="E619" s="1"/>
      <c r="F619" s="1" t="s">
        <v>11</v>
      </c>
      <c r="G619">
        <v>1</v>
      </c>
      <c r="H619">
        <v>1</v>
      </c>
      <c r="I619" s="2"/>
      <c r="J619" s="2">
        <v>45700</v>
      </c>
      <c r="K619" s="2">
        <v>45741</v>
      </c>
    </row>
    <row r="620" spans="1:11" x14ac:dyDescent="0.25">
      <c r="A620" s="1" t="s">
        <v>210</v>
      </c>
      <c r="B620" s="1" t="s">
        <v>1000</v>
      </c>
      <c r="C620" s="1" t="s">
        <v>2018</v>
      </c>
      <c r="D620" s="1" t="s">
        <v>1998</v>
      </c>
      <c r="E620" s="1"/>
      <c r="F620" s="1" t="s">
        <v>11</v>
      </c>
      <c r="G620">
        <v>10</v>
      </c>
      <c r="H620">
        <v>10</v>
      </c>
      <c r="I620" s="2"/>
      <c r="J620" s="2">
        <v>45700</v>
      </c>
      <c r="K620" s="2">
        <v>45741</v>
      </c>
    </row>
    <row r="621" spans="1:11" x14ac:dyDescent="0.25">
      <c r="A621" s="1" t="s">
        <v>210</v>
      </c>
      <c r="B621" s="1" t="s">
        <v>1001</v>
      </c>
      <c r="C621" s="1" t="s">
        <v>2019</v>
      </c>
      <c r="D621" s="1" t="s">
        <v>1998</v>
      </c>
      <c r="E621" s="1"/>
      <c r="F621" s="1" t="s">
        <v>11</v>
      </c>
      <c r="G621">
        <v>5</v>
      </c>
      <c r="H621">
        <v>5</v>
      </c>
      <c r="I621" s="2"/>
      <c r="J621" s="2">
        <v>45700</v>
      </c>
      <c r="K621" s="2">
        <v>45741</v>
      </c>
    </row>
    <row r="622" spans="1:11" x14ac:dyDescent="0.25">
      <c r="A622" s="1" t="s">
        <v>210</v>
      </c>
      <c r="B622" s="1" t="s">
        <v>1076</v>
      </c>
      <c r="C622" s="1" t="s">
        <v>2079</v>
      </c>
      <c r="D622" s="1" t="s">
        <v>1998</v>
      </c>
      <c r="E622" s="1"/>
      <c r="F622" s="1" t="s">
        <v>11</v>
      </c>
      <c r="G622">
        <v>5520</v>
      </c>
      <c r="H622">
        <v>5520</v>
      </c>
      <c r="I622" s="2"/>
      <c r="J622" s="2">
        <v>45700</v>
      </c>
      <c r="K622" s="2">
        <v>45741</v>
      </c>
    </row>
    <row r="623" spans="1:11" x14ac:dyDescent="0.25">
      <c r="A623" s="1" t="s">
        <v>210</v>
      </c>
      <c r="B623" s="1" t="s">
        <v>1077</v>
      </c>
      <c r="C623" s="1" t="s">
        <v>2080</v>
      </c>
      <c r="D623" s="1" t="s">
        <v>1998</v>
      </c>
      <c r="E623" s="1"/>
      <c r="F623" s="1" t="s">
        <v>11</v>
      </c>
      <c r="G623">
        <v>6395</v>
      </c>
      <c r="H623">
        <v>6395</v>
      </c>
      <c r="I623" s="2"/>
      <c r="J623" s="2">
        <v>45700</v>
      </c>
      <c r="K623" s="2">
        <v>45741</v>
      </c>
    </row>
    <row r="624" spans="1:11" x14ac:dyDescent="0.25">
      <c r="A624" s="1" t="s">
        <v>211</v>
      </c>
      <c r="B624" s="1" t="s">
        <v>995</v>
      </c>
      <c r="C624" s="1" t="s">
        <v>2013</v>
      </c>
      <c r="D624" s="1" t="s">
        <v>1998</v>
      </c>
      <c r="E624" s="1"/>
      <c r="F624" s="1" t="s">
        <v>11</v>
      </c>
      <c r="G624">
        <v>715</v>
      </c>
      <c r="H624">
        <v>505</v>
      </c>
      <c r="I624" s="2"/>
      <c r="J624" s="2">
        <v>45708</v>
      </c>
      <c r="K624" s="2">
        <v>45741</v>
      </c>
    </row>
    <row r="625" spans="1:11" x14ac:dyDescent="0.25">
      <c r="A625" s="1" t="s">
        <v>211</v>
      </c>
      <c r="B625" s="1" t="s">
        <v>1075</v>
      </c>
      <c r="C625" s="1" t="s">
        <v>2078</v>
      </c>
      <c r="D625" s="1" t="s">
        <v>1998</v>
      </c>
      <c r="E625" s="1"/>
      <c r="F625" s="1" t="s">
        <v>11</v>
      </c>
      <c r="G625">
        <v>210</v>
      </c>
      <c r="H625">
        <v>210</v>
      </c>
      <c r="I625" s="2"/>
      <c r="J625" s="2">
        <v>45708</v>
      </c>
      <c r="K625" s="2">
        <v>45741</v>
      </c>
    </row>
    <row r="626" spans="1:11" x14ac:dyDescent="0.25">
      <c r="A626" s="1" t="s">
        <v>211</v>
      </c>
      <c r="B626" s="1" t="s">
        <v>1052</v>
      </c>
      <c r="C626" s="1" t="s">
        <v>2061</v>
      </c>
      <c r="D626" s="1" t="s">
        <v>1998</v>
      </c>
      <c r="E626" s="1"/>
      <c r="F626" s="1" t="s">
        <v>11</v>
      </c>
      <c r="G626">
        <v>1945</v>
      </c>
      <c r="H626">
        <v>1955</v>
      </c>
      <c r="I626" s="2"/>
      <c r="J626" s="2">
        <v>45708</v>
      </c>
      <c r="K626" s="2">
        <v>45741</v>
      </c>
    </row>
    <row r="627" spans="1:11" x14ac:dyDescent="0.25">
      <c r="A627" s="1" t="s">
        <v>211</v>
      </c>
      <c r="B627" s="1" t="s">
        <v>999</v>
      </c>
      <c r="C627" s="1" t="s">
        <v>2168</v>
      </c>
      <c r="D627" s="1" t="s">
        <v>1998</v>
      </c>
      <c r="E627" s="1"/>
      <c r="F627" s="1" t="s">
        <v>11</v>
      </c>
      <c r="G627">
        <v>1</v>
      </c>
      <c r="H627">
        <v>1</v>
      </c>
      <c r="I627" s="2"/>
      <c r="J627" s="2">
        <v>45708</v>
      </c>
      <c r="K627" s="2">
        <v>45741</v>
      </c>
    </row>
    <row r="628" spans="1:11" x14ac:dyDescent="0.25">
      <c r="A628" s="1" t="s">
        <v>211</v>
      </c>
      <c r="B628" s="1" t="s">
        <v>1000</v>
      </c>
      <c r="C628" s="1" t="s">
        <v>2018</v>
      </c>
      <c r="D628" s="1" t="s">
        <v>1998</v>
      </c>
      <c r="E628" s="1"/>
      <c r="F628" s="1" t="s">
        <v>11</v>
      </c>
      <c r="G628">
        <v>10</v>
      </c>
      <c r="H628">
        <v>10</v>
      </c>
      <c r="I628" s="2"/>
      <c r="J628" s="2">
        <v>45708</v>
      </c>
      <c r="K628" s="2">
        <v>45741</v>
      </c>
    </row>
    <row r="629" spans="1:11" x14ac:dyDescent="0.25">
      <c r="A629" s="1" t="s">
        <v>211</v>
      </c>
      <c r="B629" s="1" t="s">
        <v>1001</v>
      </c>
      <c r="C629" s="1" t="s">
        <v>2019</v>
      </c>
      <c r="D629" s="1" t="s">
        <v>1998</v>
      </c>
      <c r="E629" s="1"/>
      <c r="F629" s="1" t="s">
        <v>11</v>
      </c>
      <c r="G629">
        <v>5</v>
      </c>
      <c r="H629">
        <v>5</v>
      </c>
      <c r="I629" s="2"/>
      <c r="J629" s="2">
        <v>45708</v>
      </c>
      <c r="K629" s="2">
        <v>45741</v>
      </c>
    </row>
    <row r="630" spans="1:11" x14ac:dyDescent="0.25">
      <c r="A630" s="1" t="s">
        <v>211</v>
      </c>
      <c r="B630" s="1" t="s">
        <v>1076</v>
      </c>
      <c r="C630" s="1" t="s">
        <v>2079</v>
      </c>
      <c r="D630" s="1" t="s">
        <v>1998</v>
      </c>
      <c r="E630" s="1"/>
      <c r="F630" s="1" t="s">
        <v>11</v>
      </c>
      <c r="G630">
        <v>5520</v>
      </c>
      <c r="H630">
        <v>5520</v>
      </c>
      <c r="I630" s="2"/>
      <c r="J630" s="2">
        <v>45708</v>
      </c>
      <c r="K630" s="2">
        <v>45741</v>
      </c>
    </row>
    <row r="631" spans="1:11" x14ac:dyDescent="0.25">
      <c r="A631" s="1" t="s">
        <v>211</v>
      </c>
      <c r="B631" s="1" t="s">
        <v>1077</v>
      </c>
      <c r="C631" s="1" t="s">
        <v>2080</v>
      </c>
      <c r="D631" s="1" t="s">
        <v>1998</v>
      </c>
      <c r="E631" s="1"/>
      <c r="F631" s="1" t="s">
        <v>11</v>
      </c>
      <c r="G631">
        <v>6395</v>
      </c>
      <c r="H631">
        <v>6395</v>
      </c>
      <c r="I631" s="2"/>
      <c r="J631" s="2">
        <v>45708</v>
      </c>
      <c r="K631" s="2">
        <v>45741</v>
      </c>
    </row>
    <row r="632" spans="1:11" x14ac:dyDescent="0.25">
      <c r="A632" s="1" t="s">
        <v>212</v>
      </c>
      <c r="B632" s="1" t="s">
        <v>1223</v>
      </c>
      <c r="C632" s="1" t="s">
        <v>2207</v>
      </c>
      <c r="D632" s="1" t="s">
        <v>1998</v>
      </c>
      <c r="E632" s="1"/>
      <c r="F632" s="1" t="s">
        <v>11</v>
      </c>
      <c r="G632">
        <v>195</v>
      </c>
      <c r="H632">
        <v>195</v>
      </c>
      <c r="I632" s="2"/>
      <c r="J632" s="2">
        <v>45684</v>
      </c>
      <c r="K632" s="2">
        <v>45779</v>
      </c>
    </row>
    <row r="633" spans="1:11" x14ac:dyDescent="0.25">
      <c r="A633" s="1" t="s">
        <v>212</v>
      </c>
      <c r="B633" s="1" t="s">
        <v>1224</v>
      </c>
      <c r="C633" s="1" t="s">
        <v>2208</v>
      </c>
      <c r="D633" s="1" t="s">
        <v>1998</v>
      </c>
      <c r="E633" s="1"/>
      <c r="F633" s="1" t="s">
        <v>11</v>
      </c>
      <c r="G633">
        <v>2845</v>
      </c>
      <c r="H633">
        <v>2845</v>
      </c>
      <c r="I633" s="2"/>
      <c r="J633" s="2">
        <v>45684</v>
      </c>
      <c r="K633" s="2">
        <v>45779</v>
      </c>
    </row>
    <row r="634" spans="1:11" x14ac:dyDescent="0.25">
      <c r="A634" s="1" t="s">
        <v>212</v>
      </c>
      <c r="B634" s="1" t="s">
        <v>1225</v>
      </c>
      <c r="C634" s="1" t="s">
        <v>2209</v>
      </c>
      <c r="D634" s="1" t="s">
        <v>1998</v>
      </c>
      <c r="E634" s="1"/>
      <c r="F634" s="1" t="s">
        <v>11</v>
      </c>
      <c r="G634">
        <v>2155</v>
      </c>
      <c r="H634">
        <v>2155</v>
      </c>
      <c r="I634" s="2"/>
      <c r="J634" s="2">
        <v>45684</v>
      </c>
      <c r="K634" s="2">
        <v>45779</v>
      </c>
    </row>
    <row r="635" spans="1:11" x14ac:dyDescent="0.25">
      <c r="A635" s="1" t="s">
        <v>213</v>
      </c>
      <c r="B635" s="1" t="s">
        <v>1226</v>
      </c>
      <c r="C635" s="1" t="s">
        <v>2210</v>
      </c>
      <c r="D635" s="1" t="s">
        <v>1998</v>
      </c>
      <c r="E635" s="1"/>
      <c r="F635" s="1" t="s">
        <v>12</v>
      </c>
      <c r="G635">
        <v>1</v>
      </c>
      <c r="H635">
        <v>5</v>
      </c>
      <c r="I635" s="2"/>
      <c r="J635" s="2">
        <v>45687</v>
      </c>
      <c r="K635" s="2">
        <v>45755</v>
      </c>
    </row>
    <row r="636" spans="1:11" x14ac:dyDescent="0.25">
      <c r="A636" s="1" t="s">
        <v>213</v>
      </c>
      <c r="B636" s="1" t="s">
        <v>1227</v>
      </c>
      <c r="C636" s="1" t="s">
        <v>2211</v>
      </c>
      <c r="D636" s="1" t="s">
        <v>1998</v>
      </c>
      <c r="E636" s="1"/>
      <c r="F636" s="1" t="s">
        <v>12</v>
      </c>
      <c r="G636">
        <v>1</v>
      </c>
      <c r="H636">
        <v>1</v>
      </c>
      <c r="I636" s="2"/>
      <c r="J636" s="2">
        <v>45687</v>
      </c>
      <c r="K636" s="2">
        <v>45755</v>
      </c>
    </row>
    <row r="637" spans="1:11" x14ac:dyDescent="0.25">
      <c r="A637" s="1" t="s">
        <v>213</v>
      </c>
      <c r="B637" s="1" t="s">
        <v>1228</v>
      </c>
      <c r="C637" s="1" t="s">
        <v>2212</v>
      </c>
      <c r="D637" s="1" t="s">
        <v>1998</v>
      </c>
      <c r="E637" s="1"/>
      <c r="F637" s="1" t="s">
        <v>12</v>
      </c>
      <c r="G637">
        <v>1</v>
      </c>
      <c r="H637">
        <v>1</v>
      </c>
      <c r="I637" s="2"/>
      <c r="J637" s="2">
        <v>45687</v>
      </c>
      <c r="K637" s="2">
        <v>45755</v>
      </c>
    </row>
    <row r="638" spans="1:11" x14ac:dyDescent="0.25">
      <c r="A638" s="1" t="s">
        <v>213</v>
      </c>
      <c r="B638" s="1" t="s">
        <v>1229</v>
      </c>
      <c r="C638" s="1" t="s">
        <v>2213</v>
      </c>
      <c r="D638" s="1" t="s">
        <v>1998</v>
      </c>
      <c r="E638" s="1"/>
      <c r="F638" s="1" t="s">
        <v>12</v>
      </c>
      <c r="G638">
        <v>1</v>
      </c>
      <c r="H638">
        <v>5</v>
      </c>
      <c r="I638" s="2"/>
      <c r="J638" s="2">
        <v>45687</v>
      </c>
      <c r="K638" s="2">
        <v>45755</v>
      </c>
    </row>
    <row r="639" spans="1:11" x14ac:dyDescent="0.25">
      <c r="A639" s="1" t="s">
        <v>213</v>
      </c>
      <c r="B639" s="1" t="s">
        <v>1230</v>
      </c>
      <c r="C639" s="1" t="s">
        <v>2214</v>
      </c>
      <c r="D639" s="1" t="s">
        <v>1998</v>
      </c>
      <c r="E639" s="1"/>
      <c r="F639" s="1" t="s">
        <v>12</v>
      </c>
      <c r="G639">
        <v>1</v>
      </c>
      <c r="H639">
        <v>1</v>
      </c>
      <c r="I639" s="2"/>
      <c r="J639" s="2">
        <v>45687</v>
      </c>
      <c r="K639" s="2">
        <v>45755</v>
      </c>
    </row>
    <row r="640" spans="1:11" x14ac:dyDescent="0.25">
      <c r="A640" s="1" t="s">
        <v>213</v>
      </c>
      <c r="B640" s="1" t="s">
        <v>1231</v>
      </c>
      <c r="C640" s="1" t="s">
        <v>2215</v>
      </c>
      <c r="D640" s="1" t="s">
        <v>1998</v>
      </c>
      <c r="E640" s="1"/>
      <c r="F640" s="1" t="s">
        <v>12</v>
      </c>
      <c r="G640">
        <v>1</v>
      </c>
      <c r="H640">
        <v>1</v>
      </c>
      <c r="I640" s="2"/>
      <c r="J640" s="2">
        <v>45687</v>
      </c>
      <c r="K640" s="2">
        <v>45755</v>
      </c>
    </row>
    <row r="641" spans="1:11" x14ac:dyDescent="0.25">
      <c r="A641" s="1" t="s">
        <v>213</v>
      </c>
      <c r="B641" s="1" t="s">
        <v>1232</v>
      </c>
      <c r="C641" s="1" t="s">
        <v>2216</v>
      </c>
      <c r="D641" s="1" t="s">
        <v>1998</v>
      </c>
      <c r="E641" s="1"/>
      <c r="F641" s="1" t="s">
        <v>12</v>
      </c>
      <c r="G641">
        <v>1</v>
      </c>
      <c r="H641">
        <v>1</v>
      </c>
      <c r="I641" s="2"/>
      <c r="J641" s="2">
        <v>45687</v>
      </c>
      <c r="K641" s="2">
        <v>45755</v>
      </c>
    </row>
    <row r="642" spans="1:11" x14ac:dyDescent="0.25">
      <c r="A642" s="1" t="s">
        <v>213</v>
      </c>
      <c r="B642" s="1" t="s">
        <v>1233</v>
      </c>
      <c r="C642" s="1" t="s">
        <v>2217</v>
      </c>
      <c r="D642" s="1" t="s">
        <v>1998</v>
      </c>
      <c r="E642" s="1"/>
      <c r="F642" s="1" t="s">
        <v>12</v>
      </c>
      <c r="G642">
        <v>1</v>
      </c>
      <c r="H642">
        <v>1</v>
      </c>
      <c r="I642" s="2"/>
      <c r="J642" s="2">
        <v>45687</v>
      </c>
      <c r="K642" s="2">
        <v>45755</v>
      </c>
    </row>
    <row r="643" spans="1:11" x14ac:dyDescent="0.25">
      <c r="A643" s="1" t="s">
        <v>213</v>
      </c>
      <c r="B643" s="1" t="s">
        <v>1234</v>
      </c>
      <c r="C643" s="1" t="s">
        <v>2218</v>
      </c>
      <c r="D643" s="1" t="s">
        <v>1998</v>
      </c>
      <c r="E643" s="1"/>
      <c r="F643" s="1" t="s">
        <v>12</v>
      </c>
      <c r="G643">
        <v>1</v>
      </c>
      <c r="H643">
        <v>1</v>
      </c>
      <c r="I643" s="2"/>
      <c r="J643" s="2">
        <v>45687</v>
      </c>
      <c r="K643" s="2">
        <v>45755</v>
      </c>
    </row>
    <row r="644" spans="1:11" x14ac:dyDescent="0.25">
      <c r="A644" s="1" t="s">
        <v>213</v>
      </c>
      <c r="B644" s="1" t="s">
        <v>1235</v>
      </c>
      <c r="C644" s="1" t="s">
        <v>2219</v>
      </c>
      <c r="D644" s="1" t="s">
        <v>1998</v>
      </c>
      <c r="E644" s="1"/>
      <c r="F644" s="1" t="s">
        <v>12</v>
      </c>
      <c r="G644">
        <v>1</v>
      </c>
      <c r="H644">
        <v>1</v>
      </c>
      <c r="I644" s="2"/>
      <c r="J644" s="2">
        <v>45687</v>
      </c>
      <c r="K644" s="2">
        <v>45755</v>
      </c>
    </row>
    <row r="645" spans="1:11" x14ac:dyDescent="0.25">
      <c r="A645" s="1" t="s">
        <v>213</v>
      </c>
      <c r="B645" s="1" t="s">
        <v>1236</v>
      </c>
      <c r="C645" s="1" t="s">
        <v>2220</v>
      </c>
      <c r="D645" s="1" t="s">
        <v>1998</v>
      </c>
      <c r="E645" s="1"/>
      <c r="F645" s="1" t="s">
        <v>12</v>
      </c>
      <c r="G645">
        <v>1</v>
      </c>
      <c r="H645">
        <v>1</v>
      </c>
      <c r="I645" s="2"/>
      <c r="J645" s="2">
        <v>45687</v>
      </c>
      <c r="K645" s="2">
        <v>45755</v>
      </c>
    </row>
    <row r="646" spans="1:11" x14ac:dyDescent="0.25">
      <c r="A646" s="1" t="s">
        <v>214</v>
      </c>
      <c r="B646" s="1" t="s">
        <v>1237</v>
      </c>
      <c r="C646" s="1" t="s">
        <v>2221</v>
      </c>
      <c r="D646" s="1" t="s">
        <v>1998</v>
      </c>
      <c r="E646" s="1"/>
      <c r="F646" s="1" t="s">
        <v>11</v>
      </c>
      <c r="G646">
        <v>655</v>
      </c>
      <c r="H646" t="e">
        <v>#NUM!</v>
      </c>
      <c r="I646" s="2"/>
      <c r="J646" s="2">
        <v>45685</v>
      </c>
      <c r="K646" s="2">
        <v>45762</v>
      </c>
    </row>
    <row r="647" spans="1:11" x14ac:dyDescent="0.25">
      <c r="A647" s="1" t="s">
        <v>214</v>
      </c>
      <c r="B647" s="1" t="s">
        <v>1238</v>
      </c>
      <c r="C647" s="1" t="s">
        <v>2222</v>
      </c>
      <c r="D647" s="1" t="s">
        <v>1998</v>
      </c>
      <c r="E647" s="1"/>
      <c r="F647" s="1" t="s">
        <v>11</v>
      </c>
      <c r="G647">
        <v>45</v>
      </c>
      <c r="H647">
        <v>45</v>
      </c>
      <c r="I647" s="2"/>
      <c r="J647" s="2">
        <v>45685</v>
      </c>
      <c r="K647" s="2">
        <v>45762</v>
      </c>
    </row>
    <row r="648" spans="1:11" x14ac:dyDescent="0.25">
      <c r="A648" s="1" t="s">
        <v>214</v>
      </c>
      <c r="B648" s="1" t="s">
        <v>1239</v>
      </c>
      <c r="C648" s="1" t="s">
        <v>2223</v>
      </c>
      <c r="D648" s="1" t="s">
        <v>1998</v>
      </c>
      <c r="E648" s="1"/>
      <c r="F648" s="1" t="s">
        <v>11</v>
      </c>
      <c r="G648">
        <v>680</v>
      </c>
      <c r="H648">
        <v>2355</v>
      </c>
      <c r="I648" s="2"/>
      <c r="J648" s="2">
        <v>45685</v>
      </c>
      <c r="K648" s="2">
        <v>45762</v>
      </c>
    </row>
    <row r="649" spans="1:11" x14ac:dyDescent="0.25">
      <c r="A649" s="1" t="s">
        <v>215</v>
      </c>
      <c r="B649" s="1" t="s">
        <v>1240</v>
      </c>
      <c r="C649" s="1" t="s">
        <v>2115</v>
      </c>
      <c r="D649" s="1" t="s">
        <v>1998</v>
      </c>
      <c r="E649" s="1"/>
      <c r="F649" s="1" t="s">
        <v>11</v>
      </c>
      <c r="G649">
        <v>12720</v>
      </c>
      <c r="H649">
        <v>12720</v>
      </c>
      <c r="I649" s="2"/>
      <c r="J649" s="2">
        <v>45686</v>
      </c>
      <c r="K649" s="2">
        <v>45734</v>
      </c>
    </row>
    <row r="650" spans="1:11" x14ac:dyDescent="0.25">
      <c r="A650" s="1" t="s">
        <v>215</v>
      </c>
      <c r="B650" s="1" t="s">
        <v>1241</v>
      </c>
      <c r="C650" s="1" t="s">
        <v>2115</v>
      </c>
      <c r="D650" s="1" t="s">
        <v>1998</v>
      </c>
      <c r="E650" s="1"/>
      <c r="F650" s="1" t="s">
        <v>11</v>
      </c>
      <c r="G650">
        <v>2190</v>
      </c>
      <c r="H650">
        <v>2190</v>
      </c>
      <c r="I650" s="2"/>
      <c r="J650" s="2">
        <v>45686</v>
      </c>
      <c r="K650" s="2">
        <v>45734</v>
      </c>
    </row>
    <row r="651" spans="1:11" x14ac:dyDescent="0.25">
      <c r="A651" s="1" t="s">
        <v>216</v>
      </c>
      <c r="B651" s="1" t="s">
        <v>995</v>
      </c>
      <c r="C651" s="1" t="s">
        <v>2013</v>
      </c>
      <c r="D651" s="1" t="s">
        <v>1998</v>
      </c>
      <c r="E651" s="1"/>
      <c r="F651" s="1" t="s">
        <v>11</v>
      </c>
      <c r="G651">
        <v>80</v>
      </c>
      <c r="H651">
        <v>5</v>
      </c>
      <c r="I651" s="2"/>
      <c r="J651" s="2">
        <v>45686</v>
      </c>
      <c r="K651" s="2">
        <v>45777</v>
      </c>
    </row>
    <row r="652" spans="1:11" x14ac:dyDescent="0.25">
      <c r="A652" s="1" t="s">
        <v>216</v>
      </c>
      <c r="B652" s="1" t="s">
        <v>1242</v>
      </c>
      <c r="C652" s="1" t="s">
        <v>2224</v>
      </c>
      <c r="D652" s="1" t="s">
        <v>1998</v>
      </c>
      <c r="E652" s="1"/>
      <c r="F652" s="1" t="s">
        <v>11</v>
      </c>
      <c r="G652">
        <v>2845</v>
      </c>
      <c r="H652">
        <v>2845</v>
      </c>
      <c r="I652" s="2"/>
      <c r="J652" s="2">
        <v>45686</v>
      </c>
      <c r="K652" s="2">
        <v>45777</v>
      </c>
    </row>
    <row r="653" spans="1:11" x14ac:dyDescent="0.25">
      <c r="A653" s="1" t="s">
        <v>216</v>
      </c>
      <c r="B653" s="1" t="s">
        <v>1243</v>
      </c>
      <c r="C653" s="1" t="s">
        <v>2225</v>
      </c>
      <c r="D653" s="1" t="s">
        <v>1998</v>
      </c>
      <c r="E653" s="1"/>
      <c r="F653" s="1" t="s">
        <v>11</v>
      </c>
      <c r="G653">
        <v>3180</v>
      </c>
      <c r="H653">
        <v>3180</v>
      </c>
      <c r="I653" s="2"/>
      <c r="J653" s="2">
        <v>45686</v>
      </c>
      <c r="K653" s="2">
        <v>45777</v>
      </c>
    </row>
    <row r="654" spans="1:11" x14ac:dyDescent="0.25">
      <c r="A654" s="1" t="s">
        <v>216</v>
      </c>
      <c r="B654" s="1" t="s">
        <v>1244</v>
      </c>
      <c r="C654" s="1" t="s">
        <v>2226</v>
      </c>
      <c r="D654" s="1" t="s">
        <v>1998</v>
      </c>
      <c r="E654" s="1"/>
      <c r="F654" s="1" t="s">
        <v>11</v>
      </c>
      <c r="G654">
        <v>50</v>
      </c>
      <c r="H654">
        <v>50</v>
      </c>
      <c r="I654" s="2"/>
      <c r="J654" s="2">
        <v>45686</v>
      </c>
      <c r="K654" s="2">
        <v>45777</v>
      </c>
    </row>
    <row r="655" spans="1:11" x14ac:dyDescent="0.25">
      <c r="A655" s="1" t="s">
        <v>216</v>
      </c>
      <c r="B655" s="1" t="s">
        <v>1245</v>
      </c>
      <c r="C655" s="1" t="s">
        <v>2227</v>
      </c>
      <c r="D655" s="1" t="s">
        <v>1998</v>
      </c>
      <c r="E655" s="1"/>
      <c r="F655" s="1" t="s">
        <v>11</v>
      </c>
      <c r="G655">
        <v>210</v>
      </c>
      <c r="H655">
        <v>245</v>
      </c>
      <c r="I655" s="2"/>
      <c r="J655" s="2">
        <v>45686</v>
      </c>
      <c r="K655" s="2">
        <v>45777</v>
      </c>
    </row>
    <row r="656" spans="1:11" x14ac:dyDescent="0.25">
      <c r="A656" s="1" t="s">
        <v>216</v>
      </c>
      <c r="B656" s="1" t="s">
        <v>999</v>
      </c>
      <c r="C656" s="1" t="s">
        <v>2168</v>
      </c>
      <c r="D656" s="1" t="s">
        <v>1998</v>
      </c>
      <c r="E656" s="1"/>
      <c r="F656" s="1" t="s">
        <v>11</v>
      </c>
      <c r="G656">
        <v>1</v>
      </c>
      <c r="H656">
        <v>1</v>
      </c>
      <c r="I656" s="2"/>
      <c r="J656" s="2">
        <v>45686</v>
      </c>
      <c r="K656" s="2">
        <v>45777</v>
      </c>
    </row>
    <row r="657" spans="1:11" x14ac:dyDescent="0.25">
      <c r="A657" s="1" t="s">
        <v>216</v>
      </c>
      <c r="B657" s="1" t="s">
        <v>1000</v>
      </c>
      <c r="C657" s="1" t="s">
        <v>2018</v>
      </c>
      <c r="D657" s="1" t="s">
        <v>1998</v>
      </c>
      <c r="E657" s="1"/>
      <c r="F657" s="1" t="s">
        <v>11</v>
      </c>
      <c r="G657">
        <v>1</v>
      </c>
      <c r="H657">
        <v>1</v>
      </c>
      <c r="I657" s="2"/>
      <c r="J657" s="2">
        <v>45686</v>
      </c>
      <c r="K657" s="2">
        <v>45777</v>
      </c>
    </row>
    <row r="658" spans="1:11" x14ac:dyDescent="0.25">
      <c r="A658" s="1" t="s">
        <v>216</v>
      </c>
      <c r="B658" s="1" t="s">
        <v>1001</v>
      </c>
      <c r="C658" s="1" t="s">
        <v>2019</v>
      </c>
      <c r="D658" s="1" t="s">
        <v>1998</v>
      </c>
      <c r="E658" s="1"/>
      <c r="F658" s="1" t="s">
        <v>11</v>
      </c>
      <c r="G658">
        <v>1</v>
      </c>
      <c r="H658">
        <v>1</v>
      </c>
      <c r="I658" s="2"/>
      <c r="J658" s="2">
        <v>45686</v>
      </c>
      <c r="K658" s="2">
        <v>45777</v>
      </c>
    </row>
    <row r="659" spans="1:11" x14ac:dyDescent="0.25">
      <c r="A659" s="1" t="s">
        <v>217</v>
      </c>
      <c r="B659" s="1" t="s">
        <v>1041</v>
      </c>
      <c r="C659" s="1" t="s">
        <v>2051</v>
      </c>
      <c r="D659" s="1" t="s">
        <v>1998</v>
      </c>
      <c r="E659" s="1"/>
      <c r="F659" s="1" t="s">
        <v>11</v>
      </c>
      <c r="G659">
        <v>120</v>
      </c>
      <c r="H659">
        <v>120</v>
      </c>
      <c r="I659" s="2"/>
      <c r="J659" s="2">
        <v>45687</v>
      </c>
      <c r="K659" s="2">
        <v>45775</v>
      </c>
    </row>
    <row r="660" spans="1:11" x14ac:dyDescent="0.25">
      <c r="A660" s="1" t="s">
        <v>217</v>
      </c>
      <c r="B660" s="1" t="s">
        <v>1042</v>
      </c>
      <c r="C660" s="1" t="s">
        <v>2052</v>
      </c>
      <c r="D660" s="1" t="s">
        <v>1998</v>
      </c>
      <c r="E660" s="1"/>
      <c r="F660" s="1" t="s">
        <v>11</v>
      </c>
      <c r="G660">
        <v>1895</v>
      </c>
      <c r="H660">
        <v>1895</v>
      </c>
      <c r="I660" s="2"/>
      <c r="J660" s="2">
        <v>45687</v>
      </c>
      <c r="K660" s="2">
        <v>45775</v>
      </c>
    </row>
    <row r="661" spans="1:11" x14ac:dyDescent="0.25">
      <c r="A661" s="1" t="s">
        <v>217</v>
      </c>
      <c r="B661" s="1" t="s">
        <v>1043</v>
      </c>
      <c r="C661" s="1" t="s">
        <v>2053</v>
      </c>
      <c r="D661" s="1" t="s">
        <v>1998</v>
      </c>
      <c r="E661" s="1"/>
      <c r="F661" s="1" t="s">
        <v>11</v>
      </c>
      <c r="G661">
        <v>1890</v>
      </c>
      <c r="H661">
        <v>1890</v>
      </c>
      <c r="I661" s="2"/>
      <c r="J661" s="2">
        <v>45687</v>
      </c>
      <c r="K661" s="2">
        <v>45775</v>
      </c>
    </row>
    <row r="662" spans="1:11" x14ac:dyDescent="0.25">
      <c r="A662" s="1" t="s">
        <v>217</v>
      </c>
      <c r="B662" s="1" t="s">
        <v>1044</v>
      </c>
      <c r="C662" s="1" t="s">
        <v>2027</v>
      </c>
      <c r="D662" s="1" t="s">
        <v>1998</v>
      </c>
      <c r="E662" s="1"/>
      <c r="F662" s="1" t="s">
        <v>11</v>
      </c>
      <c r="G662">
        <v>1320</v>
      </c>
      <c r="H662">
        <v>1320</v>
      </c>
      <c r="I662" s="2"/>
      <c r="J662" s="2">
        <v>45687</v>
      </c>
      <c r="K662" s="2">
        <v>45775</v>
      </c>
    </row>
    <row r="663" spans="1:11" x14ac:dyDescent="0.25">
      <c r="A663" s="1" t="s">
        <v>217</v>
      </c>
      <c r="B663" s="1" t="s">
        <v>1045</v>
      </c>
      <c r="C663" s="1" t="s">
        <v>2054</v>
      </c>
      <c r="D663" s="1" t="s">
        <v>1998</v>
      </c>
      <c r="E663" s="1"/>
      <c r="F663" s="1" t="s">
        <v>11</v>
      </c>
      <c r="G663">
        <v>1285</v>
      </c>
      <c r="H663">
        <v>1380</v>
      </c>
      <c r="I663" s="2"/>
      <c r="J663" s="2">
        <v>45687</v>
      </c>
      <c r="K663" s="2">
        <v>45775</v>
      </c>
    </row>
    <row r="664" spans="1:11" x14ac:dyDescent="0.25">
      <c r="A664" s="1" t="s">
        <v>217</v>
      </c>
      <c r="B664" s="1" t="s">
        <v>1012</v>
      </c>
      <c r="C664" s="1" t="s">
        <v>2029</v>
      </c>
      <c r="D664" s="1" t="s">
        <v>1998</v>
      </c>
      <c r="E664" s="1"/>
      <c r="F664" s="1" t="s">
        <v>11</v>
      </c>
      <c r="G664">
        <v>160</v>
      </c>
      <c r="H664">
        <v>335</v>
      </c>
      <c r="I664" s="2"/>
      <c r="J664" s="2">
        <v>45687</v>
      </c>
      <c r="K664" s="2">
        <v>45775</v>
      </c>
    </row>
    <row r="665" spans="1:11" x14ac:dyDescent="0.25">
      <c r="A665" s="1" t="s">
        <v>217</v>
      </c>
      <c r="B665" s="1" t="s">
        <v>1046</v>
      </c>
      <c r="C665" s="1" t="s">
        <v>2055</v>
      </c>
      <c r="D665" s="1" t="s">
        <v>1998</v>
      </c>
      <c r="E665" s="1"/>
      <c r="F665" s="1" t="s">
        <v>11</v>
      </c>
      <c r="G665">
        <v>15</v>
      </c>
      <c r="H665">
        <v>15</v>
      </c>
      <c r="I665" s="2"/>
      <c r="J665" s="2">
        <v>45687</v>
      </c>
      <c r="K665" s="2">
        <v>45775</v>
      </c>
    </row>
    <row r="666" spans="1:11" x14ac:dyDescent="0.25">
      <c r="A666" s="1" t="s">
        <v>217</v>
      </c>
      <c r="B666" s="1" t="s">
        <v>1013</v>
      </c>
      <c r="C666" s="1" t="s">
        <v>2030</v>
      </c>
      <c r="D666" s="1" t="s">
        <v>1998</v>
      </c>
      <c r="E666" s="1"/>
      <c r="F666" s="1" t="s">
        <v>11</v>
      </c>
      <c r="G666">
        <v>115</v>
      </c>
      <c r="H666">
        <v>230</v>
      </c>
      <c r="I666" s="2"/>
      <c r="J666" s="2">
        <v>45687</v>
      </c>
      <c r="K666" s="2">
        <v>45775</v>
      </c>
    </row>
    <row r="667" spans="1:11" x14ac:dyDescent="0.25">
      <c r="A667" s="1" t="s">
        <v>217</v>
      </c>
      <c r="B667" s="1" t="s">
        <v>993</v>
      </c>
      <c r="C667" s="1" t="s">
        <v>2011</v>
      </c>
      <c r="D667" s="1" t="s">
        <v>1998</v>
      </c>
      <c r="E667" s="1"/>
      <c r="F667" s="1" t="s">
        <v>11</v>
      </c>
      <c r="G667">
        <v>40</v>
      </c>
      <c r="H667">
        <v>40</v>
      </c>
      <c r="I667" s="2"/>
      <c r="J667" s="2">
        <v>45687</v>
      </c>
      <c r="K667" s="2">
        <v>45775</v>
      </c>
    </row>
    <row r="668" spans="1:11" x14ac:dyDescent="0.25">
      <c r="A668" s="1" t="s">
        <v>218</v>
      </c>
      <c r="B668" s="1" t="s">
        <v>1246</v>
      </c>
      <c r="C668" s="1" t="s">
        <v>2228</v>
      </c>
      <c r="D668" s="1" t="s">
        <v>1998</v>
      </c>
      <c r="E668" s="1"/>
      <c r="F668" s="1" t="s">
        <v>11</v>
      </c>
      <c r="G668">
        <v>1540</v>
      </c>
      <c r="H668">
        <v>1480</v>
      </c>
      <c r="I668" s="2"/>
      <c r="J668" s="2">
        <v>45719</v>
      </c>
      <c r="K668" s="2">
        <v>45741</v>
      </c>
    </row>
    <row r="669" spans="1:11" x14ac:dyDescent="0.25">
      <c r="A669" s="1" t="s">
        <v>218</v>
      </c>
      <c r="B669" s="1" t="s">
        <v>1246</v>
      </c>
      <c r="C669" s="1" t="s">
        <v>2228</v>
      </c>
      <c r="D669" s="1" t="s">
        <v>1998</v>
      </c>
      <c r="E669" s="1"/>
      <c r="F669" s="1" t="s">
        <v>12</v>
      </c>
      <c r="G669">
        <v>1</v>
      </c>
      <c r="H669">
        <v>50</v>
      </c>
      <c r="I669" s="2"/>
      <c r="J669" s="2">
        <v>45719</v>
      </c>
      <c r="K669" s="2">
        <v>45741</v>
      </c>
    </row>
    <row r="670" spans="1:11" x14ac:dyDescent="0.25">
      <c r="A670" s="1" t="s">
        <v>218</v>
      </c>
      <c r="B670" s="1" t="s">
        <v>1247</v>
      </c>
      <c r="C670" s="1" t="s">
        <v>2229</v>
      </c>
      <c r="D670" s="1" t="s">
        <v>1998</v>
      </c>
      <c r="E670" s="1"/>
      <c r="F670" s="1" t="s">
        <v>11</v>
      </c>
      <c r="G670">
        <v>195</v>
      </c>
      <c r="H670">
        <v>310</v>
      </c>
      <c r="I670" s="2"/>
      <c r="J670" s="2">
        <v>45719</v>
      </c>
      <c r="K670" s="2">
        <v>45741</v>
      </c>
    </row>
    <row r="671" spans="1:11" x14ac:dyDescent="0.25">
      <c r="A671" s="1" t="s">
        <v>218</v>
      </c>
      <c r="B671" s="1" t="s">
        <v>1206</v>
      </c>
      <c r="C671" s="1" t="s">
        <v>2196</v>
      </c>
      <c r="D671" s="1" t="s">
        <v>1998</v>
      </c>
      <c r="E671" s="1"/>
      <c r="F671" s="1" t="s">
        <v>11</v>
      </c>
      <c r="G671">
        <v>5</v>
      </c>
      <c r="H671">
        <v>5</v>
      </c>
      <c r="I671" s="2"/>
      <c r="J671" s="2">
        <v>45719</v>
      </c>
      <c r="K671" s="2">
        <v>45741</v>
      </c>
    </row>
    <row r="672" spans="1:11" x14ac:dyDescent="0.25">
      <c r="A672" s="1" t="s">
        <v>218</v>
      </c>
      <c r="B672" s="1" t="s">
        <v>1248</v>
      </c>
      <c r="C672" s="1" t="s">
        <v>2230</v>
      </c>
      <c r="D672" s="1" t="s">
        <v>1998</v>
      </c>
      <c r="E672" s="1"/>
      <c r="F672" s="1" t="s">
        <v>11</v>
      </c>
      <c r="G672">
        <v>40</v>
      </c>
      <c r="H672">
        <v>40</v>
      </c>
      <c r="I672" s="2"/>
      <c r="J672" s="2">
        <v>45719</v>
      </c>
      <c r="K672" s="2">
        <v>45741</v>
      </c>
    </row>
    <row r="673" spans="1:11" x14ac:dyDescent="0.25">
      <c r="A673" s="1" t="s">
        <v>219</v>
      </c>
      <c r="B673" s="1" t="s">
        <v>1246</v>
      </c>
      <c r="C673" s="1" t="s">
        <v>2228</v>
      </c>
      <c r="D673" s="1" t="s">
        <v>1998</v>
      </c>
      <c r="E673" s="1"/>
      <c r="F673" s="1" t="s">
        <v>11</v>
      </c>
      <c r="G673">
        <v>1540</v>
      </c>
      <c r="H673">
        <v>1480</v>
      </c>
      <c r="I673" s="2"/>
      <c r="J673" s="2">
        <v>45719</v>
      </c>
      <c r="K673" s="2">
        <v>45741</v>
      </c>
    </row>
    <row r="674" spans="1:11" x14ac:dyDescent="0.25">
      <c r="A674" s="1" t="s">
        <v>219</v>
      </c>
      <c r="B674" s="1" t="s">
        <v>1246</v>
      </c>
      <c r="C674" s="1" t="s">
        <v>2228</v>
      </c>
      <c r="D674" s="1" t="s">
        <v>1998</v>
      </c>
      <c r="E674" s="1"/>
      <c r="F674" s="1" t="s">
        <v>12</v>
      </c>
      <c r="G674">
        <v>1</v>
      </c>
      <c r="H674">
        <v>50</v>
      </c>
      <c r="I674" s="2"/>
      <c r="J674" s="2">
        <v>45719</v>
      </c>
      <c r="K674" s="2">
        <v>45741</v>
      </c>
    </row>
    <row r="675" spans="1:11" x14ac:dyDescent="0.25">
      <c r="A675" s="1" t="s">
        <v>219</v>
      </c>
      <c r="B675" s="1" t="s">
        <v>1247</v>
      </c>
      <c r="C675" s="1" t="s">
        <v>2229</v>
      </c>
      <c r="D675" s="1" t="s">
        <v>1998</v>
      </c>
      <c r="E675" s="1"/>
      <c r="F675" s="1" t="s">
        <v>11</v>
      </c>
      <c r="G675">
        <v>195</v>
      </c>
      <c r="H675">
        <v>310</v>
      </c>
      <c r="I675" s="2"/>
      <c r="J675" s="2">
        <v>45719</v>
      </c>
      <c r="K675" s="2">
        <v>45741</v>
      </c>
    </row>
    <row r="676" spans="1:11" x14ac:dyDescent="0.25">
      <c r="A676" s="1" t="s">
        <v>219</v>
      </c>
      <c r="B676" s="1" t="s">
        <v>1206</v>
      </c>
      <c r="C676" s="1" t="s">
        <v>2196</v>
      </c>
      <c r="D676" s="1" t="s">
        <v>1998</v>
      </c>
      <c r="E676" s="1"/>
      <c r="F676" s="1" t="s">
        <v>11</v>
      </c>
      <c r="G676">
        <v>5</v>
      </c>
      <c r="H676">
        <v>5</v>
      </c>
      <c r="I676" s="2"/>
      <c r="J676" s="2">
        <v>45719</v>
      </c>
      <c r="K676" s="2">
        <v>45741</v>
      </c>
    </row>
    <row r="677" spans="1:11" x14ac:dyDescent="0.25">
      <c r="A677" s="1" t="s">
        <v>219</v>
      </c>
      <c r="B677" s="1" t="s">
        <v>1248</v>
      </c>
      <c r="C677" s="1" t="s">
        <v>2230</v>
      </c>
      <c r="D677" s="1" t="s">
        <v>1998</v>
      </c>
      <c r="E677" s="1"/>
      <c r="F677" s="1" t="s">
        <v>11</v>
      </c>
      <c r="G677">
        <v>40</v>
      </c>
      <c r="H677">
        <v>40</v>
      </c>
      <c r="I677" s="2"/>
      <c r="J677" s="2">
        <v>45719</v>
      </c>
      <c r="K677" s="2">
        <v>45741</v>
      </c>
    </row>
    <row r="678" spans="1:11" x14ac:dyDescent="0.25">
      <c r="A678" s="1" t="s">
        <v>220</v>
      </c>
      <c r="B678" s="1" t="s">
        <v>1246</v>
      </c>
      <c r="C678" s="1" t="s">
        <v>2228</v>
      </c>
      <c r="D678" s="1" t="s">
        <v>1998</v>
      </c>
      <c r="E678" s="1"/>
      <c r="F678" s="1" t="s">
        <v>11</v>
      </c>
      <c r="G678">
        <v>1540</v>
      </c>
      <c r="H678">
        <v>1480</v>
      </c>
      <c r="I678" s="2"/>
      <c r="J678" s="2">
        <v>45728</v>
      </c>
      <c r="K678" s="2">
        <v>45741</v>
      </c>
    </row>
    <row r="679" spans="1:11" x14ac:dyDescent="0.25">
      <c r="A679" s="1" t="s">
        <v>220</v>
      </c>
      <c r="B679" s="1" t="s">
        <v>1246</v>
      </c>
      <c r="C679" s="1" t="s">
        <v>2228</v>
      </c>
      <c r="D679" s="1" t="s">
        <v>1998</v>
      </c>
      <c r="E679" s="1"/>
      <c r="F679" s="1" t="s">
        <v>12</v>
      </c>
      <c r="G679">
        <v>1</v>
      </c>
      <c r="H679">
        <v>50</v>
      </c>
      <c r="I679" s="2"/>
      <c r="J679" s="2">
        <v>45728</v>
      </c>
      <c r="K679" s="2">
        <v>45741</v>
      </c>
    </row>
    <row r="680" spans="1:11" x14ac:dyDescent="0.25">
      <c r="A680" s="1" t="s">
        <v>220</v>
      </c>
      <c r="B680" s="1" t="s">
        <v>1247</v>
      </c>
      <c r="C680" s="1" t="s">
        <v>2229</v>
      </c>
      <c r="D680" s="1" t="s">
        <v>1998</v>
      </c>
      <c r="E680" s="1"/>
      <c r="F680" s="1" t="s">
        <v>11</v>
      </c>
      <c r="G680">
        <v>195</v>
      </c>
      <c r="H680">
        <v>310</v>
      </c>
      <c r="I680" s="2"/>
      <c r="J680" s="2">
        <v>45728</v>
      </c>
      <c r="K680" s="2">
        <v>45741</v>
      </c>
    </row>
    <row r="681" spans="1:11" x14ac:dyDescent="0.25">
      <c r="A681" s="1" t="s">
        <v>220</v>
      </c>
      <c r="B681" s="1" t="s">
        <v>1206</v>
      </c>
      <c r="C681" s="1" t="s">
        <v>2196</v>
      </c>
      <c r="D681" s="1" t="s">
        <v>1998</v>
      </c>
      <c r="E681" s="1"/>
      <c r="F681" s="1" t="s">
        <v>11</v>
      </c>
      <c r="G681">
        <v>5</v>
      </c>
      <c r="H681">
        <v>5</v>
      </c>
      <c r="I681" s="2"/>
      <c r="J681" s="2">
        <v>45728</v>
      </c>
      <c r="K681" s="2">
        <v>45741</v>
      </c>
    </row>
    <row r="682" spans="1:11" x14ac:dyDescent="0.25">
      <c r="A682" s="1" t="s">
        <v>220</v>
      </c>
      <c r="B682" s="1" t="s">
        <v>1248</v>
      </c>
      <c r="C682" s="1" t="s">
        <v>2230</v>
      </c>
      <c r="D682" s="1" t="s">
        <v>1998</v>
      </c>
      <c r="E682" s="1"/>
      <c r="F682" s="1" t="s">
        <v>11</v>
      </c>
      <c r="G682">
        <v>40</v>
      </c>
      <c r="H682">
        <v>40</v>
      </c>
      <c r="I682" s="2"/>
      <c r="J682" s="2">
        <v>45728</v>
      </c>
      <c r="K682" s="2">
        <v>45741</v>
      </c>
    </row>
    <row r="683" spans="1:11" x14ac:dyDescent="0.25">
      <c r="A683" s="1" t="s">
        <v>221</v>
      </c>
      <c r="B683" s="1" t="s">
        <v>1246</v>
      </c>
      <c r="C683" s="1" t="s">
        <v>2228</v>
      </c>
      <c r="D683" s="1" t="s">
        <v>1998</v>
      </c>
      <c r="E683" s="1"/>
      <c r="F683" s="1" t="s">
        <v>11</v>
      </c>
      <c r="G683">
        <v>1540</v>
      </c>
      <c r="H683">
        <v>1480</v>
      </c>
      <c r="I683" s="2"/>
      <c r="J683" s="2">
        <v>45723</v>
      </c>
      <c r="K683" s="2">
        <v>45741</v>
      </c>
    </row>
    <row r="684" spans="1:11" x14ac:dyDescent="0.25">
      <c r="A684" s="1" t="s">
        <v>221</v>
      </c>
      <c r="B684" s="1" t="s">
        <v>1246</v>
      </c>
      <c r="C684" s="1" t="s">
        <v>2228</v>
      </c>
      <c r="D684" s="1" t="s">
        <v>1998</v>
      </c>
      <c r="E684" s="1"/>
      <c r="F684" s="1" t="s">
        <v>12</v>
      </c>
      <c r="G684">
        <v>1</v>
      </c>
      <c r="H684">
        <v>50</v>
      </c>
      <c r="I684" s="2"/>
      <c r="J684" s="2">
        <v>45723</v>
      </c>
      <c r="K684" s="2">
        <v>45741</v>
      </c>
    </row>
    <row r="685" spans="1:11" x14ac:dyDescent="0.25">
      <c r="A685" s="1" t="s">
        <v>221</v>
      </c>
      <c r="B685" s="1" t="s">
        <v>1247</v>
      </c>
      <c r="C685" s="1" t="s">
        <v>2229</v>
      </c>
      <c r="D685" s="1" t="s">
        <v>1998</v>
      </c>
      <c r="E685" s="1"/>
      <c r="F685" s="1" t="s">
        <v>11</v>
      </c>
      <c r="G685">
        <v>195</v>
      </c>
      <c r="H685">
        <v>310</v>
      </c>
      <c r="I685" s="2"/>
      <c r="J685" s="2">
        <v>45723</v>
      </c>
      <c r="K685" s="2">
        <v>45741</v>
      </c>
    </row>
    <row r="686" spans="1:11" x14ac:dyDescent="0.25">
      <c r="A686" s="1" t="s">
        <v>221</v>
      </c>
      <c r="B686" s="1" t="s">
        <v>1206</v>
      </c>
      <c r="C686" s="1" t="s">
        <v>2196</v>
      </c>
      <c r="D686" s="1" t="s">
        <v>1998</v>
      </c>
      <c r="E686" s="1"/>
      <c r="F686" s="1" t="s">
        <v>11</v>
      </c>
      <c r="G686">
        <v>5</v>
      </c>
      <c r="H686">
        <v>5</v>
      </c>
      <c r="I686" s="2"/>
      <c r="J686" s="2">
        <v>45723</v>
      </c>
      <c r="K686" s="2">
        <v>45741</v>
      </c>
    </row>
    <row r="687" spans="1:11" x14ac:dyDescent="0.25">
      <c r="A687" s="1" t="s">
        <v>221</v>
      </c>
      <c r="B687" s="1" t="s">
        <v>1248</v>
      </c>
      <c r="C687" s="1" t="s">
        <v>2230</v>
      </c>
      <c r="D687" s="1" t="s">
        <v>1998</v>
      </c>
      <c r="E687" s="1"/>
      <c r="F687" s="1" t="s">
        <v>11</v>
      </c>
      <c r="G687">
        <v>40</v>
      </c>
      <c r="H687">
        <v>40</v>
      </c>
      <c r="I687" s="2"/>
      <c r="J687" s="2">
        <v>45723</v>
      </c>
      <c r="K687" s="2">
        <v>45741</v>
      </c>
    </row>
    <row r="688" spans="1:11" x14ac:dyDescent="0.25">
      <c r="A688" s="1" t="s">
        <v>222</v>
      </c>
      <c r="B688" s="1" t="s">
        <v>1200</v>
      </c>
      <c r="C688" s="1" t="s">
        <v>2191</v>
      </c>
      <c r="D688" s="1" t="s">
        <v>1998</v>
      </c>
      <c r="E688" s="1"/>
      <c r="F688" s="1" t="s">
        <v>11</v>
      </c>
      <c r="G688">
        <v>2530</v>
      </c>
      <c r="H688">
        <v>2540</v>
      </c>
      <c r="I688" s="2"/>
      <c r="J688" s="2">
        <v>45723</v>
      </c>
      <c r="K688" s="2">
        <v>45748</v>
      </c>
    </row>
    <row r="689" spans="1:11" x14ac:dyDescent="0.25">
      <c r="A689" s="1" t="s">
        <v>223</v>
      </c>
      <c r="B689" s="1" t="s">
        <v>1138</v>
      </c>
      <c r="C689" s="1" t="s">
        <v>2014</v>
      </c>
      <c r="D689" s="1" t="s">
        <v>1998</v>
      </c>
      <c r="E689" s="1"/>
      <c r="F689" s="1" t="s">
        <v>11</v>
      </c>
      <c r="G689">
        <v>1955</v>
      </c>
      <c r="H689">
        <v>1955</v>
      </c>
      <c r="I689" s="2"/>
      <c r="J689" s="2">
        <v>45694</v>
      </c>
      <c r="K689" s="2">
        <v>45764</v>
      </c>
    </row>
    <row r="690" spans="1:11" x14ac:dyDescent="0.25">
      <c r="A690" s="1" t="s">
        <v>223</v>
      </c>
      <c r="B690" s="1" t="s">
        <v>1139</v>
      </c>
      <c r="C690" s="1" t="s">
        <v>2137</v>
      </c>
      <c r="D690" s="1" t="s">
        <v>1998</v>
      </c>
      <c r="E690" s="1"/>
      <c r="F690" s="1" t="s">
        <v>11</v>
      </c>
      <c r="G690">
        <v>105</v>
      </c>
      <c r="H690">
        <v>105</v>
      </c>
      <c r="I690" s="2"/>
      <c r="J690" s="2">
        <v>45694</v>
      </c>
      <c r="K690" s="2">
        <v>45764</v>
      </c>
    </row>
    <row r="691" spans="1:11" x14ac:dyDescent="0.25">
      <c r="A691" s="1" t="s">
        <v>223</v>
      </c>
      <c r="B691" s="1" t="s">
        <v>1140</v>
      </c>
      <c r="C691" s="1" t="s">
        <v>2138</v>
      </c>
      <c r="D691" s="1" t="s">
        <v>1998</v>
      </c>
      <c r="E691" s="1"/>
      <c r="F691" s="1" t="s">
        <v>11</v>
      </c>
      <c r="G691">
        <v>145</v>
      </c>
      <c r="H691">
        <v>115</v>
      </c>
      <c r="I691" s="2"/>
      <c r="J691" s="2">
        <v>45694</v>
      </c>
      <c r="K691" s="2">
        <v>45764</v>
      </c>
    </row>
    <row r="692" spans="1:11" x14ac:dyDescent="0.25">
      <c r="A692" s="1" t="s">
        <v>223</v>
      </c>
      <c r="B692" s="1" t="s">
        <v>1141</v>
      </c>
      <c r="C692" s="1" t="s">
        <v>2001</v>
      </c>
      <c r="D692" s="1" t="s">
        <v>1998</v>
      </c>
      <c r="E692" s="1"/>
      <c r="F692" s="1" t="s">
        <v>11</v>
      </c>
      <c r="G692">
        <v>5935</v>
      </c>
      <c r="H692">
        <v>5935</v>
      </c>
      <c r="I692" s="2"/>
      <c r="J692" s="2">
        <v>45694</v>
      </c>
      <c r="K692" s="2">
        <v>45764</v>
      </c>
    </row>
    <row r="693" spans="1:11" x14ac:dyDescent="0.25">
      <c r="A693" s="1" t="s">
        <v>223</v>
      </c>
      <c r="B693" s="1" t="s">
        <v>991</v>
      </c>
      <c r="C693" s="1" t="s">
        <v>2009</v>
      </c>
      <c r="D693" s="1" t="s">
        <v>1998</v>
      </c>
      <c r="E693" s="1"/>
      <c r="F693" s="1" t="s">
        <v>11</v>
      </c>
      <c r="G693">
        <v>25</v>
      </c>
      <c r="H693">
        <v>25</v>
      </c>
      <c r="I693" s="2"/>
      <c r="J693" s="2">
        <v>45694</v>
      </c>
      <c r="K693" s="2">
        <v>45764</v>
      </c>
    </row>
    <row r="694" spans="1:11" x14ac:dyDescent="0.25">
      <c r="A694" s="1" t="s">
        <v>223</v>
      </c>
      <c r="B694" s="1" t="s">
        <v>992</v>
      </c>
      <c r="C694" s="1" t="s">
        <v>2010</v>
      </c>
      <c r="D694" s="1" t="s">
        <v>1998</v>
      </c>
      <c r="E694" s="1"/>
      <c r="F694" s="1" t="s">
        <v>11</v>
      </c>
      <c r="G694">
        <v>40</v>
      </c>
      <c r="H694">
        <v>40</v>
      </c>
      <c r="I694" s="2"/>
      <c r="J694" s="2">
        <v>45694</v>
      </c>
      <c r="K694" s="2">
        <v>45764</v>
      </c>
    </row>
    <row r="695" spans="1:11" x14ac:dyDescent="0.25">
      <c r="A695" s="1" t="s">
        <v>224</v>
      </c>
      <c r="B695" s="1" t="s">
        <v>1196</v>
      </c>
      <c r="C695" s="1" t="s">
        <v>2187</v>
      </c>
      <c r="D695" s="1" t="s">
        <v>1998</v>
      </c>
      <c r="E695" s="1"/>
      <c r="F695" s="1" t="s">
        <v>11</v>
      </c>
      <c r="G695">
        <v>260</v>
      </c>
      <c r="H695">
        <v>260</v>
      </c>
      <c r="I695" s="2"/>
      <c r="J695" s="2">
        <v>45688</v>
      </c>
      <c r="K695" s="2">
        <v>45736</v>
      </c>
    </row>
    <row r="696" spans="1:11" x14ac:dyDescent="0.25">
      <c r="A696" s="1" t="s">
        <v>224</v>
      </c>
      <c r="B696" s="1" t="s">
        <v>1197</v>
      </c>
      <c r="C696" s="1" t="s">
        <v>2188</v>
      </c>
      <c r="D696" s="1" t="s">
        <v>1998</v>
      </c>
      <c r="E696" s="1"/>
      <c r="F696" s="1" t="s">
        <v>11</v>
      </c>
      <c r="G696">
        <v>290</v>
      </c>
      <c r="H696">
        <v>280</v>
      </c>
      <c r="I696" s="2"/>
      <c r="J696" s="2">
        <v>45688</v>
      </c>
      <c r="K696" s="2">
        <v>45736</v>
      </c>
    </row>
    <row r="697" spans="1:11" x14ac:dyDescent="0.25">
      <c r="A697" s="1" t="s">
        <v>224</v>
      </c>
      <c r="B697" s="1" t="s">
        <v>1198</v>
      </c>
      <c r="C697" s="1" t="s">
        <v>2189</v>
      </c>
      <c r="D697" s="1" t="s">
        <v>1998</v>
      </c>
      <c r="E697" s="1"/>
      <c r="F697" s="1" t="s">
        <v>11</v>
      </c>
      <c r="G697">
        <v>4075</v>
      </c>
      <c r="H697">
        <v>4075</v>
      </c>
      <c r="I697" s="2"/>
      <c r="J697" s="2">
        <v>45688</v>
      </c>
      <c r="K697" s="2">
        <v>45736</v>
      </c>
    </row>
    <row r="698" spans="1:11" x14ac:dyDescent="0.25">
      <c r="A698" s="1" t="s">
        <v>224</v>
      </c>
      <c r="B698" s="1" t="s">
        <v>1198</v>
      </c>
      <c r="C698" s="1" t="s">
        <v>2189</v>
      </c>
      <c r="D698" s="1" t="s">
        <v>1998</v>
      </c>
      <c r="E698" s="1"/>
      <c r="F698" s="1" t="s">
        <v>11</v>
      </c>
      <c r="G698">
        <v>3930</v>
      </c>
      <c r="H698">
        <v>3930</v>
      </c>
      <c r="I698" s="2"/>
      <c r="J698" s="2">
        <v>45688</v>
      </c>
      <c r="K698" s="2">
        <v>45736</v>
      </c>
    </row>
    <row r="699" spans="1:11" x14ac:dyDescent="0.25">
      <c r="A699" s="1" t="s">
        <v>224</v>
      </c>
      <c r="B699" s="1" t="s">
        <v>1199</v>
      </c>
      <c r="C699" s="1" t="s">
        <v>2190</v>
      </c>
      <c r="D699" s="1" t="s">
        <v>1998</v>
      </c>
      <c r="E699" s="1"/>
      <c r="F699" s="1" t="s">
        <v>11</v>
      </c>
      <c r="G699">
        <v>3685</v>
      </c>
      <c r="H699">
        <v>3685</v>
      </c>
      <c r="I699" s="2"/>
      <c r="J699" s="2">
        <v>45688</v>
      </c>
      <c r="K699" s="2">
        <v>45736</v>
      </c>
    </row>
    <row r="700" spans="1:11" x14ac:dyDescent="0.25">
      <c r="A700" s="1" t="s">
        <v>224</v>
      </c>
      <c r="B700" s="1" t="s">
        <v>1199</v>
      </c>
      <c r="C700" s="1" t="s">
        <v>2190</v>
      </c>
      <c r="D700" s="1" t="s">
        <v>1998</v>
      </c>
      <c r="E700" s="1"/>
      <c r="F700" s="1" t="s">
        <v>11</v>
      </c>
      <c r="G700">
        <v>3555</v>
      </c>
      <c r="H700">
        <v>3555</v>
      </c>
      <c r="I700" s="2"/>
      <c r="J700" s="2">
        <v>45688</v>
      </c>
      <c r="K700" s="2">
        <v>45736</v>
      </c>
    </row>
    <row r="701" spans="1:11" x14ac:dyDescent="0.25">
      <c r="A701" s="1" t="s">
        <v>225</v>
      </c>
      <c r="B701" s="1" t="s">
        <v>1016</v>
      </c>
      <c r="C701" s="1" t="s">
        <v>2033</v>
      </c>
      <c r="D701" s="1" t="s">
        <v>1998</v>
      </c>
      <c r="E701" s="1"/>
      <c r="F701" s="1" t="s">
        <v>11</v>
      </c>
      <c r="G701">
        <v>75</v>
      </c>
      <c r="H701">
        <v>50</v>
      </c>
      <c r="I701" s="2"/>
      <c r="J701" s="2">
        <v>45692</v>
      </c>
      <c r="K701" s="2">
        <v>45741</v>
      </c>
    </row>
    <row r="702" spans="1:11" x14ac:dyDescent="0.25">
      <c r="A702" s="1" t="s">
        <v>225</v>
      </c>
      <c r="B702" s="1" t="s">
        <v>1017</v>
      </c>
      <c r="C702" s="1" t="s">
        <v>2034</v>
      </c>
      <c r="D702" s="1" t="s">
        <v>1998</v>
      </c>
      <c r="E702" s="1"/>
      <c r="F702" s="1" t="s">
        <v>11</v>
      </c>
      <c r="G702">
        <v>200</v>
      </c>
      <c r="H702">
        <v>200</v>
      </c>
      <c r="I702" s="2"/>
      <c r="J702" s="2">
        <v>45692</v>
      </c>
      <c r="K702" s="2">
        <v>45741</v>
      </c>
    </row>
    <row r="703" spans="1:11" x14ac:dyDescent="0.25">
      <c r="A703" s="1" t="s">
        <v>225</v>
      </c>
      <c r="B703" s="1" t="s">
        <v>1018</v>
      </c>
      <c r="C703" s="1" t="s">
        <v>2035</v>
      </c>
      <c r="D703" s="1" t="s">
        <v>1998</v>
      </c>
      <c r="E703" s="1"/>
      <c r="F703" s="1" t="s">
        <v>11</v>
      </c>
      <c r="G703">
        <v>885</v>
      </c>
      <c r="H703">
        <v>945</v>
      </c>
      <c r="I703" s="2"/>
      <c r="J703" s="2">
        <v>45692</v>
      </c>
      <c r="K703" s="2">
        <v>45741</v>
      </c>
    </row>
    <row r="704" spans="1:11" x14ac:dyDescent="0.25">
      <c r="A704" s="1" t="s">
        <v>225</v>
      </c>
      <c r="B704" s="1" t="s">
        <v>999</v>
      </c>
      <c r="C704" s="1" t="s">
        <v>2168</v>
      </c>
      <c r="D704" s="1" t="s">
        <v>1998</v>
      </c>
      <c r="E704" s="1"/>
      <c r="F704" s="1" t="s">
        <v>11</v>
      </c>
      <c r="G704">
        <v>1</v>
      </c>
      <c r="H704">
        <v>1</v>
      </c>
      <c r="I704" s="2"/>
      <c r="J704" s="2">
        <v>45692</v>
      </c>
      <c r="K704" s="2">
        <v>45741</v>
      </c>
    </row>
    <row r="705" spans="1:11" x14ac:dyDescent="0.25">
      <c r="A705" s="1" t="s">
        <v>225</v>
      </c>
      <c r="B705" s="1" t="s">
        <v>1000</v>
      </c>
      <c r="C705" s="1" t="s">
        <v>2018</v>
      </c>
      <c r="D705" s="1" t="s">
        <v>1998</v>
      </c>
      <c r="E705" s="1"/>
      <c r="F705" s="1" t="s">
        <v>11</v>
      </c>
      <c r="G705">
        <v>5</v>
      </c>
      <c r="H705">
        <v>5</v>
      </c>
      <c r="I705" s="2"/>
      <c r="J705" s="2">
        <v>45692</v>
      </c>
      <c r="K705" s="2">
        <v>45741</v>
      </c>
    </row>
    <row r="706" spans="1:11" x14ac:dyDescent="0.25">
      <c r="A706" s="1" t="s">
        <v>225</v>
      </c>
      <c r="B706" s="1" t="s">
        <v>1001</v>
      </c>
      <c r="C706" s="1" t="s">
        <v>2019</v>
      </c>
      <c r="D706" s="1" t="s">
        <v>1998</v>
      </c>
      <c r="E706" s="1"/>
      <c r="F706" s="1" t="s">
        <v>11</v>
      </c>
      <c r="G706">
        <v>5</v>
      </c>
      <c r="H706">
        <v>5</v>
      </c>
      <c r="I706" s="2"/>
      <c r="J706" s="2">
        <v>45692</v>
      </c>
      <c r="K706" s="2">
        <v>45741</v>
      </c>
    </row>
    <row r="707" spans="1:11" x14ac:dyDescent="0.25">
      <c r="A707" s="1" t="s">
        <v>225</v>
      </c>
      <c r="B707" s="1" t="s">
        <v>1019</v>
      </c>
      <c r="C707" s="1" t="s">
        <v>2036</v>
      </c>
      <c r="D707" s="1" t="s">
        <v>1998</v>
      </c>
      <c r="E707" s="1"/>
      <c r="F707" s="1" t="s">
        <v>11</v>
      </c>
      <c r="G707">
        <v>3135</v>
      </c>
      <c r="H707">
        <v>3135</v>
      </c>
      <c r="I707" s="2"/>
      <c r="J707" s="2">
        <v>45692</v>
      </c>
      <c r="K707" s="2">
        <v>45741</v>
      </c>
    </row>
    <row r="708" spans="1:11" x14ac:dyDescent="0.25">
      <c r="A708" s="1" t="s">
        <v>225</v>
      </c>
      <c r="B708" s="1" t="s">
        <v>1020</v>
      </c>
      <c r="C708" s="1" t="s">
        <v>2037</v>
      </c>
      <c r="D708" s="1" t="s">
        <v>1998</v>
      </c>
      <c r="E708" s="1"/>
      <c r="F708" s="1" t="s">
        <v>11</v>
      </c>
      <c r="G708">
        <v>8375</v>
      </c>
      <c r="H708">
        <v>8375</v>
      </c>
      <c r="I708" s="2"/>
      <c r="J708" s="2">
        <v>45692</v>
      </c>
      <c r="K708" s="2">
        <v>45741</v>
      </c>
    </row>
    <row r="709" spans="1:11" x14ac:dyDescent="0.25">
      <c r="A709" s="1" t="s">
        <v>226</v>
      </c>
      <c r="B709" s="1" t="s">
        <v>988</v>
      </c>
      <c r="C709" s="1" t="s">
        <v>2006</v>
      </c>
      <c r="D709" s="1" t="s">
        <v>1998</v>
      </c>
      <c r="E709" s="1"/>
      <c r="F709" s="1" t="s">
        <v>11</v>
      </c>
      <c r="G709">
        <v>4020</v>
      </c>
      <c r="H709">
        <v>4020</v>
      </c>
      <c r="I709" s="2"/>
      <c r="J709" s="2">
        <v>45692</v>
      </c>
      <c r="K709" s="2">
        <v>45777</v>
      </c>
    </row>
    <row r="710" spans="1:11" x14ac:dyDescent="0.25">
      <c r="A710" s="1" t="s">
        <v>226</v>
      </c>
      <c r="B710" s="1" t="s">
        <v>989</v>
      </c>
      <c r="C710" s="1" t="s">
        <v>2007</v>
      </c>
      <c r="D710" s="1" t="s">
        <v>1998</v>
      </c>
      <c r="E710" s="1"/>
      <c r="F710" s="1" t="s">
        <v>11</v>
      </c>
      <c r="G710">
        <v>160</v>
      </c>
      <c r="H710">
        <v>150</v>
      </c>
      <c r="I710" s="2"/>
      <c r="J710" s="2">
        <v>45692</v>
      </c>
      <c r="K710" s="2">
        <v>45777</v>
      </c>
    </row>
    <row r="711" spans="1:11" x14ac:dyDescent="0.25">
      <c r="A711" s="1" t="s">
        <v>226</v>
      </c>
      <c r="B711" s="1" t="s">
        <v>990</v>
      </c>
      <c r="C711" s="1" t="s">
        <v>2008</v>
      </c>
      <c r="D711" s="1" t="s">
        <v>1998</v>
      </c>
      <c r="E711" s="1"/>
      <c r="F711" s="1" t="s">
        <v>11</v>
      </c>
      <c r="G711">
        <v>13230</v>
      </c>
      <c r="H711">
        <v>13230</v>
      </c>
      <c r="I711" s="2"/>
      <c r="J711" s="2">
        <v>45692</v>
      </c>
      <c r="K711" s="2">
        <v>45777</v>
      </c>
    </row>
    <row r="712" spans="1:11" x14ac:dyDescent="0.25">
      <c r="A712" s="1" t="s">
        <v>226</v>
      </c>
      <c r="B712" s="1" t="s">
        <v>991</v>
      </c>
      <c r="C712" s="1" t="s">
        <v>2009</v>
      </c>
      <c r="D712" s="1" t="s">
        <v>1998</v>
      </c>
      <c r="E712" s="1"/>
      <c r="F712" s="1" t="s">
        <v>11</v>
      </c>
      <c r="G712">
        <v>10</v>
      </c>
      <c r="H712">
        <v>10</v>
      </c>
      <c r="I712" s="2"/>
      <c r="J712" s="2">
        <v>45692</v>
      </c>
      <c r="K712" s="2">
        <v>45777</v>
      </c>
    </row>
    <row r="713" spans="1:11" x14ac:dyDescent="0.25">
      <c r="A713" s="1" t="s">
        <v>226</v>
      </c>
      <c r="B713" s="1" t="s">
        <v>992</v>
      </c>
      <c r="C713" s="1" t="s">
        <v>2010</v>
      </c>
      <c r="D713" s="1" t="s">
        <v>1998</v>
      </c>
      <c r="E713" s="1"/>
      <c r="F713" s="1" t="s">
        <v>11</v>
      </c>
      <c r="G713">
        <v>25</v>
      </c>
      <c r="H713">
        <v>25</v>
      </c>
      <c r="I713" s="2"/>
      <c r="J713" s="2">
        <v>45692</v>
      </c>
      <c r="K713" s="2">
        <v>45777</v>
      </c>
    </row>
    <row r="714" spans="1:11" x14ac:dyDescent="0.25">
      <c r="A714" s="1" t="s">
        <v>226</v>
      </c>
      <c r="B714" s="1" t="s">
        <v>993</v>
      </c>
      <c r="C714" s="1" t="s">
        <v>2011</v>
      </c>
      <c r="D714" s="1" t="s">
        <v>1998</v>
      </c>
      <c r="E714" s="1"/>
      <c r="F714" s="1" t="s">
        <v>11</v>
      </c>
      <c r="G714">
        <v>5</v>
      </c>
      <c r="H714">
        <v>5</v>
      </c>
      <c r="I714" s="2"/>
      <c r="J714" s="2">
        <v>45692</v>
      </c>
      <c r="K714" s="2">
        <v>45777</v>
      </c>
    </row>
    <row r="715" spans="1:11" x14ac:dyDescent="0.25">
      <c r="A715" s="1" t="s">
        <v>226</v>
      </c>
      <c r="B715" s="1" t="s">
        <v>993</v>
      </c>
      <c r="C715" s="1" t="s">
        <v>2011</v>
      </c>
      <c r="D715" s="1" t="s">
        <v>1998</v>
      </c>
      <c r="E715" s="1"/>
      <c r="F715" s="1" t="s">
        <v>11</v>
      </c>
      <c r="G715">
        <v>10</v>
      </c>
      <c r="H715">
        <v>10</v>
      </c>
      <c r="I715" s="2"/>
      <c r="J715" s="2">
        <v>45692</v>
      </c>
      <c r="K715" s="2">
        <v>45777</v>
      </c>
    </row>
    <row r="716" spans="1:11" x14ac:dyDescent="0.25">
      <c r="A716" s="1" t="s">
        <v>226</v>
      </c>
      <c r="B716" s="1" t="s">
        <v>994</v>
      </c>
      <c r="C716" s="1" t="s">
        <v>2012</v>
      </c>
      <c r="D716" s="1" t="s">
        <v>1998</v>
      </c>
      <c r="E716" s="1"/>
      <c r="F716" s="1" t="s">
        <v>11</v>
      </c>
      <c r="G716">
        <v>4165</v>
      </c>
      <c r="H716">
        <v>4165</v>
      </c>
      <c r="I716" s="2"/>
      <c r="J716" s="2">
        <v>45692</v>
      </c>
      <c r="K716" s="2">
        <v>45777</v>
      </c>
    </row>
    <row r="717" spans="1:11" x14ac:dyDescent="0.25">
      <c r="A717" s="1" t="s">
        <v>227</v>
      </c>
      <c r="B717" s="1" t="s">
        <v>1249</v>
      </c>
      <c r="C717" s="1" t="s">
        <v>2231</v>
      </c>
      <c r="D717" s="1" t="s">
        <v>1998</v>
      </c>
      <c r="E717" s="1"/>
      <c r="F717" s="1" t="s">
        <v>11</v>
      </c>
      <c r="G717">
        <v>210</v>
      </c>
      <c r="H717">
        <v>400</v>
      </c>
      <c r="I717" s="2"/>
      <c r="J717" s="2">
        <v>45722</v>
      </c>
      <c r="K717" s="2">
        <v>45771</v>
      </c>
    </row>
    <row r="718" spans="1:11" x14ac:dyDescent="0.25">
      <c r="A718" s="1" t="s">
        <v>228</v>
      </c>
      <c r="B718" s="1" t="s">
        <v>1250</v>
      </c>
      <c r="C718" s="1" t="s">
        <v>2232</v>
      </c>
      <c r="D718" s="1" t="s">
        <v>1998</v>
      </c>
      <c r="E718" s="1"/>
      <c r="F718" s="1" t="s">
        <v>11</v>
      </c>
      <c r="G718">
        <v>4015</v>
      </c>
      <c r="H718">
        <v>4015</v>
      </c>
      <c r="I718" s="2"/>
      <c r="J718" s="2">
        <v>45694</v>
      </c>
      <c r="K718" s="2">
        <v>45742</v>
      </c>
    </row>
    <row r="719" spans="1:11" x14ac:dyDescent="0.25">
      <c r="A719" s="1" t="s">
        <v>228</v>
      </c>
      <c r="B719" s="1" t="s">
        <v>1251</v>
      </c>
      <c r="C719" s="1" t="s">
        <v>2233</v>
      </c>
      <c r="D719" s="1" t="s">
        <v>1998</v>
      </c>
      <c r="E719" s="1"/>
      <c r="F719" s="1" t="s">
        <v>11</v>
      </c>
      <c r="G719">
        <v>185</v>
      </c>
      <c r="H719">
        <v>185</v>
      </c>
      <c r="I719" s="2"/>
      <c r="J719" s="2">
        <v>45694</v>
      </c>
      <c r="K719" s="2">
        <v>45742</v>
      </c>
    </row>
    <row r="720" spans="1:11" x14ac:dyDescent="0.25">
      <c r="A720" s="1" t="s">
        <v>228</v>
      </c>
      <c r="B720" s="1" t="s">
        <v>1251</v>
      </c>
      <c r="C720" s="1" t="s">
        <v>2233</v>
      </c>
      <c r="D720" s="1" t="s">
        <v>1998</v>
      </c>
      <c r="E720" s="1"/>
      <c r="F720" s="1" t="s">
        <v>11</v>
      </c>
      <c r="G720">
        <v>10</v>
      </c>
      <c r="H720">
        <v>10</v>
      </c>
      <c r="I720" s="2"/>
      <c r="J720" s="2">
        <v>45694</v>
      </c>
      <c r="K720" s="2">
        <v>45742</v>
      </c>
    </row>
    <row r="721" spans="1:11" x14ac:dyDescent="0.25">
      <c r="A721" s="1" t="s">
        <v>229</v>
      </c>
      <c r="B721" s="1" t="s">
        <v>1252</v>
      </c>
      <c r="C721" s="1" t="s">
        <v>2039</v>
      </c>
      <c r="D721" s="1" t="s">
        <v>1998</v>
      </c>
      <c r="E721" s="1"/>
      <c r="F721" s="1" t="s">
        <v>11</v>
      </c>
      <c r="G721">
        <v>1205</v>
      </c>
      <c r="H721">
        <v>1205</v>
      </c>
      <c r="I721" s="2"/>
      <c r="J721" s="2">
        <v>45719</v>
      </c>
      <c r="K721" s="2">
        <v>45758</v>
      </c>
    </row>
    <row r="722" spans="1:11" x14ac:dyDescent="0.25">
      <c r="A722" s="1" t="s">
        <v>229</v>
      </c>
      <c r="B722" s="1" t="s">
        <v>1252</v>
      </c>
      <c r="C722" s="1" t="s">
        <v>2039</v>
      </c>
      <c r="D722" s="1" t="s">
        <v>1998</v>
      </c>
      <c r="E722" s="1"/>
      <c r="F722" s="1" t="s">
        <v>11</v>
      </c>
      <c r="G722">
        <v>710</v>
      </c>
      <c r="H722">
        <v>710</v>
      </c>
      <c r="I722" s="2"/>
      <c r="J722" s="2">
        <v>45719</v>
      </c>
      <c r="K722" s="2">
        <v>45758</v>
      </c>
    </row>
    <row r="723" spans="1:11" x14ac:dyDescent="0.25">
      <c r="A723" s="1" t="s">
        <v>229</v>
      </c>
      <c r="B723" s="1" t="s">
        <v>1253</v>
      </c>
      <c r="C723" s="1" t="s">
        <v>2234</v>
      </c>
      <c r="D723" s="1" t="s">
        <v>1998</v>
      </c>
      <c r="E723" s="1"/>
      <c r="F723" s="1" t="s">
        <v>11</v>
      </c>
      <c r="G723">
        <v>995</v>
      </c>
      <c r="H723">
        <v>995</v>
      </c>
      <c r="I723" s="2"/>
      <c r="J723" s="2">
        <v>45719</v>
      </c>
      <c r="K723" s="2">
        <v>45758</v>
      </c>
    </row>
    <row r="724" spans="1:11" x14ac:dyDescent="0.25">
      <c r="A724" s="1" t="s">
        <v>229</v>
      </c>
      <c r="B724" s="1" t="s">
        <v>1253</v>
      </c>
      <c r="C724" s="1" t="s">
        <v>2234</v>
      </c>
      <c r="D724" s="1" t="s">
        <v>1998</v>
      </c>
      <c r="E724" s="1"/>
      <c r="F724" s="1" t="s">
        <v>11</v>
      </c>
      <c r="G724">
        <v>170</v>
      </c>
      <c r="H724">
        <v>170</v>
      </c>
      <c r="I724" s="2"/>
      <c r="J724" s="2">
        <v>45719</v>
      </c>
      <c r="K724" s="2">
        <v>45758</v>
      </c>
    </row>
    <row r="725" spans="1:11" x14ac:dyDescent="0.25">
      <c r="A725" s="1" t="s">
        <v>229</v>
      </c>
      <c r="B725" s="1" t="s">
        <v>1253</v>
      </c>
      <c r="C725" s="1" t="s">
        <v>2234</v>
      </c>
      <c r="D725" s="1" t="s">
        <v>1998</v>
      </c>
      <c r="E725" s="1"/>
      <c r="F725" s="1" t="s">
        <v>15</v>
      </c>
      <c r="G725">
        <v>250</v>
      </c>
      <c r="H725">
        <v>250</v>
      </c>
      <c r="I725" s="2"/>
      <c r="J725" s="2">
        <v>45719</v>
      </c>
      <c r="K725" s="2">
        <v>45758</v>
      </c>
    </row>
    <row r="726" spans="1:11" x14ac:dyDescent="0.25">
      <c r="A726" s="1" t="s">
        <v>229</v>
      </c>
      <c r="B726" s="1" t="s">
        <v>1254</v>
      </c>
      <c r="C726" s="1" t="s">
        <v>2001</v>
      </c>
      <c r="D726" s="1" t="s">
        <v>1998</v>
      </c>
      <c r="E726" s="1"/>
      <c r="F726" s="1" t="s">
        <v>11</v>
      </c>
      <c r="G726">
        <v>535</v>
      </c>
      <c r="H726">
        <v>535</v>
      </c>
      <c r="I726" s="2"/>
      <c r="J726" s="2">
        <v>45719</v>
      </c>
      <c r="K726" s="2">
        <v>45758</v>
      </c>
    </row>
    <row r="727" spans="1:11" x14ac:dyDescent="0.25">
      <c r="A727" s="1" t="s">
        <v>229</v>
      </c>
      <c r="B727" s="1" t="s">
        <v>1254</v>
      </c>
      <c r="C727" s="1" t="s">
        <v>2001</v>
      </c>
      <c r="D727" s="1" t="s">
        <v>1998</v>
      </c>
      <c r="E727" s="1"/>
      <c r="F727" s="1" t="s">
        <v>11</v>
      </c>
      <c r="G727">
        <v>315</v>
      </c>
      <c r="H727">
        <v>315</v>
      </c>
      <c r="I727" s="2"/>
      <c r="J727" s="2">
        <v>45719</v>
      </c>
      <c r="K727" s="2">
        <v>45758</v>
      </c>
    </row>
    <row r="728" spans="1:11" x14ac:dyDescent="0.25">
      <c r="A728" s="1" t="s">
        <v>230</v>
      </c>
      <c r="B728" s="1" t="s">
        <v>1255</v>
      </c>
      <c r="C728" s="1" t="s">
        <v>2235</v>
      </c>
      <c r="D728" s="1" t="s">
        <v>1998</v>
      </c>
      <c r="E728" s="1"/>
      <c r="F728" s="1" t="s">
        <v>11</v>
      </c>
      <c r="G728">
        <v>140</v>
      </c>
      <c r="H728">
        <v>205</v>
      </c>
      <c r="I728" s="2"/>
      <c r="J728" s="2">
        <v>45702</v>
      </c>
      <c r="K728" s="2">
        <v>45771</v>
      </c>
    </row>
    <row r="729" spans="1:11" x14ac:dyDescent="0.25">
      <c r="A729" s="1" t="s">
        <v>230</v>
      </c>
      <c r="B729" s="1" t="s">
        <v>1027</v>
      </c>
      <c r="C729" s="1" t="s">
        <v>2040</v>
      </c>
      <c r="D729" s="1" t="s">
        <v>1998</v>
      </c>
      <c r="E729" s="1"/>
      <c r="F729" s="1" t="s">
        <v>11</v>
      </c>
      <c r="G729">
        <v>15</v>
      </c>
      <c r="H729">
        <v>15</v>
      </c>
      <c r="I729" s="2"/>
      <c r="J729" s="2">
        <v>45702</v>
      </c>
      <c r="K729" s="2">
        <v>45771</v>
      </c>
    </row>
    <row r="730" spans="1:11" x14ac:dyDescent="0.25">
      <c r="A730" s="1" t="s">
        <v>230</v>
      </c>
      <c r="B730" s="1" t="s">
        <v>1013</v>
      </c>
      <c r="C730" s="1" t="s">
        <v>2030</v>
      </c>
      <c r="D730" s="1" t="s">
        <v>1998</v>
      </c>
      <c r="E730" s="1"/>
      <c r="F730" s="1" t="s">
        <v>11</v>
      </c>
      <c r="G730">
        <v>5</v>
      </c>
      <c r="H730">
        <v>5</v>
      </c>
      <c r="I730" s="2"/>
      <c r="J730" s="2">
        <v>45702</v>
      </c>
      <c r="K730" s="2">
        <v>45771</v>
      </c>
    </row>
    <row r="731" spans="1:11" x14ac:dyDescent="0.25">
      <c r="A731" s="1" t="s">
        <v>230</v>
      </c>
      <c r="B731" s="1" t="s">
        <v>993</v>
      </c>
      <c r="C731" s="1" t="s">
        <v>2011</v>
      </c>
      <c r="D731" s="1" t="s">
        <v>1998</v>
      </c>
      <c r="E731" s="1"/>
      <c r="F731" s="1" t="s">
        <v>11</v>
      </c>
      <c r="G731">
        <v>1</v>
      </c>
      <c r="H731">
        <v>1</v>
      </c>
      <c r="I731" s="2"/>
      <c r="J731" s="2">
        <v>45702</v>
      </c>
      <c r="K731" s="2">
        <v>45771</v>
      </c>
    </row>
    <row r="732" spans="1:11" x14ac:dyDescent="0.25">
      <c r="A732" s="1" t="s">
        <v>230</v>
      </c>
      <c r="B732" s="1" t="s">
        <v>993</v>
      </c>
      <c r="C732" s="1" t="s">
        <v>2011</v>
      </c>
      <c r="D732" s="1" t="s">
        <v>1998</v>
      </c>
      <c r="E732" s="1"/>
      <c r="F732" s="1" t="s">
        <v>11</v>
      </c>
      <c r="G732">
        <v>5</v>
      </c>
      <c r="H732">
        <v>5</v>
      </c>
      <c r="I732" s="2"/>
      <c r="J732" s="2">
        <v>45702</v>
      </c>
      <c r="K732" s="2">
        <v>45771</v>
      </c>
    </row>
    <row r="733" spans="1:11" x14ac:dyDescent="0.25">
      <c r="A733" s="1" t="s">
        <v>230</v>
      </c>
      <c r="B733" s="1" t="s">
        <v>1239</v>
      </c>
      <c r="C733" s="1" t="s">
        <v>2223</v>
      </c>
      <c r="D733" s="1" t="s">
        <v>1998</v>
      </c>
      <c r="E733" s="1"/>
      <c r="F733" s="1" t="s">
        <v>11</v>
      </c>
      <c r="G733">
        <v>1885</v>
      </c>
      <c r="H733">
        <v>1885</v>
      </c>
      <c r="I733" s="2"/>
      <c r="J733" s="2">
        <v>45702</v>
      </c>
      <c r="K733" s="2">
        <v>45771</v>
      </c>
    </row>
    <row r="734" spans="1:11" x14ac:dyDescent="0.25">
      <c r="A734" s="1" t="s">
        <v>231</v>
      </c>
      <c r="B734" s="1" t="s">
        <v>1256</v>
      </c>
      <c r="C734" s="1" t="s">
        <v>2014</v>
      </c>
      <c r="D734" s="1" t="s">
        <v>1998</v>
      </c>
      <c r="E734" s="1"/>
      <c r="F734" s="1" t="s">
        <v>11</v>
      </c>
      <c r="G734">
        <v>1995</v>
      </c>
      <c r="H734">
        <v>1995</v>
      </c>
      <c r="I734" s="2"/>
      <c r="J734" s="2">
        <v>45694</v>
      </c>
      <c r="K734" s="2">
        <v>45756</v>
      </c>
    </row>
    <row r="735" spans="1:11" x14ac:dyDescent="0.25">
      <c r="A735" s="1" t="s">
        <v>231</v>
      </c>
      <c r="B735" s="1" t="s">
        <v>1256</v>
      </c>
      <c r="C735" s="1" t="s">
        <v>2014</v>
      </c>
      <c r="D735" s="1" t="s">
        <v>1998</v>
      </c>
      <c r="E735" s="1"/>
      <c r="F735" s="1" t="s">
        <v>11</v>
      </c>
      <c r="G735">
        <v>65</v>
      </c>
      <c r="H735">
        <v>65</v>
      </c>
      <c r="I735" s="2"/>
      <c r="J735" s="2">
        <v>45694</v>
      </c>
      <c r="K735" s="2">
        <v>45756</v>
      </c>
    </row>
    <row r="736" spans="1:11" x14ac:dyDescent="0.25">
      <c r="A736" s="1" t="s">
        <v>231</v>
      </c>
      <c r="B736" s="1" t="s">
        <v>1257</v>
      </c>
      <c r="C736" s="1" t="s">
        <v>2236</v>
      </c>
      <c r="D736" s="1" t="s">
        <v>1998</v>
      </c>
      <c r="E736" s="1"/>
      <c r="F736" s="1" t="s">
        <v>11</v>
      </c>
      <c r="G736">
        <v>1165</v>
      </c>
      <c r="H736">
        <v>1170</v>
      </c>
      <c r="I736" s="2"/>
      <c r="J736" s="2">
        <v>45694</v>
      </c>
      <c r="K736" s="2">
        <v>45756</v>
      </c>
    </row>
    <row r="737" spans="1:11" x14ac:dyDescent="0.25">
      <c r="A737" s="1" t="s">
        <v>232</v>
      </c>
      <c r="B737" s="1" t="s">
        <v>1246</v>
      </c>
      <c r="C737" s="1" t="s">
        <v>2228</v>
      </c>
      <c r="D737" s="1" t="s">
        <v>1998</v>
      </c>
      <c r="E737" s="1"/>
      <c r="F737" s="1" t="s">
        <v>11</v>
      </c>
      <c r="G737">
        <v>1540</v>
      </c>
      <c r="H737">
        <v>1445</v>
      </c>
      <c r="I737" s="2"/>
      <c r="J737" s="2">
        <v>45728</v>
      </c>
      <c r="K737" s="2">
        <v>45730</v>
      </c>
    </row>
    <row r="738" spans="1:11" x14ac:dyDescent="0.25">
      <c r="A738" s="1" t="s">
        <v>232</v>
      </c>
      <c r="B738" s="1" t="s">
        <v>1247</v>
      </c>
      <c r="C738" s="1" t="s">
        <v>2229</v>
      </c>
      <c r="D738" s="1" t="s">
        <v>1998</v>
      </c>
      <c r="E738" s="1"/>
      <c r="F738" s="1" t="s">
        <v>11</v>
      </c>
      <c r="G738">
        <v>195</v>
      </c>
      <c r="H738">
        <v>380</v>
      </c>
      <c r="I738" s="2"/>
      <c r="J738" s="2">
        <v>45728</v>
      </c>
      <c r="K738" s="2">
        <v>45730</v>
      </c>
    </row>
    <row r="739" spans="1:11" x14ac:dyDescent="0.25">
      <c r="A739" s="1" t="s">
        <v>232</v>
      </c>
      <c r="B739" s="1" t="s">
        <v>1206</v>
      </c>
      <c r="C739" s="1" t="s">
        <v>2196</v>
      </c>
      <c r="D739" s="1" t="s">
        <v>1998</v>
      </c>
      <c r="E739" s="1"/>
      <c r="F739" s="1" t="s">
        <v>11</v>
      </c>
      <c r="G739">
        <v>5</v>
      </c>
      <c r="H739">
        <v>5</v>
      </c>
      <c r="I739" s="2"/>
      <c r="J739" s="2">
        <v>45728</v>
      </c>
      <c r="K739" s="2">
        <v>45730</v>
      </c>
    </row>
    <row r="740" spans="1:11" x14ac:dyDescent="0.25">
      <c r="A740" s="1" t="s">
        <v>232</v>
      </c>
      <c r="B740" s="1" t="s">
        <v>1248</v>
      </c>
      <c r="C740" s="1" t="s">
        <v>2230</v>
      </c>
      <c r="D740" s="1" t="s">
        <v>1998</v>
      </c>
      <c r="E740" s="1"/>
      <c r="F740" s="1" t="s">
        <v>11</v>
      </c>
      <c r="G740">
        <v>40</v>
      </c>
      <c r="H740">
        <v>40</v>
      </c>
      <c r="I740" s="2"/>
      <c r="J740" s="2">
        <v>45728</v>
      </c>
      <c r="K740" s="2">
        <v>45730</v>
      </c>
    </row>
    <row r="741" spans="1:11" x14ac:dyDescent="0.25">
      <c r="A741" s="1" t="s">
        <v>233</v>
      </c>
      <c r="B741" s="1" t="s">
        <v>1213</v>
      </c>
      <c r="C741" s="1" t="s">
        <v>2014</v>
      </c>
      <c r="D741" s="1" t="s">
        <v>1998</v>
      </c>
      <c r="E741" s="1"/>
      <c r="F741" s="1" t="s">
        <v>11</v>
      </c>
      <c r="G741">
        <v>375</v>
      </c>
      <c r="H741">
        <v>410</v>
      </c>
      <c r="I741" s="2"/>
      <c r="J741" s="2">
        <v>45728</v>
      </c>
      <c r="K741" s="2">
        <v>45786</v>
      </c>
    </row>
    <row r="742" spans="1:11" x14ac:dyDescent="0.25">
      <c r="A742" s="1" t="s">
        <v>233</v>
      </c>
      <c r="B742" s="1" t="s">
        <v>1214</v>
      </c>
      <c r="C742" s="1" t="s">
        <v>2202</v>
      </c>
      <c r="D742" s="1" t="s">
        <v>1998</v>
      </c>
      <c r="E742" s="1"/>
      <c r="F742" s="1" t="s">
        <v>11</v>
      </c>
      <c r="G742">
        <v>180</v>
      </c>
      <c r="H742">
        <v>110</v>
      </c>
      <c r="I742" s="2"/>
      <c r="J742" s="2">
        <v>45728</v>
      </c>
      <c r="K742" s="2">
        <v>45786</v>
      </c>
    </row>
    <row r="743" spans="1:11" x14ac:dyDescent="0.25">
      <c r="A743" s="1" t="s">
        <v>233</v>
      </c>
      <c r="B743" s="1" t="s">
        <v>1215</v>
      </c>
      <c r="C743" s="1" t="s">
        <v>2203</v>
      </c>
      <c r="D743" s="1" t="s">
        <v>1998</v>
      </c>
      <c r="E743" s="1"/>
      <c r="F743" s="1" t="s">
        <v>11</v>
      </c>
      <c r="G743">
        <v>180</v>
      </c>
      <c r="H743">
        <v>180</v>
      </c>
      <c r="I743" s="2"/>
      <c r="J743" s="2">
        <v>45728</v>
      </c>
      <c r="K743" s="2">
        <v>45786</v>
      </c>
    </row>
    <row r="744" spans="1:11" x14ac:dyDescent="0.25">
      <c r="A744" s="1" t="s">
        <v>234</v>
      </c>
      <c r="B744" s="1" t="s">
        <v>1258</v>
      </c>
      <c r="C744" s="1" t="s">
        <v>2237</v>
      </c>
      <c r="D744" s="1" t="s">
        <v>1998</v>
      </c>
      <c r="E744" s="1"/>
      <c r="F744" s="1" t="s">
        <v>11</v>
      </c>
      <c r="G744">
        <v>305</v>
      </c>
      <c r="H744">
        <v>410</v>
      </c>
      <c r="I744" s="2"/>
      <c r="J744" s="2">
        <v>45737</v>
      </c>
      <c r="K744" s="2">
        <v>45751</v>
      </c>
    </row>
    <row r="745" spans="1:11" x14ac:dyDescent="0.25">
      <c r="A745" s="1" t="s">
        <v>235</v>
      </c>
      <c r="B745" s="1" t="s">
        <v>1183</v>
      </c>
      <c r="C745" s="1" t="s">
        <v>2178</v>
      </c>
      <c r="D745" s="1" t="s">
        <v>1998</v>
      </c>
      <c r="E745" s="1"/>
      <c r="F745" s="1" t="s">
        <v>11</v>
      </c>
      <c r="G745">
        <v>615</v>
      </c>
      <c r="H745">
        <v>410</v>
      </c>
      <c r="I745" s="2"/>
      <c r="J745" s="2">
        <v>45700</v>
      </c>
      <c r="K745" s="2">
        <v>45785</v>
      </c>
    </row>
    <row r="746" spans="1:11" x14ac:dyDescent="0.25">
      <c r="A746" s="1" t="s">
        <v>235</v>
      </c>
      <c r="B746" s="1" t="s">
        <v>1259</v>
      </c>
      <c r="C746" s="1" t="s">
        <v>2238</v>
      </c>
      <c r="D746" s="1" t="s">
        <v>1998</v>
      </c>
      <c r="E746" s="1"/>
      <c r="F746" s="1" t="s">
        <v>11</v>
      </c>
      <c r="G746">
        <v>485</v>
      </c>
      <c r="H746">
        <v>80</v>
      </c>
      <c r="I746" s="2"/>
      <c r="J746" s="2">
        <v>45700</v>
      </c>
      <c r="K746" s="2">
        <v>45785</v>
      </c>
    </row>
    <row r="747" spans="1:11" x14ac:dyDescent="0.25">
      <c r="A747" s="1" t="s">
        <v>235</v>
      </c>
      <c r="B747" s="1" t="s">
        <v>1027</v>
      </c>
      <c r="C747" s="1" t="s">
        <v>2040</v>
      </c>
      <c r="D747" s="1" t="s">
        <v>1998</v>
      </c>
      <c r="E747" s="1"/>
      <c r="F747" s="1" t="s">
        <v>12</v>
      </c>
      <c r="G747">
        <v>1</v>
      </c>
      <c r="H747">
        <v>65</v>
      </c>
      <c r="I747" s="2"/>
      <c r="J747" s="2">
        <v>45700</v>
      </c>
      <c r="K747" s="2">
        <v>45785</v>
      </c>
    </row>
    <row r="748" spans="1:11" x14ac:dyDescent="0.25">
      <c r="A748" s="1" t="s">
        <v>235</v>
      </c>
      <c r="B748" s="1" t="s">
        <v>1013</v>
      </c>
      <c r="C748" s="1" t="s">
        <v>2030</v>
      </c>
      <c r="D748" s="1" t="s">
        <v>1998</v>
      </c>
      <c r="E748" s="1"/>
      <c r="F748" s="1" t="s">
        <v>12</v>
      </c>
      <c r="G748">
        <v>1</v>
      </c>
      <c r="H748">
        <v>30</v>
      </c>
      <c r="I748" s="2"/>
      <c r="J748" s="2">
        <v>45700</v>
      </c>
      <c r="K748" s="2">
        <v>45785</v>
      </c>
    </row>
    <row r="749" spans="1:11" x14ac:dyDescent="0.25">
      <c r="A749" s="1" t="s">
        <v>235</v>
      </c>
      <c r="B749" s="1" t="s">
        <v>1184</v>
      </c>
      <c r="C749" s="1" t="s">
        <v>2043</v>
      </c>
      <c r="D749" s="1" t="s">
        <v>1998</v>
      </c>
      <c r="E749" s="1"/>
      <c r="F749" s="1" t="s">
        <v>11</v>
      </c>
      <c r="G749">
        <v>4760</v>
      </c>
      <c r="H749">
        <v>4360</v>
      </c>
      <c r="I749" s="2"/>
      <c r="J749" s="2">
        <v>45700</v>
      </c>
      <c r="K749" s="2">
        <v>45785</v>
      </c>
    </row>
    <row r="750" spans="1:11" x14ac:dyDescent="0.25">
      <c r="A750" s="1" t="s">
        <v>235</v>
      </c>
      <c r="B750" s="1" t="s">
        <v>1185</v>
      </c>
      <c r="C750" s="1" t="s">
        <v>2042</v>
      </c>
      <c r="D750" s="1" t="s">
        <v>1998</v>
      </c>
      <c r="E750" s="1"/>
      <c r="F750" s="1" t="s">
        <v>11</v>
      </c>
      <c r="G750">
        <v>3755</v>
      </c>
      <c r="H750">
        <v>3475</v>
      </c>
      <c r="I750" s="2"/>
      <c r="J750" s="2">
        <v>45700</v>
      </c>
      <c r="K750" s="2">
        <v>45785</v>
      </c>
    </row>
    <row r="751" spans="1:11" x14ac:dyDescent="0.25">
      <c r="A751" s="1" t="s">
        <v>236</v>
      </c>
      <c r="B751" s="1" t="s">
        <v>1260</v>
      </c>
      <c r="C751" s="1" t="s">
        <v>2014</v>
      </c>
      <c r="D751" s="1" t="s">
        <v>1998</v>
      </c>
      <c r="E751" s="1"/>
      <c r="F751" s="1" t="s">
        <v>11</v>
      </c>
      <c r="G751">
        <v>3150</v>
      </c>
      <c r="H751">
        <v>3150</v>
      </c>
      <c r="I751" s="2"/>
      <c r="J751" s="2">
        <v>45713</v>
      </c>
      <c r="K751" s="2">
        <v>45744</v>
      </c>
    </row>
    <row r="752" spans="1:11" x14ac:dyDescent="0.25">
      <c r="A752" s="1" t="s">
        <v>236</v>
      </c>
      <c r="B752" s="1" t="s">
        <v>1261</v>
      </c>
      <c r="C752" s="1" t="s">
        <v>2239</v>
      </c>
      <c r="D752" s="1" t="s">
        <v>1998</v>
      </c>
      <c r="E752" s="1"/>
      <c r="F752" s="1" t="s">
        <v>11</v>
      </c>
      <c r="G752">
        <v>2175</v>
      </c>
      <c r="H752">
        <v>1055</v>
      </c>
      <c r="I752" s="2"/>
      <c r="J752" s="2">
        <v>45713</v>
      </c>
      <c r="K752" s="2">
        <v>45744</v>
      </c>
    </row>
    <row r="753" spans="1:11" x14ac:dyDescent="0.25">
      <c r="A753" s="1" t="s">
        <v>237</v>
      </c>
      <c r="B753" s="1" t="s">
        <v>1262</v>
      </c>
      <c r="C753" s="1" t="s">
        <v>2240</v>
      </c>
      <c r="D753" s="1" t="s">
        <v>1998</v>
      </c>
      <c r="E753" s="1"/>
      <c r="F753" s="1" t="s">
        <v>11</v>
      </c>
      <c r="G753">
        <v>455</v>
      </c>
      <c r="H753">
        <v>495</v>
      </c>
      <c r="I753" s="2"/>
      <c r="J753" s="2">
        <v>45722</v>
      </c>
      <c r="K753" s="2">
        <v>45750</v>
      </c>
    </row>
    <row r="754" spans="1:11" x14ac:dyDescent="0.25">
      <c r="A754" s="1" t="s">
        <v>237</v>
      </c>
      <c r="B754" s="1" t="s">
        <v>1262</v>
      </c>
      <c r="C754" s="1" t="s">
        <v>2240</v>
      </c>
      <c r="D754" s="1" t="s">
        <v>1998</v>
      </c>
      <c r="E754" s="1"/>
      <c r="F754" s="1" t="s">
        <v>11</v>
      </c>
      <c r="G754">
        <v>25</v>
      </c>
      <c r="H754">
        <v>25</v>
      </c>
      <c r="I754" s="2"/>
      <c r="J754" s="2">
        <v>45722</v>
      </c>
      <c r="K754" s="2">
        <v>45750</v>
      </c>
    </row>
    <row r="755" spans="1:11" x14ac:dyDescent="0.25">
      <c r="A755" s="1" t="s">
        <v>237</v>
      </c>
      <c r="B755" s="1" t="s">
        <v>1262</v>
      </c>
      <c r="C755" s="1" t="s">
        <v>2240</v>
      </c>
      <c r="D755" s="1" t="s">
        <v>1998</v>
      </c>
      <c r="E755" s="1"/>
      <c r="F755" s="1" t="s">
        <v>11</v>
      </c>
      <c r="G755">
        <v>25</v>
      </c>
      <c r="H755">
        <v>25</v>
      </c>
      <c r="I755" s="2"/>
      <c r="J755" s="2">
        <v>45722</v>
      </c>
      <c r="K755" s="2">
        <v>45750</v>
      </c>
    </row>
    <row r="756" spans="1:11" x14ac:dyDescent="0.25">
      <c r="A756" s="1" t="s">
        <v>237</v>
      </c>
      <c r="B756" s="1" t="s">
        <v>1263</v>
      </c>
      <c r="C756" s="1" t="s">
        <v>2223</v>
      </c>
      <c r="D756" s="1" t="s">
        <v>1998</v>
      </c>
      <c r="E756" s="1"/>
      <c r="F756" s="1" t="s">
        <v>11</v>
      </c>
      <c r="G756">
        <v>60</v>
      </c>
      <c r="H756">
        <v>60</v>
      </c>
      <c r="I756" s="2"/>
      <c r="J756" s="2">
        <v>45722</v>
      </c>
      <c r="K756" s="2">
        <v>45750</v>
      </c>
    </row>
    <row r="757" spans="1:11" x14ac:dyDescent="0.25">
      <c r="A757" s="1" t="s">
        <v>237</v>
      </c>
      <c r="B757" s="1" t="s">
        <v>1263</v>
      </c>
      <c r="C757" s="1" t="s">
        <v>2223</v>
      </c>
      <c r="D757" s="1" t="s">
        <v>1998</v>
      </c>
      <c r="E757" s="1"/>
      <c r="F757" s="1" t="s">
        <v>11</v>
      </c>
      <c r="G757">
        <v>5</v>
      </c>
      <c r="H757">
        <v>5</v>
      </c>
      <c r="I757" s="2"/>
      <c r="J757" s="2">
        <v>45722</v>
      </c>
      <c r="K757" s="2">
        <v>45750</v>
      </c>
    </row>
    <row r="758" spans="1:11" x14ac:dyDescent="0.25">
      <c r="A758" s="1" t="s">
        <v>238</v>
      </c>
      <c r="B758" s="1" t="s">
        <v>995</v>
      </c>
      <c r="C758" s="1" t="s">
        <v>2013</v>
      </c>
      <c r="D758" s="1" t="s">
        <v>1998</v>
      </c>
      <c r="E758" s="1"/>
      <c r="F758" s="1" t="s">
        <v>11</v>
      </c>
      <c r="G758">
        <v>715</v>
      </c>
      <c r="H758">
        <v>10</v>
      </c>
      <c r="I758" s="2"/>
      <c r="J758" s="2">
        <v>45709</v>
      </c>
      <c r="K758" s="2">
        <v>45741</v>
      </c>
    </row>
    <row r="759" spans="1:11" x14ac:dyDescent="0.25">
      <c r="A759" s="1" t="s">
        <v>238</v>
      </c>
      <c r="B759" s="1" t="s">
        <v>1075</v>
      </c>
      <c r="C759" s="1" t="s">
        <v>2078</v>
      </c>
      <c r="D759" s="1" t="s">
        <v>1998</v>
      </c>
      <c r="E759" s="1"/>
      <c r="F759" s="1" t="s">
        <v>11</v>
      </c>
      <c r="G759">
        <v>210</v>
      </c>
      <c r="H759">
        <v>210</v>
      </c>
      <c r="I759" s="2"/>
      <c r="J759" s="2">
        <v>45709</v>
      </c>
      <c r="K759" s="2">
        <v>45741</v>
      </c>
    </row>
    <row r="760" spans="1:11" x14ac:dyDescent="0.25">
      <c r="A760" s="1" t="s">
        <v>238</v>
      </c>
      <c r="B760" s="1" t="s">
        <v>1052</v>
      </c>
      <c r="C760" s="1" t="s">
        <v>2061</v>
      </c>
      <c r="D760" s="1" t="s">
        <v>1998</v>
      </c>
      <c r="E760" s="1"/>
      <c r="F760" s="1" t="s">
        <v>11</v>
      </c>
      <c r="G760">
        <v>1945</v>
      </c>
      <c r="H760">
        <v>1935</v>
      </c>
      <c r="I760" s="2"/>
      <c r="J760" s="2">
        <v>45709</v>
      </c>
      <c r="K760" s="2">
        <v>45741</v>
      </c>
    </row>
    <row r="761" spans="1:11" x14ac:dyDescent="0.25">
      <c r="A761" s="1" t="s">
        <v>238</v>
      </c>
      <c r="B761" s="1" t="s">
        <v>999</v>
      </c>
      <c r="C761" s="1" t="s">
        <v>2017</v>
      </c>
      <c r="D761" s="1" t="s">
        <v>1998</v>
      </c>
      <c r="E761" s="1"/>
      <c r="F761" s="1" t="s">
        <v>11</v>
      </c>
      <c r="G761">
        <v>1</v>
      </c>
      <c r="H761">
        <v>1</v>
      </c>
      <c r="I761" s="2"/>
      <c r="J761" s="2">
        <v>45709</v>
      </c>
      <c r="K761" s="2">
        <v>45741</v>
      </c>
    </row>
    <row r="762" spans="1:11" x14ac:dyDescent="0.25">
      <c r="A762" s="1" t="s">
        <v>238</v>
      </c>
      <c r="B762" s="1" t="s">
        <v>1000</v>
      </c>
      <c r="C762" s="1" t="s">
        <v>2018</v>
      </c>
      <c r="D762" s="1" t="s">
        <v>1998</v>
      </c>
      <c r="E762" s="1"/>
      <c r="F762" s="1" t="s">
        <v>11</v>
      </c>
      <c r="G762">
        <v>10</v>
      </c>
      <c r="H762">
        <v>10</v>
      </c>
      <c r="I762" s="2"/>
      <c r="J762" s="2">
        <v>45709</v>
      </c>
      <c r="K762" s="2">
        <v>45741</v>
      </c>
    </row>
    <row r="763" spans="1:11" x14ac:dyDescent="0.25">
      <c r="A763" s="1" t="s">
        <v>238</v>
      </c>
      <c r="B763" s="1" t="s">
        <v>1001</v>
      </c>
      <c r="C763" s="1" t="s">
        <v>2019</v>
      </c>
      <c r="D763" s="1" t="s">
        <v>1998</v>
      </c>
      <c r="E763" s="1"/>
      <c r="F763" s="1" t="s">
        <v>11</v>
      </c>
      <c r="G763">
        <v>5</v>
      </c>
      <c r="H763">
        <v>5</v>
      </c>
      <c r="I763" s="2"/>
      <c r="J763" s="2">
        <v>45709</v>
      </c>
      <c r="K763" s="2">
        <v>45741</v>
      </c>
    </row>
    <row r="764" spans="1:11" x14ac:dyDescent="0.25">
      <c r="A764" s="1" t="s">
        <v>238</v>
      </c>
      <c r="B764" s="1" t="s">
        <v>1076</v>
      </c>
      <c r="C764" s="1" t="s">
        <v>2079</v>
      </c>
      <c r="D764" s="1" t="s">
        <v>1998</v>
      </c>
      <c r="E764" s="1"/>
      <c r="F764" s="1" t="s">
        <v>11</v>
      </c>
      <c r="G764">
        <v>5520</v>
      </c>
      <c r="H764">
        <v>5520</v>
      </c>
      <c r="I764" s="2"/>
      <c r="J764" s="2">
        <v>45709</v>
      </c>
      <c r="K764" s="2">
        <v>45741</v>
      </c>
    </row>
    <row r="765" spans="1:11" x14ac:dyDescent="0.25">
      <c r="A765" s="1" t="s">
        <v>238</v>
      </c>
      <c r="B765" s="1" t="s">
        <v>1077</v>
      </c>
      <c r="C765" s="1" t="s">
        <v>2080</v>
      </c>
      <c r="D765" s="1" t="s">
        <v>1998</v>
      </c>
      <c r="E765" s="1"/>
      <c r="F765" s="1" t="s">
        <v>11</v>
      </c>
      <c r="G765">
        <v>6395</v>
      </c>
      <c r="H765">
        <v>6395</v>
      </c>
      <c r="I765" s="2"/>
      <c r="J765" s="2">
        <v>45709</v>
      </c>
      <c r="K765" s="2">
        <v>45741</v>
      </c>
    </row>
    <row r="766" spans="1:11" x14ac:dyDescent="0.25">
      <c r="A766" s="1" t="s">
        <v>239</v>
      </c>
      <c r="B766" s="1" t="s">
        <v>1264</v>
      </c>
      <c r="C766" s="1" t="s">
        <v>2241</v>
      </c>
      <c r="D766" s="1" t="s">
        <v>1998</v>
      </c>
      <c r="E766" s="1"/>
      <c r="F766" s="1" t="s">
        <v>11</v>
      </c>
      <c r="G766">
        <v>190</v>
      </c>
      <c r="H766">
        <v>160</v>
      </c>
      <c r="I766" s="2"/>
      <c r="J766" s="2">
        <v>45726</v>
      </c>
      <c r="K766" s="2">
        <v>45743</v>
      </c>
    </row>
    <row r="767" spans="1:11" x14ac:dyDescent="0.25">
      <c r="A767" s="1" t="s">
        <v>239</v>
      </c>
      <c r="B767" s="1" t="s">
        <v>1265</v>
      </c>
      <c r="C767" s="1" t="s">
        <v>2242</v>
      </c>
      <c r="D767" s="1" t="s">
        <v>1998</v>
      </c>
      <c r="E767" s="1"/>
      <c r="F767" s="1" t="s">
        <v>11</v>
      </c>
      <c r="G767">
        <v>965</v>
      </c>
      <c r="H767">
        <v>1020</v>
      </c>
      <c r="I767" s="2"/>
      <c r="J767" s="2">
        <v>45726</v>
      </c>
      <c r="K767" s="2">
        <v>45743</v>
      </c>
    </row>
    <row r="768" spans="1:11" x14ac:dyDescent="0.25">
      <c r="A768" s="1" t="s">
        <v>239</v>
      </c>
      <c r="B768" s="1" t="s">
        <v>1206</v>
      </c>
      <c r="C768" s="1" t="s">
        <v>2196</v>
      </c>
      <c r="D768" s="1" t="s">
        <v>1998</v>
      </c>
      <c r="E768" s="1"/>
      <c r="F768" s="1" t="s">
        <v>11</v>
      </c>
      <c r="G768">
        <v>5</v>
      </c>
      <c r="H768">
        <v>5</v>
      </c>
      <c r="I768" s="2"/>
      <c r="J768" s="2">
        <v>45726</v>
      </c>
      <c r="K768" s="2">
        <v>45743</v>
      </c>
    </row>
    <row r="769" spans="1:11" x14ac:dyDescent="0.25">
      <c r="A769" s="1" t="s">
        <v>239</v>
      </c>
      <c r="B769" s="1" t="s">
        <v>1266</v>
      </c>
      <c r="C769" s="1" t="s">
        <v>2243</v>
      </c>
      <c r="D769" s="1" t="s">
        <v>1998</v>
      </c>
      <c r="E769" s="1"/>
      <c r="F769" s="1" t="s">
        <v>11</v>
      </c>
      <c r="G769">
        <v>10</v>
      </c>
      <c r="H769">
        <v>10</v>
      </c>
      <c r="I769" s="2"/>
      <c r="J769" s="2">
        <v>45726</v>
      </c>
      <c r="K769" s="2">
        <v>45743</v>
      </c>
    </row>
    <row r="770" spans="1:11" x14ac:dyDescent="0.25">
      <c r="A770" s="1" t="s">
        <v>240</v>
      </c>
      <c r="B770" s="1" t="s">
        <v>1265</v>
      </c>
      <c r="C770" s="1" t="s">
        <v>2242</v>
      </c>
      <c r="D770" s="1" t="s">
        <v>1998</v>
      </c>
      <c r="E770" s="1"/>
      <c r="F770" s="1" t="s">
        <v>11</v>
      </c>
      <c r="G770">
        <v>435</v>
      </c>
      <c r="H770">
        <v>440</v>
      </c>
      <c r="I770" s="2"/>
      <c r="J770" s="2">
        <v>45741</v>
      </c>
      <c r="K770" s="2">
        <v>45743</v>
      </c>
    </row>
    <row r="771" spans="1:11" x14ac:dyDescent="0.25">
      <c r="A771" s="1" t="s">
        <v>240</v>
      </c>
      <c r="B771" s="1" t="s">
        <v>1267</v>
      </c>
      <c r="C771" s="1" t="s">
        <v>2244</v>
      </c>
      <c r="D771" s="1" t="s">
        <v>1998</v>
      </c>
      <c r="E771" s="1"/>
      <c r="F771" s="1" t="s">
        <v>11</v>
      </c>
      <c r="G771">
        <v>10</v>
      </c>
      <c r="H771">
        <v>15</v>
      </c>
      <c r="I771" s="2"/>
      <c r="J771" s="2">
        <v>45741</v>
      </c>
      <c r="K771" s="2">
        <v>45743</v>
      </c>
    </row>
    <row r="772" spans="1:11" x14ac:dyDescent="0.25">
      <c r="A772" s="1" t="s">
        <v>240</v>
      </c>
      <c r="B772" s="1" t="s">
        <v>1206</v>
      </c>
      <c r="C772" s="1" t="s">
        <v>2196</v>
      </c>
      <c r="D772" s="1" t="s">
        <v>1998</v>
      </c>
      <c r="E772" s="1"/>
      <c r="F772" s="1" t="s">
        <v>11</v>
      </c>
      <c r="G772">
        <v>1</v>
      </c>
      <c r="H772">
        <v>1</v>
      </c>
      <c r="I772" s="2"/>
      <c r="J772" s="2">
        <v>45741</v>
      </c>
      <c r="K772" s="2">
        <v>45743</v>
      </c>
    </row>
    <row r="773" spans="1:11" x14ac:dyDescent="0.25">
      <c r="A773" s="1" t="s">
        <v>240</v>
      </c>
      <c r="B773" s="1" t="s">
        <v>1266</v>
      </c>
      <c r="C773" s="1" t="s">
        <v>2243</v>
      </c>
      <c r="D773" s="1" t="s">
        <v>1998</v>
      </c>
      <c r="E773" s="1"/>
      <c r="F773" s="1" t="s">
        <v>11</v>
      </c>
      <c r="G773">
        <v>5</v>
      </c>
      <c r="H773">
        <v>5</v>
      </c>
      <c r="I773" s="2"/>
      <c r="J773" s="2">
        <v>45741</v>
      </c>
      <c r="K773" s="2">
        <v>45743</v>
      </c>
    </row>
    <row r="774" spans="1:11" x14ac:dyDescent="0.25">
      <c r="A774" s="1" t="s">
        <v>241</v>
      </c>
      <c r="B774" s="1" t="s">
        <v>995</v>
      </c>
      <c r="C774" s="1" t="s">
        <v>2013</v>
      </c>
      <c r="D774" s="1" t="s">
        <v>1998</v>
      </c>
      <c r="E774" s="1"/>
      <c r="F774" s="1" t="s">
        <v>11</v>
      </c>
      <c r="G774">
        <v>715</v>
      </c>
      <c r="H774">
        <v>15</v>
      </c>
      <c r="I774" s="2"/>
      <c r="J774" s="2">
        <v>45707</v>
      </c>
      <c r="K774" s="2">
        <v>45733</v>
      </c>
    </row>
    <row r="775" spans="1:11" x14ac:dyDescent="0.25">
      <c r="A775" s="1" t="s">
        <v>241</v>
      </c>
      <c r="B775" s="1" t="s">
        <v>1075</v>
      </c>
      <c r="C775" s="1" t="s">
        <v>2078</v>
      </c>
      <c r="D775" s="1" t="s">
        <v>1998</v>
      </c>
      <c r="E775" s="1"/>
      <c r="F775" s="1" t="s">
        <v>11</v>
      </c>
      <c r="G775">
        <v>210</v>
      </c>
      <c r="H775">
        <v>210</v>
      </c>
      <c r="I775" s="2"/>
      <c r="J775" s="2">
        <v>45707</v>
      </c>
      <c r="K775" s="2">
        <v>45733</v>
      </c>
    </row>
    <row r="776" spans="1:11" x14ac:dyDescent="0.25">
      <c r="A776" s="1" t="s">
        <v>241</v>
      </c>
      <c r="B776" s="1" t="s">
        <v>1052</v>
      </c>
      <c r="C776" s="1" t="s">
        <v>2061</v>
      </c>
      <c r="D776" s="1" t="s">
        <v>1998</v>
      </c>
      <c r="E776" s="1"/>
      <c r="F776" s="1" t="s">
        <v>11</v>
      </c>
      <c r="G776">
        <v>1945</v>
      </c>
      <c r="H776">
        <v>1945</v>
      </c>
      <c r="I776" s="2"/>
      <c r="J776" s="2">
        <v>45707</v>
      </c>
      <c r="K776" s="2">
        <v>45733</v>
      </c>
    </row>
    <row r="777" spans="1:11" x14ac:dyDescent="0.25">
      <c r="A777" s="1" t="s">
        <v>241</v>
      </c>
      <c r="B777" s="1" t="s">
        <v>1052</v>
      </c>
      <c r="C777" s="1" t="s">
        <v>2061</v>
      </c>
      <c r="D777" s="1" t="s">
        <v>1998</v>
      </c>
      <c r="E777" s="1"/>
      <c r="F777" s="1" t="s">
        <v>11</v>
      </c>
      <c r="G777">
        <v>60</v>
      </c>
      <c r="H777">
        <v>60</v>
      </c>
      <c r="I777" s="2"/>
      <c r="J777" s="2">
        <v>45707</v>
      </c>
      <c r="K777" s="2">
        <v>45733</v>
      </c>
    </row>
    <row r="778" spans="1:11" x14ac:dyDescent="0.25">
      <c r="A778" s="1" t="s">
        <v>241</v>
      </c>
      <c r="B778" s="1" t="s">
        <v>999</v>
      </c>
      <c r="C778" s="1" t="s">
        <v>2017</v>
      </c>
      <c r="D778" s="1" t="s">
        <v>1998</v>
      </c>
      <c r="E778" s="1"/>
      <c r="F778" s="1" t="s">
        <v>11</v>
      </c>
      <c r="G778">
        <v>1</v>
      </c>
      <c r="H778">
        <v>1</v>
      </c>
      <c r="I778" s="2"/>
      <c r="J778" s="2">
        <v>45707</v>
      </c>
      <c r="K778" s="2">
        <v>45733</v>
      </c>
    </row>
    <row r="779" spans="1:11" x14ac:dyDescent="0.25">
      <c r="A779" s="1" t="s">
        <v>241</v>
      </c>
      <c r="B779" s="1" t="s">
        <v>1000</v>
      </c>
      <c r="C779" s="1" t="s">
        <v>2018</v>
      </c>
      <c r="D779" s="1" t="s">
        <v>1998</v>
      </c>
      <c r="E779" s="1"/>
      <c r="F779" s="1" t="s">
        <v>11</v>
      </c>
      <c r="G779">
        <v>10</v>
      </c>
      <c r="H779">
        <v>10</v>
      </c>
      <c r="I779" s="2"/>
      <c r="J779" s="2">
        <v>45707</v>
      </c>
      <c r="K779" s="2">
        <v>45733</v>
      </c>
    </row>
    <row r="780" spans="1:11" x14ac:dyDescent="0.25">
      <c r="A780" s="1" t="s">
        <v>241</v>
      </c>
      <c r="B780" s="1" t="s">
        <v>1001</v>
      </c>
      <c r="C780" s="1" t="s">
        <v>2019</v>
      </c>
      <c r="D780" s="1" t="s">
        <v>1998</v>
      </c>
      <c r="E780" s="1"/>
      <c r="F780" s="1" t="s">
        <v>11</v>
      </c>
      <c r="G780">
        <v>5</v>
      </c>
      <c r="H780">
        <v>5</v>
      </c>
      <c r="I780" s="2"/>
      <c r="J780" s="2">
        <v>45707</v>
      </c>
      <c r="K780" s="2">
        <v>45733</v>
      </c>
    </row>
    <row r="781" spans="1:11" x14ac:dyDescent="0.25">
      <c r="A781" s="1" t="s">
        <v>241</v>
      </c>
      <c r="B781" s="1" t="s">
        <v>1076</v>
      </c>
      <c r="C781" s="1" t="s">
        <v>2079</v>
      </c>
      <c r="D781" s="1" t="s">
        <v>1998</v>
      </c>
      <c r="E781" s="1"/>
      <c r="F781" s="1" t="s">
        <v>11</v>
      </c>
      <c r="G781">
        <v>5520</v>
      </c>
      <c r="H781">
        <v>5520</v>
      </c>
      <c r="I781" s="2"/>
      <c r="J781" s="2">
        <v>45707</v>
      </c>
      <c r="K781" s="2">
        <v>45733</v>
      </c>
    </row>
    <row r="782" spans="1:11" x14ac:dyDescent="0.25">
      <c r="A782" s="1" t="s">
        <v>241</v>
      </c>
      <c r="B782" s="1" t="s">
        <v>1077</v>
      </c>
      <c r="C782" s="1" t="s">
        <v>2080</v>
      </c>
      <c r="D782" s="1" t="s">
        <v>1998</v>
      </c>
      <c r="E782" s="1"/>
      <c r="F782" s="1" t="s">
        <v>11</v>
      </c>
      <c r="G782">
        <v>6395</v>
      </c>
      <c r="H782">
        <v>6395</v>
      </c>
      <c r="I782" s="2"/>
      <c r="J782" s="2">
        <v>45707</v>
      </c>
      <c r="K782" s="2">
        <v>45733</v>
      </c>
    </row>
    <row r="783" spans="1:11" x14ac:dyDescent="0.25">
      <c r="A783" s="1" t="s">
        <v>242</v>
      </c>
      <c r="B783" s="1" t="s">
        <v>995</v>
      </c>
      <c r="C783" s="1" t="s">
        <v>2013</v>
      </c>
      <c r="D783" s="1" t="s">
        <v>1998</v>
      </c>
      <c r="E783" s="1"/>
      <c r="F783" s="1" t="s">
        <v>11</v>
      </c>
      <c r="G783">
        <v>620</v>
      </c>
      <c r="H783">
        <v>10</v>
      </c>
      <c r="I783" s="2"/>
      <c r="J783" s="2">
        <v>45716</v>
      </c>
      <c r="K783" s="2">
        <v>45741</v>
      </c>
    </row>
    <row r="784" spans="1:11" x14ac:dyDescent="0.25">
      <c r="A784" s="1" t="s">
        <v>242</v>
      </c>
      <c r="B784" s="1" t="s">
        <v>1075</v>
      </c>
      <c r="C784" s="1" t="s">
        <v>2078</v>
      </c>
      <c r="D784" s="1" t="s">
        <v>1998</v>
      </c>
      <c r="E784" s="1"/>
      <c r="F784" s="1" t="s">
        <v>11</v>
      </c>
      <c r="G784">
        <v>185</v>
      </c>
      <c r="H784">
        <v>210</v>
      </c>
      <c r="I784" s="2"/>
      <c r="J784" s="2">
        <v>45716</v>
      </c>
      <c r="K784" s="2">
        <v>45741</v>
      </c>
    </row>
    <row r="785" spans="1:11" x14ac:dyDescent="0.25">
      <c r="A785" s="1" t="s">
        <v>242</v>
      </c>
      <c r="B785" s="1" t="s">
        <v>1052</v>
      </c>
      <c r="C785" s="1" t="s">
        <v>2061</v>
      </c>
      <c r="D785" s="1" t="s">
        <v>1998</v>
      </c>
      <c r="E785" s="1"/>
      <c r="F785" s="1" t="s">
        <v>11</v>
      </c>
      <c r="G785">
        <v>1695</v>
      </c>
      <c r="H785">
        <v>1945</v>
      </c>
      <c r="I785" s="2"/>
      <c r="J785" s="2">
        <v>45716</v>
      </c>
      <c r="K785" s="2">
        <v>45741</v>
      </c>
    </row>
    <row r="786" spans="1:11" x14ac:dyDescent="0.25">
      <c r="A786" s="1" t="s">
        <v>242</v>
      </c>
      <c r="B786" s="1" t="s">
        <v>999</v>
      </c>
      <c r="C786" s="1" t="s">
        <v>2017</v>
      </c>
      <c r="D786" s="1" t="s">
        <v>1998</v>
      </c>
      <c r="E786" s="1"/>
      <c r="F786" s="1" t="s">
        <v>11</v>
      </c>
      <c r="G786">
        <v>1</v>
      </c>
      <c r="H786">
        <v>1</v>
      </c>
      <c r="I786" s="2"/>
      <c r="J786" s="2">
        <v>45716</v>
      </c>
      <c r="K786" s="2">
        <v>45741</v>
      </c>
    </row>
    <row r="787" spans="1:11" x14ac:dyDescent="0.25">
      <c r="A787" s="1" t="s">
        <v>242</v>
      </c>
      <c r="B787" s="1" t="s">
        <v>1000</v>
      </c>
      <c r="C787" s="1" t="s">
        <v>2018</v>
      </c>
      <c r="D787" s="1" t="s">
        <v>1998</v>
      </c>
      <c r="E787" s="1"/>
      <c r="F787" s="1" t="s">
        <v>11</v>
      </c>
      <c r="G787">
        <v>5</v>
      </c>
      <c r="H787">
        <v>5</v>
      </c>
      <c r="I787" s="2"/>
      <c r="J787" s="2">
        <v>45716</v>
      </c>
      <c r="K787" s="2">
        <v>45741</v>
      </c>
    </row>
    <row r="788" spans="1:11" x14ac:dyDescent="0.25">
      <c r="A788" s="1" t="s">
        <v>242</v>
      </c>
      <c r="B788" s="1" t="s">
        <v>1001</v>
      </c>
      <c r="C788" s="1" t="s">
        <v>2019</v>
      </c>
      <c r="D788" s="1" t="s">
        <v>1998</v>
      </c>
      <c r="E788" s="1"/>
      <c r="F788" s="1" t="s">
        <v>11</v>
      </c>
      <c r="G788">
        <v>5</v>
      </c>
      <c r="H788">
        <v>5</v>
      </c>
      <c r="I788" s="2"/>
      <c r="J788" s="2">
        <v>45716</v>
      </c>
      <c r="K788" s="2">
        <v>45741</v>
      </c>
    </row>
    <row r="789" spans="1:11" x14ac:dyDescent="0.25">
      <c r="A789" s="1" t="s">
        <v>242</v>
      </c>
      <c r="B789" s="1" t="s">
        <v>1076</v>
      </c>
      <c r="C789" s="1" t="s">
        <v>2079</v>
      </c>
      <c r="D789" s="1" t="s">
        <v>1998</v>
      </c>
      <c r="E789" s="1"/>
      <c r="F789" s="1" t="s">
        <v>11</v>
      </c>
      <c r="G789">
        <v>4810</v>
      </c>
      <c r="H789">
        <v>4810</v>
      </c>
      <c r="I789" s="2"/>
      <c r="J789" s="2">
        <v>45716</v>
      </c>
      <c r="K789" s="2">
        <v>45741</v>
      </c>
    </row>
    <row r="790" spans="1:11" x14ac:dyDescent="0.25">
      <c r="A790" s="1" t="s">
        <v>242</v>
      </c>
      <c r="B790" s="1" t="s">
        <v>1077</v>
      </c>
      <c r="C790" s="1" t="s">
        <v>2080</v>
      </c>
      <c r="D790" s="1" t="s">
        <v>1998</v>
      </c>
      <c r="E790" s="1"/>
      <c r="F790" s="1" t="s">
        <v>11</v>
      </c>
      <c r="G790">
        <v>5575</v>
      </c>
      <c r="H790">
        <v>5575</v>
      </c>
      <c r="I790" s="2"/>
      <c r="J790" s="2">
        <v>45716</v>
      </c>
      <c r="K790" s="2">
        <v>45741</v>
      </c>
    </row>
    <row r="791" spans="1:11" x14ac:dyDescent="0.25">
      <c r="A791" s="1" t="s">
        <v>243</v>
      </c>
      <c r="B791" s="1" t="s">
        <v>1268</v>
      </c>
      <c r="C791" s="1" t="s">
        <v>2245</v>
      </c>
      <c r="D791" s="1" t="s">
        <v>1998</v>
      </c>
      <c r="E791" s="1"/>
      <c r="F791" s="1" t="s">
        <v>11</v>
      </c>
      <c r="G791">
        <v>5530</v>
      </c>
      <c r="H791">
        <v>5530</v>
      </c>
      <c r="I791" s="2">
        <v>45783</v>
      </c>
      <c r="J791" s="2">
        <v>45701</v>
      </c>
      <c r="K791" s="2">
        <v>45783</v>
      </c>
    </row>
    <row r="792" spans="1:11" x14ac:dyDescent="0.25">
      <c r="A792" s="1" t="s">
        <v>243</v>
      </c>
      <c r="B792" s="1" t="s">
        <v>1269</v>
      </c>
      <c r="C792" s="1" t="s">
        <v>2246</v>
      </c>
      <c r="D792" s="1" t="s">
        <v>1998</v>
      </c>
      <c r="E792" s="1"/>
      <c r="F792" s="1" t="s">
        <v>11</v>
      </c>
      <c r="G792">
        <v>29770</v>
      </c>
      <c r="H792">
        <v>29770</v>
      </c>
      <c r="I792" s="2">
        <v>45783</v>
      </c>
      <c r="J792" s="2">
        <v>45701</v>
      </c>
      <c r="K792" s="2">
        <v>45783</v>
      </c>
    </row>
    <row r="793" spans="1:11" x14ac:dyDescent="0.25">
      <c r="A793" s="1" t="s">
        <v>243</v>
      </c>
      <c r="B793" s="1" t="s">
        <v>1270</v>
      </c>
      <c r="C793" s="1" t="s">
        <v>2247</v>
      </c>
      <c r="D793" s="1" t="s">
        <v>1998</v>
      </c>
      <c r="E793" s="1"/>
      <c r="F793" s="1" t="s">
        <v>11</v>
      </c>
      <c r="G793">
        <v>1095</v>
      </c>
      <c r="H793">
        <v>1360</v>
      </c>
      <c r="I793" s="2">
        <v>45783</v>
      </c>
      <c r="J793" s="2">
        <v>45701</v>
      </c>
      <c r="K793" s="2">
        <v>45783</v>
      </c>
    </row>
    <row r="794" spans="1:11" x14ac:dyDescent="0.25">
      <c r="A794" s="1" t="s">
        <v>243</v>
      </c>
      <c r="B794" s="1" t="s">
        <v>991</v>
      </c>
      <c r="C794" s="1" t="s">
        <v>2009</v>
      </c>
      <c r="D794" s="1" t="s">
        <v>1998</v>
      </c>
      <c r="E794" s="1"/>
      <c r="F794" s="1" t="s">
        <v>12</v>
      </c>
      <c r="G794">
        <v>1</v>
      </c>
      <c r="H794">
        <v>120</v>
      </c>
      <c r="I794" s="2">
        <v>45783</v>
      </c>
      <c r="J794" s="2">
        <v>45701</v>
      </c>
      <c r="K794" s="2">
        <v>45783</v>
      </c>
    </row>
    <row r="795" spans="1:11" x14ac:dyDescent="0.25">
      <c r="A795" s="1" t="s">
        <v>243</v>
      </c>
      <c r="B795" s="1" t="s">
        <v>992</v>
      </c>
      <c r="C795" s="1" t="s">
        <v>2010</v>
      </c>
      <c r="D795" s="1" t="s">
        <v>1998</v>
      </c>
      <c r="E795" s="1"/>
      <c r="F795" s="1" t="s">
        <v>12</v>
      </c>
      <c r="G795">
        <v>1</v>
      </c>
      <c r="H795">
        <v>55</v>
      </c>
      <c r="I795" s="2">
        <v>45783</v>
      </c>
      <c r="J795" s="2">
        <v>45701</v>
      </c>
      <c r="K795" s="2">
        <v>45783</v>
      </c>
    </row>
    <row r="796" spans="1:11" x14ac:dyDescent="0.25">
      <c r="A796" s="1" t="s">
        <v>243</v>
      </c>
      <c r="B796" s="1" t="s">
        <v>993</v>
      </c>
      <c r="C796" s="1" t="s">
        <v>2011</v>
      </c>
      <c r="D796" s="1" t="s">
        <v>1998</v>
      </c>
      <c r="E796" s="1"/>
      <c r="F796" s="1" t="s">
        <v>12</v>
      </c>
      <c r="G796">
        <v>1</v>
      </c>
      <c r="H796">
        <v>400</v>
      </c>
      <c r="I796" s="2">
        <v>45783</v>
      </c>
      <c r="J796" s="2">
        <v>45701</v>
      </c>
      <c r="K796" s="2">
        <v>45783</v>
      </c>
    </row>
    <row r="797" spans="1:11" x14ac:dyDescent="0.25">
      <c r="A797" s="1" t="s">
        <v>244</v>
      </c>
      <c r="B797" s="1" t="s">
        <v>995</v>
      </c>
      <c r="C797" s="1" t="s">
        <v>2013</v>
      </c>
      <c r="D797" s="1" t="s">
        <v>1998</v>
      </c>
      <c r="E797" s="1"/>
      <c r="F797" s="1" t="s">
        <v>11</v>
      </c>
      <c r="G797">
        <v>715</v>
      </c>
      <c r="H797">
        <v>10</v>
      </c>
      <c r="I797" s="2"/>
      <c r="J797" s="2">
        <v>45727</v>
      </c>
      <c r="K797" s="2">
        <v>45737</v>
      </c>
    </row>
    <row r="798" spans="1:11" x14ac:dyDescent="0.25">
      <c r="A798" s="1" t="s">
        <v>244</v>
      </c>
      <c r="B798" s="1" t="s">
        <v>1075</v>
      </c>
      <c r="C798" s="1" t="s">
        <v>2078</v>
      </c>
      <c r="D798" s="1" t="s">
        <v>1998</v>
      </c>
      <c r="E798" s="1"/>
      <c r="F798" s="1" t="s">
        <v>11</v>
      </c>
      <c r="G798">
        <v>210</v>
      </c>
      <c r="H798">
        <v>210</v>
      </c>
      <c r="I798" s="2"/>
      <c r="J798" s="2">
        <v>45727</v>
      </c>
      <c r="K798" s="2">
        <v>45737</v>
      </c>
    </row>
    <row r="799" spans="1:11" x14ac:dyDescent="0.25">
      <c r="A799" s="1" t="s">
        <v>244</v>
      </c>
      <c r="B799" s="1" t="s">
        <v>1052</v>
      </c>
      <c r="C799" s="1" t="s">
        <v>2061</v>
      </c>
      <c r="D799" s="1" t="s">
        <v>1998</v>
      </c>
      <c r="E799" s="1"/>
      <c r="F799" s="1" t="s">
        <v>11</v>
      </c>
      <c r="G799">
        <v>1945</v>
      </c>
      <c r="H799">
        <v>1945</v>
      </c>
      <c r="I799" s="2"/>
      <c r="J799" s="2">
        <v>45727</v>
      </c>
      <c r="K799" s="2">
        <v>45737</v>
      </c>
    </row>
    <row r="800" spans="1:11" x14ac:dyDescent="0.25">
      <c r="A800" s="1" t="s">
        <v>244</v>
      </c>
      <c r="B800" s="1" t="s">
        <v>999</v>
      </c>
      <c r="C800" s="1" t="s">
        <v>2017</v>
      </c>
      <c r="D800" s="1" t="s">
        <v>1998</v>
      </c>
      <c r="E800" s="1"/>
      <c r="F800" s="1" t="s">
        <v>11</v>
      </c>
      <c r="G800">
        <v>1</v>
      </c>
      <c r="H800">
        <v>1</v>
      </c>
      <c r="I800" s="2"/>
      <c r="J800" s="2">
        <v>45727</v>
      </c>
      <c r="K800" s="2">
        <v>45737</v>
      </c>
    </row>
    <row r="801" spans="1:11" x14ac:dyDescent="0.25">
      <c r="A801" s="1" t="s">
        <v>244</v>
      </c>
      <c r="B801" s="1" t="s">
        <v>1000</v>
      </c>
      <c r="C801" s="1" t="s">
        <v>2018</v>
      </c>
      <c r="D801" s="1" t="s">
        <v>1998</v>
      </c>
      <c r="E801" s="1"/>
      <c r="F801" s="1" t="s">
        <v>11</v>
      </c>
      <c r="G801">
        <v>10</v>
      </c>
      <c r="H801">
        <v>10</v>
      </c>
      <c r="I801" s="2"/>
      <c r="J801" s="2">
        <v>45727</v>
      </c>
      <c r="K801" s="2">
        <v>45737</v>
      </c>
    </row>
    <row r="802" spans="1:11" x14ac:dyDescent="0.25">
      <c r="A802" s="1" t="s">
        <v>244</v>
      </c>
      <c r="B802" s="1" t="s">
        <v>1001</v>
      </c>
      <c r="C802" s="1" t="s">
        <v>2019</v>
      </c>
      <c r="D802" s="1" t="s">
        <v>1998</v>
      </c>
      <c r="E802" s="1"/>
      <c r="F802" s="1" t="s">
        <v>11</v>
      </c>
      <c r="G802">
        <v>5</v>
      </c>
      <c r="H802">
        <v>5</v>
      </c>
      <c r="I802" s="2"/>
      <c r="J802" s="2">
        <v>45727</v>
      </c>
      <c r="K802" s="2">
        <v>45737</v>
      </c>
    </row>
    <row r="803" spans="1:11" x14ac:dyDescent="0.25">
      <c r="A803" s="1" t="s">
        <v>244</v>
      </c>
      <c r="B803" s="1" t="s">
        <v>1076</v>
      </c>
      <c r="C803" s="1" t="s">
        <v>2079</v>
      </c>
      <c r="D803" s="1" t="s">
        <v>1998</v>
      </c>
      <c r="E803" s="1"/>
      <c r="F803" s="1" t="s">
        <v>11</v>
      </c>
      <c r="G803">
        <v>5520</v>
      </c>
      <c r="H803">
        <v>5520</v>
      </c>
      <c r="I803" s="2"/>
      <c r="J803" s="2">
        <v>45727</v>
      </c>
      <c r="K803" s="2">
        <v>45737</v>
      </c>
    </row>
    <row r="804" spans="1:11" x14ac:dyDescent="0.25">
      <c r="A804" s="1" t="s">
        <v>244</v>
      </c>
      <c r="B804" s="1" t="s">
        <v>1077</v>
      </c>
      <c r="C804" s="1" t="s">
        <v>2080</v>
      </c>
      <c r="D804" s="1" t="s">
        <v>1998</v>
      </c>
      <c r="E804" s="1"/>
      <c r="F804" s="1" t="s">
        <v>11</v>
      </c>
      <c r="G804">
        <v>6395</v>
      </c>
      <c r="H804">
        <v>6395</v>
      </c>
      <c r="I804" s="2"/>
      <c r="J804" s="2">
        <v>45727</v>
      </c>
      <c r="K804" s="2">
        <v>45737</v>
      </c>
    </row>
    <row r="805" spans="1:11" x14ac:dyDescent="0.25">
      <c r="A805" s="1" t="s">
        <v>245</v>
      </c>
      <c r="B805" s="1" t="s">
        <v>1271</v>
      </c>
      <c r="C805" s="1" t="s">
        <v>2248</v>
      </c>
      <c r="D805" s="1" t="s">
        <v>1998</v>
      </c>
      <c r="E805" s="1"/>
      <c r="F805" s="1" t="s">
        <v>11</v>
      </c>
      <c r="G805">
        <v>23245</v>
      </c>
      <c r="H805">
        <v>23390</v>
      </c>
      <c r="I805" s="2"/>
      <c r="J805" s="2">
        <v>45702</v>
      </c>
      <c r="K805" s="2">
        <v>45772</v>
      </c>
    </row>
    <row r="806" spans="1:11" x14ac:dyDescent="0.25">
      <c r="A806" s="1" t="s">
        <v>245</v>
      </c>
      <c r="B806" s="1" t="s">
        <v>1272</v>
      </c>
      <c r="C806" s="1" t="s">
        <v>2249</v>
      </c>
      <c r="D806" s="1" t="s">
        <v>1998</v>
      </c>
      <c r="E806" s="1"/>
      <c r="F806" s="1" t="s">
        <v>11</v>
      </c>
      <c r="G806">
        <v>100</v>
      </c>
      <c r="H806">
        <v>80</v>
      </c>
      <c r="I806" s="2"/>
      <c r="J806" s="2">
        <v>45702</v>
      </c>
      <c r="K806" s="2">
        <v>45772</v>
      </c>
    </row>
    <row r="807" spans="1:11" x14ac:dyDescent="0.25">
      <c r="A807" s="1" t="s">
        <v>245</v>
      </c>
      <c r="B807" s="1" t="s">
        <v>1273</v>
      </c>
      <c r="C807" s="1" t="s">
        <v>2250</v>
      </c>
      <c r="D807" s="1" t="s">
        <v>1998</v>
      </c>
      <c r="E807" s="1"/>
      <c r="F807" s="1" t="s">
        <v>11</v>
      </c>
      <c r="G807">
        <v>10</v>
      </c>
      <c r="H807">
        <v>10</v>
      </c>
      <c r="I807" s="2"/>
      <c r="J807" s="2">
        <v>45702</v>
      </c>
      <c r="K807" s="2">
        <v>45772</v>
      </c>
    </row>
    <row r="808" spans="1:11" x14ac:dyDescent="0.25">
      <c r="A808" s="1" t="s">
        <v>245</v>
      </c>
      <c r="B808" s="1" t="s">
        <v>1027</v>
      </c>
      <c r="C808" s="1" t="s">
        <v>2040</v>
      </c>
      <c r="D808" s="1" t="s">
        <v>1998</v>
      </c>
      <c r="E808" s="1"/>
      <c r="F808" s="1" t="s">
        <v>11</v>
      </c>
      <c r="G808">
        <v>85</v>
      </c>
      <c r="H808">
        <v>85</v>
      </c>
      <c r="I808" s="2"/>
      <c r="J808" s="2">
        <v>45702</v>
      </c>
      <c r="K808" s="2">
        <v>45772</v>
      </c>
    </row>
    <row r="809" spans="1:11" x14ac:dyDescent="0.25">
      <c r="A809" s="1" t="s">
        <v>245</v>
      </c>
      <c r="B809" s="1" t="s">
        <v>1274</v>
      </c>
      <c r="C809" s="1" t="s">
        <v>2251</v>
      </c>
      <c r="D809" s="1" t="s">
        <v>1998</v>
      </c>
      <c r="E809" s="1"/>
      <c r="F809" s="1" t="s">
        <v>11</v>
      </c>
      <c r="G809">
        <v>185</v>
      </c>
      <c r="H809">
        <v>185</v>
      </c>
      <c r="I809" s="2"/>
      <c r="J809" s="2">
        <v>45702</v>
      </c>
      <c r="K809" s="2">
        <v>45772</v>
      </c>
    </row>
    <row r="810" spans="1:11" x14ac:dyDescent="0.25">
      <c r="A810" s="1" t="s">
        <v>245</v>
      </c>
      <c r="B810" s="1" t="s">
        <v>1013</v>
      </c>
      <c r="C810" s="1" t="s">
        <v>2030</v>
      </c>
      <c r="D810" s="1" t="s">
        <v>1998</v>
      </c>
      <c r="E810" s="1"/>
      <c r="F810" s="1" t="s">
        <v>11</v>
      </c>
      <c r="G810">
        <v>20</v>
      </c>
      <c r="H810">
        <v>20</v>
      </c>
      <c r="I810" s="2"/>
      <c r="J810" s="2">
        <v>45702</v>
      </c>
      <c r="K810" s="2">
        <v>45772</v>
      </c>
    </row>
    <row r="811" spans="1:11" x14ac:dyDescent="0.25">
      <c r="A811" s="1" t="s">
        <v>245</v>
      </c>
      <c r="B811" s="1" t="s">
        <v>993</v>
      </c>
      <c r="C811" s="1" t="s">
        <v>2011</v>
      </c>
      <c r="D811" s="1" t="s">
        <v>1998</v>
      </c>
      <c r="E811" s="1"/>
      <c r="F811" s="1" t="s">
        <v>11</v>
      </c>
      <c r="G811">
        <v>10</v>
      </c>
      <c r="H811">
        <v>10</v>
      </c>
      <c r="I811" s="2"/>
      <c r="J811" s="2">
        <v>45702</v>
      </c>
      <c r="K811" s="2">
        <v>45772</v>
      </c>
    </row>
    <row r="812" spans="1:11" x14ac:dyDescent="0.25">
      <c r="A812" s="1" t="s">
        <v>245</v>
      </c>
      <c r="B812" s="1" t="s">
        <v>993</v>
      </c>
      <c r="C812" s="1" t="s">
        <v>2011</v>
      </c>
      <c r="D812" s="1" t="s">
        <v>1998</v>
      </c>
      <c r="E812" s="1"/>
      <c r="F812" s="1" t="s">
        <v>11</v>
      </c>
      <c r="G812">
        <v>15</v>
      </c>
      <c r="H812">
        <v>20</v>
      </c>
      <c r="I812" s="2"/>
      <c r="J812" s="2">
        <v>45702</v>
      </c>
      <c r="K812" s="2">
        <v>45772</v>
      </c>
    </row>
    <row r="813" spans="1:11" x14ac:dyDescent="0.25">
      <c r="A813" s="1" t="s">
        <v>245</v>
      </c>
      <c r="B813" s="1" t="s">
        <v>1275</v>
      </c>
      <c r="C813" s="1" t="s">
        <v>2252</v>
      </c>
      <c r="D813" s="1" t="s">
        <v>1998</v>
      </c>
      <c r="E813" s="1"/>
      <c r="F813" s="1" t="s">
        <v>11</v>
      </c>
      <c r="G813">
        <v>55</v>
      </c>
      <c r="H813">
        <v>55</v>
      </c>
      <c r="I813" s="2"/>
      <c r="J813" s="2">
        <v>45702</v>
      </c>
      <c r="K813" s="2">
        <v>45772</v>
      </c>
    </row>
    <row r="814" spans="1:11" x14ac:dyDescent="0.25">
      <c r="A814" s="1" t="s">
        <v>245</v>
      </c>
      <c r="B814" s="1" t="s">
        <v>1276</v>
      </c>
      <c r="C814" s="1" t="s">
        <v>2253</v>
      </c>
      <c r="D814" s="1" t="s">
        <v>1998</v>
      </c>
      <c r="E814" s="1"/>
      <c r="F814" s="1" t="s">
        <v>11</v>
      </c>
      <c r="G814">
        <v>3765</v>
      </c>
      <c r="H814">
        <v>3790</v>
      </c>
      <c r="I814" s="2"/>
      <c r="J814" s="2">
        <v>45702</v>
      </c>
      <c r="K814" s="2">
        <v>45772</v>
      </c>
    </row>
    <row r="815" spans="1:11" x14ac:dyDescent="0.25">
      <c r="A815" s="1" t="s">
        <v>246</v>
      </c>
      <c r="B815" s="1" t="s">
        <v>1277</v>
      </c>
      <c r="C815" s="1" t="s">
        <v>2254</v>
      </c>
      <c r="D815" s="1" t="s">
        <v>1998</v>
      </c>
      <c r="E815" s="1"/>
      <c r="F815" s="1" t="s">
        <v>11</v>
      </c>
      <c r="G815">
        <v>360</v>
      </c>
      <c r="H815">
        <v>375</v>
      </c>
      <c r="I815" s="2"/>
      <c r="J815" s="2">
        <v>45723</v>
      </c>
      <c r="K815" s="2">
        <v>45729</v>
      </c>
    </row>
    <row r="816" spans="1:11" x14ac:dyDescent="0.25">
      <c r="A816" s="1" t="s">
        <v>246</v>
      </c>
      <c r="B816" s="1" t="s">
        <v>1278</v>
      </c>
      <c r="C816" s="1" t="s">
        <v>2255</v>
      </c>
      <c r="D816" s="1" t="s">
        <v>1998</v>
      </c>
      <c r="E816" s="1"/>
      <c r="F816" s="1" t="s">
        <v>11</v>
      </c>
      <c r="G816">
        <v>1190</v>
      </c>
      <c r="H816">
        <v>1170</v>
      </c>
      <c r="I816" s="2"/>
      <c r="J816" s="2">
        <v>45723</v>
      </c>
      <c r="K816" s="2">
        <v>45729</v>
      </c>
    </row>
    <row r="817" spans="1:11" x14ac:dyDescent="0.25">
      <c r="A817" s="1" t="s">
        <v>246</v>
      </c>
      <c r="B817" s="1" t="s">
        <v>1206</v>
      </c>
      <c r="C817" s="1" t="s">
        <v>2196</v>
      </c>
      <c r="D817" s="1" t="s">
        <v>1998</v>
      </c>
      <c r="E817" s="1"/>
      <c r="F817" s="1" t="s">
        <v>11</v>
      </c>
      <c r="G817">
        <v>5</v>
      </c>
      <c r="H817">
        <v>5</v>
      </c>
      <c r="I817" s="2"/>
      <c r="J817" s="2">
        <v>45723</v>
      </c>
      <c r="K817" s="2">
        <v>45729</v>
      </c>
    </row>
    <row r="818" spans="1:11" x14ac:dyDescent="0.25">
      <c r="A818" s="1" t="s">
        <v>246</v>
      </c>
      <c r="B818" s="1" t="s">
        <v>1279</v>
      </c>
      <c r="C818" s="1" t="s">
        <v>2256</v>
      </c>
      <c r="D818" s="1" t="s">
        <v>1998</v>
      </c>
      <c r="E818" s="1"/>
      <c r="F818" s="1" t="s">
        <v>11</v>
      </c>
      <c r="G818">
        <v>15</v>
      </c>
      <c r="H818">
        <v>15</v>
      </c>
      <c r="I818" s="2"/>
      <c r="J818" s="2">
        <v>45723</v>
      </c>
      <c r="K818" s="2">
        <v>45729</v>
      </c>
    </row>
    <row r="819" spans="1:11" x14ac:dyDescent="0.25">
      <c r="A819" s="1" t="s">
        <v>246</v>
      </c>
      <c r="B819" s="1" t="s">
        <v>1280</v>
      </c>
      <c r="C819" s="1" t="s">
        <v>2257</v>
      </c>
      <c r="D819" s="1" t="s">
        <v>1998</v>
      </c>
      <c r="E819" s="1"/>
      <c r="F819" s="1" t="s">
        <v>11</v>
      </c>
      <c r="G819">
        <v>5</v>
      </c>
      <c r="H819">
        <v>5</v>
      </c>
      <c r="I819" s="2"/>
      <c r="J819" s="2">
        <v>45723</v>
      </c>
      <c r="K819" s="2">
        <v>45729</v>
      </c>
    </row>
    <row r="820" spans="1:11" x14ac:dyDescent="0.25">
      <c r="A820" s="1" t="s">
        <v>247</v>
      </c>
      <c r="B820" s="1" t="s">
        <v>1281</v>
      </c>
      <c r="C820" s="1" t="s">
        <v>2258</v>
      </c>
      <c r="D820" s="1" t="s">
        <v>1998</v>
      </c>
      <c r="E820" s="1"/>
      <c r="F820" s="1" t="s">
        <v>11</v>
      </c>
      <c r="G820">
        <v>10</v>
      </c>
      <c r="H820">
        <v>10</v>
      </c>
      <c r="I820" s="2"/>
      <c r="J820" s="2">
        <v>45715</v>
      </c>
      <c r="K820" s="2">
        <v>45743</v>
      </c>
    </row>
    <row r="821" spans="1:11" x14ac:dyDescent="0.25">
      <c r="A821" s="1" t="s">
        <v>247</v>
      </c>
      <c r="B821" s="1" t="s">
        <v>1282</v>
      </c>
      <c r="C821" s="1" t="s">
        <v>2259</v>
      </c>
      <c r="D821" s="1" t="s">
        <v>1998</v>
      </c>
      <c r="E821" s="1"/>
      <c r="F821" s="1" t="s">
        <v>11</v>
      </c>
      <c r="G821">
        <v>45</v>
      </c>
      <c r="H821">
        <v>45</v>
      </c>
      <c r="I821" s="2"/>
      <c r="J821" s="2">
        <v>45715</v>
      </c>
      <c r="K821" s="2">
        <v>45743</v>
      </c>
    </row>
    <row r="822" spans="1:11" x14ac:dyDescent="0.25">
      <c r="A822" s="1" t="s">
        <v>247</v>
      </c>
      <c r="B822" s="1" t="s">
        <v>1283</v>
      </c>
      <c r="C822" s="1" t="s">
        <v>2260</v>
      </c>
      <c r="D822" s="1" t="s">
        <v>1998</v>
      </c>
      <c r="E822" s="1"/>
      <c r="F822" s="1" t="s">
        <v>11</v>
      </c>
      <c r="G822">
        <v>9075</v>
      </c>
      <c r="H822">
        <v>9075</v>
      </c>
      <c r="I822" s="2"/>
      <c r="J822" s="2">
        <v>45715</v>
      </c>
      <c r="K822" s="2">
        <v>45743</v>
      </c>
    </row>
    <row r="823" spans="1:11" x14ac:dyDescent="0.25">
      <c r="A823" s="1" t="s">
        <v>247</v>
      </c>
      <c r="B823" s="1" t="s">
        <v>1047</v>
      </c>
      <c r="C823" s="1" t="s">
        <v>2056</v>
      </c>
      <c r="D823" s="1" t="s">
        <v>1998</v>
      </c>
      <c r="E823" s="1"/>
      <c r="F823" s="1" t="s">
        <v>11</v>
      </c>
      <c r="G823">
        <v>15</v>
      </c>
      <c r="H823">
        <v>15</v>
      </c>
      <c r="I823" s="2"/>
      <c r="J823" s="2">
        <v>45715</v>
      </c>
      <c r="K823" s="2">
        <v>45743</v>
      </c>
    </row>
    <row r="824" spans="1:11" x14ac:dyDescent="0.25">
      <c r="A824" s="1" t="s">
        <v>247</v>
      </c>
      <c r="B824" s="1" t="s">
        <v>1284</v>
      </c>
      <c r="C824" s="1" t="s">
        <v>2261</v>
      </c>
      <c r="D824" s="1" t="s">
        <v>1998</v>
      </c>
      <c r="E824" s="1"/>
      <c r="F824" s="1" t="s">
        <v>11</v>
      </c>
      <c r="G824">
        <v>130</v>
      </c>
      <c r="H824">
        <v>130</v>
      </c>
      <c r="I824" s="2"/>
      <c r="J824" s="2">
        <v>45715</v>
      </c>
      <c r="K824" s="2">
        <v>45743</v>
      </c>
    </row>
    <row r="825" spans="1:11" x14ac:dyDescent="0.25">
      <c r="A825" s="1" t="s">
        <v>247</v>
      </c>
      <c r="B825" s="1" t="s">
        <v>1285</v>
      </c>
      <c r="C825" s="1" t="s">
        <v>2262</v>
      </c>
      <c r="D825" s="1" t="s">
        <v>1998</v>
      </c>
      <c r="E825" s="1"/>
      <c r="F825" s="1" t="s">
        <v>11</v>
      </c>
      <c r="G825">
        <v>55</v>
      </c>
      <c r="H825">
        <v>55</v>
      </c>
      <c r="I825" s="2"/>
      <c r="J825" s="2">
        <v>45715</v>
      </c>
      <c r="K825" s="2">
        <v>45743</v>
      </c>
    </row>
    <row r="826" spans="1:11" x14ac:dyDescent="0.25">
      <c r="A826" s="1" t="s">
        <v>247</v>
      </c>
      <c r="B826" s="1" t="s">
        <v>1286</v>
      </c>
      <c r="C826" s="1" t="s">
        <v>2263</v>
      </c>
      <c r="D826" s="1" t="s">
        <v>1998</v>
      </c>
      <c r="E826" s="1"/>
      <c r="F826" s="1" t="s">
        <v>11</v>
      </c>
      <c r="G826">
        <v>25</v>
      </c>
      <c r="H826">
        <v>25</v>
      </c>
      <c r="I826" s="2"/>
      <c r="J826" s="2">
        <v>45715</v>
      </c>
      <c r="K826" s="2">
        <v>45743</v>
      </c>
    </row>
    <row r="827" spans="1:11" x14ac:dyDescent="0.25">
      <c r="A827" s="1" t="s">
        <v>247</v>
      </c>
      <c r="B827" s="1" t="s">
        <v>1287</v>
      </c>
      <c r="C827" s="1" t="s">
        <v>2264</v>
      </c>
      <c r="D827" s="1" t="s">
        <v>1998</v>
      </c>
      <c r="E827" s="1"/>
      <c r="F827" s="1" t="s">
        <v>11</v>
      </c>
      <c r="G827">
        <v>1</v>
      </c>
      <c r="H827">
        <v>1</v>
      </c>
      <c r="I827" s="2"/>
      <c r="J827" s="2">
        <v>45715</v>
      </c>
      <c r="K827" s="2">
        <v>45743</v>
      </c>
    </row>
    <row r="828" spans="1:11" x14ac:dyDescent="0.25">
      <c r="A828" s="1" t="s">
        <v>247</v>
      </c>
      <c r="B828" s="1" t="s">
        <v>1096</v>
      </c>
      <c r="C828" s="1" t="s">
        <v>2067</v>
      </c>
      <c r="D828" s="1" t="s">
        <v>1998</v>
      </c>
      <c r="E828" s="1"/>
      <c r="F828" s="1" t="s">
        <v>11</v>
      </c>
      <c r="G828">
        <v>3090</v>
      </c>
      <c r="H828">
        <v>3090</v>
      </c>
      <c r="I828" s="2"/>
      <c r="J828" s="2">
        <v>45715</v>
      </c>
      <c r="K828" s="2">
        <v>45743</v>
      </c>
    </row>
    <row r="829" spans="1:11" x14ac:dyDescent="0.25">
      <c r="A829" s="1" t="s">
        <v>248</v>
      </c>
      <c r="B829" s="1" t="s">
        <v>1281</v>
      </c>
      <c r="C829" s="1" t="s">
        <v>2258</v>
      </c>
      <c r="D829" s="1" t="s">
        <v>1998</v>
      </c>
      <c r="E829" s="1"/>
      <c r="F829" s="1" t="s">
        <v>11</v>
      </c>
      <c r="G829">
        <v>10</v>
      </c>
      <c r="H829">
        <v>20</v>
      </c>
      <c r="I829" s="2"/>
      <c r="J829" s="2">
        <v>45715</v>
      </c>
      <c r="K829" s="2">
        <v>45786</v>
      </c>
    </row>
    <row r="830" spans="1:11" x14ac:dyDescent="0.25">
      <c r="A830" s="1" t="s">
        <v>248</v>
      </c>
      <c r="B830" s="1" t="s">
        <v>1282</v>
      </c>
      <c r="C830" s="1" t="s">
        <v>2259</v>
      </c>
      <c r="D830" s="1" t="s">
        <v>1998</v>
      </c>
      <c r="E830" s="1"/>
      <c r="F830" s="1" t="s">
        <v>11</v>
      </c>
      <c r="G830">
        <v>45</v>
      </c>
      <c r="H830">
        <v>45</v>
      </c>
      <c r="I830" s="2"/>
      <c r="J830" s="2">
        <v>45715</v>
      </c>
      <c r="K830" s="2">
        <v>45786</v>
      </c>
    </row>
    <row r="831" spans="1:11" x14ac:dyDescent="0.25">
      <c r="A831" s="1" t="s">
        <v>248</v>
      </c>
      <c r="B831" s="1" t="s">
        <v>1283</v>
      </c>
      <c r="C831" s="1" t="s">
        <v>2260</v>
      </c>
      <c r="D831" s="1" t="s">
        <v>1998</v>
      </c>
      <c r="E831" s="1"/>
      <c r="F831" s="1" t="s">
        <v>11</v>
      </c>
      <c r="G831">
        <v>9075</v>
      </c>
      <c r="H831">
        <v>9075</v>
      </c>
      <c r="I831" s="2"/>
      <c r="J831" s="2">
        <v>45715</v>
      </c>
      <c r="K831" s="2">
        <v>45786</v>
      </c>
    </row>
    <row r="832" spans="1:11" x14ac:dyDescent="0.25">
      <c r="A832" s="1" t="s">
        <v>248</v>
      </c>
      <c r="B832" s="1" t="s">
        <v>1047</v>
      </c>
      <c r="C832" s="1" t="s">
        <v>2056</v>
      </c>
      <c r="D832" s="1" t="s">
        <v>1998</v>
      </c>
      <c r="E832" s="1"/>
      <c r="F832" s="1" t="s">
        <v>11</v>
      </c>
      <c r="G832">
        <v>15</v>
      </c>
      <c r="H832">
        <v>15</v>
      </c>
      <c r="I832" s="2"/>
      <c r="J832" s="2">
        <v>45715</v>
      </c>
      <c r="K832" s="2">
        <v>45786</v>
      </c>
    </row>
    <row r="833" spans="1:11" x14ac:dyDescent="0.25">
      <c r="A833" s="1" t="s">
        <v>248</v>
      </c>
      <c r="B833" s="1" t="s">
        <v>1284</v>
      </c>
      <c r="C833" s="1" t="s">
        <v>2261</v>
      </c>
      <c r="D833" s="1" t="s">
        <v>1998</v>
      </c>
      <c r="E833" s="1"/>
      <c r="F833" s="1" t="s">
        <v>11</v>
      </c>
      <c r="G833">
        <v>130</v>
      </c>
      <c r="H833">
        <v>130</v>
      </c>
      <c r="I833" s="2"/>
      <c r="J833" s="2">
        <v>45715</v>
      </c>
      <c r="K833" s="2">
        <v>45786</v>
      </c>
    </row>
    <row r="834" spans="1:11" x14ac:dyDescent="0.25">
      <c r="A834" s="1" t="s">
        <v>248</v>
      </c>
      <c r="B834" s="1" t="s">
        <v>1285</v>
      </c>
      <c r="C834" s="1" t="s">
        <v>2262</v>
      </c>
      <c r="D834" s="1" t="s">
        <v>1998</v>
      </c>
      <c r="E834" s="1"/>
      <c r="F834" s="1" t="s">
        <v>11</v>
      </c>
      <c r="G834">
        <v>55</v>
      </c>
      <c r="H834">
        <v>55</v>
      </c>
      <c r="I834" s="2"/>
      <c r="J834" s="2">
        <v>45715</v>
      </c>
      <c r="K834" s="2">
        <v>45786</v>
      </c>
    </row>
    <row r="835" spans="1:11" x14ac:dyDescent="0.25">
      <c r="A835" s="1" t="s">
        <v>248</v>
      </c>
      <c r="B835" s="1" t="s">
        <v>1286</v>
      </c>
      <c r="C835" s="1" t="s">
        <v>2263</v>
      </c>
      <c r="D835" s="1" t="s">
        <v>1998</v>
      </c>
      <c r="E835" s="1"/>
      <c r="F835" s="1" t="s">
        <v>11</v>
      </c>
      <c r="G835">
        <v>25</v>
      </c>
      <c r="H835">
        <v>25</v>
      </c>
      <c r="I835" s="2"/>
      <c r="J835" s="2">
        <v>45715</v>
      </c>
      <c r="K835" s="2">
        <v>45786</v>
      </c>
    </row>
    <row r="836" spans="1:11" x14ac:dyDescent="0.25">
      <c r="A836" s="1" t="s">
        <v>248</v>
      </c>
      <c r="B836" s="1" t="s">
        <v>1287</v>
      </c>
      <c r="C836" s="1" t="s">
        <v>2264</v>
      </c>
      <c r="D836" s="1" t="s">
        <v>1998</v>
      </c>
      <c r="E836" s="1"/>
      <c r="F836" s="1" t="s">
        <v>11</v>
      </c>
      <c r="G836">
        <v>1</v>
      </c>
      <c r="H836">
        <v>1</v>
      </c>
      <c r="I836" s="2"/>
      <c r="J836" s="2">
        <v>45715</v>
      </c>
      <c r="K836" s="2">
        <v>45786</v>
      </c>
    </row>
    <row r="837" spans="1:11" x14ac:dyDescent="0.25">
      <c r="A837" s="1" t="s">
        <v>248</v>
      </c>
      <c r="B837" s="1" t="s">
        <v>1096</v>
      </c>
      <c r="C837" s="1" t="s">
        <v>2067</v>
      </c>
      <c r="D837" s="1" t="s">
        <v>1998</v>
      </c>
      <c r="E837" s="1"/>
      <c r="F837" s="1" t="s">
        <v>11</v>
      </c>
      <c r="G837">
        <v>3090</v>
      </c>
      <c r="H837">
        <v>3090</v>
      </c>
      <c r="I837" s="2"/>
      <c r="J837" s="2">
        <v>45715</v>
      </c>
      <c r="K837" s="2">
        <v>45786</v>
      </c>
    </row>
    <row r="838" spans="1:11" x14ac:dyDescent="0.25">
      <c r="A838" s="1" t="s">
        <v>249</v>
      </c>
      <c r="B838" s="1" t="s">
        <v>1281</v>
      </c>
      <c r="C838" s="1" t="s">
        <v>2258</v>
      </c>
      <c r="D838" s="1" t="s">
        <v>1998</v>
      </c>
      <c r="E838" s="1"/>
      <c r="F838" s="1" t="s">
        <v>11</v>
      </c>
      <c r="G838">
        <v>10</v>
      </c>
      <c r="H838">
        <v>10</v>
      </c>
      <c r="I838" s="2"/>
      <c r="J838" s="2">
        <v>45715</v>
      </c>
      <c r="K838" s="2">
        <v>45743</v>
      </c>
    </row>
    <row r="839" spans="1:11" x14ac:dyDescent="0.25">
      <c r="A839" s="1" t="s">
        <v>249</v>
      </c>
      <c r="B839" s="1" t="s">
        <v>1282</v>
      </c>
      <c r="C839" s="1" t="s">
        <v>2259</v>
      </c>
      <c r="D839" s="1" t="s">
        <v>1998</v>
      </c>
      <c r="E839" s="1"/>
      <c r="F839" s="1" t="s">
        <v>11</v>
      </c>
      <c r="G839">
        <v>45</v>
      </c>
      <c r="H839">
        <v>45</v>
      </c>
      <c r="I839" s="2"/>
      <c r="J839" s="2">
        <v>45715</v>
      </c>
      <c r="K839" s="2">
        <v>45743</v>
      </c>
    </row>
    <row r="840" spans="1:11" x14ac:dyDescent="0.25">
      <c r="A840" s="1" t="s">
        <v>249</v>
      </c>
      <c r="B840" s="1" t="s">
        <v>1283</v>
      </c>
      <c r="C840" s="1" t="s">
        <v>2260</v>
      </c>
      <c r="D840" s="1" t="s">
        <v>1998</v>
      </c>
      <c r="E840" s="1"/>
      <c r="F840" s="1" t="s">
        <v>11</v>
      </c>
      <c r="G840">
        <v>9075</v>
      </c>
      <c r="H840">
        <v>9075</v>
      </c>
      <c r="I840" s="2"/>
      <c r="J840" s="2">
        <v>45715</v>
      </c>
      <c r="K840" s="2">
        <v>45743</v>
      </c>
    </row>
    <row r="841" spans="1:11" x14ac:dyDescent="0.25">
      <c r="A841" s="1" t="s">
        <v>249</v>
      </c>
      <c r="B841" s="1" t="s">
        <v>1047</v>
      </c>
      <c r="C841" s="1" t="s">
        <v>2056</v>
      </c>
      <c r="D841" s="1" t="s">
        <v>1998</v>
      </c>
      <c r="E841" s="1"/>
      <c r="F841" s="1" t="s">
        <v>11</v>
      </c>
      <c r="G841">
        <v>15</v>
      </c>
      <c r="H841">
        <v>15</v>
      </c>
      <c r="I841" s="2"/>
      <c r="J841" s="2">
        <v>45715</v>
      </c>
      <c r="K841" s="2">
        <v>45743</v>
      </c>
    </row>
    <row r="842" spans="1:11" x14ac:dyDescent="0.25">
      <c r="A842" s="1" t="s">
        <v>249</v>
      </c>
      <c r="B842" s="1" t="s">
        <v>1284</v>
      </c>
      <c r="C842" s="1" t="s">
        <v>2261</v>
      </c>
      <c r="D842" s="1" t="s">
        <v>1998</v>
      </c>
      <c r="E842" s="1"/>
      <c r="F842" s="1" t="s">
        <v>11</v>
      </c>
      <c r="G842">
        <v>130</v>
      </c>
      <c r="H842">
        <v>130</v>
      </c>
      <c r="I842" s="2"/>
      <c r="J842" s="2">
        <v>45715</v>
      </c>
      <c r="K842" s="2">
        <v>45743</v>
      </c>
    </row>
    <row r="843" spans="1:11" x14ac:dyDescent="0.25">
      <c r="A843" s="1" t="s">
        <v>249</v>
      </c>
      <c r="B843" s="1" t="s">
        <v>1285</v>
      </c>
      <c r="C843" s="1" t="s">
        <v>2262</v>
      </c>
      <c r="D843" s="1" t="s">
        <v>1998</v>
      </c>
      <c r="E843" s="1"/>
      <c r="F843" s="1" t="s">
        <v>11</v>
      </c>
      <c r="G843">
        <v>55</v>
      </c>
      <c r="H843">
        <v>55</v>
      </c>
      <c r="I843" s="2"/>
      <c r="J843" s="2">
        <v>45715</v>
      </c>
      <c r="K843" s="2">
        <v>45743</v>
      </c>
    </row>
    <row r="844" spans="1:11" x14ac:dyDescent="0.25">
      <c r="A844" s="1" t="s">
        <v>249</v>
      </c>
      <c r="B844" s="1" t="s">
        <v>1286</v>
      </c>
      <c r="C844" s="1" t="s">
        <v>2263</v>
      </c>
      <c r="D844" s="1" t="s">
        <v>1998</v>
      </c>
      <c r="E844" s="1"/>
      <c r="F844" s="1" t="s">
        <v>11</v>
      </c>
      <c r="G844">
        <v>25</v>
      </c>
      <c r="H844">
        <v>25</v>
      </c>
      <c r="I844" s="2"/>
      <c r="J844" s="2">
        <v>45715</v>
      </c>
      <c r="K844" s="2">
        <v>45743</v>
      </c>
    </row>
    <row r="845" spans="1:11" x14ac:dyDescent="0.25">
      <c r="A845" s="1" t="s">
        <v>249</v>
      </c>
      <c r="B845" s="1" t="s">
        <v>1287</v>
      </c>
      <c r="C845" s="1" t="s">
        <v>2264</v>
      </c>
      <c r="D845" s="1" t="s">
        <v>1998</v>
      </c>
      <c r="E845" s="1"/>
      <c r="F845" s="1" t="s">
        <v>11</v>
      </c>
      <c r="G845">
        <v>1</v>
      </c>
      <c r="H845">
        <v>1</v>
      </c>
      <c r="I845" s="2"/>
      <c r="J845" s="2">
        <v>45715</v>
      </c>
      <c r="K845" s="2">
        <v>45743</v>
      </c>
    </row>
    <row r="846" spans="1:11" x14ac:dyDescent="0.25">
      <c r="A846" s="1" t="s">
        <v>249</v>
      </c>
      <c r="B846" s="1" t="s">
        <v>1096</v>
      </c>
      <c r="C846" s="1" t="s">
        <v>2067</v>
      </c>
      <c r="D846" s="1" t="s">
        <v>1998</v>
      </c>
      <c r="E846" s="1"/>
      <c r="F846" s="1" t="s">
        <v>11</v>
      </c>
      <c r="G846">
        <v>3090</v>
      </c>
      <c r="H846">
        <v>3090</v>
      </c>
      <c r="I846" s="2"/>
      <c r="J846" s="2">
        <v>45715</v>
      </c>
      <c r="K846" s="2">
        <v>45743</v>
      </c>
    </row>
    <row r="847" spans="1:11" x14ac:dyDescent="0.25">
      <c r="A847" s="1" t="s">
        <v>250</v>
      </c>
      <c r="B847" s="1" t="s">
        <v>1277</v>
      </c>
      <c r="C847" s="1" t="s">
        <v>2254</v>
      </c>
      <c r="D847" s="1" t="s">
        <v>1998</v>
      </c>
      <c r="E847" s="1"/>
      <c r="F847" s="1" t="s">
        <v>11</v>
      </c>
      <c r="G847">
        <v>360</v>
      </c>
      <c r="H847">
        <v>375</v>
      </c>
      <c r="I847" s="2"/>
      <c r="J847" s="2">
        <v>45723</v>
      </c>
      <c r="K847" s="2">
        <v>45729</v>
      </c>
    </row>
    <row r="848" spans="1:11" x14ac:dyDescent="0.25">
      <c r="A848" s="1" t="s">
        <v>250</v>
      </c>
      <c r="B848" s="1" t="s">
        <v>1278</v>
      </c>
      <c r="C848" s="1" t="s">
        <v>2255</v>
      </c>
      <c r="D848" s="1" t="s">
        <v>1998</v>
      </c>
      <c r="E848" s="1"/>
      <c r="F848" s="1" t="s">
        <v>11</v>
      </c>
      <c r="G848">
        <v>1190</v>
      </c>
      <c r="H848">
        <v>1170</v>
      </c>
      <c r="I848" s="2"/>
      <c r="J848" s="2">
        <v>45723</v>
      </c>
      <c r="K848" s="2">
        <v>45729</v>
      </c>
    </row>
    <row r="849" spans="1:11" x14ac:dyDescent="0.25">
      <c r="A849" s="1" t="s">
        <v>250</v>
      </c>
      <c r="B849" s="1" t="s">
        <v>1206</v>
      </c>
      <c r="C849" s="1" t="s">
        <v>2196</v>
      </c>
      <c r="D849" s="1" t="s">
        <v>1998</v>
      </c>
      <c r="E849" s="1"/>
      <c r="F849" s="1" t="s">
        <v>11</v>
      </c>
      <c r="G849">
        <v>5</v>
      </c>
      <c r="H849">
        <v>5</v>
      </c>
      <c r="I849" s="2"/>
      <c r="J849" s="2">
        <v>45723</v>
      </c>
      <c r="K849" s="2">
        <v>45729</v>
      </c>
    </row>
    <row r="850" spans="1:11" x14ac:dyDescent="0.25">
      <c r="A850" s="1" t="s">
        <v>250</v>
      </c>
      <c r="B850" s="1" t="s">
        <v>1279</v>
      </c>
      <c r="C850" s="1" t="s">
        <v>2256</v>
      </c>
      <c r="D850" s="1" t="s">
        <v>1998</v>
      </c>
      <c r="E850" s="1"/>
      <c r="F850" s="1" t="s">
        <v>11</v>
      </c>
      <c r="G850">
        <v>15</v>
      </c>
      <c r="H850">
        <v>15</v>
      </c>
      <c r="I850" s="2"/>
      <c r="J850" s="2">
        <v>45723</v>
      </c>
      <c r="K850" s="2">
        <v>45729</v>
      </c>
    </row>
    <row r="851" spans="1:11" x14ac:dyDescent="0.25">
      <c r="A851" s="1" t="s">
        <v>250</v>
      </c>
      <c r="B851" s="1" t="s">
        <v>1280</v>
      </c>
      <c r="C851" s="1" t="s">
        <v>2257</v>
      </c>
      <c r="D851" s="1" t="s">
        <v>1998</v>
      </c>
      <c r="E851" s="1"/>
      <c r="F851" s="1" t="s">
        <v>11</v>
      </c>
      <c r="G851">
        <v>5</v>
      </c>
      <c r="H851">
        <v>5</v>
      </c>
      <c r="I851" s="2"/>
      <c r="J851" s="2">
        <v>45723</v>
      </c>
      <c r="K851" s="2">
        <v>45729</v>
      </c>
    </row>
    <row r="852" spans="1:11" x14ac:dyDescent="0.25">
      <c r="A852" s="1" t="s">
        <v>251</v>
      </c>
      <c r="B852" s="1" t="s">
        <v>1288</v>
      </c>
      <c r="C852" s="1" t="s">
        <v>2265</v>
      </c>
      <c r="D852" s="1" t="s">
        <v>1998</v>
      </c>
      <c r="E852" s="1"/>
      <c r="F852" s="1" t="s">
        <v>11</v>
      </c>
      <c r="G852">
        <v>1510</v>
      </c>
      <c r="H852">
        <v>1405</v>
      </c>
      <c r="I852" s="2"/>
      <c r="J852" s="2">
        <v>45719</v>
      </c>
      <c r="K852" s="2">
        <v>45735</v>
      </c>
    </row>
    <row r="853" spans="1:11" x14ac:dyDescent="0.25">
      <c r="A853" s="1" t="s">
        <v>252</v>
      </c>
      <c r="B853" s="1" t="s">
        <v>1256</v>
      </c>
      <c r="C853" s="1" t="s">
        <v>2014</v>
      </c>
      <c r="D853" s="1" t="s">
        <v>1998</v>
      </c>
      <c r="E853" s="1"/>
      <c r="F853" s="1" t="s">
        <v>11</v>
      </c>
      <c r="G853">
        <v>6575</v>
      </c>
      <c r="H853">
        <v>6575</v>
      </c>
      <c r="I853" s="2"/>
      <c r="J853" s="2">
        <v>45707</v>
      </c>
      <c r="K853" s="2">
        <v>45757</v>
      </c>
    </row>
    <row r="854" spans="1:11" x14ac:dyDescent="0.25">
      <c r="A854" s="1" t="s">
        <v>252</v>
      </c>
      <c r="B854" s="1" t="s">
        <v>1257</v>
      </c>
      <c r="C854" s="1" t="s">
        <v>2236</v>
      </c>
      <c r="D854" s="1" t="s">
        <v>1998</v>
      </c>
      <c r="E854" s="1"/>
      <c r="F854" s="1" t="s">
        <v>11</v>
      </c>
      <c r="G854">
        <v>7805</v>
      </c>
      <c r="H854">
        <v>4205</v>
      </c>
      <c r="I854" s="2"/>
      <c r="J854" s="2">
        <v>45707</v>
      </c>
      <c r="K854" s="2">
        <v>45757</v>
      </c>
    </row>
    <row r="855" spans="1:11" x14ac:dyDescent="0.25">
      <c r="A855" s="1" t="s">
        <v>253</v>
      </c>
      <c r="B855" s="1" t="s">
        <v>1289</v>
      </c>
      <c r="C855" s="1" t="s">
        <v>2266</v>
      </c>
      <c r="D855" s="1" t="s">
        <v>1998</v>
      </c>
      <c r="E855" s="1"/>
      <c r="F855" s="1" t="s">
        <v>11</v>
      </c>
      <c r="G855">
        <v>32455</v>
      </c>
      <c r="H855">
        <v>32455</v>
      </c>
      <c r="I855" s="2"/>
      <c r="J855" s="2">
        <v>45734</v>
      </c>
      <c r="K855" s="2">
        <v>45735</v>
      </c>
    </row>
    <row r="856" spans="1:11" x14ac:dyDescent="0.25">
      <c r="A856" s="1" t="s">
        <v>254</v>
      </c>
      <c r="B856" s="1" t="s">
        <v>1290</v>
      </c>
      <c r="C856" s="1" t="s">
        <v>2267</v>
      </c>
      <c r="D856" s="1" t="s">
        <v>1998</v>
      </c>
      <c r="E856" s="1"/>
      <c r="F856" s="1" t="s">
        <v>11</v>
      </c>
      <c r="G856">
        <v>135</v>
      </c>
      <c r="H856">
        <v>140</v>
      </c>
      <c r="I856" s="2"/>
      <c r="J856" s="2">
        <v>45708</v>
      </c>
      <c r="K856" s="2">
        <v>45741</v>
      </c>
    </row>
    <row r="857" spans="1:11" x14ac:dyDescent="0.25">
      <c r="A857" s="1" t="s">
        <v>254</v>
      </c>
      <c r="B857" s="1" t="s">
        <v>1290</v>
      </c>
      <c r="C857" s="1" t="s">
        <v>2267</v>
      </c>
      <c r="D857" s="1" t="s">
        <v>1998</v>
      </c>
      <c r="E857" s="1"/>
      <c r="F857" s="1" t="s">
        <v>11</v>
      </c>
      <c r="G857">
        <v>5</v>
      </c>
      <c r="H857">
        <v>10</v>
      </c>
      <c r="I857" s="2"/>
      <c r="J857" s="2">
        <v>45708</v>
      </c>
      <c r="K857" s="2">
        <v>45741</v>
      </c>
    </row>
    <row r="858" spans="1:11" x14ac:dyDescent="0.25">
      <c r="A858" s="1" t="s">
        <v>254</v>
      </c>
      <c r="B858" s="1" t="s">
        <v>1194</v>
      </c>
      <c r="C858" s="1" t="s">
        <v>2185</v>
      </c>
      <c r="D858" s="1" t="s">
        <v>1998</v>
      </c>
      <c r="E858" s="1"/>
      <c r="F858" s="1" t="s">
        <v>11</v>
      </c>
      <c r="G858">
        <v>2325</v>
      </c>
      <c r="H858">
        <v>2325</v>
      </c>
      <c r="I858" s="2"/>
      <c r="J858" s="2">
        <v>45708</v>
      </c>
      <c r="K858" s="2">
        <v>45741</v>
      </c>
    </row>
    <row r="859" spans="1:11" x14ac:dyDescent="0.25">
      <c r="A859" s="1" t="s">
        <v>254</v>
      </c>
      <c r="B859" s="1" t="s">
        <v>991</v>
      </c>
      <c r="C859" s="1" t="s">
        <v>2009</v>
      </c>
      <c r="D859" s="1" t="s">
        <v>1998</v>
      </c>
      <c r="E859" s="1"/>
      <c r="F859" s="1" t="s">
        <v>12</v>
      </c>
      <c r="G859">
        <v>1</v>
      </c>
      <c r="H859">
        <v>30</v>
      </c>
      <c r="I859" s="2"/>
      <c r="J859" s="2">
        <v>45708</v>
      </c>
      <c r="K859" s="2">
        <v>45741</v>
      </c>
    </row>
    <row r="860" spans="1:11" x14ac:dyDescent="0.25">
      <c r="A860" s="1" t="s">
        <v>254</v>
      </c>
      <c r="B860" s="1" t="s">
        <v>992</v>
      </c>
      <c r="C860" s="1" t="s">
        <v>2010</v>
      </c>
      <c r="D860" s="1" t="s">
        <v>1998</v>
      </c>
      <c r="E860" s="1"/>
      <c r="F860" s="1" t="s">
        <v>12</v>
      </c>
      <c r="G860">
        <v>1</v>
      </c>
      <c r="H860">
        <v>50</v>
      </c>
      <c r="I860" s="2"/>
      <c r="J860" s="2">
        <v>45708</v>
      </c>
      <c r="K860" s="2">
        <v>45741</v>
      </c>
    </row>
    <row r="861" spans="1:11" x14ac:dyDescent="0.25">
      <c r="A861" s="1" t="s">
        <v>255</v>
      </c>
      <c r="B861" s="1" t="s">
        <v>1291</v>
      </c>
      <c r="C861" s="1" t="s">
        <v>2268</v>
      </c>
      <c r="D861" s="1" t="s">
        <v>1998</v>
      </c>
      <c r="E861" s="1"/>
      <c r="F861" s="1" t="s">
        <v>11</v>
      </c>
      <c r="G861">
        <v>470</v>
      </c>
      <c r="H861">
        <v>470</v>
      </c>
      <c r="I861" s="2"/>
      <c r="J861" s="2">
        <v>45712</v>
      </c>
      <c r="K861" s="2">
        <v>45743</v>
      </c>
    </row>
    <row r="862" spans="1:11" x14ac:dyDescent="0.25">
      <c r="A862" s="1" t="s">
        <v>255</v>
      </c>
      <c r="B862" s="1" t="s">
        <v>1291</v>
      </c>
      <c r="C862" s="1" t="s">
        <v>2268</v>
      </c>
      <c r="D862" s="1" t="s">
        <v>1998</v>
      </c>
      <c r="E862" s="1"/>
      <c r="F862" s="1" t="s">
        <v>11</v>
      </c>
      <c r="G862">
        <v>140</v>
      </c>
      <c r="H862">
        <v>195</v>
      </c>
      <c r="I862" s="2"/>
      <c r="J862" s="2">
        <v>45712</v>
      </c>
      <c r="K862" s="2">
        <v>45743</v>
      </c>
    </row>
    <row r="863" spans="1:11" x14ac:dyDescent="0.25">
      <c r="A863" s="1" t="s">
        <v>256</v>
      </c>
      <c r="B863" s="1" t="s">
        <v>1292</v>
      </c>
      <c r="C863" s="1" t="s">
        <v>2269</v>
      </c>
      <c r="D863" s="1" t="s">
        <v>1998</v>
      </c>
      <c r="E863" s="1"/>
      <c r="F863" s="1" t="s">
        <v>11</v>
      </c>
      <c r="G863">
        <v>125</v>
      </c>
      <c r="H863">
        <v>125</v>
      </c>
      <c r="I863" s="2"/>
      <c r="J863" s="2">
        <v>45727</v>
      </c>
      <c r="K863" s="2">
        <v>45737</v>
      </c>
    </row>
    <row r="864" spans="1:11" x14ac:dyDescent="0.25">
      <c r="A864" s="1" t="s">
        <v>256</v>
      </c>
      <c r="B864" s="1" t="s">
        <v>1293</v>
      </c>
      <c r="C864" s="1" t="s">
        <v>2270</v>
      </c>
      <c r="D864" s="1" t="s">
        <v>1998</v>
      </c>
      <c r="E864" s="1"/>
      <c r="F864" s="1" t="s">
        <v>11</v>
      </c>
      <c r="G864">
        <v>30</v>
      </c>
      <c r="H864">
        <v>30</v>
      </c>
      <c r="I864" s="2"/>
      <c r="J864" s="2">
        <v>45727</v>
      </c>
      <c r="K864" s="2">
        <v>45737</v>
      </c>
    </row>
    <row r="865" spans="1:11" x14ac:dyDescent="0.25">
      <c r="A865" s="1" t="s">
        <v>256</v>
      </c>
      <c r="B865" s="1" t="s">
        <v>1293</v>
      </c>
      <c r="C865" s="1" t="s">
        <v>2270</v>
      </c>
      <c r="D865" s="1" t="s">
        <v>1998</v>
      </c>
      <c r="E865" s="1"/>
      <c r="F865" s="1" t="s">
        <v>11</v>
      </c>
      <c r="G865">
        <v>35</v>
      </c>
      <c r="H865">
        <v>35</v>
      </c>
      <c r="I865" s="2"/>
      <c r="J865" s="2">
        <v>45727</v>
      </c>
      <c r="K865" s="2">
        <v>45737</v>
      </c>
    </row>
    <row r="866" spans="1:11" x14ac:dyDescent="0.25">
      <c r="A866" s="1" t="s">
        <v>256</v>
      </c>
      <c r="B866" s="1" t="s">
        <v>1294</v>
      </c>
      <c r="C866" s="1" t="s">
        <v>2001</v>
      </c>
      <c r="D866" s="1" t="s">
        <v>1998</v>
      </c>
      <c r="E866" s="1"/>
      <c r="F866" s="1" t="s">
        <v>11</v>
      </c>
      <c r="G866">
        <v>15</v>
      </c>
      <c r="H866">
        <v>15</v>
      </c>
      <c r="I866" s="2"/>
      <c r="J866" s="2">
        <v>45727</v>
      </c>
      <c r="K866" s="2">
        <v>45737</v>
      </c>
    </row>
    <row r="867" spans="1:11" x14ac:dyDescent="0.25">
      <c r="A867" s="1" t="s">
        <v>257</v>
      </c>
      <c r="B867" s="1" t="s">
        <v>1295</v>
      </c>
      <c r="C867" s="1" t="s">
        <v>2271</v>
      </c>
      <c r="D867" s="1" t="s">
        <v>1998</v>
      </c>
      <c r="E867" s="1"/>
      <c r="F867" s="1" t="s">
        <v>11</v>
      </c>
      <c r="G867">
        <v>105</v>
      </c>
      <c r="H867">
        <v>150</v>
      </c>
      <c r="I867" s="2"/>
      <c r="J867" s="2">
        <v>45713</v>
      </c>
      <c r="K867" s="2">
        <v>45730</v>
      </c>
    </row>
    <row r="868" spans="1:11" x14ac:dyDescent="0.25">
      <c r="A868" s="1" t="s">
        <v>257</v>
      </c>
      <c r="B868" s="1" t="s">
        <v>1296</v>
      </c>
      <c r="C868" s="1" t="s">
        <v>2224</v>
      </c>
      <c r="D868" s="1" t="s">
        <v>1998</v>
      </c>
      <c r="E868" s="1"/>
      <c r="F868" s="1" t="s">
        <v>11</v>
      </c>
      <c r="G868">
        <v>350</v>
      </c>
      <c r="H868">
        <v>350</v>
      </c>
      <c r="I868" s="2"/>
      <c r="J868" s="2">
        <v>45713</v>
      </c>
      <c r="K868" s="2">
        <v>45730</v>
      </c>
    </row>
    <row r="869" spans="1:11" x14ac:dyDescent="0.25">
      <c r="A869" s="1" t="s">
        <v>258</v>
      </c>
      <c r="B869" s="1" t="s">
        <v>1297</v>
      </c>
      <c r="C869" s="1" t="s">
        <v>2272</v>
      </c>
      <c r="D869" s="1" t="s">
        <v>1998</v>
      </c>
      <c r="E869" s="1"/>
      <c r="F869" s="1" t="s">
        <v>11</v>
      </c>
      <c r="G869">
        <v>130</v>
      </c>
      <c r="H869">
        <v>130</v>
      </c>
      <c r="I869" s="2"/>
      <c r="J869" s="2">
        <v>45723</v>
      </c>
      <c r="K869" s="2">
        <v>45730</v>
      </c>
    </row>
    <row r="870" spans="1:11" x14ac:dyDescent="0.25">
      <c r="A870" s="1" t="s">
        <v>258</v>
      </c>
      <c r="B870" s="1" t="s">
        <v>1246</v>
      </c>
      <c r="C870" s="1" t="s">
        <v>2228</v>
      </c>
      <c r="D870" s="1" t="s">
        <v>1998</v>
      </c>
      <c r="E870" s="1"/>
      <c r="F870" s="1" t="s">
        <v>12</v>
      </c>
      <c r="G870">
        <v>1</v>
      </c>
      <c r="H870">
        <v>40</v>
      </c>
      <c r="I870" s="2"/>
      <c r="J870" s="2">
        <v>45723</v>
      </c>
      <c r="K870" s="2">
        <v>45730</v>
      </c>
    </row>
    <row r="871" spans="1:11" x14ac:dyDescent="0.25">
      <c r="A871" s="1" t="s">
        <v>258</v>
      </c>
      <c r="B871" s="1" t="s">
        <v>1267</v>
      </c>
      <c r="C871" s="1" t="s">
        <v>2244</v>
      </c>
      <c r="D871" s="1" t="s">
        <v>1998</v>
      </c>
      <c r="E871" s="1"/>
      <c r="F871" s="1" t="s">
        <v>11</v>
      </c>
      <c r="G871">
        <v>5</v>
      </c>
      <c r="H871">
        <v>5</v>
      </c>
      <c r="I871" s="2"/>
      <c r="J871" s="2">
        <v>45723</v>
      </c>
      <c r="K871" s="2">
        <v>45730</v>
      </c>
    </row>
    <row r="872" spans="1:11" x14ac:dyDescent="0.25">
      <c r="A872" s="1" t="s">
        <v>258</v>
      </c>
      <c r="B872" s="1" t="s">
        <v>1206</v>
      </c>
      <c r="C872" s="1" t="s">
        <v>2196</v>
      </c>
      <c r="D872" s="1" t="s">
        <v>1998</v>
      </c>
      <c r="E872" s="1"/>
      <c r="F872" s="1" t="s">
        <v>11</v>
      </c>
      <c r="G872">
        <v>1</v>
      </c>
      <c r="H872">
        <v>1</v>
      </c>
      <c r="I872" s="2"/>
      <c r="J872" s="2">
        <v>45723</v>
      </c>
      <c r="K872" s="2">
        <v>45730</v>
      </c>
    </row>
    <row r="873" spans="1:11" x14ac:dyDescent="0.25">
      <c r="A873" s="1" t="s">
        <v>258</v>
      </c>
      <c r="B873" s="1" t="s">
        <v>1280</v>
      </c>
      <c r="C873" s="1" t="s">
        <v>2257</v>
      </c>
      <c r="D873" s="1" t="s">
        <v>1998</v>
      </c>
      <c r="E873" s="1"/>
      <c r="F873" s="1" t="s">
        <v>11</v>
      </c>
      <c r="G873">
        <v>5</v>
      </c>
      <c r="H873">
        <v>5</v>
      </c>
      <c r="I873" s="2"/>
      <c r="J873" s="2">
        <v>45723</v>
      </c>
      <c r="K873" s="2">
        <v>45730</v>
      </c>
    </row>
    <row r="874" spans="1:11" x14ac:dyDescent="0.25">
      <c r="A874" s="1" t="s">
        <v>259</v>
      </c>
      <c r="B874" s="1" t="s">
        <v>1297</v>
      </c>
      <c r="C874" s="1" t="s">
        <v>2272</v>
      </c>
      <c r="D874" s="1" t="s">
        <v>1998</v>
      </c>
      <c r="E874" s="1"/>
      <c r="F874" s="1" t="s">
        <v>11</v>
      </c>
      <c r="G874">
        <v>155</v>
      </c>
      <c r="H874">
        <v>155</v>
      </c>
      <c r="I874" s="2"/>
      <c r="J874" s="2">
        <v>45723</v>
      </c>
      <c r="K874" s="2">
        <v>45730</v>
      </c>
    </row>
    <row r="875" spans="1:11" x14ac:dyDescent="0.25">
      <c r="A875" s="1" t="s">
        <v>259</v>
      </c>
      <c r="B875" s="1" t="s">
        <v>1246</v>
      </c>
      <c r="C875" s="1" t="s">
        <v>2228</v>
      </c>
      <c r="D875" s="1" t="s">
        <v>1998</v>
      </c>
      <c r="E875" s="1"/>
      <c r="F875" s="1" t="s">
        <v>12</v>
      </c>
      <c r="G875">
        <v>1</v>
      </c>
      <c r="H875">
        <v>70</v>
      </c>
      <c r="I875" s="2"/>
      <c r="J875" s="2">
        <v>45723</v>
      </c>
      <c r="K875" s="2">
        <v>45730</v>
      </c>
    </row>
    <row r="876" spans="1:11" x14ac:dyDescent="0.25">
      <c r="A876" s="1" t="s">
        <v>259</v>
      </c>
      <c r="B876" s="1" t="s">
        <v>1267</v>
      </c>
      <c r="C876" s="1" t="s">
        <v>2244</v>
      </c>
      <c r="D876" s="1" t="s">
        <v>1998</v>
      </c>
      <c r="E876" s="1"/>
      <c r="F876" s="1" t="s">
        <v>11</v>
      </c>
      <c r="G876">
        <v>5</v>
      </c>
      <c r="H876">
        <v>5</v>
      </c>
      <c r="I876" s="2"/>
      <c r="J876" s="2">
        <v>45723</v>
      </c>
      <c r="K876" s="2">
        <v>45730</v>
      </c>
    </row>
    <row r="877" spans="1:11" x14ac:dyDescent="0.25">
      <c r="A877" s="1" t="s">
        <v>259</v>
      </c>
      <c r="B877" s="1" t="s">
        <v>1206</v>
      </c>
      <c r="C877" s="1" t="s">
        <v>2196</v>
      </c>
      <c r="D877" s="1" t="s">
        <v>1998</v>
      </c>
      <c r="E877" s="1"/>
      <c r="F877" s="1" t="s">
        <v>11</v>
      </c>
      <c r="G877">
        <v>1</v>
      </c>
      <c r="H877">
        <v>1</v>
      </c>
      <c r="I877" s="2"/>
      <c r="J877" s="2">
        <v>45723</v>
      </c>
      <c r="K877" s="2">
        <v>45730</v>
      </c>
    </row>
    <row r="878" spans="1:11" x14ac:dyDescent="0.25">
      <c r="A878" s="1" t="s">
        <v>259</v>
      </c>
      <c r="B878" s="1" t="s">
        <v>1280</v>
      </c>
      <c r="C878" s="1" t="s">
        <v>2257</v>
      </c>
      <c r="D878" s="1" t="s">
        <v>1998</v>
      </c>
      <c r="E878" s="1"/>
      <c r="F878" s="1" t="s">
        <v>11</v>
      </c>
      <c r="G878">
        <v>5</v>
      </c>
      <c r="H878">
        <v>5</v>
      </c>
      <c r="I878" s="2"/>
      <c r="J878" s="2">
        <v>45723</v>
      </c>
      <c r="K878" s="2">
        <v>45730</v>
      </c>
    </row>
    <row r="879" spans="1:11" x14ac:dyDescent="0.25">
      <c r="A879" s="1" t="s">
        <v>260</v>
      </c>
      <c r="B879" s="1" t="s">
        <v>1016</v>
      </c>
      <c r="C879" s="1" t="s">
        <v>2033</v>
      </c>
      <c r="D879" s="1" t="s">
        <v>1998</v>
      </c>
      <c r="E879" s="1"/>
      <c r="F879" s="1" t="s">
        <v>11</v>
      </c>
      <c r="G879">
        <v>75</v>
      </c>
      <c r="H879">
        <v>70</v>
      </c>
      <c r="I879" s="2"/>
      <c r="J879" s="2">
        <v>45709</v>
      </c>
      <c r="K879" s="2">
        <v>45741</v>
      </c>
    </row>
    <row r="880" spans="1:11" x14ac:dyDescent="0.25">
      <c r="A880" s="1" t="s">
        <v>260</v>
      </c>
      <c r="B880" s="1" t="s">
        <v>1017</v>
      </c>
      <c r="C880" s="1" t="s">
        <v>2034</v>
      </c>
      <c r="D880" s="1" t="s">
        <v>1998</v>
      </c>
      <c r="E880" s="1"/>
      <c r="F880" s="1" t="s">
        <v>11</v>
      </c>
      <c r="G880">
        <v>200</v>
      </c>
      <c r="H880">
        <v>200</v>
      </c>
      <c r="I880" s="2"/>
      <c r="J880" s="2">
        <v>45709</v>
      </c>
      <c r="K880" s="2">
        <v>45741</v>
      </c>
    </row>
    <row r="881" spans="1:11" x14ac:dyDescent="0.25">
      <c r="A881" s="1" t="s">
        <v>260</v>
      </c>
      <c r="B881" s="1" t="s">
        <v>1018</v>
      </c>
      <c r="C881" s="1" t="s">
        <v>2035</v>
      </c>
      <c r="D881" s="1" t="s">
        <v>1998</v>
      </c>
      <c r="E881" s="1"/>
      <c r="F881" s="1" t="s">
        <v>11</v>
      </c>
      <c r="G881">
        <v>885</v>
      </c>
      <c r="H881">
        <v>945</v>
      </c>
      <c r="I881" s="2"/>
      <c r="J881" s="2">
        <v>45709</v>
      </c>
      <c r="K881" s="2">
        <v>45741</v>
      </c>
    </row>
    <row r="882" spans="1:11" x14ac:dyDescent="0.25">
      <c r="A882" s="1" t="s">
        <v>260</v>
      </c>
      <c r="B882" s="1" t="s">
        <v>999</v>
      </c>
      <c r="C882" s="1" t="s">
        <v>2017</v>
      </c>
      <c r="D882" s="1" t="s">
        <v>1998</v>
      </c>
      <c r="E882" s="1"/>
      <c r="F882" s="1" t="s">
        <v>11</v>
      </c>
      <c r="G882">
        <v>1</v>
      </c>
      <c r="H882">
        <v>1</v>
      </c>
      <c r="I882" s="2"/>
      <c r="J882" s="2">
        <v>45709</v>
      </c>
      <c r="K882" s="2">
        <v>45741</v>
      </c>
    </row>
    <row r="883" spans="1:11" x14ac:dyDescent="0.25">
      <c r="A883" s="1" t="s">
        <v>260</v>
      </c>
      <c r="B883" s="1" t="s">
        <v>1000</v>
      </c>
      <c r="C883" s="1" t="s">
        <v>2018</v>
      </c>
      <c r="D883" s="1" t="s">
        <v>1998</v>
      </c>
      <c r="E883" s="1"/>
      <c r="F883" s="1" t="s">
        <v>11</v>
      </c>
      <c r="G883">
        <v>5</v>
      </c>
      <c r="H883">
        <v>5</v>
      </c>
      <c r="I883" s="2"/>
      <c r="J883" s="2">
        <v>45709</v>
      </c>
      <c r="K883" s="2">
        <v>45741</v>
      </c>
    </row>
    <row r="884" spans="1:11" x14ac:dyDescent="0.25">
      <c r="A884" s="1" t="s">
        <v>260</v>
      </c>
      <c r="B884" s="1" t="s">
        <v>1001</v>
      </c>
      <c r="C884" s="1" t="s">
        <v>2019</v>
      </c>
      <c r="D884" s="1" t="s">
        <v>1998</v>
      </c>
      <c r="E884" s="1"/>
      <c r="F884" s="1" t="s">
        <v>11</v>
      </c>
      <c r="G884">
        <v>5</v>
      </c>
      <c r="H884">
        <v>5</v>
      </c>
      <c r="I884" s="2"/>
      <c r="J884" s="2">
        <v>45709</v>
      </c>
      <c r="K884" s="2">
        <v>45741</v>
      </c>
    </row>
    <row r="885" spans="1:11" x14ac:dyDescent="0.25">
      <c r="A885" s="1" t="s">
        <v>260</v>
      </c>
      <c r="B885" s="1" t="s">
        <v>1019</v>
      </c>
      <c r="C885" s="1" t="s">
        <v>2036</v>
      </c>
      <c r="D885" s="1" t="s">
        <v>1998</v>
      </c>
      <c r="E885" s="1"/>
      <c r="F885" s="1" t="s">
        <v>11</v>
      </c>
      <c r="G885">
        <v>3135</v>
      </c>
      <c r="H885">
        <v>3135</v>
      </c>
      <c r="I885" s="2"/>
      <c r="J885" s="2">
        <v>45709</v>
      </c>
      <c r="K885" s="2">
        <v>45741</v>
      </c>
    </row>
    <row r="886" spans="1:11" x14ac:dyDescent="0.25">
      <c r="A886" s="1" t="s">
        <v>260</v>
      </c>
      <c r="B886" s="1" t="s">
        <v>1020</v>
      </c>
      <c r="C886" s="1" t="s">
        <v>2037</v>
      </c>
      <c r="D886" s="1" t="s">
        <v>1998</v>
      </c>
      <c r="E886" s="1"/>
      <c r="F886" s="1" t="s">
        <v>11</v>
      </c>
      <c r="G886">
        <v>8375</v>
      </c>
      <c r="H886">
        <v>8375</v>
      </c>
      <c r="I886" s="2"/>
      <c r="J886" s="2">
        <v>45709</v>
      </c>
      <c r="K886" s="2">
        <v>45741</v>
      </c>
    </row>
    <row r="887" spans="1:11" x14ac:dyDescent="0.25">
      <c r="A887" s="1" t="s">
        <v>261</v>
      </c>
      <c r="B887" s="1" t="s">
        <v>1016</v>
      </c>
      <c r="C887" s="1" t="s">
        <v>2033</v>
      </c>
      <c r="D887" s="1" t="s">
        <v>1998</v>
      </c>
      <c r="E887" s="1"/>
      <c r="F887" s="1" t="s">
        <v>11</v>
      </c>
      <c r="G887">
        <v>75</v>
      </c>
      <c r="H887">
        <v>65</v>
      </c>
      <c r="I887" s="2"/>
      <c r="J887" s="2">
        <v>45709</v>
      </c>
      <c r="K887" s="2">
        <v>45741</v>
      </c>
    </row>
    <row r="888" spans="1:11" x14ac:dyDescent="0.25">
      <c r="A888" s="1" t="s">
        <v>261</v>
      </c>
      <c r="B888" s="1" t="s">
        <v>1017</v>
      </c>
      <c r="C888" s="1" t="s">
        <v>2034</v>
      </c>
      <c r="D888" s="1" t="s">
        <v>1998</v>
      </c>
      <c r="E888" s="1"/>
      <c r="F888" s="1" t="s">
        <v>11</v>
      </c>
      <c r="G888">
        <v>200</v>
      </c>
      <c r="H888">
        <v>200</v>
      </c>
      <c r="I888" s="2"/>
      <c r="J888" s="2">
        <v>45709</v>
      </c>
      <c r="K888" s="2">
        <v>45741</v>
      </c>
    </row>
    <row r="889" spans="1:11" x14ac:dyDescent="0.25">
      <c r="A889" s="1" t="s">
        <v>261</v>
      </c>
      <c r="B889" s="1" t="s">
        <v>1018</v>
      </c>
      <c r="C889" s="1" t="s">
        <v>2035</v>
      </c>
      <c r="D889" s="1" t="s">
        <v>1998</v>
      </c>
      <c r="E889" s="1"/>
      <c r="F889" s="1" t="s">
        <v>11</v>
      </c>
      <c r="G889">
        <v>885</v>
      </c>
      <c r="H889">
        <v>945</v>
      </c>
      <c r="I889" s="2"/>
      <c r="J889" s="2">
        <v>45709</v>
      </c>
      <c r="K889" s="2">
        <v>45741</v>
      </c>
    </row>
    <row r="890" spans="1:11" x14ac:dyDescent="0.25">
      <c r="A890" s="1" t="s">
        <v>261</v>
      </c>
      <c r="B890" s="1" t="s">
        <v>999</v>
      </c>
      <c r="C890" s="1" t="s">
        <v>2017</v>
      </c>
      <c r="D890" s="1" t="s">
        <v>1998</v>
      </c>
      <c r="E890" s="1"/>
      <c r="F890" s="1" t="s">
        <v>11</v>
      </c>
      <c r="G890">
        <v>1</v>
      </c>
      <c r="H890">
        <v>1</v>
      </c>
      <c r="I890" s="2"/>
      <c r="J890" s="2">
        <v>45709</v>
      </c>
      <c r="K890" s="2">
        <v>45741</v>
      </c>
    </row>
    <row r="891" spans="1:11" x14ac:dyDescent="0.25">
      <c r="A891" s="1" t="s">
        <v>261</v>
      </c>
      <c r="B891" s="1" t="s">
        <v>1000</v>
      </c>
      <c r="C891" s="1" t="s">
        <v>2018</v>
      </c>
      <c r="D891" s="1" t="s">
        <v>1998</v>
      </c>
      <c r="E891" s="1"/>
      <c r="F891" s="1" t="s">
        <v>11</v>
      </c>
      <c r="G891">
        <v>5</v>
      </c>
      <c r="H891">
        <v>5</v>
      </c>
      <c r="I891" s="2"/>
      <c r="J891" s="2">
        <v>45709</v>
      </c>
      <c r="K891" s="2">
        <v>45741</v>
      </c>
    </row>
    <row r="892" spans="1:11" x14ac:dyDescent="0.25">
      <c r="A892" s="1" t="s">
        <v>261</v>
      </c>
      <c r="B892" s="1" t="s">
        <v>1001</v>
      </c>
      <c r="C892" s="1" t="s">
        <v>2019</v>
      </c>
      <c r="D892" s="1" t="s">
        <v>1998</v>
      </c>
      <c r="E892" s="1"/>
      <c r="F892" s="1" t="s">
        <v>11</v>
      </c>
      <c r="G892">
        <v>5</v>
      </c>
      <c r="H892">
        <v>5</v>
      </c>
      <c r="I892" s="2"/>
      <c r="J892" s="2">
        <v>45709</v>
      </c>
      <c r="K892" s="2">
        <v>45741</v>
      </c>
    </row>
    <row r="893" spans="1:11" x14ac:dyDescent="0.25">
      <c r="A893" s="1" t="s">
        <v>261</v>
      </c>
      <c r="B893" s="1" t="s">
        <v>1019</v>
      </c>
      <c r="C893" s="1" t="s">
        <v>2036</v>
      </c>
      <c r="D893" s="1" t="s">
        <v>1998</v>
      </c>
      <c r="E893" s="1"/>
      <c r="F893" s="1" t="s">
        <v>11</v>
      </c>
      <c r="G893">
        <v>3135</v>
      </c>
      <c r="H893">
        <v>3135</v>
      </c>
      <c r="I893" s="2"/>
      <c r="J893" s="2">
        <v>45709</v>
      </c>
      <c r="K893" s="2">
        <v>45741</v>
      </c>
    </row>
    <row r="894" spans="1:11" x14ac:dyDescent="0.25">
      <c r="A894" s="1" t="s">
        <v>261</v>
      </c>
      <c r="B894" s="1" t="s">
        <v>1020</v>
      </c>
      <c r="C894" s="1" t="s">
        <v>2037</v>
      </c>
      <c r="D894" s="1" t="s">
        <v>1998</v>
      </c>
      <c r="E894" s="1"/>
      <c r="F894" s="1" t="s">
        <v>11</v>
      </c>
      <c r="G894">
        <v>8375</v>
      </c>
      <c r="H894">
        <v>8375</v>
      </c>
      <c r="I894" s="2"/>
      <c r="J894" s="2">
        <v>45709</v>
      </c>
      <c r="K894" s="2">
        <v>45741</v>
      </c>
    </row>
    <row r="895" spans="1:11" x14ac:dyDescent="0.25">
      <c r="A895" s="1" t="s">
        <v>262</v>
      </c>
      <c r="B895" s="1" t="s">
        <v>1298</v>
      </c>
      <c r="C895" s="1" t="s">
        <v>2273</v>
      </c>
      <c r="D895" s="1" t="s">
        <v>1998</v>
      </c>
      <c r="E895" s="1"/>
      <c r="F895" s="1" t="s">
        <v>11</v>
      </c>
      <c r="G895">
        <v>785</v>
      </c>
      <c r="H895">
        <v>710</v>
      </c>
      <c r="I895" s="2"/>
      <c r="J895" s="2">
        <v>45713</v>
      </c>
      <c r="K895" s="2">
        <v>45755</v>
      </c>
    </row>
    <row r="896" spans="1:11" x14ac:dyDescent="0.25">
      <c r="A896" s="1" t="s">
        <v>262</v>
      </c>
      <c r="B896" s="1" t="s">
        <v>1299</v>
      </c>
      <c r="C896" s="1" t="s">
        <v>2223</v>
      </c>
      <c r="D896" s="1" t="s">
        <v>1998</v>
      </c>
      <c r="E896" s="1"/>
      <c r="F896" s="1" t="s">
        <v>11</v>
      </c>
      <c r="G896">
        <v>3210</v>
      </c>
      <c r="H896">
        <v>3210</v>
      </c>
      <c r="I896" s="2"/>
      <c r="J896" s="2">
        <v>45713</v>
      </c>
      <c r="K896" s="2">
        <v>45755</v>
      </c>
    </row>
    <row r="897" spans="1:11" x14ac:dyDescent="0.25">
      <c r="A897" s="1" t="s">
        <v>262</v>
      </c>
      <c r="B897" s="1" t="s">
        <v>1300</v>
      </c>
      <c r="C897" s="1" t="s">
        <v>2002</v>
      </c>
      <c r="D897" s="1" t="s">
        <v>1998</v>
      </c>
      <c r="E897" s="1"/>
      <c r="F897" s="1" t="s">
        <v>11</v>
      </c>
      <c r="G897">
        <v>1925</v>
      </c>
      <c r="H897">
        <v>1925</v>
      </c>
      <c r="I897" s="2"/>
      <c r="J897" s="2">
        <v>45713</v>
      </c>
      <c r="K897" s="2">
        <v>45755</v>
      </c>
    </row>
    <row r="898" spans="1:11" x14ac:dyDescent="0.25">
      <c r="A898" s="1" t="s">
        <v>262</v>
      </c>
      <c r="B898" s="1" t="s">
        <v>1301</v>
      </c>
      <c r="C898" s="1" t="s">
        <v>2002</v>
      </c>
      <c r="D898" s="1" t="s">
        <v>1998</v>
      </c>
      <c r="E898" s="1"/>
      <c r="F898" s="1" t="s">
        <v>11</v>
      </c>
      <c r="G898">
        <v>1705</v>
      </c>
      <c r="H898">
        <v>1705</v>
      </c>
      <c r="I898" s="2"/>
      <c r="J898" s="2">
        <v>45713</v>
      </c>
      <c r="K898" s="2">
        <v>45755</v>
      </c>
    </row>
    <row r="899" spans="1:11" x14ac:dyDescent="0.25">
      <c r="A899" s="1" t="s">
        <v>263</v>
      </c>
      <c r="B899" s="1" t="s">
        <v>1033</v>
      </c>
      <c r="C899" s="1" t="s">
        <v>2046</v>
      </c>
      <c r="D899" s="1" t="s">
        <v>1998</v>
      </c>
      <c r="E899" s="1"/>
      <c r="F899" s="1" t="s">
        <v>11</v>
      </c>
      <c r="G899">
        <v>110</v>
      </c>
      <c r="H899">
        <v>120</v>
      </c>
      <c r="I899" s="2"/>
      <c r="J899" s="2">
        <v>45709</v>
      </c>
      <c r="K899" s="2">
        <v>45748</v>
      </c>
    </row>
    <row r="900" spans="1:11" x14ac:dyDescent="0.25">
      <c r="A900" s="1" t="s">
        <v>263</v>
      </c>
      <c r="B900" s="1" t="s">
        <v>1034</v>
      </c>
      <c r="C900" s="1" t="s">
        <v>2047</v>
      </c>
      <c r="D900" s="1" t="s">
        <v>1998</v>
      </c>
      <c r="E900" s="1"/>
      <c r="F900" s="1" t="s">
        <v>11</v>
      </c>
      <c r="G900">
        <v>260</v>
      </c>
      <c r="H900">
        <v>260</v>
      </c>
      <c r="I900" s="2"/>
      <c r="J900" s="2">
        <v>45709</v>
      </c>
      <c r="K900" s="2">
        <v>45748</v>
      </c>
    </row>
    <row r="901" spans="1:11" x14ac:dyDescent="0.25">
      <c r="A901" s="1" t="s">
        <v>263</v>
      </c>
      <c r="B901" s="1" t="s">
        <v>1035</v>
      </c>
      <c r="C901" s="1" t="s">
        <v>2048</v>
      </c>
      <c r="D901" s="1" t="s">
        <v>1998</v>
      </c>
      <c r="E901" s="1"/>
      <c r="F901" s="1" t="s">
        <v>11</v>
      </c>
      <c r="G901">
        <v>1280</v>
      </c>
      <c r="H901">
        <v>1310</v>
      </c>
      <c r="I901" s="2"/>
      <c r="J901" s="2">
        <v>45709</v>
      </c>
      <c r="K901" s="2">
        <v>45748</v>
      </c>
    </row>
    <row r="902" spans="1:11" x14ac:dyDescent="0.25">
      <c r="A902" s="1" t="s">
        <v>263</v>
      </c>
      <c r="B902" s="1" t="s">
        <v>1023</v>
      </c>
      <c r="C902" s="1" t="s">
        <v>2027</v>
      </c>
      <c r="D902" s="1" t="s">
        <v>1998</v>
      </c>
      <c r="E902" s="1"/>
      <c r="F902" s="1" t="s">
        <v>11</v>
      </c>
      <c r="G902">
        <v>360</v>
      </c>
      <c r="H902">
        <v>360</v>
      </c>
      <c r="I902" s="2"/>
      <c r="J902" s="2">
        <v>45709</v>
      </c>
      <c r="K902" s="2">
        <v>45748</v>
      </c>
    </row>
    <row r="903" spans="1:11" x14ac:dyDescent="0.25">
      <c r="A903" s="1" t="s">
        <v>263</v>
      </c>
      <c r="B903" s="1" t="s">
        <v>1024</v>
      </c>
      <c r="C903" s="1" t="s">
        <v>2027</v>
      </c>
      <c r="D903" s="1" t="s">
        <v>1998</v>
      </c>
      <c r="E903" s="1"/>
      <c r="F903" s="1" t="s">
        <v>11</v>
      </c>
      <c r="G903">
        <v>480</v>
      </c>
      <c r="H903">
        <v>480</v>
      </c>
      <c r="I903" s="2"/>
      <c r="J903" s="2">
        <v>45709</v>
      </c>
      <c r="K903" s="2">
        <v>45748</v>
      </c>
    </row>
    <row r="904" spans="1:11" x14ac:dyDescent="0.25">
      <c r="A904" s="1" t="s">
        <v>263</v>
      </c>
      <c r="B904" s="1" t="s">
        <v>1025</v>
      </c>
      <c r="C904" s="1" t="s">
        <v>2027</v>
      </c>
      <c r="D904" s="1" t="s">
        <v>1998</v>
      </c>
      <c r="E904" s="1"/>
      <c r="F904" s="1" t="s">
        <v>11</v>
      </c>
      <c r="G904">
        <v>460</v>
      </c>
      <c r="H904">
        <v>460</v>
      </c>
      <c r="I904" s="2"/>
      <c r="J904" s="2">
        <v>45709</v>
      </c>
      <c r="K904" s="2">
        <v>45748</v>
      </c>
    </row>
    <row r="905" spans="1:11" x14ac:dyDescent="0.25">
      <c r="A905" s="1" t="s">
        <v>263</v>
      </c>
      <c r="B905" s="1" t="s">
        <v>1026</v>
      </c>
      <c r="C905" s="1" t="s">
        <v>2027</v>
      </c>
      <c r="D905" s="1" t="s">
        <v>1998</v>
      </c>
      <c r="E905" s="1"/>
      <c r="F905" s="1" t="s">
        <v>11</v>
      </c>
      <c r="G905">
        <v>335</v>
      </c>
      <c r="H905">
        <v>335</v>
      </c>
      <c r="I905" s="2"/>
      <c r="J905" s="2">
        <v>45709</v>
      </c>
      <c r="K905" s="2">
        <v>45748</v>
      </c>
    </row>
    <row r="906" spans="1:11" x14ac:dyDescent="0.25">
      <c r="A906" s="1" t="s">
        <v>263</v>
      </c>
      <c r="B906" s="1" t="s">
        <v>1302</v>
      </c>
      <c r="C906" s="1" t="s">
        <v>2274</v>
      </c>
      <c r="D906" s="1" t="s">
        <v>1998</v>
      </c>
      <c r="E906" s="1"/>
      <c r="F906" s="1" t="s">
        <v>11</v>
      </c>
      <c r="G906">
        <v>1</v>
      </c>
      <c r="H906">
        <v>1</v>
      </c>
      <c r="I906" s="2"/>
      <c r="J906" s="2">
        <v>45709</v>
      </c>
      <c r="K906" s="2">
        <v>45748</v>
      </c>
    </row>
    <row r="907" spans="1:11" x14ac:dyDescent="0.25">
      <c r="A907" s="1" t="s">
        <v>263</v>
      </c>
      <c r="B907" s="1" t="s">
        <v>1303</v>
      </c>
      <c r="C907" s="1" t="s">
        <v>2275</v>
      </c>
      <c r="D907" s="1" t="s">
        <v>1998</v>
      </c>
      <c r="E907" s="1"/>
      <c r="F907" s="1" t="s">
        <v>11</v>
      </c>
      <c r="G907">
        <v>1</v>
      </c>
      <c r="H907">
        <v>1</v>
      </c>
      <c r="I907" s="2"/>
      <c r="J907" s="2">
        <v>45709</v>
      </c>
      <c r="K907" s="2">
        <v>45748</v>
      </c>
    </row>
    <row r="908" spans="1:11" x14ac:dyDescent="0.25">
      <c r="A908" s="1" t="s">
        <v>263</v>
      </c>
      <c r="B908" s="1" t="s">
        <v>1304</v>
      </c>
      <c r="C908" s="1" t="s">
        <v>2276</v>
      </c>
      <c r="D908" s="1" t="s">
        <v>1998</v>
      </c>
      <c r="E908" s="1"/>
      <c r="F908" s="1" t="s">
        <v>11</v>
      </c>
      <c r="G908">
        <v>1</v>
      </c>
      <c r="H908">
        <v>1</v>
      </c>
      <c r="I908" s="2"/>
      <c r="J908" s="2">
        <v>45709</v>
      </c>
      <c r="K908" s="2">
        <v>45748</v>
      </c>
    </row>
    <row r="909" spans="1:11" x14ac:dyDescent="0.25">
      <c r="A909" s="1" t="s">
        <v>263</v>
      </c>
      <c r="B909" s="1" t="s">
        <v>1039</v>
      </c>
      <c r="C909" s="1" t="s">
        <v>2049</v>
      </c>
      <c r="D909" s="1" t="s">
        <v>1998</v>
      </c>
      <c r="E909" s="1"/>
      <c r="F909" s="1" t="s">
        <v>11</v>
      </c>
      <c r="G909">
        <v>5</v>
      </c>
      <c r="H909">
        <v>5</v>
      </c>
      <c r="I909" s="2"/>
      <c r="J909" s="2">
        <v>45709</v>
      </c>
      <c r="K909" s="2">
        <v>45748</v>
      </c>
    </row>
    <row r="910" spans="1:11" x14ac:dyDescent="0.25">
      <c r="A910" s="1" t="s">
        <v>263</v>
      </c>
      <c r="B910" s="1" t="s">
        <v>1040</v>
      </c>
      <c r="C910" s="1" t="s">
        <v>2050</v>
      </c>
      <c r="D910" s="1" t="s">
        <v>1998</v>
      </c>
      <c r="E910" s="1"/>
      <c r="F910" s="1" t="s">
        <v>11</v>
      </c>
      <c r="G910">
        <v>5</v>
      </c>
      <c r="H910">
        <v>5</v>
      </c>
      <c r="I910" s="2"/>
      <c r="J910" s="2">
        <v>45709</v>
      </c>
      <c r="K910" s="2">
        <v>45748</v>
      </c>
    </row>
    <row r="911" spans="1:11" x14ac:dyDescent="0.25">
      <c r="A911" s="1" t="s">
        <v>263</v>
      </c>
      <c r="B911" s="1" t="s">
        <v>1027</v>
      </c>
      <c r="C911" s="1" t="s">
        <v>2040</v>
      </c>
      <c r="D911" s="1" t="s">
        <v>1998</v>
      </c>
      <c r="E911" s="1"/>
      <c r="F911" s="1" t="s">
        <v>11</v>
      </c>
      <c r="G911">
        <v>470</v>
      </c>
      <c r="H911">
        <v>470</v>
      </c>
      <c r="I911" s="2"/>
      <c r="J911" s="2">
        <v>45709</v>
      </c>
      <c r="K911" s="2">
        <v>45748</v>
      </c>
    </row>
    <row r="912" spans="1:11" x14ac:dyDescent="0.25">
      <c r="A912" s="1" t="s">
        <v>263</v>
      </c>
      <c r="B912" s="1" t="s">
        <v>1027</v>
      </c>
      <c r="C912" s="1" t="s">
        <v>2040</v>
      </c>
      <c r="D912" s="1" t="s">
        <v>1998</v>
      </c>
      <c r="E912" s="1"/>
      <c r="F912" s="1" t="s">
        <v>12</v>
      </c>
      <c r="G912">
        <v>1</v>
      </c>
      <c r="H912">
        <v>165</v>
      </c>
      <c r="I912" s="2"/>
      <c r="J912" s="2">
        <v>45709</v>
      </c>
      <c r="K912" s="2">
        <v>45748</v>
      </c>
    </row>
    <row r="913" spans="1:11" x14ac:dyDescent="0.25">
      <c r="A913" s="1" t="s">
        <v>263</v>
      </c>
      <c r="B913" s="1" t="s">
        <v>1013</v>
      </c>
      <c r="C913" s="1" t="s">
        <v>2030</v>
      </c>
      <c r="D913" s="1" t="s">
        <v>1998</v>
      </c>
      <c r="E913" s="1"/>
      <c r="F913" s="1" t="s">
        <v>11</v>
      </c>
      <c r="G913">
        <v>80</v>
      </c>
      <c r="H913">
        <v>150</v>
      </c>
      <c r="I913" s="2"/>
      <c r="J913" s="2">
        <v>45709</v>
      </c>
      <c r="K913" s="2">
        <v>45748</v>
      </c>
    </row>
    <row r="914" spans="1:11" x14ac:dyDescent="0.25">
      <c r="A914" s="1" t="s">
        <v>263</v>
      </c>
      <c r="B914" s="1" t="s">
        <v>993</v>
      </c>
      <c r="C914" s="1" t="s">
        <v>2011</v>
      </c>
      <c r="D914" s="1" t="s">
        <v>1998</v>
      </c>
      <c r="E914" s="1"/>
      <c r="F914" s="1" t="s">
        <v>11</v>
      </c>
      <c r="G914">
        <v>30</v>
      </c>
      <c r="H914">
        <v>30</v>
      </c>
      <c r="I914" s="2"/>
      <c r="J914" s="2">
        <v>45709</v>
      </c>
      <c r="K914" s="2">
        <v>45748</v>
      </c>
    </row>
    <row r="915" spans="1:11" x14ac:dyDescent="0.25">
      <c r="A915" s="1" t="s">
        <v>263</v>
      </c>
      <c r="B915" s="1" t="s">
        <v>993</v>
      </c>
      <c r="C915" s="1" t="s">
        <v>2011</v>
      </c>
      <c r="D915" s="1" t="s">
        <v>1998</v>
      </c>
      <c r="E915" s="1"/>
      <c r="F915" s="1" t="s">
        <v>11</v>
      </c>
      <c r="G915">
        <v>80</v>
      </c>
      <c r="H915">
        <v>360</v>
      </c>
      <c r="I915" s="2"/>
      <c r="J915" s="2">
        <v>45709</v>
      </c>
      <c r="K915" s="2">
        <v>45748</v>
      </c>
    </row>
    <row r="916" spans="1:11" x14ac:dyDescent="0.25">
      <c r="A916" s="1" t="s">
        <v>264</v>
      </c>
      <c r="B916" s="1" t="s">
        <v>1305</v>
      </c>
      <c r="C916" s="1" t="s">
        <v>2277</v>
      </c>
      <c r="D916" s="1" t="s">
        <v>1998</v>
      </c>
      <c r="E916" s="1"/>
      <c r="F916" s="1" t="s">
        <v>11</v>
      </c>
      <c r="G916">
        <v>25</v>
      </c>
      <c r="H916">
        <v>25</v>
      </c>
      <c r="I916" s="2">
        <v>45783</v>
      </c>
      <c r="J916" s="2">
        <v>45713</v>
      </c>
      <c r="K916" s="2">
        <v>45783</v>
      </c>
    </row>
    <row r="917" spans="1:11" x14ac:dyDescent="0.25">
      <c r="A917" s="1" t="s">
        <v>264</v>
      </c>
      <c r="B917" s="1" t="s">
        <v>1306</v>
      </c>
      <c r="C917" s="1" t="s">
        <v>2278</v>
      </c>
      <c r="D917" s="1" t="s">
        <v>1998</v>
      </c>
      <c r="E917" s="1"/>
      <c r="F917" s="1" t="s">
        <v>11</v>
      </c>
      <c r="G917">
        <v>25</v>
      </c>
      <c r="H917">
        <v>25</v>
      </c>
      <c r="I917" s="2">
        <v>45783</v>
      </c>
      <c r="J917" s="2">
        <v>45713</v>
      </c>
      <c r="K917" s="2">
        <v>45783</v>
      </c>
    </row>
    <row r="918" spans="1:11" x14ac:dyDescent="0.25">
      <c r="A918" s="1" t="s">
        <v>264</v>
      </c>
      <c r="B918" s="1" t="s">
        <v>1307</v>
      </c>
      <c r="C918" s="1" t="s">
        <v>2279</v>
      </c>
      <c r="D918" s="1" t="s">
        <v>1998</v>
      </c>
      <c r="E918" s="1"/>
      <c r="F918" s="1" t="s">
        <v>11</v>
      </c>
      <c r="G918">
        <v>1</v>
      </c>
      <c r="H918">
        <v>1</v>
      </c>
      <c r="I918" s="2">
        <v>45783</v>
      </c>
      <c r="J918" s="2">
        <v>45713</v>
      </c>
      <c r="K918" s="2">
        <v>45783</v>
      </c>
    </row>
    <row r="919" spans="1:11" x14ac:dyDescent="0.25">
      <c r="A919" s="1" t="s">
        <v>264</v>
      </c>
      <c r="B919" s="1" t="s">
        <v>1308</v>
      </c>
      <c r="C919" s="1" t="s">
        <v>2280</v>
      </c>
      <c r="D919" s="1" t="s">
        <v>1998</v>
      </c>
      <c r="E919" s="1"/>
      <c r="F919" s="1" t="s">
        <v>11</v>
      </c>
      <c r="G919">
        <v>1</v>
      </c>
      <c r="H919">
        <v>1</v>
      </c>
      <c r="I919" s="2">
        <v>45783</v>
      </c>
      <c r="J919" s="2">
        <v>45713</v>
      </c>
      <c r="K919" s="2">
        <v>45783</v>
      </c>
    </row>
    <row r="920" spans="1:11" x14ac:dyDescent="0.25">
      <c r="A920" s="1" t="s">
        <v>264</v>
      </c>
      <c r="B920" s="1" t="s">
        <v>1309</v>
      </c>
      <c r="C920" s="1" t="s">
        <v>2281</v>
      </c>
      <c r="D920" s="1" t="s">
        <v>1998</v>
      </c>
      <c r="E920" s="1"/>
      <c r="F920" s="1" t="s">
        <v>11</v>
      </c>
      <c r="G920">
        <v>725</v>
      </c>
      <c r="H920">
        <v>725</v>
      </c>
      <c r="I920" s="2">
        <v>45783</v>
      </c>
      <c r="J920" s="2">
        <v>45713</v>
      </c>
      <c r="K920" s="2">
        <v>45783</v>
      </c>
    </row>
    <row r="921" spans="1:11" x14ac:dyDescent="0.25">
      <c r="A921" s="1" t="s">
        <v>264</v>
      </c>
      <c r="B921" s="1" t="s">
        <v>1310</v>
      </c>
      <c r="C921" s="1" t="s">
        <v>2115</v>
      </c>
      <c r="D921" s="1" t="s">
        <v>1998</v>
      </c>
      <c r="E921" s="1"/>
      <c r="F921" s="1" t="s">
        <v>11</v>
      </c>
      <c r="G921">
        <v>775</v>
      </c>
      <c r="H921">
        <v>775</v>
      </c>
      <c r="I921" s="2">
        <v>45783</v>
      </c>
      <c r="J921" s="2">
        <v>45713</v>
      </c>
      <c r="K921" s="2">
        <v>45783</v>
      </c>
    </row>
    <row r="922" spans="1:11" x14ac:dyDescent="0.25">
      <c r="A922" s="1" t="s">
        <v>264</v>
      </c>
      <c r="B922" s="1" t="s">
        <v>1311</v>
      </c>
      <c r="C922" s="1" t="s">
        <v>2282</v>
      </c>
      <c r="D922" s="1" t="s">
        <v>1998</v>
      </c>
      <c r="E922" s="1"/>
      <c r="F922" s="1" t="s">
        <v>11</v>
      </c>
      <c r="G922">
        <v>215</v>
      </c>
      <c r="H922">
        <v>215</v>
      </c>
      <c r="I922" s="2">
        <v>45783</v>
      </c>
      <c r="J922" s="2">
        <v>45713</v>
      </c>
      <c r="K922" s="2">
        <v>45783</v>
      </c>
    </row>
    <row r="923" spans="1:11" x14ac:dyDescent="0.25">
      <c r="A923" s="1" t="s">
        <v>264</v>
      </c>
      <c r="B923" s="1" t="s">
        <v>1312</v>
      </c>
      <c r="C923" s="1" t="s">
        <v>2283</v>
      </c>
      <c r="D923" s="1" t="s">
        <v>1998</v>
      </c>
      <c r="E923" s="1"/>
      <c r="F923" s="1" t="s">
        <v>11</v>
      </c>
      <c r="G923">
        <v>85</v>
      </c>
      <c r="H923">
        <v>85</v>
      </c>
      <c r="I923" s="2">
        <v>45783</v>
      </c>
      <c r="J923" s="2">
        <v>45713</v>
      </c>
      <c r="K923" s="2">
        <v>45783</v>
      </c>
    </row>
    <row r="924" spans="1:11" x14ac:dyDescent="0.25">
      <c r="A924" s="1" t="s">
        <v>264</v>
      </c>
      <c r="B924" s="1" t="s">
        <v>1313</v>
      </c>
      <c r="C924" s="1" t="s">
        <v>2284</v>
      </c>
      <c r="D924" s="1" t="s">
        <v>1998</v>
      </c>
      <c r="E924" s="1"/>
      <c r="F924" s="1" t="s">
        <v>11</v>
      </c>
      <c r="G924">
        <v>115</v>
      </c>
      <c r="H924">
        <v>115</v>
      </c>
      <c r="I924" s="2">
        <v>45783</v>
      </c>
      <c r="J924" s="2">
        <v>45713</v>
      </c>
      <c r="K924" s="2">
        <v>45783</v>
      </c>
    </row>
    <row r="925" spans="1:11" x14ac:dyDescent="0.25">
      <c r="A925" s="1" t="s">
        <v>264</v>
      </c>
      <c r="B925" s="1" t="s">
        <v>1314</v>
      </c>
      <c r="C925" s="1" t="s">
        <v>2285</v>
      </c>
      <c r="D925" s="1" t="s">
        <v>1998</v>
      </c>
      <c r="E925" s="1"/>
      <c r="F925" s="1" t="s">
        <v>11</v>
      </c>
      <c r="G925">
        <v>60</v>
      </c>
      <c r="H925">
        <v>60</v>
      </c>
      <c r="I925" s="2">
        <v>45783</v>
      </c>
      <c r="J925" s="2">
        <v>45713</v>
      </c>
      <c r="K925" s="2">
        <v>45783</v>
      </c>
    </row>
    <row r="926" spans="1:11" x14ac:dyDescent="0.25">
      <c r="A926" s="1" t="s">
        <v>264</v>
      </c>
      <c r="B926" s="1" t="s">
        <v>1315</v>
      </c>
      <c r="C926" s="1" t="s">
        <v>2286</v>
      </c>
      <c r="D926" s="1" t="s">
        <v>1998</v>
      </c>
      <c r="E926" s="1"/>
      <c r="F926" s="1" t="s">
        <v>11</v>
      </c>
      <c r="G926">
        <v>115</v>
      </c>
      <c r="H926">
        <v>115</v>
      </c>
      <c r="I926" s="2">
        <v>45783</v>
      </c>
      <c r="J926" s="2">
        <v>45713</v>
      </c>
      <c r="K926" s="2">
        <v>45783</v>
      </c>
    </row>
    <row r="927" spans="1:11" x14ac:dyDescent="0.25">
      <c r="A927" s="1" t="s">
        <v>264</v>
      </c>
      <c r="B927" s="1" t="s">
        <v>1316</v>
      </c>
      <c r="C927" s="1" t="s">
        <v>2287</v>
      </c>
      <c r="D927" s="1" t="s">
        <v>1998</v>
      </c>
      <c r="E927" s="1"/>
      <c r="F927" s="1" t="s">
        <v>11</v>
      </c>
      <c r="G927">
        <v>35</v>
      </c>
      <c r="H927">
        <v>35</v>
      </c>
      <c r="I927" s="2">
        <v>45783</v>
      </c>
      <c r="J927" s="2">
        <v>45713</v>
      </c>
      <c r="K927" s="2">
        <v>45783</v>
      </c>
    </row>
    <row r="928" spans="1:11" x14ac:dyDescent="0.25">
      <c r="A928" s="1" t="s">
        <v>264</v>
      </c>
      <c r="B928" s="1" t="s">
        <v>1317</v>
      </c>
      <c r="C928" s="1" t="s">
        <v>2288</v>
      </c>
      <c r="D928" s="1" t="s">
        <v>1998</v>
      </c>
      <c r="E928" s="1"/>
      <c r="F928" s="1" t="s">
        <v>11</v>
      </c>
      <c r="G928">
        <v>5</v>
      </c>
      <c r="H928">
        <v>5</v>
      </c>
      <c r="I928" s="2">
        <v>45783</v>
      </c>
      <c r="J928" s="2">
        <v>45713</v>
      </c>
      <c r="K928" s="2">
        <v>45783</v>
      </c>
    </row>
    <row r="929" spans="1:11" x14ac:dyDescent="0.25">
      <c r="A929" s="1" t="s">
        <v>264</v>
      </c>
      <c r="B929" s="1" t="s">
        <v>1318</v>
      </c>
      <c r="C929" s="1" t="s">
        <v>2289</v>
      </c>
      <c r="D929" s="1" t="s">
        <v>1998</v>
      </c>
      <c r="E929" s="1"/>
      <c r="F929" s="1" t="s">
        <v>11</v>
      </c>
      <c r="G929">
        <v>15</v>
      </c>
      <c r="H929">
        <v>15</v>
      </c>
      <c r="I929" s="2">
        <v>45783</v>
      </c>
      <c r="J929" s="2">
        <v>45713</v>
      </c>
      <c r="K929" s="2">
        <v>45783</v>
      </c>
    </row>
    <row r="930" spans="1:11" x14ac:dyDescent="0.25">
      <c r="A930" s="1" t="s">
        <v>264</v>
      </c>
      <c r="B930" s="1" t="s">
        <v>1068</v>
      </c>
      <c r="C930" s="1" t="s">
        <v>2074</v>
      </c>
      <c r="D930" s="1" t="s">
        <v>1998</v>
      </c>
      <c r="E930" s="1"/>
      <c r="F930" s="1" t="s">
        <v>11</v>
      </c>
      <c r="G930">
        <v>5</v>
      </c>
      <c r="H930">
        <v>5</v>
      </c>
      <c r="I930" s="2">
        <v>45783</v>
      </c>
      <c r="J930" s="2">
        <v>45713</v>
      </c>
      <c r="K930" s="2">
        <v>45783</v>
      </c>
    </row>
    <row r="931" spans="1:11" x14ac:dyDescent="0.25">
      <c r="A931" s="1" t="s">
        <v>264</v>
      </c>
      <c r="B931" s="1" t="s">
        <v>1319</v>
      </c>
      <c r="C931" s="1" t="s">
        <v>2290</v>
      </c>
      <c r="D931" s="1" t="s">
        <v>1998</v>
      </c>
      <c r="E931" s="1"/>
      <c r="F931" s="1" t="s">
        <v>11</v>
      </c>
      <c r="G931">
        <v>1</v>
      </c>
      <c r="H931">
        <v>1</v>
      </c>
      <c r="I931" s="2">
        <v>45783</v>
      </c>
      <c r="J931" s="2">
        <v>45713</v>
      </c>
      <c r="K931" s="2">
        <v>45783</v>
      </c>
    </row>
    <row r="932" spans="1:11" x14ac:dyDescent="0.25">
      <c r="A932" s="1" t="s">
        <v>264</v>
      </c>
      <c r="B932" s="1" t="s">
        <v>1320</v>
      </c>
      <c r="C932" s="1" t="s">
        <v>2291</v>
      </c>
      <c r="D932" s="1" t="s">
        <v>1998</v>
      </c>
      <c r="E932" s="1"/>
      <c r="F932" s="1" t="s">
        <v>11</v>
      </c>
      <c r="G932">
        <v>1</v>
      </c>
      <c r="H932">
        <v>1</v>
      </c>
      <c r="I932" s="2">
        <v>45783</v>
      </c>
      <c r="J932" s="2">
        <v>45713</v>
      </c>
      <c r="K932" s="2">
        <v>45783</v>
      </c>
    </row>
    <row r="933" spans="1:11" x14ac:dyDescent="0.25">
      <c r="A933" s="1" t="s">
        <v>264</v>
      </c>
      <c r="B933" s="1" t="s">
        <v>1321</v>
      </c>
      <c r="C933" s="1" t="s">
        <v>2291</v>
      </c>
      <c r="D933" s="1" t="s">
        <v>1998</v>
      </c>
      <c r="E933" s="1"/>
      <c r="F933" s="1" t="s">
        <v>11</v>
      </c>
      <c r="G933">
        <v>1</v>
      </c>
      <c r="H933">
        <v>1</v>
      </c>
      <c r="I933" s="2">
        <v>45783</v>
      </c>
      <c r="J933" s="2">
        <v>45713</v>
      </c>
      <c r="K933" s="2">
        <v>45783</v>
      </c>
    </row>
    <row r="934" spans="1:11" x14ac:dyDescent="0.25">
      <c r="A934" s="1" t="s">
        <v>264</v>
      </c>
      <c r="B934" s="1" t="s">
        <v>1322</v>
      </c>
      <c r="C934" s="1" t="s">
        <v>2292</v>
      </c>
      <c r="D934" s="1" t="s">
        <v>1998</v>
      </c>
      <c r="E934" s="1"/>
      <c r="F934" s="1" t="s">
        <v>11</v>
      </c>
      <c r="G934">
        <v>10</v>
      </c>
      <c r="H934">
        <v>10</v>
      </c>
      <c r="I934" s="2">
        <v>45783</v>
      </c>
      <c r="J934" s="2">
        <v>45713</v>
      </c>
      <c r="K934" s="2">
        <v>45783</v>
      </c>
    </row>
    <row r="935" spans="1:11" x14ac:dyDescent="0.25">
      <c r="A935" s="1" t="s">
        <v>265</v>
      </c>
      <c r="B935" s="1" t="s">
        <v>1305</v>
      </c>
      <c r="C935" s="1" t="s">
        <v>2277</v>
      </c>
      <c r="D935" s="1" t="s">
        <v>1998</v>
      </c>
      <c r="E935" s="1"/>
      <c r="F935" s="1" t="s">
        <v>11</v>
      </c>
      <c r="G935">
        <v>25</v>
      </c>
      <c r="H935">
        <v>25</v>
      </c>
      <c r="I935" s="2">
        <v>45783</v>
      </c>
      <c r="J935" s="2">
        <v>45713</v>
      </c>
      <c r="K935" s="2">
        <v>45783</v>
      </c>
    </row>
    <row r="936" spans="1:11" x14ac:dyDescent="0.25">
      <c r="A936" s="1" t="s">
        <v>265</v>
      </c>
      <c r="B936" s="1" t="s">
        <v>1306</v>
      </c>
      <c r="C936" s="1" t="s">
        <v>2278</v>
      </c>
      <c r="D936" s="1" t="s">
        <v>1998</v>
      </c>
      <c r="E936" s="1"/>
      <c r="F936" s="1" t="s">
        <v>11</v>
      </c>
      <c r="G936">
        <v>25</v>
      </c>
      <c r="H936">
        <v>25</v>
      </c>
      <c r="I936" s="2">
        <v>45783</v>
      </c>
      <c r="J936" s="2">
        <v>45713</v>
      </c>
      <c r="K936" s="2">
        <v>45783</v>
      </c>
    </row>
    <row r="937" spans="1:11" x14ac:dyDescent="0.25">
      <c r="A937" s="1" t="s">
        <v>265</v>
      </c>
      <c r="B937" s="1" t="s">
        <v>1307</v>
      </c>
      <c r="C937" s="1" t="s">
        <v>2279</v>
      </c>
      <c r="D937" s="1" t="s">
        <v>1998</v>
      </c>
      <c r="E937" s="1"/>
      <c r="F937" s="1" t="s">
        <v>11</v>
      </c>
      <c r="G937">
        <v>1</v>
      </c>
      <c r="H937">
        <v>1</v>
      </c>
      <c r="I937" s="2">
        <v>45783</v>
      </c>
      <c r="J937" s="2">
        <v>45713</v>
      </c>
      <c r="K937" s="2">
        <v>45783</v>
      </c>
    </row>
    <row r="938" spans="1:11" x14ac:dyDescent="0.25">
      <c r="A938" s="1" t="s">
        <v>265</v>
      </c>
      <c r="B938" s="1" t="s">
        <v>1308</v>
      </c>
      <c r="C938" s="1" t="s">
        <v>2280</v>
      </c>
      <c r="D938" s="1" t="s">
        <v>1998</v>
      </c>
      <c r="E938" s="1"/>
      <c r="F938" s="1" t="s">
        <v>11</v>
      </c>
      <c r="G938">
        <v>1</v>
      </c>
      <c r="H938">
        <v>1</v>
      </c>
      <c r="I938" s="2">
        <v>45783</v>
      </c>
      <c r="J938" s="2">
        <v>45713</v>
      </c>
      <c r="K938" s="2">
        <v>45783</v>
      </c>
    </row>
    <row r="939" spans="1:11" x14ac:dyDescent="0.25">
      <c r="A939" s="1" t="s">
        <v>265</v>
      </c>
      <c r="B939" s="1" t="s">
        <v>1309</v>
      </c>
      <c r="C939" s="1" t="s">
        <v>2281</v>
      </c>
      <c r="D939" s="1" t="s">
        <v>1998</v>
      </c>
      <c r="E939" s="1"/>
      <c r="F939" s="1" t="s">
        <v>11</v>
      </c>
      <c r="G939">
        <v>545</v>
      </c>
      <c r="H939">
        <v>545</v>
      </c>
      <c r="I939" s="2">
        <v>45783</v>
      </c>
      <c r="J939" s="2">
        <v>45713</v>
      </c>
      <c r="K939" s="2">
        <v>45783</v>
      </c>
    </row>
    <row r="940" spans="1:11" x14ac:dyDescent="0.25">
      <c r="A940" s="1" t="s">
        <v>265</v>
      </c>
      <c r="B940" s="1" t="s">
        <v>1310</v>
      </c>
      <c r="C940" s="1" t="s">
        <v>2115</v>
      </c>
      <c r="D940" s="1" t="s">
        <v>1998</v>
      </c>
      <c r="E940" s="1"/>
      <c r="F940" s="1" t="s">
        <v>11</v>
      </c>
      <c r="G940">
        <v>665</v>
      </c>
      <c r="H940">
        <v>665</v>
      </c>
      <c r="I940" s="2">
        <v>45783</v>
      </c>
      <c r="J940" s="2">
        <v>45713</v>
      </c>
      <c r="K940" s="2">
        <v>45783</v>
      </c>
    </row>
    <row r="941" spans="1:11" x14ac:dyDescent="0.25">
      <c r="A941" s="1" t="s">
        <v>265</v>
      </c>
      <c r="B941" s="1" t="s">
        <v>1311</v>
      </c>
      <c r="C941" s="1" t="s">
        <v>2282</v>
      </c>
      <c r="D941" s="1" t="s">
        <v>1998</v>
      </c>
      <c r="E941" s="1"/>
      <c r="F941" s="1" t="s">
        <v>11</v>
      </c>
      <c r="G941">
        <v>215</v>
      </c>
      <c r="H941">
        <v>215</v>
      </c>
      <c r="I941" s="2">
        <v>45783</v>
      </c>
      <c r="J941" s="2">
        <v>45713</v>
      </c>
      <c r="K941" s="2">
        <v>45783</v>
      </c>
    </row>
    <row r="942" spans="1:11" x14ac:dyDescent="0.25">
      <c r="A942" s="1" t="s">
        <v>265</v>
      </c>
      <c r="B942" s="1" t="s">
        <v>1323</v>
      </c>
      <c r="C942" s="1" t="s">
        <v>2282</v>
      </c>
      <c r="D942" s="1" t="s">
        <v>1998</v>
      </c>
      <c r="E942" s="1"/>
      <c r="F942" s="1" t="s">
        <v>11</v>
      </c>
      <c r="G942">
        <v>200</v>
      </c>
      <c r="H942">
        <v>200</v>
      </c>
      <c r="I942" s="2">
        <v>45783</v>
      </c>
      <c r="J942" s="2">
        <v>45713</v>
      </c>
      <c r="K942" s="2">
        <v>45783</v>
      </c>
    </row>
    <row r="943" spans="1:11" x14ac:dyDescent="0.25">
      <c r="A943" s="1" t="s">
        <v>265</v>
      </c>
      <c r="B943" s="1" t="s">
        <v>1312</v>
      </c>
      <c r="C943" s="1" t="s">
        <v>2283</v>
      </c>
      <c r="D943" s="1" t="s">
        <v>1998</v>
      </c>
      <c r="E943" s="1"/>
      <c r="F943" s="1" t="s">
        <v>11</v>
      </c>
      <c r="G943">
        <v>85</v>
      </c>
      <c r="H943">
        <v>85</v>
      </c>
      <c r="I943" s="2">
        <v>45783</v>
      </c>
      <c r="J943" s="2">
        <v>45713</v>
      </c>
      <c r="K943" s="2">
        <v>45783</v>
      </c>
    </row>
    <row r="944" spans="1:11" x14ac:dyDescent="0.25">
      <c r="A944" s="1" t="s">
        <v>265</v>
      </c>
      <c r="B944" s="1" t="s">
        <v>1313</v>
      </c>
      <c r="C944" s="1" t="s">
        <v>2284</v>
      </c>
      <c r="D944" s="1" t="s">
        <v>1998</v>
      </c>
      <c r="E944" s="1"/>
      <c r="F944" s="1" t="s">
        <v>11</v>
      </c>
      <c r="G944">
        <v>100</v>
      </c>
      <c r="H944">
        <v>100</v>
      </c>
      <c r="I944" s="2">
        <v>45783</v>
      </c>
      <c r="J944" s="2">
        <v>45713</v>
      </c>
      <c r="K944" s="2">
        <v>45783</v>
      </c>
    </row>
    <row r="945" spans="1:11" x14ac:dyDescent="0.25">
      <c r="A945" s="1" t="s">
        <v>265</v>
      </c>
      <c r="B945" s="1" t="s">
        <v>1314</v>
      </c>
      <c r="C945" s="1" t="s">
        <v>2285</v>
      </c>
      <c r="D945" s="1" t="s">
        <v>1998</v>
      </c>
      <c r="E945" s="1"/>
      <c r="F945" s="1" t="s">
        <v>11</v>
      </c>
      <c r="G945">
        <v>50</v>
      </c>
      <c r="H945">
        <v>50</v>
      </c>
      <c r="I945" s="2">
        <v>45783</v>
      </c>
      <c r="J945" s="2">
        <v>45713</v>
      </c>
      <c r="K945" s="2">
        <v>45783</v>
      </c>
    </row>
    <row r="946" spans="1:11" x14ac:dyDescent="0.25">
      <c r="A946" s="1" t="s">
        <v>265</v>
      </c>
      <c r="B946" s="1" t="s">
        <v>1315</v>
      </c>
      <c r="C946" s="1" t="s">
        <v>2286</v>
      </c>
      <c r="D946" s="1" t="s">
        <v>1998</v>
      </c>
      <c r="E946" s="1"/>
      <c r="F946" s="1" t="s">
        <v>11</v>
      </c>
      <c r="G946">
        <v>95</v>
      </c>
      <c r="H946">
        <v>95</v>
      </c>
      <c r="I946" s="2">
        <v>45783</v>
      </c>
      <c r="J946" s="2">
        <v>45713</v>
      </c>
      <c r="K946" s="2">
        <v>45783</v>
      </c>
    </row>
    <row r="947" spans="1:11" x14ac:dyDescent="0.25">
      <c r="A947" s="1" t="s">
        <v>265</v>
      </c>
      <c r="B947" s="1" t="s">
        <v>1316</v>
      </c>
      <c r="C947" s="1" t="s">
        <v>2287</v>
      </c>
      <c r="D947" s="1" t="s">
        <v>1998</v>
      </c>
      <c r="E947" s="1"/>
      <c r="F947" s="1" t="s">
        <v>11</v>
      </c>
      <c r="G947">
        <v>30</v>
      </c>
      <c r="H947">
        <v>30</v>
      </c>
      <c r="I947" s="2">
        <v>45783</v>
      </c>
      <c r="J947" s="2">
        <v>45713</v>
      </c>
      <c r="K947" s="2">
        <v>45783</v>
      </c>
    </row>
    <row r="948" spans="1:11" x14ac:dyDescent="0.25">
      <c r="A948" s="1" t="s">
        <v>265</v>
      </c>
      <c r="B948" s="1" t="s">
        <v>1317</v>
      </c>
      <c r="C948" s="1" t="s">
        <v>2288</v>
      </c>
      <c r="D948" s="1" t="s">
        <v>1998</v>
      </c>
      <c r="E948" s="1"/>
      <c r="F948" s="1" t="s">
        <v>11</v>
      </c>
      <c r="G948">
        <v>5</v>
      </c>
      <c r="H948">
        <v>5</v>
      </c>
      <c r="I948" s="2">
        <v>45783</v>
      </c>
      <c r="J948" s="2">
        <v>45713</v>
      </c>
      <c r="K948" s="2">
        <v>45783</v>
      </c>
    </row>
    <row r="949" spans="1:11" x14ac:dyDescent="0.25">
      <c r="A949" s="1" t="s">
        <v>265</v>
      </c>
      <c r="B949" s="1" t="s">
        <v>1318</v>
      </c>
      <c r="C949" s="1" t="s">
        <v>2289</v>
      </c>
      <c r="D949" s="1" t="s">
        <v>1998</v>
      </c>
      <c r="E949" s="1"/>
      <c r="F949" s="1" t="s">
        <v>11</v>
      </c>
      <c r="G949">
        <v>15</v>
      </c>
      <c r="H949">
        <v>15</v>
      </c>
      <c r="I949" s="2">
        <v>45783</v>
      </c>
      <c r="J949" s="2">
        <v>45713</v>
      </c>
      <c r="K949" s="2">
        <v>45783</v>
      </c>
    </row>
    <row r="950" spans="1:11" x14ac:dyDescent="0.25">
      <c r="A950" s="1" t="s">
        <v>265</v>
      </c>
      <c r="B950" s="1" t="s">
        <v>1068</v>
      </c>
      <c r="C950" s="1" t="s">
        <v>2074</v>
      </c>
      <c r="D950" s="1" t="s">
        <v>1998</v>
      </c>
      <c r="E950" s="1"/>
      <c r="F950" s="1" t="s">
        <v>11</v>
      </c>
      <c r="G950">
        <v>5</v>
      </c>
      <c r="H950">
        <v>5</v>
      </c>
      <c r="I950" s="2">
        <v>45783</v>
      </c>
      <c r="J950" s="2">
        <v>45713</v>
      </c>
      <c r="K950" s="2">
        <v>45783</v>
      </c>
    </row>
    <row r="951" spans="1:11" x14ac:dyDescent="0.25">
      <c r="A951" s="1" t="s">
        <v>265</v>
      </c>
      <c r="B951" s="1" t="s">
        <v>1319</v>
      </c>
      <c r="C951" s="1" t="s">
        <v>2290</v>
      </c>
      <c r="D951" s="1" t="s">
        <v>1998</v>
      </c>
      <c r="E951" s="1"/>
      <c r="F951" s="1" t="s">
        <v>11</v>
      </c>
      <c r="G951">
        <v>1</v>
      </c>
      <c r="H951">
        <v>1</v>
      </c>
      <c r="I951" s="2">
        <v>45783</v>
      </c>
      <c r="J951" s="2">
        <v>45713</v>
      </c>
      <c r="K951" s="2">
        <v>45783</v>
      </c>
    </row>
    <row r="952" spans="1:11" x14ac:dyDescent="0.25">
      <c r="A952" s="1" t="s">
        <v>265</v>
      </c>
      <c r="B952" s="1" t="s">
        <v>1324</v>
      </c>
      <c r="C952" s="1" t="s">
        <v>2291</v>
      </c>
      <c r="D952" s="1" t="s">
        <v>1998</v>
      </c>
      <c r="E952" s="1"/>
      <c r="F952" s="1" t="s">
        <v>11</v>
      </c>
      <c r="G952">
        <v>1</v>
      </c>
      <c r="H952">
        <v>1</v>
      </c>
      <c r="I952" s="2">
        <v>45783</v>
      </c>
      <c r="J952" s="2">
        <v>45713</v>
      </c>
      <c r="K952" s="2">
        <v>45783</v>
      </c>
    </row>
    <row r="953" spans="1:11" x14ac:dyDescent="0.25">
      <c r="A953" s="1" t="s">
        <v>265</v>
      </c>
      <c r="B953" s="1" t="s">
        <v>1325</v>
      </c>
      <c r="C953" s="1" t="s">
        <v>2291</v>
      </c>
      <c r="D953" s="1" t="s">
        <v>1998</v>
      </c>
      <c r="E953" s="1"/>
      <c r="F953" s="1" t="s">
        <v>11</v>
      </c>
      <c r="G953">
        <v>1</v>
      </c>
      <c r="H953">
        <v>1</v>
      </c>
      <c r="I953" s="2">
        <v>45783</v>
      </c>
      <c r="J953" s="2">
        <v>45713</v>
      </c>
      <c r="K953" s="2">
        <v>45783</v>
      </c>
    </row>
    <row r="954" spans="1:11" x14ac:dyDescent="0.25">
      <c r="A954" s="1" t="s">
        <v>265</v>
      </c>
      <c r="B954" s="1" t="s">
        <v>1322</v>
      </c>
      <c r="C954" s="1" t="s">
        <v>2292</v>
      </c>
      <c r="D954" s="1" t="s">
        <v>1998</v>
      </c>
      <c r="E954" s="1"/>
      <c r="F954" s="1" t="s">
        <v>11</v>
      </c>
      <c r="G954">
        <v>10</v>
      </c>
      <c r="H954">
        <v>10</v>
      </c>
      <c r="I954" s="2">
        <v>45783</v>
      </c>
      <c r="J954" s="2">
        <v>45713</v>
      </c>
      <c r="K954" s="2">
        <v>45783</v>
      </c>
    </row>
    <row r="955" spans="1:11" x14ac:dyDescent="0.25">
      <c r="A955" s="1" t="s">
        <v>266</v>
      </c>
      <c r="B955" s="1" t="s">
        <v>1305</v>
      </c>
      <c r="C955" s="1" t="s">
        <v>2277</v>
      </c>
      <c r="D955" s="1" t="s">
        <v>1998</v>
      </c>
      <c r="E955" s="1"/>
      <c r="F955" s="1" t="s">
        <v>11</v>
      </c>
      <c r="G955">
        <v>25</v>
      </c>
      <c r="H955">
        <v>25</v>
      </c>
      <c r="I955" s="2">
        <v>45783</v>
      </c>
      <c r="J955" s="2">
        <v>45713</v>
      </c>
      <c r="K955" s="2">
        <v>45783</v>
      </c>
    </row>
    <row r="956" spans="1:11" x14ac:dyDescent="0.25">
      <c r="A956" s="1" t="s">
        <v>266</v>
      </c>
      <c r="B956" s="1" t="s">
        <v>1306</v>
      </c>
      <c r="C956" s="1" t="s">
        <v>2278</v>
      </c>
      <c r="D956" s="1" t="s">
        <v>1998</v>
      </c>
      <c r="E956" s="1"/>
      <c r="F956" s="1" t="s">
        <v>11</v>
      </c>
      <c r="G956">
        <v>25</v>
      </c>
      <c r="H956">
        <v>25</v>
      </c>
      <c r="I956" s="2">
        <v>45783</v>
      </c>
      <c r="J956" s="2">
        <v>45713</v>
      </c>
      <c r="K956" s="2">
        <v>45783</v>
      </c>
    </row>
    <row r="957" spans="1:11" x14ac:dyDescent="0.25">
      <c r="A957" s="1" t="s">
        <v>266</v>
      </c>
      <c r="B957" s="1" t="s">
        <v>1307</v>
      </c>
      <c r="C957" s="1" t="s">
        <v>2279</v>
      </c>
      <c r="D957" s="1" t="s">
        <v>1998</v>
      </c>
      <c r="E957" s="1"/>
      <c r="F957" s="1" t="s">
        <v>11</v>
      </c>
      <c r="G957">
        <v>1</v>
      </c>
      <c r="H957">
        <v>1</v>
      </c>
      <c r="I957" s="2">
        <v>45783</v>
      </c>
      <c r="J957" s="2">
        <v>45713</v>
      </c>
      <c r="K957" s="2">
        <v>45783</v>
      </c>
    </row>
    <row r="958" spans="1:11" x14ac:dyDescent="0.25">
      <c r="A958" s="1" t="s">
        <v>266</v>
      </c>
      <c r="B958" s="1" t="s">
        <v>1308</v>
      </c>
      <c r="C958" s="1" t="s">
        <v>2280</v>
      </c>
      <c r="D958" s="1" t="s">
        <v>1998</v>
      </c>
      <c r="E958" s="1"/>
      <c r="F958" s="1" t="s">
        <v>11</v>
      </c>
      <c r="G958">
        <v>1</v>
      </c>
      <c r="H958">
        <v>1</v>
      </c>
      <c r="I958" s="2">
        <v>45783</v>
      </c>
      <c r="J958" s="2">
        <v>45713</v>
      </c>
      <c r="K958" s="2">
        <v>45783</v>
      </c>
    </row>
    <row r="959" spans="1:11" x14ac:dyDescent="0.25">
      <c r="A959" s="1" t="s">
        <v>266</v>
      </c>
      <c r="B959" s="1" t="s">
        <v>1309</v>
      </c>
      <c r="C959" s="1" t="s">
        <v>2281</v>
      </c>
      <c r="D959" s="1" t="s">
        <v>1998</v>
      </c>
      <c r="E959" s="1"/>
      <c r="F959" s="1" t="s">
        <v>11</v>
      </c>
      <c r="G959">
        <v>725</v>
      </c>
      <c r="H959">
        <v>725</v>
      </c>
      <c r="I959" s="2">
        <v>45783</v>
      </c>
      <c r="J959" s="2">
        <v>45713</v>
      </c>
      <c r="K959" s="2">
        <v>45783</v>
      </c>
    </row>
    <row r="960" spans="1:11" x14ac:dyDescent="0.25">
      <c r="A960" s="1" t="s">
        <v>266</v>
      </c>
      <c r="B960" s="1" t="s">
        <v>1310</v>
      </c>
      <c r="C960" s="1" t="s">
        <v>2115</v>
      </c>
      <c r="D960" s="1" t="s">
        <v>1998</v>
      </c>
      <c r="E960" s="1"/>
      <c r="F960" s="1" t="s">
        <v>11</v>
      </c>
      <c r="G960">
        <v>775</v>
      </c>
      <c r="H960">
        <v>775</v>
      </c>
      <c r="I960" s="2">
        <v>45783</v>
      </c>
      <c r="J960" s="2">
        <v>45713</v>
      </c>
      <c r="K960" s="2">
        <v>45783</v>
      </c>
    </row>
    <row r="961" spans="1:11" x14ac:dyDescent="0.25">
      <c r="A961" s="1" t="s">
        <v>266</v>
      </c>
      <c r="B961" s="1" t="s">
        <v>1311</v>
      </c>
      <c r="C961" s="1" t="s">
        <v>2282</v>
      </c>
      <c r="D961" s="1" t="s">
        <v>1998</v>
      </c>
      <c r="E961" s="1"/>
      <c r="F961" s="1" t="s">
        <v>11</v>
      </c>
      <c r="G961">
        <v>215</v>
      </c>
      <c r="H961">
        <v>215</v>
      </c>
      <c r="I961" s="2">
        <v>45783</v>
      </c>
      <c r="J961" s="2">
        <v>45713</v>
      </c>
      <c r="K961" s="2">
        <v>45783</v>
      </c>
    </row>
    <row r="962" spans="1:11" x14ac:dyDescent="0.25">
      <c r="A962" s="1" t="s">
        <v>266</v>
      </c>
      <c r="B962" s="1" t="s">
        <v>1312</v>
      </c>
      <c r="C962" s="1" t="s">
        <v>2283</v>
      </c>
      <c r="D962" s="1" t="s">
        <v>1998</v>
      </c>
      <c r="E962" s="1"/>
      <c r="F962" s="1" t="s">
        <v>11</v>
      </c>
      <c r="G962">
        <v>85</v>
      </c>
      <c r="H962">
        <v>85</v>
      </c>
      <c r="I962" s="2">
        <v>45783</v>
      </c>
      <c r="J962" s="2">
        <v>45713</v>
      </c>
      <c r="K962" s="2">
        <v>45783</v>
      </c>
    </row>
    <row r="963" spans="1:11" x14ac:dyDescent="0.25">
      <c r="A963" s="1" t="s">
        <v>266</v>
      </c>
      <c r="B963" s="1" t="s">
        <v>1313</v>
      </c>
      <c r="C963" s="1" t="s">
        <v>2284</v>
      </c>
      <c r="D963" s="1" t="s">
        <v>1998</v>
      </c>
      <c r="E963" s="1"/>
      <c r="F963" s="1" t="s">
        <v>11</v>
      </c>
      <c r="G963">
        <v>115</v>
      </c>
      <c r="H963">
        <v>115</v>
      </c>
      <c r="I963" s="2">
        <v>45783</v>
      </c>
      <c r="J963" s="2">
        <v>45713</v>
      </c>
      <c r="K963" s="2">
        <v>45783</v>
      </c>
    </row>
    <row r="964" spans="1:11" x14ac:dyDescent="0.25">
      <c r="A964" s="1" t="s">
        <v>266</v>
      </c>
      <c r="B964" s="1" t="s">
        <v>1314</v>
      </c>
      <c r="C964" s="1" t="s">
        <v>2285</v>
      </c>
      <c r="D964" s="1" t="s">
        <v>1998</v>
      </c>
      <c r="E964" s="1"/>
      <c r="F964" s="1" t="s">
        <v>11</v>
      </c>
      <c r="G964">
        <v>60</v>
      </c>
      <c r="H964">
        <v>60</v>
      </c>
      <c r="I964" s="2">
        <v>45783</v>
      </c>
      <c r="J964" s="2">
        <v>45713</v>
      </c>
      <c r="K964" s="2">
        <v>45783</v>
      </c>
    </row>
    <row r="965" spans="1:11" x14ac:dyDescent="0.25">
      <c r="A965" s="1" t="s">
        <v>266</v>
      </c>
      <c r="B965" s="1" t="s">
        <v>1315</v>
      </c>
      <c r="C965" s="1" t="s">
        <v>2286</v>
      </c>
      <c r="D965" s="1" t="s">
        <v>1998</v>
      </c>
      <c r="E965" s="1"/>
      <c r="F965" s="1" t="s">
        <v>11</v>
      </c>
      <c r="G965">
        <v>115</v>
      </c>
      <c r="H965">
        <v>115</v>
      </c>
      <c r="I965" s="2">
        <v>45783</v>
      </c>
      <c r="J965" s="2">
        <v>45713</v>
      </c>
      <c r="K965" s="2">
        <v>45783</v>
      </c>
    </row>
    <row r="966" spans="1:11" x14ac:dyDescent="0.25">
      <c r="A966" s="1" t="s">
        <v>266</v>
      </c>
      <c r="B966" s="1" t="s">
        <v>1316</v>
      </c>
      <c r="C966" s="1" t="s">
        <v>2287</v>
      </c>
      <c r="D966" s="1" t="s">
        <v>1998</v>
      </c>
      <c r="E966" s="1"/>
      <c r="F966" s="1" t="s">
        <v>11</v>
      </c>
      <c r="G966">
        <v>35</v>
      </c>
      <c r="H966">
        <v>35</v>
      </c>
      <c r="I966" s="2">
        <v>45783</v>
      </c>
      <c r="J966" s="2">
        <v>45713</v>
      </c>
      <c r="K966" s="2">
        <v>45783</v>
      </c>
    </row>
    <row r="967" spans="1:11" x14ac:dyDescent="0.25">
      <c r="A967" s="1" t="s">
        <v>266</v>
      </c>
      <c r="B967" s="1" t="s">
        <v>1317</v>
      </c>
      <c r="C967" s="1" t="s">
        <v>2288</v>
      </c>
      <c r="D967" s="1" t="s">
        <v>1998</v>
      </c>
      <c r="E967" s="1"/>
      <c r="F967" s="1" t="s">
        <v>11</v>
      </c>
      <c r="G967">
        <v>5</v>
      </c>
      <c r="H967">
        <v>5</v>
      </c>
      <c r="I967" s="2">
        <v>45783</v>
      </c>
      <c r="J967" s="2">
        <v>45713</v>
      </c>
      <c r="K967" s="2">
        <v>45783</v>
      </c>
    </row>
    <row r="968" spans="1:11" x14ac:dyDescent="0.25">
      <c r="A968" s="1" t="s">
        <v>266</v>
      </c>
      <c r="B968" s="1" t="s">
        <v>1318</v>
      </c>
      <c r="C968" s="1" t="s">
        <v>2289</v>
      </c>
      <c r="D968" s="1" t="s">
        <v>1998</v>
      </c>
      <c r="E968" s="1"/>
      <c r="F968" s="1" t="s">
        <v>11</v>
      </c>
      <c r="G968">
        <v>15</v>
      </c>
      <c r="H968">
        <v>15</v>
      </c>
      <c r="I968" s="2">
        <v>45783</v>
      </c>
      <c r="J968" s="2">
        <v>45713</v>
      </c>
      <c r="K968" s="2">
        <v>45783</v>
      </c>
    </row>
    <row r="969" spans="1:11" x14ac:dyDescent="0.25">
      <c r="A969" s="1" t="s">
        <v>266</v>
      </c>
      <c r="B969" s="1" t="s">
        <v>1068</v>
      </c>
      <c r="C969" s="1" t="s">
        <v>2074</v>
      </c>
      <c r="D969" s="1" t="s">
        <v>1998</v>
      </c>
      <c r="E969" s="1"/>
      <c r="F969" s="1" t="s">
        <v>11</v>
      </c>
      <c r="G969">
        <v>5</v>
      </c>
      <c r="H969">
        <v>5</v>
      </c>
      <c r="I969" s="2">
        <v>45783</v>
      </c>
      <c r="J969" s="2">
        <v>45713</v>
      </c>
      <c r="K969" s="2">
        <v>45783</v>
      </c>
    </row>
    <row r="970" spans="1:11" x14ac:dyDescent="0.25">
      <c r="A970" s="1" t="s">
        <v>266</v>
      </c>
      <c r="B970" s="1" t="s">
        <v>1319</v>
      </c>
      <c r="C970" s="1" t="s">
        <v>2290</v>
      </c>
      <c r="D970" s="1" t="s">
        <v>1998</v>
      </c>
      <c r="E970" s="1"/>
      <c r="F970" s="1" t="s">
        <v>11</v>
      </c>
      <c r="G970">
        <v>1</v>
      </c>
      <c r="H970">
        <v>1</v>
      </c>
      <c r="I970" s="2">
        <v>45783</v>
      </c>
      <c r="J970" s="2">
        <v>45713</v>
      </c>
      <c r="K970" s="2">
        <v>45783</v>
      </c>
    </row>
    <row r="971" spans="1:11" x14ac:dyDescent="0.25">
      <c r="A971" s="1" t="s">
        <v>266</v>
      </c>
      <c r="B971" s="1" t="s">
        <v>1326</v>
      </c>
      <c r="C971" s="1" t="s">
        <v>2291</v>
      </c>
      <c r="D971" s="1" t="s">
        <v>1998</v>
      </c>
      <c r="E971" s="1"/>
      <c r="F971" s="1" t="s">
        <v>11</v>
      </c>
      <c r="G971">
        <v>1</v>
      </c>
      <c r="H971">
        <v>1</v>
      </c>
      <c r="I971" s="2">
        <v>45783</v>
      </c>
      <c r="J971" s="2">
        <v>45713</v>
      </c>
      <c r="K971" s="2">
        <v>45783</v>
      </c>
    </row>
    <row r="972" spans="1:11" x14ac:dyDescent="0.25">
      <c r="A972" s="1" t="s">
        <v>266</v>
      </c>
      <c r="B972" s="1" t="s">
        <v>1327</v>
      </c>
      <c r="C972" s="1" t="s">
        <v>2291</v>
      </c>
      <c r="D972" s="1" t="s">
        <v>1998</v>
      </c>
      <c r="E972" s="1"/>
      <c r="F972" s="1" t="s">
        <v>11</v>
      </c>
      <c r="G972">
        <v>1</v>
      </c>
      <c r="H972">
        <v>1</v>
      </c>
      <c r="I972" s="2">
        <v>45783</v>
      </c>
      <c r="J972" s="2">
        <v>45713</v>
      </c>
      <c r="K972" s="2">
        <v>45783</v>
      </c>
    </row>
    <row r="973" spans="1:11" x14ac:dyDescent="0.25">
      <c r="A973" s="1" t="s">
        <v>266</v>
      </c>
      <c r="B973" s="1" t="s">
        <v>1322</v>
      </c>
      <c r="C973" s="1" t="s">
        <v>2292</v>
      </c>
      <c r="D973" s="1" t="s">
        <v>1998</v>
      </c>
      <c r="E973" s="1"/>
      <c r="F973" s="1" t="s">
        <v>11</v>
      </c>
      <c r="G973">
        <v>10</v>
      </c>
      <c r="H973">
        <v>10</v>
      </c>
      <c r="I973" s="2">
        <v>45783</v>
      </c>
      <c r="J973" s="2">
        <v>45713</v>
      </c>
      <c r="K973" s="2">
        <v>45783</v>
      </c>
    </row>
    <row r="974" spans="1:11" x14ac:dyDescent="0.25">
      <c r="A974" s="1" t="s">
        <v>267</v>
      </c>
      <c r="B974" s="1" t="s">
        <v>1305</v>
      </c>
      <c r="C974" s="1" t="s">
        <v>2277</v>
      </c>
      <c r="D974" s="1" t="s">
        <v>1998</v>
      </c>
      <c r="E974" s="1"/>
      <c r="F974" s="1" t="s">
        <v>11</v>
      </c>
      <c r="G974">
        <v>30</v>
      </c>
      <c r="H974">
        <v>30</v>
      </c>
      <c r="I974" s="2">
        <v>45783</v>
      </c>
      <c r="J974" s="2">
        <v>45713</v>
      </c>
      <c r="K974" s="2">
        <v>45783</v>
      </c>
    </row>
    <row r="975" spans="1:11" x14ac:dyDescent="0.25">
      <c r="A975" s="1" t="s">
        <v>267</v>
      </c>
      <c r="B975" s="1" t="s">
        <v>1306</v>
      </c>
      <c r="C975" s="1" t="s">
        <v>2278</v>
      </c>
      <c r="D975" s="1" t="s">
        <v>1998</v>
      </c>
      <c r="E975" s="1"/>
      <c r="F975" s="1" t="s">
        <v>11</v>
      </c>
      <c r="G975">
        <v>25</v>
      </c>
      <c r="H975">
        <v>25</v>
      </c>
      <c r="I975" s="2">
        <v>45783</v>
      </c>
      <c r="J975" s="2">
        <v>45713</v>
      </c>
      <c r="K975" s="2">
        <v>45783</v>
      </c>
    </row>
    <row r="976" spans="1:11" x14ac:dyDescent="0.25">
      <c r="A976" s="1" t="s">
        <v>267</v>
      </c>
      <c r="B976" s="1" t="s">
        <v>1307</v>
      </c>
      <c r="C976" s="1" t="s">
        <v>2279</v>
      </c>
      <c r="D976" s="1" t="s">
        <v>1998</v>
      </c>
      <c r="E976" s="1"/>
      <c r="F976" s="1" t="s">
        <v>11</v>
      </c>
      <c r="G976">
        <v>1</v>
      </c>
      <c r="H976">
        <v>1</v>
      </c>
      <c r="I976" s="2">
        <v>45783</v>
      </c>
      <c r="J976" s="2">
        <v>45713</v>
      </c>
      <c r="K976" s="2">
        <v>45783</v>
      </c>
    </row>
    <row r="977" spans="1:11" x14ac:dyDescent="0.25">
      <c r="A977" s="1" t="s">
        <v>267</v>
      </c>
      <c r="B977" s="1" t="s">
        <v>1308</v>
      </c>
      <c r="C977" s="1" t="s">
        <v>2280</v>
      </c>
      <c r="D977" s="1" t="s">
        <v>1998</v>
      </c>
      <c r="E977" s="1"/>
      <c r="F977" s="1" t="s">
        <v>11</v>
      </c>
      <c r="G977">
        <v>1</v>
      </c>
      <c r="H977">
        <v>1</v>
      </c>
      <c r="I977" s="2">
        <v>45783</v>
      </c>
      <c r="J977" s="2">
        <v>45713</v>
      </c>
      <c r="K977" s="2">
        <v>45783</v>
      </c>
    </row>
    <row r="978" spans="1:11" x14ac:dyDescent="0.25">
      <c r="A978" s="1" t="s">
        <v>267</v>
      </c>
      <c r="B978" s="1" t="s">
        <v>1309</v>
      </c>
      <c r="C978" s="1" t="s">
        <v>2281</v>
      </c>
      <c r="D978" s="1" t="s">
        <v>1998</v>
      </c>
      <c r="E978" s="1"/>
      <c r="F978" s="1" t="s">
        <v>11</v>
      </c>
      <c r="G978">
        <v>545</v>
      </c>
      <c r="H978">
        <v>545</v>
      </c>
      <c r="I978" s="2">
        <v>45783</v>
      </c>
      <c r="J978" s="2">
        <v>45713</v>
      </c>
      <c r="K978" s="2">
        <v>45783</v>
      </c>
    </row>
    <row r="979" spans="1:11" x14ac:dyDescent="0.25">
      <c r="A979" s="1" t="s">
        <v>267</v>
      </c>
      <c r="B979" s="1" t="s">
        <v>1310</v>
      </c>
      <c r="C979" s="1" t="s">
        <v>2115</v>
      </c>
      <c r="D979" s="1" t="s">
        <v>1998</v>
      </c>
      <c r="E979" s="1"/>
      <c r="F979" s="1" t="s">
        <v>11</v>
      </c>
      <c r="G979">
        <v>775</v>
      </c>
      <c r="H979">
        <v>775</v>
      </c>
      <c r="I979" s="2">
        <v>45783</v>
      </c>
      <c r="J979" s="2">
        <v>45713</v>
      </c>
      <c r="K979" s="2">
        <v>45783</v>
      </c>
    </row>
    <row r="980" spans="1:11" x14ac:dyDescent="0.25">
      <c r="A980" s="1" t="s">
        <v>267</v>
      </c>
      <c r="B980" s="1" t="s">
        <v>1311</v>
      </c>
      <c r="C980" s="1" t="s">
        <v>2282</v>
      </c>
      <c r="D980" s="1" t="s">
        <v>1998</v>
      </c>
      <c r="E980" s="1"/>
      <c r="F980" s="1" t="s">
        <v>11</v>
      </c>
      <c r="G980">
        <v>215</v>
      </c>
      <c r="H980">
        <v>215</v>
      </c>
      <c r="I980" s="2">
        <v>45783</v>
      </c>
      <c r="J980" s="2">
        <v>45713</v>
      </c>
      <c r="K980" s="2">
        <v>45783</v>
      </c>
    </row>
    <row r="981" spans="1:11" x14ac:dyDescent="0.25">
      <c r="A981" s="1" t="s">
        <v>267</v>
      </c>
      <c r="B981" s="1" t="s">
        <v>1323</v>
      </c>
      <c r="C981" s="1" t="s">
        <v>2282</v>
      </c>
      <c r="D981" s="1" t="s">
        <v>1998</v>
      </c>
      <c r="E981" s="1"/>
      <c r="F981" s="1" t="s">
        <v>11</v>
      </c>
      <c r="G981">
        <v>200</v>
      </c>
      <c r="H981">
        <v>200</v>
      </c>
      <c r="I981" s="2">
        <v>45783</v>
      </c>
      <c r="J981" s="2">
        <v>45713</v>
      </c>
      <c r="K981" s="2">
        <v>45783</v>
      </c>
    </row>
    <row r="982" spans="1:11" x14ac:dyDescent="0.25">
      <c r="A982" s="1" t="s">
        <v>267</v>
      </c>
      <c r="B982" s="1" t="s">
        <v>1312</v>
      </c>
      <c r="C982" s="1" t="s">
        <v>2283</v>
      </c>
      <c r="D982" s="1" t="s">
        <v>1998</v>
      </c>
      <c r="E982" s="1"/>
      <c r="F982" s="1" t="s">
        <v>11</v>
      </c>
      <c r="G982">
        <v>85</v>
      </c>
      <c r="H982">
        <v>85</v>
      </c>
      <c r="I982" s="2">
        <v>45783</v>
      </c>
      <c r="J982" s="2">
        <v>45713</v>
      </c>
      <c r="K982" s="2">
        <v>45783</v>
      </c>
    </row>
    <row r="983" spans="1:11" x14ac:dyDescent="0.25">
      <c r="A983" s="1" t="s">
        <v>267</v>
      </c>
      <c r="B983" s="1" t="s">
        <v>1313</v>
      </c>
      <c r="C983" s="1" t="s">
        <v>2284</v>
      </c>
      <c r="D983" s="1" t="s">
        <v>1998</v>
      </c>
      <c r="E983" s="1"/>
      <c r="F983" s="1" t="s">
        <v>11</v>
      </c>
      <c r="G983">
        <v>115</v>
      </c>
      <c r="H983">
        <v>115</v>
      </c>
      <c r="I983" s="2">
        <v>45783</v>
      </c>
      <c r="J983" s="2">
        <v>45713</v>
      </c>
      <c r="K983" s="2">
        <v>45783</v>
      </c>
    </row>
    <row r="984" spans="1:11" x14ac:dyDescent="0.25">
      <c r="A984" s="1" t="s">
        <v>267</v>
      </c>
      <c r="B984" s="1" t="s">
        <v>1314</v>
      </c>
      <c r="C984" s="1" t="s">
        <v>2285</v>
      </c>
      <c r="D984" s="1" t="s">
        <v>1998</v>
      </c>
      <c r="E984" s="1"/>
      <c r="F984" s="1" t="s">
        <v>11</v>
      </c>
      <c r="G984">
        <v>60</v>
      </c>
      <c r="H984">
        <v>60</v>
      </c>
      <c r="I984" s="2">
        <v>45783</v>
      </c>
      <c r="J984" s="2">
        <v>45713</v>
      </c>
      <c r="K984" s="2">
        <v>45783</v>
      </c>
    </row>
    <row r="985" spans="1:11" x14ac:dyDescent="0.25">
      <c r="A985" s="1" t="s">
        <v>267</v>
      </c>
      <c r="B985" s="1" t="s">
        <v>1315</v>
      </c>
      <c r="C985" s="1" t="s">
        <v>2286</v>
      </c>
      <c r="D985" s="1" t="s">
        <v>1998</v>
      </c>
      <c r="E985" s="1"/>
      <c r="F985" s="1" t="s">
        <v>11</v>
      </c>
      <c r="G985">
        <v>115</v>
      </c>
      <c r="H985">
        <v>115</v>
      </c>
      <c r="I985" s="2">
        <v>45783</v>
      </c>
      <c r="J985" s="2">
        <v>45713</v>
      </c>
      <c r="K985" s="2">
        <v>45783</v>
      </c>
    </row>
    <row r="986" spans="1:11" x14ac:dyDescent="0.25">
      <c r="A986" s="1" t="s">
        <v>267</v>
      </c>
      <c r="B986" s="1" t="s">
        <v>1316</v>
      </c>
      <c r="C986" s="1" t="s">
        <v>2287</v>
      </c>
      <c r="D986" s="1" t="s">
        <v>1998</v>
      </c>
      <c r="E986" s="1"/>
      <c r="F986" s="1" t="s">
        <v>11</v>
      </c>
      <c r="G986">
        <v>35</v>
      </c>
      <c r="H986">
        <v>35</v>
      </c>
      <c r="I986" s="2">
        <v>45783</v>
      </c>
      <c r="J986" s="2">
        <v>45713</v>
      </c>
      <c r="K986" s="2">
        <v>45783</v>
      </c>
    </row>
    <row r="987" spans="1:11" x14ac:dyDescent="0.25">
      <c r="A987" s="1" t="s">
        <v>267</v>
      </c>
      <c r="B987" s="1" t="s">
        <v>1317</v>
      </c>
      <c r="C987" s="1" t="s">
        <v>2288</v>
      </c>
      <c r="D987" s="1" t="s">
        <v>1998</v>
      </c>
      <c r="E987" s="1"/>
      <c r="F987" s="1" t="s">
        <v>11</v>
      </c>
      <c r="G987">
        <v>5</v>
      </c>
      <c r="H987">
        <v>5</v>
      </c>
      <c r="I987" s="2">
        <v>45783</v>
      </c>
      <c r="J987" s="2">
        <v>45713</v>
      </c>
      <c r="K987" s="2">
        <v>45783</v>
      </c>
    </row>
    <row r="988" spans="1:11" x14ac:dyDescent="0.25">
      <c r="A988" s="1" t="s">
        <v>267</v>
      </c>
      <c r="B988" s="1" t="s">
        <v>1318</v>
      </c>
      <c r="C988" s="1" t="s">
        <v>2289</v>
      </c>
      <c r="D988" s="1" t="s">
        <v>1998</v>
      </c>
      <c r="E988" s="1"/>
      <c r="F988" s="1" t="s">
        <v>11</v>
      </c>
      <c r="G988">
        <v>15</v>
      </c>
      <c r="H988">
        <v>15</v>
      </c>
      <c r="I988" s="2">
        <v>45783</v>
      </c>
      <c r="J988" s="2">
        <v>45713</v>
      </c>
      <c r="K988" s="2">
        <v>45783</v>
      </c>
    </row>
    <row r="989" spans="1:11" x14ac:dyDescent="0.25">
      <c r="A989" s="1" t="s">
        <v>267</v>
      </c>
      <c r="B989" s="1" t="s">
        <v>1068</v>
      </c>
      <c r="C989" s="1" t="s">
        <v>2074</v>
      </c>
      <c r="D989" s="1" t="s">
        <v>1998</v>
      </c>
      <c r="E989" s="1"/>
      <c r="F989" s="1" t="s">
        <v>11</v>
      </c>
      <c r="G989">
        <v>5</v>
      </c>
      <c r="H989">
        <v>5</v>
      </c>
      <c r="I989" s="2">
        <v>45783</v>
      </c>
      <c r="J989" s="2">
        <v>45713</v>
      </c>
      <c r="K989" s="2">
        <v>45783</v>
      </c>
    </row>
    <row r="990" spans="1:11" x14ac:dyDescent="0.25">
      <c r="A990" s="1" t="s">
        <v>267</v>
      </c>
      <c r="B990" s="1" t="s">
        <v>1319</v>
      </c>
      <c r="C990" s="1" t="s">
        <v>2290</v>
      </c>
      <c r="D990" s="1" t="s">
        <v>1998</v>
      </c>
      <c r="E990" s="1"/>
      <c r="F990" s="1" t="s">
        <v>11</v>
      </c>
      <c r="G990">
        <v>1</v>
      </c>
      <c r="H990">
        <v>1</v>
      </c>
      <c r="I990" s="2">
        <v>45783</v>
      </c>
      <c r="J990" s="2">
        <v>45713</v>
      </c>
      <c r="K990" s="2">
        <v>45783</v>
      </c>
    </row>
    <row r="991" spans="1:11" x14ac:dyDescent="0.25">
      <c r="A991" s="1" t="s">
        <v>267</v>
      </c>
      <c r="B991" s="1" t="s">
        <v>1328</v>
      </c>
      <c r="C991" s="1" t="s">
        <v>2291</v>
      </c>
      <c r="D991" s="1" t="s">
        <v>1998</v>
      </c>
      <c r="E991" s="1"/>
      <c r="F991" s="1" t="s">
        <v>11</v>
      </c>
      <c r="G991">
        <v>1</v>
      </c>
      <c r="H991">
        <v>1</v>
      </c>
      <c r="I991" s="2">
        <v>45783</v>
      </c>
      <c r="J991" s="2">
        <v>45713</v>
      </c>
      <c r="K991" s="2">
        <v>45783</v>
      </c>
    </row>
    <row r="992" spans="1:11" x14ac:dyDescent="0.25">
      <c r="A992" s="1" t="s">
        <v>267</v>
      </c>
      <c r="B992" s="1" t="s">
        <v>1329</v>
      </c>
      <c r="C992" s="1" t="s">
        <v>2291</v>
      </c>
      <c r="D992" s="1" t="s">
        <v>1998</v>
      </c>
      <c r="E992" s="1"/>
      <c r="F992" s="1" t="s">
        <v>11</v>
      </c>
      <c r="G992">
        <v>1</v>
      </c>
      <c r="H992">
        <v>1</v>
      </c>
      <c r="I992" s="2">
        <v>45783</v>
      </c>
      <c r="J992" s="2">
        <v>45713</v>
      </c>
      <c r="K992" s="2">
        <v>45783</v>
      </c>
    </row>
    <row r="993" spans="1:11" x14ac:dyDescent="0.25">
      <c r="A993" s="1" t="s">
        <v>267</v>
      </c>
      <c r="B993" s="1" t="s">
        <v>1322</v>
      </c>
      <c r="C993" s="1" t="s">
        <v>2292</v>
      </c>
      <c r="D993" s="1" t="s">
        <v>1998</v>
      </c>
      <c r="E993" s="1"/>
      <c r="F993" s="1" t="s">
        <v>11</v>
      </c>
      <c r="G993">
        <v>10</v>
      </c>
      <c r="H993">
        <v>10</v>
      </c>
      <c r="I993" s="2">
        <v>45783</v>
      </c>
      <c r="J993" s="2">
        <v>45713</v>
      </c>
      <c r="K993" s="2">
        <v>45783</v>
      </c>
    </row>
    <row r="994" spans="1:11" x14ac:dyDescent="0.25">
      <c r="A994" s="1" t="s">
        <v>268</v>
      </c>
      <c r="B994" s="1" t="s">
        <v>1305</v>
      </c>
      <c r="C994" s="1" t="s">
        <v>2277</v>
      </c>
      <c r="D994" s="1" t="s">
        <v>1998</v>
      </c>
      <c r="E994" s="1"/>
      <c r="F994" s="1" t="s">
        <v>11</v>
      </c>
      <c r="G994">
        <v>145</v>
      </c>
      <c r="H994">
        <v>145</v>
      </c>
      <c r="I994" s="2">
        <v>45783</v>
      </c>
      <c r="J994" s="2">
        <v>45713</v>
      </c>
      <c r="K994" s="2">
        <v>45783</v>
      </c>
    </row>
    <row r="995" spans="1:11" x14ac:dyDescent="0.25">
      <c r="A995" s="1" t="s">
        <v>268</v>
      </c>
      <c r="B995" s="1" t="s">
        <v>1306</v>
      </c>
      <c r="C995" s="1" t="s">
        <v>2278</v>
      </c>
      <c r="D995" s="1" t="s">
        <v>1998</v>
      </c>
      <c r="E995" s="1"/>
      <c r="F995" s="1" t="s">
        <v>11</v>
      </c>
      <c r="G995">
        <v>135</v>
      </c>
      <c r="H995">
        <v>135</v>
      </c>
      <c r="I995" s="2">
        <v>45783</v>
      </c>
      <c r="J995" s="2">
        <v>45713</v>
      </c>
      <c r="K995" s="2">
        <v>45783</v>
      </c>
    </row>
    <row r="996" spans="1:11" x14ac:dyDescent="0.25">
      <c r="A996" s="1" t="s">
        <v>268</v>
      </c>
      <c r="B996" s="1" t="s">
        <v>1307</v>
      </c>
      <c r="C996" s="1" t="s">
        <v>2279</v>
      </c>
      <c r="D996" s="1" t="s">
        <v>1998</v>
      </c>
      <c r="E996" s="1"/>
      <c r="F996" s="1" t="s">
        <v>11</v>
      </c>
      <c r="G996">
        <v>1</v>
      </c>
      <c r="H996">
        <v>1</v>
      </c>
      <c r="I996" s="2">
        <v>45783</v>
      </c>
      <c r="J996" s="2">
        <v>45713</v>
      </c>
      <c r="K996" s="2">
        <v>45783</v>
      </c>
    </row>
    <row r="997" spans="1:11" x14ac:dyDescent="0.25">
      <c r="A997" s="1" t="s">
        <v>268</v>
      </c>
      <c r="B997" s="1" t="s">
        <v>1308</v>
      </c>
      <c r="C997" s="1" t="s">
        <v>2280</v>
      </c>
      <c r="D997" s="1" t="s">
        <v>1998</v>
      </c>
      <c r="E997" s="1"/>
      <c r="F997" s="1" t="s">
        <v>11</v>
      </c>
      <c r="G997">
        <v>1</v>
      </c>
      <c r="H997">
        <v>1</v>
      </c>
      <c r="I997" s="2">
        <v>45783</v>
      </c>
      <c r="J997" s="2">
        <v>45713</v>
      </c>
      <c r="K997" s="2">
        <v>45783</v>
      </c>
    </row>
    <row r="998" spans="1:11" x14ac:dyDescent="0.25">
      <c r="A998" s="1" t="s">
        <v>268</v>
      </c>
      <c r="B998" s="1" t="s">
        <v>1330</v>
      </c>
      <c r="C998" s="1" t="s">
        <v>2293</v>
      </c>
      <c r="D998" s="1" t="s">
        <v>1998</v>
      </c>
      <c r="E998" s="1"/>
      <c r="F998" s="1" t="s">
        <v>11</v>
      </c>
      <c r="G998">
        <v>5</v>
      </c>
      <c r="H998">
        <v>5</v>
      </c>
      <c r="I998" s="2">
        <v>45783</v>
      </c>
      <c r="J998" s="2">
        <v>45713</v>
      </c>
      <c r="K998" s="2">
        <v>45783</v>
      </c>
    </row>
    <row r="999" spans="1:11" x14ac:dyDescent="0.25">
      <c r="A999" s="1" t="s">
        <v>268</v>
      </c>
      <c r="B999" s="1" t="s">
        <v>1331</v>
      </c>
      <c r="C999" s="1" t="s">
        <v>2294</v>
      </c>
      <c r="D999" s="1" t="s">
        <v>1998</v>
      </c>
      <c r="E999" s="1"/>
      <c r="F999" s="1" t="s">
        <v>11</v>
      </c>
      <c r="G999">
        <v>275</v>
      </c>
      <c r="H999">
        <v>275</v>
      </c>
      <c r="I999" s="2">
        <v>45783</v>
      </c>
      <c r="J999" s="2">
        <v>45713</v>
      </c>
      <c r="K999" s="2">
        <v>45783</v>
      </c>
    </row>
    <row r="1000" spans="1:11" x14ac:dyDescent="0.25">
      <c r="A1000" s="1" t="s">
        <v>268</v>
      </c>
      <c r="B1000" s="1" t="s">
        <v>1332</v>
      </c>
      <c r="C1000" s="1" t="s">
        <v>2281</v>
      </c>
      <c r="D1000" s="1" t="s">
        <v>1998</v>
      </c>
      <c r="E1000" s="1"/>
      <c r="F1000" s="1" t="s">
        <v>11</v>
      </c>
      <c r="G1000">
        <v>1820</v>
      </c>
      <c r="H1000">
        <v>1820</v>
      </c>
      <c r="I1000" s="2">
        <v>45783</v>
      </c>
      <c r="J1000" s="2">
        <v>45713</v>
      </c>
      <c r="K1000" s="2">
        <v>45783</v>
      </c>
    </row>
    <row r="1001" spans="1:11" x14ac:dyDescent="0.25">
      <c r="A1001" s="1" t="s">
        <v>268</v>
      </c>
      <c r="B1001" s="1" t="s">
        <v>1333</v>
      </c>
      <c r="C1001" s="1" t="s">
        <v>2295</v>
      </c>
      <c r="D1001" s="1" t="s">
        <v>1998</v>
      </c>
      <c r="E1001" s="1"/>
      <c r="F1001" s="1" t="s">
        <v>11</v>
      </c>
      <c r="G1001">
        <v>3800</v>
      </c>
      <c r="H1001">
        <v>3800</v>
      </c>
      <c r="I1001" s="2">
        <v>45783</v>
      </c>
      <c r="J1001" s="2">
        <v>45713</v>
      </c>
      <c r="K1001" s="2">
        <v>45783</v>
      </c>
    </row>
    <row r="1002" spans="1:11" x14ac:dyDescent="0.25">
      <c r="A1002" s="1" t="s">
        <v>268</v>
      </c>
      <c r="B1002" s="1" t="s">
        <v>1334</v>
      </c>
      <c r="C1002" s="1" t="s">
        <v>2282</v>
      </c>
      <c r="D1002" s="1" t="s">
        <v>1998</v>
      </c>
      <c r="E1002" s="1"/>
      <c r="F1002" s="1" t="s">
        <v>11</v>
      </c>
      <c r="G1002">
        <v>365</v>
      </c>
      <c r="H1002">
        <v>365</v>
      </c>
      <c r="I1002" s="2">
        <v>45783</v>
      </c>
      <c r="J1002" s="2">
        <v>45713</v>
      </c>
      <c r="K1002" s="2">
        <v>45783</v>
      </c>
    </row>
    <row r="1003" spans="1:11" x14ac:dyDescent="0.25">
      <c r="A1003" s="1" t="s">
        <v>268</v>
      </c>
      <c r="B1003" s="1" t="s">
        <v>1335</v>
      </c>
      <c r="C1003" s="1" t="s">
        <v>2282</v>
      </c>
      <c r="D1003" s="1" t="s">
        <v>1998</v>
      </c>
      <c r="E1003" s="1"/>
      <c r="F1003" s="1" t="s">
        <v>11</v>
      </c>
      <c r="G1003">
        <v>390</v>
      </c>
      <c r="H1003">
        <v>390</v>
      </c>
      <c r="I1003" s="2">
        <v>45783</v>
      </c>
      <c r="J1003" s="2">
        <v>45713</v>
      </c>
      <c r="K1003" s="2">
        <v>45783</v>
      </c>
    </row>
    <row r="1004" spans="1:11" x14ac:dyDescent="0.25">
      <c r="A1004" s="1" t="s">
        <v>268</v>
      </c>
      <c r="B1004" s="1" t="s">
        <v>1313</v>
      </c>
      <c r="C1004" s="1" t="s">
        <v>2284</v>
      </c>
      <c r="D1004" s="1" t="s">
        <v>1998</v>
      </c>
      <c r="E1004" s="1"/>
      <c r="F1004" s="1" t="s">
        <v>11</v>
      </c>
      <c r="G1004">
        <v>590</v>
      </c>
      <c r="H1004">
        <v>590</v>
      </c>
      <c r="I1004" s="2">
        <v>45783</v>
      </c>
      <c r="J1004" s="2">
        <v>45713</v>
      </c>
      <c r="K1004" s="2">
        <v>45783</v>
      </c>
    </row>
    <row r="1005" spans="1:11" x14ac:dyDescent="0.25">
      <c r="A1005" s="1" t="s">
        <v>268</v>
      </c>
      <c r="B1005" s="1" t="s">
        <v>1314</v>
      </c>
      <c r="C1005" s="1" t="s">
        <v>2285</v>
      </c>
      <c r="D1005" s="1" t="s">
        <v>1998</v>
      </c>
      <c r="E1005" s="1"/>
      <c r="F1005" s="1" t="s">
        <v>11</v>
      </c>
      <c r="G1005">
        <v>310</v>
      </c>
      <c r="H1005">
        <v>310</v>
      </c>
      <c r="I1005" s="2">
        <v>45783</v>
      </c>
      <c r="J1005" s="2">
        <v>45713</v>
      </c>
      <c r="K1005" s="2">
        <v>45783</v>
      </c>
    </row>
    <row r="1006" spans="1:11" x14ac:dyDescent="0.25">
      <c r="A1006" s="1" t="s">
        <v>268</v>
      </c>
      <c r="B1006" s="1" t="s">
        <v>1315</v>
      </c>
      <c r="C1006" s="1" t="s">
        <v>2286</v>
      </c>
      <c r="D1006" s="1" t="s">
        <v>1998</v>
      </c>
      <c r="E1006" s="1"/>
      <c r="F1006" s="1" t="s">
        <v>11</v>
      </c>
      <c r="G1006">
        <v>580</v>
      </c>
      <c r="H1006">
        <v>580</v>
      </c>
      <c r="I1006" s="2">
        <v>45783</v>
      </c>
      <c r="J1006" s="2">
        <v>45713</v>
      </c>
      <c r="K1006" s="2">
        <v>45783</v>
      </c>
    </row>
    <row r="1007" spans="1:11" x14ac:dyDescent="0.25">
      <c r="A1007" s="1" t="s">
        <v>268</v>
      </c>
      <c r="B1007" s="1" t="s">
        <v>1316</v>
      </c>
      <c r="C1007" s="1" t="s">
        <v>2287</v>
      </c>
      <c r="D1007" s="1" t="s">
        <v>1998</v>
      </c>
      <c r="E1007" s="1"/>
      <c r="F1007" s="1" t="s">
        <v>11</v>
      </c>
      <c r="G1007">
        <v>170</v>
      </c>
      <c r="H1007">
        <v>170</v>
      </c>
      <c r="I1007" s="2">
        <v>45783</v>
      </c>
      <c r="J1007" s="2">
        <v>45713</v>
      </c>
      <c r="K1007" s="2">
        <v>45783</v>
      </c>
    </row>
    <row r="1008" spans="1:11" x14ac:dyDescent="0.25">
      <c r="A1008" s="1" t="s">
        <v>268</v>
      </c>
      <c r="B1008" s="1" t="s">
        <v>1317</v>
      </c>
      <c r="C1008" s="1" t="s">
        <v>2288</v>
      </c>
      <c r="D1008" s="1" t="s">
        <v>1998</v>
      </c>
      <c r="E1008" s="1"/>
      <c r="F1008" s="1" t="s">
        <v>11</v>
      </c>
      <c r="G1008">
        <v>15</v>
      </c>
      <c r="H1008">
        <v>15</v>
      </c>
      <c r="I1008" s="2">
        <v>45783</v>
      </c>
      <c r="J1008" s="2">
        <v>45713</v>
      </c>
      <c r="K1008" s="2">
        <v>45783</v>
      </c>
    </row>
    <row r="1009" spans="1:11" x14ac:dyDescent="0.25">
      <c r="A1009" s="1" t="s">
        <v>268</v>
      </c>
      <c r="B1009" s="1" t="s">
        <v>1318</v>
      </c>
      <c r="C1009" s="1" t="s">
        <v>2289</v>
      </c>
      <c r="D1009" s="1" t="s">
        <v>1998</v>
      </c>
      <c r="E1009" s="1"/>
      <c r="F1009" s="1" t="s">
        <v>11</v>
      </c>
      <c r="G1009">
        <v>55</v>
      </c>
      <c r="H1009">
        <v>55</v>
      </c>
      <c r="I1009" s="2">
        <v>45783</v>
      </c>
      <c r="J1009" s="2">
        <v>45713</v>
      </c>
      <c r="K1009" s="2">
        <v>45783</v>
      </c>
    </row>
    <row r="1010" spans="1:11" x14ac:dyDescent="0.25">
      <c r="A1010" s="1" t="s">
        <v>268</v>
      </c>
      <c r="B1010" s="1" t="s">
        <v>1068</v>
      </c>
      <c r="C1010" s="1" t="s">
        <v>2074</v>
      </c>
      <c r="D1010" s="1" t="s">
        <v>1998</v>
      </c>
      <c r="E1010" s="1"/>
      <c r="F1010" s="1" t="s">
        <v>11</v>
      </c>
      <c r="G1010">
        <v>5</v>
      </c>
      <c r="H1010">
        <v>5</v>
      </c>
      <c r="I1010" s="2">
        <v>45783</v>
      </c>
      <c r="J1010" s="2">
        <v>45713</v>
      </c>
      <c r="K1010" s="2">
        <v>45783</v>
      </c>
    </row>
    <row r="1011" spans="1:11" x14ac:dyDescent="0.25">
      <c r="A1011" s="1" t="s">
        <v>268</v>
      </c>
      <c r="B1011" s="1" t="s">
        <v>1336</v>
      </c>
      <c r="C1011" s="1" t="s">
        <v>2296</v>
      </c>
      <c r="D1011" s="1" t="s">
        <v>1998</v>
      </c>
      <c r="E1011" s="1"/>
      <c r="F1011" s="1" t="s">
        <v>11</v>
      </c>
      <c r="G1011">
        <v>1</v>
      </c>
      <c r="H1011">
        <v>1</v>
      </c>
      <c r="I1011" s="2">
        <v>45783</v>
      </c>
      <c r="J1011" s="2">
        <v>45713</v>
      </c>
      <c r="K1011" s="2">
        <v>45783</v>
      </c>
    </row>
    <row r="1012" spans="1:11" x14ac:dyDescent="0.25">
      <c r="A1012" s="1" t="s">
        <v>268</v>
      </c>
      <c r="B1012" s="1" t="s">
        <v>1337</v>
      </c>
      <c r="C1012" s="1" t="s">
        <v>2291</v>
      </c>
      <c r="D1012" s="1" t="s">
        <v>1998</v>
      </c>
      <c r="E1012" s="1"/>
      <c r="F1012" s="1" t="s">
        <v>11</v>
      </c>
      <c r="G1012">
        <v>1</v>
      </c>
      <c r="H1012">
        <v>1</v>
      </c>
      <c r="I1012" s="2">
        <v>45783</v>
      </c>
      <c r="J1012" s="2">
        <v>45713</v>
      </c>
      <c r="K1012" s="2">
        <v>45783</v>
      </c>
    </row>
    <row r="1013" spans="1:11" x14ac:dyDescent="0.25">
      <c r="A1013" s="1" t="s">
        <v>268</v>
      </c>
      <c r="B1013" s="1" t="s">
        <v>1338</v>
      </c>
      <c r="C1013" s="1" t="s">
        <v>2291</v>
      </c>
      <c r="D1013" s="1" t="s">
        <v>1998</v>
      </c>
      <c r="E1013" s="1"/>
      <c r="F1013" s="1" t="s">
        <v>11</v>
      </c>
      <c r="G1013">
        <v>1</v>
      </c>
      <c r="H1013">
        <v>1</v>
      </c>
      <c r="I1013" s="2">
        <v>45783</v>
      </c>
      <c r="J1013" s="2">
        <v>45713</v>
      </c>
      <c r="K1013" s="2">
        <v>45783</v>
      </c>
    </row>
    <row r="1014" spans="1:11" x14ac:dyDescent="0.25">
      <c r="A1014" s="1" t="s">
        <v>268</v>
      </c>
      <c r="B1014" s="1" t="s">
        <v>1339</v>
      </c>
      <c r="C1014" s="1" t="s">
        <v>2291</v>
      </c>
      <c r="D1014" s="1" t="s">
        <v>1998</v>
      </c>
      <c r="E1014" s="1"/>
      <c r="F1014" s="1" t="s">
        <v>11</v>
      </c>
      <c r="G1014">
        <v>1</v>
      </c>
      <c r="H1014">
        <v>1</v>
      </c>
      <c r="I1014" s="2">
        <v>45783</v>
      </c>
      <c r="J1014" s="2">
        <v>45713</v>
      </c>
      <c r="K1014" s="2">
        <v>45783</v>
      </c>
    </row>
    <row r="1015" spans="1:11" x14ac:dyDescent="0.25">
      <c r="A1015" s="1" t="s">
        <v>268</v>
      </c>
      <c r="B1015" s="1" t="s">
        <v>1340</v>
      </c>
      <c r="C1015" s="1" t="s">
        <v>2291</v>
      </c>
      <c r="D1015" s="1" t="s">
        <v>1998</v>
      </c>
      <c r="E1015" s="1"/>
      <c r="F1015" s="1" t="s">
        <v>11</v>
      </c>
      <c r="G1015">
        <v>1</v>
      </c>
      <c r="H1015">
        <v>1</v>
      </c>
      <c r="I1015" s="2">
        <v>45783</v>
      </c>
      <c r="J1015" s="2">
        <v>45713</v>
      </c>
      <c r="K1015" s="2">
        <v>45783</v>
      </c>
    </row>
    <row r="1016" spans="1:11" x14ac:dyDescent="0.25">
      <c r="A1016" s="1" t="s">
        <v>269</v>
      </c>
      <c r="B1016" s="1" t="s">
        <v>1016</v>
      </c>
      <c r="C1016" s="1" t="s">
        <v>2033</v>
      </c>
      <c r="D1016" s="1" t="s">
        <v>1998</v>
      </c>
      <c r="E1016" s="1"/>
      <c r="F1016" s="1" t="s">
        <v>11</v>
      </c>
      <c r="G1016">
        <v>75</v>
      </c>
      <c r="H1016">
        <v>25</v>
      </c>
      <c r="I1016" s="2"/>
      <c r="J1016" s="2">
        <v>45715</v>
      </c>
      <c r="K1016" s="2">
        <v>45751</v>
      </c>
    </row>
    <row r="1017" spans="1:11" x14ac:dyDescent="0.25">
      <c r="A1017" s="1" t="s">
        <v>269</v>
      </c>
      <c r="B1017" s="1" t="s">
        <v>1017</v>
      </c>
      <c r="C1017" s="1" t="s">
        <v>2034</v>
      </c>
      <c r="D1017" s="1" t="s">
        <v>1998</v>
      </c>
      <c r="E1017" s="1"/>
      <c r="F1017" s="1" t="s">
        <v>11</v>
      </c>
      <c r="G1017">
        <v>200</v>
      </c>
      <c r="H1017">
        <v>200</v>
      </c>
      <c r="I1017" s="2"/>
      <c r="J1017" s="2">
        <v>45715</v>
      </c>
      <c r="K1017" s="2">
        <v>45751</v>
      </c>
    </row>
    <row r="1018" spans="1:11" x14ac:dyDescent="0.25">
      <c r="A1018" s="1" t="s">
        <v>269</v>
      </c>
      <c r="B1018" s="1" t="s">
        <v>1018</v>
      </c>
      <c r="C1018" s="1" t="s">
        <v>2035</v>
      </c>
      <c r="D1018" s="1" t="s">
        <v>1998</v>
      </c>
      <c r="E1018" s="1"/>
      <c r="F1018" s="1" t="s">
        <v>11</v>
      </c>
      <c r="G1018">
        <v>885</v>
      </c>
      <c r="H1018">
        <v>945</v>
      </c>
      <c r="I1018" s="2"/>
      <c r="J1018" s="2">
        <v>45715</v>
      </c>
      <c r="K1018" s="2">
        <v>45751</v>
      </c>
    </row>
    <row r="1019" spans="1:11" x14ac:dyDescent="0.25">
      <c r="A1019" s="1" t="s">
        <v>269</v>
      </c>
      <c r="B1019" s="1" t="s">
        <v>999</v>
      </c>
      <c r="C1019" s="1" t="s">
        <v>2168</v>
      </c>
      <c r="D1019" s="1" t="s">
        <v>1998</v>
      </c>
      <c r="E1019" s="1"/>
      <c r="F1019" s="1" t="s">
        <v>11</v>
      </c>
      <c r="G1019">
        <v>1</v>
      </c>
      <c r="H1019">
        <v>1</v>
      </c>
      <c r="I1019" s="2"/>
      <c r="J1019" s="2">
        <v>45715</v>
      </c>
      <c r="K1019" s="2">
        <v>45751</v>
      </c>
    </row>
    <row r="1020" spans="1:11" x14ac:dyDescent="0.25">
      <c r="A1020" s="1" t="s">
        <v>269</v>
      </c>
      <c r="B1020" s="1" t="s">
        <v>1000</v>
      </c>
      <c r="C1020" s="1" t="s">
        <v>2018</v>
      </c>
      <c r="D1020" s="1" t="s">
        <v>1998</v>
      </c>
      <c r="E1020" s="1"/>
      <c r="F1020" s="1" t="s">
        <v>11</v>
      </c>
      <c r="G1020">
        <v>5</v>
      </c>
      <c r="H1020">
        <v>5</v>
      </c>
      <c r="I1020" s="2"/>
      <c r="J1020" s="2">
        <v>45715</v>
      </c>
      <c r="K1020" s="2">
        <v>45751</v>
      </c>
    </row>
    <row r="1021" spans="1:11" x14ac:dyDescent="0.25">
      <c r="A1021" s="1" t="s">
        <v>269</v>
      </c>
      <c r="B1021" s="1" t="s">
        <v>1001</v>
      </c>
      <c r="C1021" s="1" t="s">
        <v>2019</v>
      </c>
      <c r="D1021" s="1" t="s">
        <v>1998</v>
      </c>
      <c r="E1021" s="1"/>
      <c r="F1021" s="1" t="s">
        <v>11</v>
      </c>
      <c r="G1021">
        <v>5</v>
      </c>
      <c r="H1021">
        <v>5</v>
      </c>
      <c r="I1021" s="2"/>
      <c r="J1021" s="2">
        <v>45715</v>
      </c>
      <c r="K1021" s="2">
        <v>45751</v>
      </c>
    </row>
    <row r="1022" spans="1:11" x14ac:dyDescent="0.25">
      <c r="A1022" s="1" t="s">
        <v>269</v>
      </c>
      <c r="B1022" s="1" t="s">
        <v>1019</v>
      </c>
      <c r="C1022" s="1" t="s">
        <v>2036</v>
      </c>
      <c r="D1022" s="1" t="s">
        <v>1998</v>
      </c>
      <c r="E1022" s="1"/>
      <c r="F1022" s="1" t="s">
        <v>11</v>
      </c>
      <c r="G1022">
        <v>3135</v>
      </c>
      <c r="H1022">
        <v>3135</v>
      </c>
      <c r="I1022" s="2"/>
      <c r="J1022" s="2">
        <v>45715</v>
      </c>
      <c r="K1022" s="2">
        <v>45751</v>
      </c>
    </row>
    <row r="1023" spans="1:11" x14ac:dyDescent="0.25">
      <c r="A1023" s="1" t="s">
        <v>269</v>
      </c>
      <c r="B1023" s="1" t="s">
        <v>1020</v>
      </c>
      <c r="C1023" s="1" t="s">
        <v>2037</v>
      </c>
      <c r="D1023" s="1" t="s">
        <v>1998</v>
      </c>
      <c r="E1023" s="1"/>
      <c r="F1023" s="1" t="s">
        <v>11</v>
      </c>
      <c r="G1023">
        <v>8375</v>
      </c>
      <c r="H1023">
        <v>8375</v>
      </c>
      <c r="I1023" s="2"/>
      <c r="J1023" s="2">
        <v>45715</v>
      </c>
      <c r="K1023" s="2">
        <v>45751</v>
      </c>
    </row>
    <row r="1024" spans="1:11" x14ac:dyDescent="0.25">
      <c r="A1024" s="1" t="s">
        <v>270</v>
      </c>
      <c r="B1024" s="1" t="s">
        <v>1166</v>
      </c>
      <c r="C1024" s="1" t="s">
        <v>2160</v>
      </c>
      <c r="D1024" s="1" t="s">
        <v>1998</v>
      </c>
      <c r="E1024" s="1"/>
      <c r="F1024" s="1" t="s">
        <v>11</v>
      </c>
      <c r="G1024">
        <v>235</v>
      </c>
      <c r="H1024">
        <v>235</v>
      </c>
      <c r="I1024" s="2">
        <v>45769</v>
      </c>
      <c r="J1024" s="2">
        <v>45719</v>
      </c>
      <c r="K1024" s="2">
        <v>45769</v>
      </c>
    </row>
    <row r="1025" spans="1:11" x14ac:dyDescent="0.25">
      <c r="A1025" s="1" t="s">
        <v>270</v>
      </c>
      <c r="B1025" s="1" t="s">
        <v>1167</v>
      </c>
      <c r="C1025" s="1" t="s">
        <v>2161</v>
      </c>
      <c r="D1025" s="1" t="s">
        <v>1998</v>
      </c>
      <c r="E1025" s="1"/>
      <c r="F1025" s="1" t="s">
        <v>11</v>
      </c>
      <c r="G1025">
        <v>1515</v>
      </c>
      <c r="H1025">
        <v>1425</v>
      </c>
      <c r="I1025" s="2">
        <v>45769</v>
      </c>
      <c r="J1025" s="2">
        <v>45719</v>
      </c>
      <c r="K1025" s="2">
        <v>45769</v>
      </c>
    </row>
    <row r="1026" spans="1:11" x14ac:dyDescent="0.25">
      <c r="A1026" s="1" t="s">
        <v>270</v>
      </c>
      <c r="B1026" s="1" t="s">
        <v>1168</v>
      </c>
      <c r="C1026" s="1" t="s">
        <v>2162</v>
      </c>
      <c r="D1026" s="1" t="s">
        <v>1998</v>
      </c>
      <c r="E1026" s="1"/>
      <c r="F1026" s="1" t="s">
        <v>11</v>
      </c>
      <c r="G1026">
        <v>255</v>
      </c>
      <c r="H1026">
        <v>275</v>
      </c>
      <c r="I1026" s="2">
        <v>45769</v>
      </c>
      <c r="J1026" s="2">
        <v>45719</v>
      </c>
      <c r="K1026" s="2">
        <v>45769</v>
      </c>
    </row>
    <row r="1027" spans="1:11" x14ac:dyDescent="0.25">
      <c r="A1027" s="1" t="s">
        <v>270</v>
      </c>
      <c r="B1027" s="1" t="s">
        <v>1169</v>
      </c>
      <c r="C1027" s="1" t="s">
        <v>2163</v>
      </c>
      <c r="D1027" s="1" t="s">
        <v>1998</v>
      </c>
      <c r="E1027" s="1"/>
      <c r="F1027" s="1" t="s">
        <v>11</v>
      </c>
      <c r="G1027">
        <v>4335</v>
      </c>
      <c r="H1027">
        <v>4335</v>
      </c>
      <c r="I1027" s="2">
        <v>45769</v>
      </c>
      <c r="J1027" s="2">
        <v>45719</v>
      </c>
      <c r="K1027" s="2">
        <v>45769</v>
      </c>
    </row>
    <row r="1028" spans="1:11" x14ac:dyDescent="0.25">
      <c r="A1028" s="1" t="s">
        <v>270</v>
      </c>
      <c r="B1028" s="1" t="s">
        <v>1039</v>
      </c>
      <c r="C1028" s="1" t="s">
        <v>2049</v>
      </c>
      <c r="D1028" s="1" t="s">
        <v>1998</v>
      </c>
      <c r="E1028" s="1"/>
      <c r="F1028" s="1" t="s">
        <v>11</v>
      </c>
      <c r="G1028">
        <v>5</v>
      </c>
      <c r="H1028">
        <v>5</v>
      </c>
      <c r="I1028" s="2">
        <v>45769</v>
      </c>
      <c r="J1028" s="2">
        <v>45719</v>
      </c>
      <c r="K1028" s="2">
        <v>45769</v>
      </c>
    </row>
    <row r="1029" spans="1:11" x14ac:dyDescent="0.25">
      <c r="A1029" s="1" t="s">
        <v>270</v>
      </c>
      <c r="B1029" s="1" t="s">
        <v>1087</v>
      </c>
      <c r="C1029" s="1" t="s">
        <v>2090</v>
      </c>
      <c r="D1029" s="1" t="s">
        <v>1998</v>
      </c>
      <c r="E1029" s="1"/>
      <c r="F1029" s="1" t="s">
        <v>11</v>
      </c>
      <c r="G1029">
        <v>15</v>
      </c>
      <c r="H1029">
        <v>15</v>
      </c>
      <c r="I1029" s="2">
        <v>45769</v>
      </c>
      <c r="J1029" s="2">
        <v>45719</v>
      </c>
      <c r="K1029" s="2">
        <v>45769</v>
      </c>
    </row>
    <row r="1030" spans="1:11" x14ac:dyDescent="0.25">
      <c r="A1030" s="1" t="s">
        <v>270</v>
      </c>
      <c r="B1030" s="1" t="s">
        <v>1040</v>
      </c>
      <c r="C1030" s="1" t="s">
        <v>2050</v>
      </c>
      <c r="D1030" s="1" t="s">
        <v>1998</v>
      </c>
      <c r="E1030" s="1"/>
      <c r="F1030" s="1" t="s">
        <v>11</v>
      </c>
      <c r="G1030">
        <v>15</v>
      </c>
      <c r="H1030">
        <v>15</v>
      </c>
      <c r="I1030" s="2">
        <v>45769</v>
      </c>
      <c r="J1030" s="2">
        <v>45719</v>
      </c>
      <c r="K1030" s="2">
        <v>45769</v>
      </c>
    </row>
    <row r="1031" spans="1:11" x14ac:dyDescent="0.25">
      <c r="A1031" s="1" t="s">
        <v>270</v>
      </c>
      <c r="B1031" s="1" t="s">
        <v>1040</v>
      </c>
      <c r="C1031" s="1" t="s">
        <v>2050</v>
      </c>
      <c r="D1031" s="1" t="s">
        <v>1998</v>
      </c>
      <c r="E1031" s="1"/>
      <c r="F1031" s="1" t="s">
        <v>11</v>
      </c>
      <c r="G1031">
        <v>5</v>
      </c>
      <c r="H1031">
        <v>5</v>
      </c>
      <c r="I1031" s="2">
        <v>45769</v>
      </c>
      <c r="J1031" s="2">
        <v>45719</v>
      </c>
      <c r="K1031" s="2">
        <v>45769</v>
      </c>
    </row>
    <row r="1032" spans="1:11" x14ac:dyDescent="0.25">
      <c r="A1032" s="1" t="s">
        <v>270</v>
      </c>
      <c r="B1032" s="1" t="s">
        <v>1013</v>
      </c>
      <c r="C1032" s="1" t="s">
        <v>2030</v>
      </c>
      <c r="D1032" s="1" t="s">
        <v>1998</v>
      </c>
      <c r="E1032" s="1"/>
      <c r="F1032" s="1" t="s">
        <v>11</v>
      </c>
      <c r="G1032">
        <v>15</v>
      </c>
      <c r="H1032">
        <v>15</v>
      </c>
      <c r="I1032" s="2">
        <v>45769</v>
      </c>
      <c r="J1032" s="2">
        <v>45719</v>
      </c>
      <c r="K1032" s="2">
        <v>45769</v>
      </c>
    </row>
    <row r="1033" spans="1:11" x14ac:dyDescent="0.25">
      <c r="A1033" s="1" t="s">
        <v>270</v>
      </c>
      <c r="B1033" s="1" t="s">
        <v>993</v>
      </c>
      <c r="C1033" s="1" t="s">
        <v>2011</v>
      </c>
      <c r="D1033" s="1" t="s">
        <v>1998</v>
      </c>
      <c r="E1033" s="1"/>
      <c r="F1033" s="1" t="s">
        <v>11</v>
      </c>
      <c r="G1033">
        <v>5</v>
      </c>
      <c r="H1033">
        <v>5</v>
      </c>
      <c r="I1033" s="2">
        <v>45769</v>
      </c>
      <c r="J1033" s="2">
        <v>45719</v>
      </c>
      <c r="K1033" s="2">
        <v>45769</v>
      </c>
    </row>
    <row r="1034" spans="1:11" x14ac:dyDescent="0.25">
      <c r="A1034" s="1" t="s">
        <v>270</v>
      </c>
      <c r="B1034" s="1" t="s">
        <v>993</v>
      </c>
      <c r="C1034" s="1" t="s">
        <v>2011</v>
      </c>
      <c r="D1034" s="1" t="s">
        <v>1998</v>
      </c>
      <c r="E1034" s="1"/>
      <c r="F1034" s="1" t="s">
        <v>11</v>
      </c>
      <c r="G1034">
        <v>10</v>
      </c>
      <c r="H1034">
        <v>10</v>
      </c>
      <c r="I1034" s="2">
        <v>45769</v>
      </c>
      <c r="J1034" s="2">
        <v>45719</v>
      </c>
      <c r="K1034" s="2">
        <v>45769</v>
      </c>
    </row>
    <row r="1035" spans="1:11" x14ac:dyDescent="0.25">
      <c r="A1035" s="1" t="s">
        <v>270</v>
      </c>
      <c r="B1035" s="1" t="s">
        <v>1170</v>
      </c>
      <c r="C1035" s="1" t="s">
        <v>2164</v>
      </c>
      <c r="D1035" s="1" t="s">
        <v>1998</v>
      </c>
      <c r="E1035" s="1"/>
      <c r="F1035" s="1" t="s">
        <v>11</v>
      </c>
      <c r="G1035">
        <v>140</v>
      </c>
      <c r="H1035">
        <v>135</v>
      </c>
      <c r="I1035" s="2">
        <v>45769</v>
      </c>
      <c r="J1035" s="2">
        <v>45719</v>
      </c>
      <c r="K1035" s="2">
        <v>45769</v>
      </c>
    </row>
    <row r="1036" spans="1:11" x14ac:dyDescent="0.25">
      <c r="A1036" s="1" t="s">
        <v>270</v>
      </c>
      <c r="B1036" s="1" t="s">
        <v>1171</v>
      </c>
      <c r="C1036" s="1" t="s">
        <v>2165</v>
      </c>
      <c r="D1036" s="1" t="s">
        <v>1998</v>
      </c>
      <c r="E1036" s="1"/>
      <c r="F1036" s="1" t="s">
        <v>11</v>
      </c>
      <c r="G1036">
        <v>4300</v>
      </c>
      <c r="H1036">
        <v>4300</v>
      </c>
      <c r="I1036" s="2">
        <v>45769</v>
      </c>
      <c r="J1036" s="2">
        <v>45719</v>
      </c>
      <c r="K1036" s="2">
        <v>45769</v>
      </c>
    </row>
    <row r="1037" spans="1:11" x14ac:dyDescent="0.25">
      <c r="A1037" s="1" t="s">
        <v>271</v>
      </c>
      <c r="B1037" s="1" t="s">
        <v>1256</v>
      </c>
      <c r="C1037" s="1" t="s">
        <v>2014</v>
      </c>
      <c r="D1037" s="1" t="s">
        <v>1998</v>
      </c>
      <c r="E1037" s="1"/>
      <c r="F1037" s="1" t="s">
        <v>11</v>
      </c>
      <c r="G1037">
        <v>6090</v>
      </c>
      <c r="H1037">
        <v>6090</v>
      </c>
      <c r="I1037" s="2"/>
      <c r="J1037" s="2">
        <v>45722</v>
      </c>
      <c r="K1037" s="2">
        <v>45744</v>
      </c>
    </row>
    <row r="1038" spans="1:11" x14ac:dyDescent="0.25">
      <c r="A1038" s="1" t="s">
        <v>271</v>
      </c>
      <c r="B1038" s="1" t="s">
        <v>1341</v>
      </c>
      <c r="C1038" s="1" t="s">
        <v>2297</v>
      </c>
      <c r="D1038" s="1" t="s">
        <v>1998</v>
      </c>
      <c r="E1038" s="1"/>
      <c r="F1038" s="1" t="s">
        <v>11</v>
      </c>
      <c r="G1038">
        <v>2100</v>
      </c>
      <c r="H1038">
        <v>2225</v>
      </c>
      <c r="I1038" s="2"/>
      <c r="J1038" s="2">
        <v>45722</v>
      </c>
      <c r="K1038" s="2">
        <v>45744</v>
      </c>
    </row>
    <row r="1039" spans="1:11" x14ac:dyDescent="0.25">
      <c r="A1039" s="1" t="s">
        <v>272</v>
      </c>
      <c r="B1039" s="1" t="s">
        <v>1342</v>
      </c>
      <c r="C1039" s="1" t="s">
        <v>2014</v>
      </c>
      <c r="D1039" s="1" t="s">
        <v>1998</v>
      </c>
      <c r="E1039" s="1"/>
      <c r="F1039" s="1" t="s">
        <v>11</v>
      </c>
      <c r="G1039">
        <v>580</v>
      </c>
      <c r="H1039">
        <v>715</v>
      </c>
      <c r="I1039" s="2"/>
      <c r="J1039" s="2">
        <v>45716</v>
      </c>
      <c r="K1039" s="2">
        <v>45751</v>
      </c>
    </row>
    <row r="1040" spans="1:11" x14ac:dyDescent="0.25">
      <c r="A1040" s="1" t="s">
        <v>272</v>
      </c>
      <c r="B1040" s="1" t="s">
        <v>1343</v>
      </c>
      <c r="C1040" s="1" t="s">
        <v>2298</v>
      </c>
      <c r="D1040" s="1" t="s">
        <v>1998</v>
      </c>
      <c r="E1040" s="1"/>
      <c r="F1040" s="1" t="s">
        <v>11</v>
      </c>
      <c r="G1040">
        <v>490</v>
      </c>
      <c r="H1040">
        <v>490</v>
      </c>
      <c r="I1040" s="2"/>
      <c r="J1040" s="2">
        <v>45716</v>
      </c>
      <c r="K1040" s="2">
        <v>45751</v>
      </c>
    </row>
    <row r="1041" spans="1:11" x14ac:dyDescent="0.25">
      <c r="A1041" s="1" t="s">
        <v>272</v>
      </c>
      <c r="B1041" s="1" t="s">
        <v>1343</v>
      </c>
      <c r="C1041" s="1" t="s">
        <v>2298</v>
      </c>
      <c r="D1041" s="1" t="s">
        <v>1998</v>
      </c>
      <c r="E1041" s="1"/>
      <c r="F1041" s="1" t="s">
        <v>11</v>
      </c>
      <c r="G1041">
        <v>490</v>
      </c>
      <c r="H1041">
        <v>490</v>
      </c>
      <c r="I1041" s="2"/>
      <c r="J1041" s="2">
        <v>45716</v>
      </c>
      <c r="K1041" s="2">
        <v>45751</v>
      </c>
    </row>
    <row r="1042" spans="1:11" x14ac:dyDescent="0.25">
      <c r="A1042" s="1" t="s">
        <v>273</v>
      </c>
      <c r="B1042" s="1" t="s">
        <v>1344</v>
      </c>
      <c r="C1042" s="1" t="s">
        <v>2014</v>
      </c>
      <c r="D1042" s="1" t="s">
        <v>1998</v>
      </c>
      <c r="E1042" s="1"/>
      <c r="F1042" s="1" t="s">
        <v>11</v>
      </c>
      <c r="G1042">
        <v>1810</v>
      </c>
      <c r="H1042">
        <v>2065</v>
      </c>
      <c r="I1042" s="2"/>
      <c r="J1042" s="2">
        <v>45719</v>
      </c>
      <c r="K1042" s="2">
        <v>45784</v>
      </c>
    </row>
    <row r="1043" spans="1:11" x14ac:dyDescent="0.25">
      <c r="A1043" s="1" t="s">
        <v>273</v>
      </c>
      <c r="B1043" s="1" t="s">
        <v>1344</v>
      </c>
      <c r="C1043" s="1" t="s">
        <v>2014</v>
      </c>
      <c r="D1043" s="1" t="s">
        <v>1998</v>
      </c>
      <c r="E1043" s="1"/>
      <c r="F1043" s="1" t="s">
        <v>11</v>
      </c>
      <c r="G1043">
        <v>80</v>
      </c>
      <c r="H1043">
        <v>1</v>
      </c>
      <c r="I1043" s="2"/>
      <c r="J1043" s="2">
        <v>45719</v>
      </c>
      <c r="K1043" s="2">
        <v>45784</v>
      </c>
    </row>
    <row r="1044" spans="1:11" x14ac:dyDescent="0.25">
      <c r="A1044" s="1" t="s">
        <v>273</v>
      </c>
      <c r="B1044" s="1" t="s">
        <v>1345</v>
      </c>
      <c r="C1044" s="1" t="s">
        <v>2299</v>
      </c>
      <c r="D1044" s="1" t="s">
        <v>1998</v>
      </c>
      <c r="E1044" s="1"/>
      <c r="F1044" s="1" t="s">
        <v>11</v>
      </c>
      <c r="G1044">
        <v>100</v>
      </c>
      <c r="H1044">
        <v>225</v>
      </c>
      <c r="I1044" s="2"/>
      <c r="J1044" s="2">
        <v>45719</v>
      </c>
      <c r="K1044" s="2">
        <v>45784</v>
      </c>
    </row>
    <row r="1045" spans="1:11" x14ac:dyDescent="0.25">
      <c r="A1045" s="1" t="s">
        <v>273</v>
      </c>
      <c r="B1045" s="1" t="s">
        <v>1141</v>
      </c>
      <c r="C1045" s="1" t="s">
        <v>2001</v>
      </c>
      <c r="D1045" s="1" t="s">
        <v>1998</v>
      </c>
      <c r="E1045" s="1"/>
      <c r="F1045" s="1" t="s">
        <v>11</v>
      </c>
      <c r="G1045">
        <v>2105</v>
      </c>
      <c r="H1045">
        <v>2375</v>
      </c>
      <c r="I1045" s="2"/>
      <c r="J1045" s="2">
        <v>45719</v>
      </c>
      <c r="K1045" s="2">
        <v>45784</v>
      </c>
    </row>
    <row r="1046" spans="1:11" x14ac:dyDescent="0.25">
      <c r="A1046" s="1" t="s">
        <v>273</v>
      </c>
      <c r="B1046" s="1" t="s">
        <v>1141</v>
      </c>
      <c r="C1046" s="1" t="s">
        <v>2001</v>
      </c>
      <c r="D1046" s="1" t="s">
        <v>1998</v>
      </c>
      <c r="E1046" s="1"/>
      <c r="F1046" s="1" t="s">
        <v>11</v>
      </c>
      <c r="G1046">
        <v>90</v>
      </c>
      <c r="H1046">
        <v>1</v>
      </c>
      <c r="I1046" s="2"/>
      <c r="J1046" s="2">
        <v>45719</v>
      </c>
      <c r="K1046" s="2">
        <v>45784</v>
      </c>
    </row>
    <row r="1047" spans="1:11" x14ac:dyDescent="0.25">
      <c r="A1047" s="1" t="s">
        <v>274</v>
      </c>
      <c r="B1047" s="1" t="s">
        <v>1028</v>
      </c>
      <c r="C1047" s="1" t="s">
        <v>2041</v>
      </c>
      <c r="D1047" s="1" t="s">
        <v>1998</v>
      </c>
      <c r="E1047" s="1"/>
      <c r="F1047" s="1" t="s">
        <v>11</v>
      </c>
      <c r="G1047">
        <v>90</v>
      </c>
      <c r="H1047">
        <v>115</v>
      </c>
      <c r="I1047" s="2"/>
      <c r="J1047" s="2">
        <v>45719</v>
      </c>
      <c r="K1047" s="2">
        <v>45740</v>
      </c>
    </row>
    <row r="1048" spans="1:11" x14ac:dyDescent="0.25">
      <c r="A1048" s="1" t="s">
        <v>274</v>
      </c>
      <c r="B1048" s="1" t="s">
        <v>1027</v>
      </c>
      <c r="C1048" s="1" t="s">
        <v>2040</v>
      </c>
      <c r="D1048" s="1" t="s">
        <v>1998</v>
      </c>
      <c r="E1048" s="1"/>
      <c r="F1048" s="1" t="s">
        <v>11</v>
      </c>
      <c r="G1048">
        <v>5</v>
      </c>
      <c r="H1048">
        <v>5</v>
      </c>
      <c r="I1048" s="2"/>
      <c r="J1048" s="2">
        <v>45719</v>
      </c>
      <c r="K1048" s="2">
        <v>45740</v>
      </c>
    </row>
    <row r="1049" spans="1:11" x14ac:dyDescent="0.25">
      <c r="A1049" s="1" t="s">
        <v>274</v>
      </c>
      <c r="B1049" s="1" t="s">
        <v>1013</v>
      </c>
      <c r="C1049" s="1" t="s">
        <v>2030</v>
      </c>
      <c r="D1049" s="1" t="s">
        <v>1998</v>
      </c>
      <c r="E1049" s="1"/>
      <c r="F1049" s="1" t="s">
        <v>11</v>
      </c>
      <c r="G1049">
        <v>1</v>
      </c>
      <c r="H1049">
        <v>1</v>
      </c>
      <c r="I1049" s="2"/>
      <c r="J1049" s="2">
        <v>45719</v>
      </c>
      <c r="K1049" s="2">
        <v>45740</v>
      </c>
    </row>
    <row r="1050" spans="1:11" x14ac:dyDescent="0.25">
      <c r="A1050" s="1" t="s">
        <v>274</v>
      </c>
      <c r="B1050" s="1" t="s">
        <v>993</v>
      </c>
      <c r="C1050" s="1" t="s">
        <v>2011</v>
      </c>
      <c r="D1050" s="1" t="s">
        <v>1998</v>
      </c>
      <c r="E1050" s="1"/>
      <c r="F1050" s="1" t="s">
        <v>11</v>
      </c>
      <c r="G1050">
        <v>1</v>
      </c>
      <c r="H1050">
        <v>1</v>
      </c>
      <c r="I1050" s="2"/>
      <c r="J1050" s="2">
        <v>45719</v>
      </c>
      <c r="K1050" s="2">
        <v>45740</v>
      </c>
    </row>
    <row r="1051" spans="1:11" x14ac:dyDescent="0.25">
      <c r="A1051" s="1" t="s">
        <v>274</v>
      </c>
      <c r="B1051" s="1" t="s">
        <v>993</v>
      </c>
      <c r="C1051" s="1" t="s">
        <v>2011</v>
      </c>
      <c r="D1051" s="1" t="s">
        <v>1998</v>
      </c>
      <c r="E1051" s="1"/>
      <c r="F1051" s="1" t="s">
        <v>11</v>
      </c>
      <c r="G1051">
        <v>1</v>
      </c>
      <c r="H1051">
        <v>1</v>
      </c>
      <c r="I1051" s="2"/>
      <c r="J1051" s="2">
        <v>45719</v>
      </c>
      <c r="K1051" s="2">
        <v>45740</v>
      </c>
    </row>
    <row r="1052" spans="1:11" x14ac:dyDescent="0.25">
      <c r="A1052" s="1" t="s">
        <v>274</v>
      </c>
      <c r="B1052" s="1" t="s">
        <v>1346</v>
      </c>
      <c r="C1052" s="1" t="s">
        <v>2300</v>
      </c>
      <c r="D1052" s="1" t="s">
        <v>1998</v>
      </c>
      <c r="E1052" s="1"/>
      <c r="F1052" s="1" t="s">
        <v>11</v>
      </c>
      <c r="G1052">
        <v>800</v>
      </c>
      <c r="H1052">
        <v>800</v>
      </c>
      <c r="I1052" s="2"/>
      <c r="J1052" s="2">
        <v>45719</v>
      </c>
      <c r="K1052" s="2">
        <v>45740</v>
      </c>
    </row>
    <row r="1053" spans="1:11" x14ac:dyDescent="0.25">
      <c r="A1053" s="1" t="s">
        <v>274</v>
      </c>
      <c r="B1053" s="1" t="s">
        <v>1347</v>
      </c>
      <c r="C1053" s="1" t="s">
        <v>2067</v>
      </c>
      <c r="D1053" s="1" t="s">
        <v>1998</v>
      </c>
      <c r="E1053" s="1"/>
      <c r="F1053" s="1" t="s">
        <v>11</v>
      </c>
      <c r="G1053">
        <v>1020</v>
      </c>
      <c r="H1053">
        <v>1020</v>
      </c>
      <c r="I1053" s="2"/>
      <c r="J1053" s="2">
        <v>45719</v>
      </c>
      <c r="K1053" s="2">
        <v>45740</v>
      </c>
    </row>
    <row r="1054" spans="1:11" x14ac:dyDescent="0.25">
      <c r="A1054" s="1" t="s">
        <v>275</v>
      </c>
      <c r="B1054" s="1" t="s">
        <v>1256</v>
      </c>
      <c r="C1054" s="1" t="s">
        <v>2014</v>
      </c>
      <c r="D1054" s="1" t="s">
        <v>1998</v>
      </c>
      <c r="E1054" s="1"/>
      <c r="F1054" s="1" t="s">
        <v>11</v>
      </c>
      <c r="G1054">
        <v>6090</v>
      </c>
      <c r="H1054">
        <v>6090</v>
      </c>
      <c r="I1054" s="2"/>
      <c r="J1054" s="2">
        <v>45719</v>
      </c>
      <c r="K1054" s="2">
        <v>45758</v>
      </c>
    </row>
    <row r="1055" spans="1:11" x14ac:dyDescent="0.25">
      <c r="A1055" s="1" t="s">
        <v>275</v>
      </c>
      <c r="B1055" s="1" t="s">
        <v>1341</v>
      </c>
      <c r="C1055" s="1" t="s">
        <v>2297</v>
      </c>
      <c r="D1055" s="1" t="s">
        <v>1998</v>
      </c>
      <c r="E1055" s="1"/>
      <c r="F1055" s="1" t="s">
        <v>11</v>
      </c>
      <c r="G1055">
        <v>2100</v>
      </c>
      <c r="H1055">
        <v>1025</v>
      </c>
      <c r="I1055" s="2"/>
      <c r="J1055" s="2">
        <v>45719</v>
      </c>
      <c r="K1055" s="2">
        <v>45758</v>
      </c>
    </row>
    <row r="1056" spans="1:11" x14ac:dyDescent="0.25">
      <c r="A1056" s="1" t="s">
        <v>276</v>
      </c>
      <c r="B1056" s="1" t="s">
        <v>1237</v>
      </c>
      <c r="C1056" s="1" t="s">
        <v>2221</v>
      </c>
      <c r="D1056" s="1" t="s">
        <v>1998</v>
      </c>
      <c r="E1056" s="1"/>
      <c r="F1056" s="1" t="s">
        <v>11</v>
      </c>
      <c r="G1056">
        <v>2275</v>
      </c>
      <c r="H1056">
        <v>2455</v>
      </c>
      <c r="I1056" s="2"/>
      <c r="J1056" s="2">
        <v>45720</v>
      </c>
      <c r="K1056" s="2">
        <v>45764</v>
      </c>
    </row>
    <row r="1057" spans="1:11" x14ac:dyDescent="0.25">
      <c r="A1057" s="1" t="s">
        <v>276</v>
      </c>
      <c r="B1057" s="1" t="s">
        <v>1237</v>
      </c>
      <c r="C1057" s="1" t="s">
        <v>2221</v>
      </c>
      <c r="D1057" s="1" t="s">
        <v>1998</v>
      </c>
      <c r="E1057" s="1"/>
      <c r="F1057" s="1" t="s">
        <v>11</v>
      </c>
      <c r="G1057">
        <v>490</v>
      </c>
      <c r="H1057">
        <v>490</v>
      </c>
      <c r="I1057" s="2"/>
      <c r="J1057" s="2">
        <v>45720</v>
      </c>
      <c r="K1057" s="2">
        <v>45764</v>
      </c>
    </row>
    <row r="1058" spans="1:11" x14ac:dyDescent="0.25">
      <c r="A1058" s="1" t="s">
        <v>276</v>
      </c>
      <c r="B1058" s="1" t="s">
        <v>1238</v>
      </c>
      <c r="C1058" s="1" t="s">
        <v>2222</v>
      </c>
      <c r="D1058" s="1" t="s">
        <v>1998</v>
      </c>
      <c r="E1058" s="1"/>
      <c r="F1058" s="1" t="s">
        <v>11</v>
      </c>
      <c r="G1058">
        <v>155</v>
      </c>
      <c r="H1058">
        <v>20</v>
      </c>
      <c r="I1058" s="2"/>
      <c r="J1058" s="2">
        <v>45720</v>
      </c>
      <c r="K1058" s="2">
        <v>45764</v>
      </c>
    </row>
    <row r="1059" spans="1:11" x14ac:dyDescent="0.25">
      <c r="A1059" s="1" t="s">
        <v>276</v>
      </c>
      <c r="B1059" s="1" t="s">
        <v>1239</v>
      </c>
      <c r="C1059" s="1" t="s">
        <v>2223</v>
      </c>
      <c r="D1059" s="1" t="s">
        <v>1998</v>
      </c>
      <c r="E1059" s="1"/>
      <c r="F1059" s="1" t="s">
        <v>11</v>
      </c>
      <c r="G1059">
        <v>2355</v>
      </c>
      <c r="H1059">
        <v>2355</v>
      </c>
      <c r="I1059" s="2"/>
      <c r="J1059" s="2">
        <v>45720</v>
      </c>
      <c r="K1059" s="2">
        <v>45764</v>
      </c>
    </row>
    <row r="1060" spans="1:11" x14ac:dyDescent="0.25">
      <c r="A1060" s="1" t="s">
        <v>277</v>
      </c>
      <c r="B1060" s="1" t="s">
        <v>1348</v>
      </c>
      <c r="C1060" s="1" t="s">
        <v>2301</v>
      </c>
      <c r="D1060" s="1" t="s">
        <v>1998</v>
      </c>
      <c r="E1060" s="1"/>
      <c r="F1060" s="1" t="s">
        <v>11</v>
      </c>
      <c r="G1060">
        <v>15</v>
      </c>
      <c r="H1060">
        <v>15</v>
      </c>
      <c r="I1060" s="2"/>
      <c r="J1060" s="2">
        <v>45720</v>
      </c>
      <c r="K1060" s="2">
        <v>45742</v>
      </c>
    </row>
    <row r="1061" spans="1:11" x14ac:dyDescent="0.25">
      <c r="A1061" s="1" t="s">
        <v>277</v>
      </c>
      <c r="B1061" s="1" t="s">
        <v>1194</v>
      </c>
      <c r="C1061" s="1" t="s">
        <v>2185</v>
      </c>
      <c r="D1061" s="1" t="s">
        <v>1998</v>
      </c>
      <c r="E1061" s="1"/>
      <c r="F1061" s="1" t="s">
        <v>11</v>
      </c>
      <c r="G1061">
        <v>260</v>
      </c>
      <c r="H1061">
        <v>260</v>
      </c>
      <c r="I1061" s="2"/>
      <c r="J1061" s="2">
        <v>45720</v>
      </c>
      <c r="K1061" s="2">
        <v>45742</v>
      </c>
    </row>
    <row r="1062" spans="1:11" x14ac:dyDescent="0.25">
      <c r="A1062" s="1" t="s">
        <v>278</v>
      </c>
      <c r="B1062" s="1" t="s">
        <v>1016</v>
      </c>
      <c r="C1062" s="1" t="s">
        <v>2033</v>
      </c>
      <c r="D1062" s="1" t="s">
        <v>1998</v>
      </c>
      <c r="E1062" s="1"/>
      <c r="F1062" s="1" t="s">
        <v>11</v>
      </c>
      <c r="G1062">
        <v>75</v>
      </c>
      <c r="H1062">
        <v>60</v>
      </c>
      <c r="I1062" s="2"/>
      <c r="J1062" s="2">
        <v>45720</v>
      </c>
      <c r="K1062" s="2">
        <v>45751</v>
      </c>
    </row>
    <row r="1063" spans="1:11" x14ac:dyDescent="0.25">
      <c r="A1063" s="1" t="s">
        <v>278</v>
      </c>
      <c r="B1063" s="1" t="s">
        <v>1017</v>
      </c>
      <c r="C1063" s="1" t="s">
        <v>2034</v>
      </c>
      <c r="D1063" s="1" t="s">
        <v>1998</v>
      </c>
      <c r="E1063" s="1"/>
      <c r="F1063" s="1" t="s">
        <v>11</v>
      </c>
      <c r="G1063">
        <v>200</v>
      </c>
      <c r="H1063">
        <v>200</v>
      </c>
      <c r="I1063" s="2"/>
      <c r="J1063" s="2">
        <v>45720</v>
      </c>
      <c r="K1063" s="2">
        <v>45751</v>
      </c>
    </row>
    <row r="1064" spans="1:11" x14ac:dyDescent="0.25">
      <c r="A1064" s="1" t="s">
        <v>278</v>
      </c>
      <c r="B1064" s="1" t="s">
        <v>1018</v>
      </c>
      <c r="C1064" s="1" t="s">
        <v>2035</v>
      </c>
      <c r="D1064" s="1" t="s">
        <v>1998</v>
      </c>
      <c r="E1064" s="1"/>
      <c r="F1064" s="1" t="s">
        <v>11</v>
      </c>
      <c r="G1064">
        <v>885</v>
      </c>
      <c r="H1064">
        <v>945</v>
      </c>
      <c r="I1064" s="2"/>
      <c r="J1064" s="2">
        <v>45720</v>
      </c>
      <c r="K1064" s="2">
        <v>45751</v>
      </c>
    </row>
    <row r="1065" spans="1:11" x14ac:dyDescent="0.25">
      <c r="A1065" s="1" t="s">
        <v>278</v>
      </c>
      <c r="B1065" s="1" t="s">
        <v>999</v>
      </c>
      <c r="C1065" s="1" t="s">
        <v>2017</v>
      </c>
      <c r="D1065" s="1" t="s">
        <v>1998</v>
      </c>
      <c r="E1065" s="1"/>
      <c r="F1065" s="1" t="s">
        <v>11</v>
      </c>
      <c r="G1065">
        <v>1</v>
      </c>
      <c r="H1065">
        <v>1</v>
      </c>
      <c r="I1065" s="2"/>
      <c r="J1065" s="2">
        <v>45720</v>
      </c>
      <c r="K1065" s="2">
        <v>45751</v>
      </c>
    </row>
    <row r="1066" spans="1:11" x14ac:dyDescent="0.25">
      <c r="A1066" s="1" t="s">
        <v>278</v>
      </c>
      <c r="B1066" s="1" t="s">
        <v>1000</v>
      </c>
      <c r="C1066" s="1" t="s">
        <v>2018</v>
      </c>
      <c r="D1066" s="1" t="s">
        <v>1998</v>
      </c>
      <c r="E1066" s="1"/>
      <c r="F1066" s="1" t="s">
        <v>11</v>
      </c>
      <c r="G1066">
        <v>5</v>
      </c>
      <c r="H1066">
        <v>5</v>
      </c>
      <c r="I1066" s="2"/>
      <c r="J1066" s="2">
        <v>45720</v>
      </c>
      <c r="K1066" s="2">
        <v>45751</v>
      </c>
    </row>
    <row r="1067" spans="1:11" x14ac:dyDescent="0.25">
      <c r="A1067" s="1" t="s">
        <v>278</v>
      </c>
      <c r="B1067" s="1" t="s">
        <v>1001</v>
      </c>
      <c r="C1067" s="1" t="s">
        <v>2019</v>
      </c>
      <c r="D1067" s="1" t="s">
        <v>1998</v>
      </c>
      <c r="E1067" s="1"/>
      <c r="F1067" s="1" t="s">
        <v>11</v>
      </c>
      <c r="G1067">
        <v>5</v>
      </c>
      <c r="H1067">
        <v>5</v>
      </c>
      <c r="I1067" s="2"/>
      <c r="J1067" s="2">
        <v>45720</v>
      </c>
      <c r="K1067" s="2">
        <v>45751</v>
      </c>
    </row>
    <row r="1068" spans="1:11" x14ac:dyDescent="0.25">
      <c r="A1068" s="1" t="s">
        <v>278</v>
      </c>
      <c r="B1068" s="1" t="s">
        <v>1019</v>
      </c>
      <c r="C1068" s="1" t="s">
        <v>2036</v>
      </c>
      <c r="D1068" s="1" t="s">
        <v>1998</v>
      </c>
      <c r="E1068" s="1"/>
      <c r="F1068" s="1" t="s">
        <v>11</v>
      </c>
      <c r="G1068">
        <v>3135</v>
      </c>
      <c r="H1068">
        <v>3135</v>
      </c>
      <c r="I1068" s="2"/>
      <c r="J1068" s="2">
        <v>45720</v>
      </c>
      <c r="K1068" s="2">
        <v>45751</v>
      </c>
    </row>
    <row r="1069" spans="1:11" x14ac:dyDescent="0.25">
      <c r="A1069" s="1" t="s">
        <v>278</v>
      </c>
      <c r="B1069" s="1" t="s">
        <v>1020</v>
      </c>
      <c r="C1069" s="1" t="s">
        <v>2037</v>
      </c>
      <c r="D1069" s="1" t="s">
        <v>1998</v>
      </c>
      <c r="E1069" s="1"/>
      <c r="F1069" s="1" t="s">
        <v>11</v>
      </c>
      <c r="G1069">
        <v>8375</v>
      </c>
      <c r="H1069">
        <v>8375</v>
      </c>
      <c r="I1069" s="2"/>
      <c r="J1069" s="2">
        <v>45720</v>
      </c>
      <c r="K1069" s="2">
        <v>45751</v>
      </c>
    </row>
    <row r="1070" spans="1:11" x14ac:dyDescent="0.25">
      <c r="A1070" s="1" t="s">
        <v>279</v>
      </c>
      <c r="B1070" s="1" t="s">
        <v>1016</v>
      </c>
      <c r="C1070" s="1" t="s">
        <v>2033</v>
      </c>
      <c r="D1070" s="1" t="s">
        <v>1998</v>
      </c>
      <c r="E1070" s="1"/>
      <c r="F1070" s="1" t="s">
        <v>11</v>
      </c>
      <c r="G1070">
        <v>75</v>
      </c>
      <c r="H1070">
        <v>55</v>
      </c>
      <c r="I1070" s="2"/>
      <c r="J1070" s="2">
        <v>45721</v>
      </c>
      <c r="K1070" s="2">
        <v>45755</v>
      </c>
    </row>
    <row r="1071" spans="1:11" x14ac:dyDescent="0.25">
      <c r="A1071" s="1" t="s">
        <v>279</v>
      </c>
      <c r="B1071" s="1" t="s">
        <v>1017</v>
      </c>
      <c r="C1071" s="1" t="s">
        <v>2034</v>
      </c>
      <c r="D1071" s="1" t="s">
        <v>1998</v>
      </c>
      <c r="E1071" s="1"/>
      <c r="F1071" s="1" t="s">
        <v>11</v>
      </c>
      <c r="G1071">
        <v>200</v>
      </c>
      <c r="H1071">
        <v>200</v>
      </c>
      <c r="I1071" s="2"/>
      <c r="J1071" s="2">
        <v>45721</v>
      </c>
      <c r="K1071" s="2">
        <v>45755</v>
      </c>
    </row>
    <row r="1072" spans="1:11" x14ac:dyDescent="0.25">
      <c r="A1072" s="1" t="s">
        <v>279</v>
      </c>
      <c r="B1072" s="1" t="s">
        <v>1018</v>
      </c>
      <c r="C1072" s="1" t="s">
        <v>2035</v>
      </c>
      <c r="D1072" s="1" t="s">
        <v>1998</v>
      </c>
      <c r="E1072" s="1"/>
      <c r="F1072" s="1" t="s">
        <v>11</v>
      </c>
      <c r="G1072">
        <v>885</v>
      </c>
      <c r="H1072">
        <v>885</v>
      </c>
      <c r="I1072" s="2"/>
      <c r="J1072" s="2">
        <v>45721</v>
      </c>
      <c r="K1072" s="2">
        <v>45755</v>
      </c>
    </row>
    <row r="1073" spans="1:11" x14ac:dyDescent="0.25">
      <c r="A1073" s="1" t="s">
        <v>279</v>
      </c>
      <c r="B1073" s="1" t="s">
        <v>999</v>
      </c>
      <c r="C1073" s="1" t="s">
        <v>2017</v>
      </c>
      <c r="D1073" s="1" t="s">
        <v>1998</v>
      </c>
      <c r="E1073" s="1"/>
      <c r="F1073" s="1" t="s">
        <v>11</v>
      </c>
      <c r="G1073">
        <v>1</v>
      </c>
      <c r="H1073">
        <v>1</v>
      </c>
      <c r="I1073" s="2"/>
      <c r="J1073" s="2">
        <v>45721</v>
      </c>
      <c r="K1073" s="2">
        <v>45755</v>
      </c>
    </row>
    <row r="1074" spans="1:11" x14ac:dyDescent="0.25">
      <c r="A1074" s="1" t="s">
        <v>279</v>
      </c>
      <c r="B1074" s="1" t="s">
        <v>1000</v>
      </c>
      <c r="C1074" s="1" t="s">
        <v>2018</v>
      </c>
      <c r="D1074" s="1" t="s">
        <v>1998</v>
      </c>
      <c r="E1074" s="1"/>
      <c r="F1074" s="1" t="s">
        <v>11</v>
      </c>
      <c r="G1074">
        <v>5</v>
      </c>
      <c r="H1074">
        <v>5</v>
      </c>
      <c r="I1074" s="2"/>
      <c r="J1074" s="2">
        <v>45721</v>
      </c>
      <c r="K1074" s="2">
        <v>45755</v>
      </c>
    </row>
    <row r="1075" spans="1:11" x14ac:dyDescent="0.25">
      <c r="A1075" s="1" t="s">
        <v>279</v>
      </c>
      <c r="B1075" s="1" t="s">
        <v>1001</v>
      </c>
      <c r="C1075" s="1" t="s">
        <v>2019</v>
      </c>
      <c r="D1075" s="1" t="s">
        <v>1998</v>
      </c>
      <c r="E1075" s="1"/>
      <c r="F1075" s="1" t="s">
        <v>11</v>
      </c>
      <c r="G1075">
        <v>5</v>
      </c>
      <c r="H1075">
        <v>5</v>
      </c>
      <c r="I1075" s="2"/>
      <c r="J1075" s="2">
        <v>45721</v>
      </c>
      <c r="K1075" s="2">
        <v>45755</v>
      </c>
    </row>
    <row r="1076" spans="1:11" x14ac:dyDescent="0.25">
      <c r="A1076" s="1" t="s">
        <v>279</v>
      </c>
      <c r="B1076" s="1" t="s">
        <v>1019</v>
      </c>
      <c r="C1076" s="1" t="s">
        <v>2036</v>
      </c>
      <c r="D1076" s="1" t="s">
        <v>1998</v>
      </c>
      <c r="E1076" s="1"/>
      <c r="F1076" s="1" t="s">
        <v>11</v>
      </c>
      <c r="G1076">
        <v>3135</v>
      </c>
      <c r="H1076">
        <v>3135</v>
      </c>
      <c r="I1076" s="2"/>
      <c r="J1076" s="2">
        <v>45721</v>
      </c>
      <c r="K1076" s="2">
        <v>45755</v>
      </c>
    </row>
    <row r="1077" spans="1:11" x14ac:dyDescent="0.25">
      <c r="A1077" s="1" t="s">
        <v>279</v>
      </c>
      <c r="B1077" s="1" t="s">
        <v>1020</v>
      </c>
      <c r="C1077" s="1" t="s">
        <v>2037</v>
      </c>
      <c r="D1077" s="1" t="s">
        <v>1998</v>
      </c>
      <c r="E1077" s="1"/>
      <c r="F1077" s="1" t="s">
        <v>11</v>
      </c>
      <c r="G1077">
        <v>8375</v>
      </c>
      <c r="H1077">
        <v>6430</v>
      </c>
      <c r="I1077" s="2"/>
      <c r="J1077" s="2">
        <v>45721</v>
      </c>
      <c r="K1077" s="2">
        <v>45755</v>
      </c>
    </row>
    <row r="1078" spans="1:11" x14ac:dyDescent="0.25">
      <c r="A1078" s="1" t="s">
        <v>280</v>
      </c>
      <c r="B1078" s="1" t="s">
        <v>995</v>
      </c>
      <c r="C1078" s="1" t="s">
        <v>2013</v>
      </c>
      <c r="D1078" s="1" t="s">
        <v>1998</v>
      </c>
      <c r="E1078" s="1"/>
      <c r="F1078" s="1" t="s">
        <v>11</v>
      </c>
      <c r="G1078">
        <v>715</v>
      </c>
      <c r="H1078">
        <v>10</v>
      </c>
      <c r="I1078" s="2"/>
      <c r="J1078" s="2">
        <v>45720</v>
      </c>
      <c r="K1078" s="2">
        <v>45741</v>
      </c>
    </row>
    <row r="1079" spans="1:11" x14ac:dyDescent="0.25">
      <c r="A1079" s="1" t="s">
        <v>280</v>
      </c>
      <c r="B1079" s="1" t="s">
        <v>1075</v>
      </c>
      <c r="C1079" s="1" t="s">
        <v>2078</v>
      </c>
      <c r="D1079" s="1" t="s">
        <v>1998</v>
      </c>
      <c r="E1079" s="1"/>
      <c r="F1079" s="1" t="s">
        <v>11</v>
      </c>
      <c r="G1079">
        <v>210</v>
      </c>
      <c r="H1079">
        <v>210</v>
      </c>
      <c r="I1079" s="2"/>
      <c r="J1079" s="2">
        <v>45720</v>
      </c>
      <c r="K1079" s="2">
        <v>45741</v>
      </c>
    </row>
    <row r="1080" spans="1:11" x14ac:dyDescent="0.25">
      <c r="A1080" s="1" t="s">
        <v>280</v>
      </c>
      <c r="B1080" s="1" t="s">
        <v>1052</v>
      </c>
      <c r="C1080" s="1" t="s">
        <v>2061</v>
      </c>
      <c r="D1080" s="1" t="s">
        <v>1998</v>
      </c>
      <c r="E1080" s="1"/>
      <c r="F1080" s="1" t="s">
        <v>11</v>
      </c>
      <c r="G1080">
        <v>1945</v>
      </c>
      <c r="H1080">
        <v>1945</v>
      </c>
      <c r="I1080" s="2"/>
      <c r="J1080" s="2">
        <v>45720</v>
      </c>
      <c r="K1080" s="2">
        <v>45741</v>
      </c>
    </row>
    <row r="1081" spans="1:11" x14ac:dyDescent="0.25">
      <c r="A1081" s="1" t="s">
        <v>280</v>
      </c>
      <c r="B1081" s="1" t="s">
        <v>999</v>
      </c>
      <c r="C1081" s="1" t="s">
        <v>2017</v>
      </c>
      <c r="D1081" s="1" t="s">
        <v>1998</v>
      </c>
      <c r="E1081" s="1"/>
      <c r="F1081" s="1" t="s">
        <v>11</v>
      </c>
      <c r="G1081">
        <v>1</v>
      </c>
      <c r="H1081">
        <v>1</v>
      </c>
      <c r="I1081" s="2"/>
      <c r="J1081" s="2">
        <v>45720</v>
      </c>
      <c r="K1081" s="2">
        <v>45741</v>
      </c>
    </row>
    <row r="1082" spans="1:11" x14ac:dyDescent="0.25">
      <c r="A1082" s="1" t="s">
        <v>280</v>
      </c>
      <c r="B1082" s="1" t="s">
        <v>1000</v>
      </c>
      <c r="C1082" s="1" t="s">
        <v>2018</v>
      </c>
      <c r="D1082" s="1" t="s">
        <v>1998</v>
      </c>
      <c r="E1082" s="1"/>
      <c r="F1082" s="1" t="s">
        <v>11</v>
      </c>
      <c r="G1082">
        <v>10</v>
      </c>
      <c r="H1082">
        <v>10</v>
      </c>
      <c r="I1082" s="2"/>
      <c r="J1082" s="2">
        <v>45720</v>
      </c>
      <c r="K1082" s="2">
        <v>45741</v>
      </c>
    </row>
    <row r="1083" spans="1:11" x14ac:dyDescent="0.25">
      <c r="A1083" s="1" t="s">
        <v>280</v>
      </c>
      <c r="B1083" s="1" t="s">
        <v>1001</v>
      </c>
      <c r="C1083" s="1" t="s">
        <v>2019</v>
      </c>
      <c r="D1083" s="1" t="s">
        <v>1998</v>
      </c>
      <c r="E1083" s="1"/>
      <c r="F1083" s="1" t="s">
        <v>11</v>
      </c>
      <c r="G1083">
        <v>5</v>
      </c>
      <c r="H1083">
        <v>5</v>
      </c>
      <c r="I1083" s="2"/>
      <c r="J1083" s="2">
        <v>45720</v>
      </c>
      <c r="K1083" s="2">
        <v>45741</v>
      </c>
    </row>
    <row r="1084" spans="1:11" x14ac:dyDescent="0.25">
      <c r="A1084" s="1" t="s">
        <v>280</v>
      </c>
      <c r="B1084" s="1" t="s">
        <v>1076</v>
      </c>
      <c r="C1084" s="1" t="s">
        <v>2079</v>
      </c>
      <c r="D1084" s="1" t="s">
        <v>1998</v>
      </c>
      <c r="E1084" s="1"/>
      <c r="F1084" s="1" t="s">
        <v>11</v>
      </c>
      <c r="G1084">
        <v>5520</v>
      </c>
      <c r="H1084">
        <v>5520</v>
      </c>
      <c r="I1084" s="2"/>
      <c r="J1084" s="2">
        <v>45720</v>
      </c>
      <c r="K1084" s="2">
        <v>45741</v>
      </c>
    </row>
    <row r="1085" spans="1:11" x14ac:dyDescent="0.25">
      <c r="A1085" s="1" t="s">
        <v>280</v>
      </c>
      <c r="B1085" s="1" t="s">
        <v>1077</v>
      </c>
      <c r="C1085" s="1" t="s">
        <v>2080</v>
      </c>
      <c r="D1085" s="1" t="s">
        <v>1998</v>
      </c>
      <c r="E1085" s="1"/>
      <c r="F1085" s="1" t="s">
        <v>11</v>
      </c>
      <c r="G1085">
        <v>6395</v>
      </c>
      <c r="H1085">
        <v>6395</v>
      </c>
      <c r="I1085" s="2"/>
      <c r="J1085" s="2">
        <v>45720</v>
      </c>
      <c r="K1085" s="2">
        <v>45741</v>
      </c>
    </row>
    <row r="1086" spans="1:11" x14ac:dyDescent="0.25">
      <c r="A1086" s="1" t="s">
        <v>281</v>
      </c>
      <c r="B1086" s="1" t="s">
        <v>995</v>
      </c>
      <c r="C1086" s="1" t="s">
        <v>2013</v>
      </c>
      <c r="D1086" s="1" t="s">
        <v>1998</v>
      </c>
      <c r="E1086" s="1"/>
      <c r="F1086" s="1" t="s">
        <v>11</v>
      </c>
      <c r="G1086">
        <v>715</v>
      </c>
      <c r="H1086">
        <v>10</v>
      </c>
      <c r="I1086" s="2"/>
      <c r="J1086" s="2">
        <v>45721</v>
      </c>
      <c r="K1086" s="2">
        <v>45738</v>
      </c>
    </row>
    <row r="1087" spans="1:11" x14ac:dyDescent="0.25">
      <c r="A1087" s="1" t="s">
        <v>281</v>
      </c>
      <c r="B1087" s="1" t="s">
        <v>1075</v>
      </c>
      <c r="C1087" s="1" t="s">
        <v>2078</v>
      </c>
      <c r="D1087" s="1" t="s">
        <v>1998</v>
      </c>
      <c r="E1087" s="1"/>
      <c r="F1087" s="1" t="s">
        <v>11</v>
      </c>
      <c r="G1087">
        <v>210</v>
      </c>
      <c r="H1087">
        <v>210</v>
      </c>
      <c r="I1087" s="2"/>
      <c r="J1087" s="2">
        <v>45721</v>
      </c>
      <c r="K1087" s="2">
        <v>45738</v>
      </c>
    </row>
    <row r="1088" spans="1:11" x14ac:dyDescent="0.25">
      <c r="A1088" s="1" t="s">
        <v>281</v>
      </c>
      <c r="B1088" s="1" t="s">
        <v>1052</v>
      </c>
      <c r="C1088" s="1" t="s">
        <v>2061</v>
      </c>
      <c r="D1088" s="1" t="s">
        <v>1998</v>
      </c>
      <c r="E1088" s="1"/>
      <c r="F1088" s="1" t="s">
        <v>11</v>
      </c>
      <c r="G1088">
        <v>1945</v>
      </c>
      <c r="H1088">
        <v>1945</v>
      </c>
      <c r="I1088" s="2"/>
      <c r="J1088" s="2">
        <v>45721</v>
      </c>
      <c r="K1088" s="2">
        <v>45738</v>
      </c>
    </row>
    <row r="1089" spans="1:11" x14ac:dyDescent="0.25">
      <c r="A1089" s="1" t="s">
        <v>281</v>
      </c>
      <c r="B1089" s="1" t="s">
        <v>1052</v>
      </c>
      <c r="C1089" s="1" t="s">
        <v>2061</v>
      </c>
      <c r="D1089" s="1" t="s">
        <v>1998</v>
      </c>
      <c r="E1089" s="1"/>
      <c r="F1089" s="1" t="s">
        <v>11</v>
      </c>
      <c r="G1089">
        <v>15</v>
      </c>
      <c r="H1089">
        <v>15</v>
      </c>
      <c r="I1089" s="2"/>
      <c r="J1089" s="2">
        <v>45721</v>
      </c>
      <c r="K1089" s="2">
        <v>45738</v>
      </c>
    </row>
    <row r="1090" spans="1:11" x14ac:dyDescent="0.25">
      <c r="A1090" s="1" t="s">
        <v>281</v>
      </c>
      <c r="B1090" s="1" t="s">
        <v>999</v>
      </c>
      <c r="C1090" s="1" t="s">
        <v>2017</v>
      </c>
      <c r="D1090" s="1" t="s">
        <v>1998</v>
      </c>
      <c r="E1090" s="1"/>
      <c r="F1090" s="1" t="s">
        <v>11</v>
      </c>
      <c r="G1090">
        <v>1</v>
      </c>
      <c r="H1090">
        <v>1</v>
      </c>
      <c r="I1090" s="2"/>
      <c r="J1090" s="2">
        <v>45721</v>
      </c>
      <c r="K1090" s="2">
        <v>45738</v>
      </c>
    </row>
    <row r="1091" spans="1:11" x14ac:dyDescent="0.25">
      <c r="A1091" s="1" t="s">
        <v>281</v>
      </c>
      <c r="B1091" s="1" t="s">
        <v>1000</v>
      </c>
      <c r="C1091" s="1" t="s">
        <v>2018</v>
      </c>
      <c r="D1091" s="1" t="s">
        <v>1998</v>
      </c>
      <c r="E1091" s="1"/>
      <c r="F1091" s="1" t="s">
        <v>11</v>
      </c>
      <c r="G1091">
        <v>10</v>
      </c>
      <c r="H1091">
        <v>10</v>
      </c>
      <c r="I1091" s="2"/>
      <c r="J1091" s="2">
        <v>45721</v>
      </c>
      <c r="K1091" s="2">
        <v>45738</v>
      </c>
    </row>
    <row r="1092" spans="1:11" x14ac:dyDescent="0.25">
      <c r="A1092" s="1" t="s">
        <v>281</v>
      </c>
      <c r="B1092" s="1" t="s">
        <v>1001</v>
      </c>
      <c r="C1092" s="1" t="s">
        <v>2019</v>
      </c>
      <c r="D1092" s="1" t="s">
        <v>1998</v>
      </c>
      <c r="E1092" s="1"/>
      <c r="F1092" s="1" t="s">
        <v>11</v>
      </c>
      <c r="G1092">
        <v>5</v>
      </c>
      <c r="H1092">
        <v>5</v>
      </c>
      <c r="I1092" s="2"/>
      <c r="J1092" s="2">
        <v>45721</v>
      </c>
      <c r="K1092" s="2">
        <v>45738</v>
      </c>
    </row>
    <row r="1093" spans="1:11" x14ac:dyDescent="0.25">
      <c r="A1093" s="1" t="s">
        <v>281</v>
      </c>
      <c r="B1093" s="1" t="s">
        <v>1076</v>
      </c>
      <c r="C1093" s="1" t="s">
        <v>2079</v>
      </c>
      <c r="D1093" s="1" t="s">
        <v>1998</v>
      </c>
      <c r="E1093" s="1"/>
      <c r="F1093" s="1" t="s">
        <v>11</v>
      </c>
      <c r="G1093">
        <v>5520</v>
      </c>
      <c r="H1093">
        <v>5520</v>
      </c>
      <c r="I1093" s="2"/>
      <c r="J1093" s="2">
        <v>45721</v>
      </c>
      <c r="K1093" s="2">
        <v>45738</v>
      </c>
    </row>
    <row r="1094" spans="1:11" x14ac:dyDescent="0.25">
      <c r="A1094" s="1" t="s">
        <v>281</v>
      </c>
      <c r="B1094" s="1" t="s">
        <v>1077</v>
      </c>
      <c r="C1094" s="1" t="s">
        <v>2080</v>
      </c>
      <c r="D1094" s="1" t="s">
        <v>1998</v>
      </c>
      <c r="E1094" s="1"/>
      <c r="F1094" s="1" t="s">
        <v>11</v>
      </c>
      <c r="G1094">
        <v>6395</v>
      </c>
      <c r="H1094">
        <v>6395</v>
      </c>
      <c r="I1094" s="2"/>
      <c r="J1094" s="2">
        <v>45721</v>
      </c>
      <c r="K1094" s="2">
        <v>45738</v>
      </c>
    </row>
    <row r="1095" spans="1:11" x14ac:dyDescent="0.25">
      <c r="A1095" s="1" t="s">
        <v>282</v>
      </c>
      <c r="B1095" s="1" t="s">
        <v>1349</v>
      </c>
      <c r="C1095" s="1" t="s">
        <v>2302</v>
      </c>
      <c r="D1095" s="1" t="s">
        <v>1998</v>
      </c>
      <c r="E1095" s="1"/>
      <c r="F1095" s="1" t="s">
        <v>11</v>
      </c>
      <c r="G1095">
        <v>100</v>
      </c>
      <c r="H1095">
        <v>130</v>
      </c>
      <c r="I1095" s="2"/>
      <c r="J1095" s="2">
        <v>45726</v>
      </c>
      <c r="K1095" s="2">
        <v>45729</v>
      </c>
    </row>
    <row r="1096" spans="1:11" x14ac:dyDescent="0.25">
      <c r="A1096" s="1" t="s">
        <v>282</v>
      </c>
      <c r="B1096" s="1" t="s">
        <v>1350</v>
      </c>
      <c r="C1096" s="1" t="s">
        <v>2303</v>
      </c>
      <c r="D1096" s="1" t="s">
        <v>1998</v>
      </c>
      <c r="E1096" s="1"/>
      <c r="F1096" s="1" t="s">
        <v>11</v>
      </c>
      <c r="G1096">
        <v>730</v>
      </c>
      <c r="H1096">
        <v>710</v>
      </c>
      <c r="I1096" s="2"/>
      <c r="J1096" s="2">
        <v>45726</v>
      </c>
      <c r="K1096" s="2">
        <v>45729</v>
      </c>
    </row>
    <row r="1097" spans="1:11" x14ac:dyDescent="0.25">
      <c r="A1097" s="1" t="s">
        <v>282</v>
      </c>
      <c r="B1097" s="1" t="s">
        <v>1206</v>
      </c>
      <c r="C1097" s="1" t="s">
        <v>2196</v>
      </c>
      <c r="D1097" s="1" t="s">
        <v>1998</v>
      </c>
      <c r="E1097" s="1"/>
      <c r="F1097" s="1" t="s">
        <v>11</v>
      </c>
      <c r="G1097">
        <v>1</v>
      </c>
      <c r="H1097">
        <v>1</v>
      </c>
      <c r="I1097" s="2"/>
      <c r="J1097" s="2">
        <v>45726</v>
      </c>
      <c r="K1097" s="2">
        <v>45729</v>
      </c>
    </row>
    <row r="1098" spans="1:11" x14ac:dyDescent="0.25">
      <c r="A1098" s="1" t="s">
        <v>282</v>
      </c>
      <c r="B1098" s="1" t="s">
        <v>1351</v>
      </c>
      <c r="C1098" s="1" t="s">
        <v>2304</v>
      </c>
      <c r="D1098" s="1" t="s">
        <v>1998</v>
      </c>
      <c r="E1098" s="1"/>
      <c r="F1098" s="1" t="s">
        <v>11</v>
      </c>
      <c r="G1098">
        <v>15</v>
      </c>
      <c r="H1098">
        <v>15</v>
      </c>
      <c r="I1098" s="2"/>
      <c r="J1098" s="2">
        <v>45726</v>
      </c>
      <c r="K1098" s="2">
        <v>45729</v>
      </c>
    </row>
    <row r="1099" spans="1:11" x14ac:dyDescent="0.25">
      <c r="A1099" s="1" t="s">
        <v>283</v>
      </c>
      <c r="B1099" s="1" t="s">
        <v>1246</v>
      </c>
      <c r="C1099" s="1" t="s">
        <v>2228</v>
      </c>
      <c r="D1099" s="1" t="s">
        <v>1998</v>
      </c>
      <c r="E1099" s="1"/>
      <c r="F1099" s="1" t="s">
        <v>11</v>
      </c>
      <c r="G1099">
        <v>350</v>
      </c>
      <c r="H1099">
        <v>380</v>
      </c>
      <c r="I1099" s="2"/>
      <c r="J1099" s="2">
        <v>45728</v>
      </c>
      <c r="K1099" s="2">
        <v>45730</v>
      </c>
    </row>
    <row r="1100" spans="1:11" x14ac:dyDescent="0.25">
      <c r="A1100" s="1" t="s">
        <v>283</v>
      </c>
      <c r="B1100" s="1" t="s">
        <v>1247</v>
      </c>
      <c r="C1100" s="1" t="s">
        <v>2229</v>
      </c>
      <c r="D1100" s="1" t="s">
        <v>1998</v>
      </c>
      <c r="E1100" s="1"/>
      <c r="F1100" s="1" t="s">
        <v>12</v>
      </c>
      <c r="G1100">
        <v>1</v>
      </c>
      <c r="H1100">
        <v>55</v>
      </c>
      <c r="I1100" s="2"/>
      <c r="J1100" s="2">
        <v>45728</v>
      </c>
      <c r="K1100" s="2">
        <v>45730</v>
      </c>
    </row>
    <row r="1101" spans="1:11" x14ac:dyDescent="0.25">
      <c r="A1101" s="1" t="s">
        <v>283</v>
      </c>
      <c r="B1101" s="1" t="s">
        <v>1206</v>
      </c>
      <c r="C1101" s="1" t="s">
        <v>2196</v>
      </c>
      <c r="D1101" s="1" t="s">
        <v>1998</v>
      </c>
      <c r="E1101" s="1"/>
      <c r="F1101" s="1" t="s">
        <v>11</v>
      </c>
      <c r="G1101">
        <v>1</v>
      </c>
      <c r="H1101">
        <v>1</v>
      </c>
      <c r="I1101" s="2"/>
      <c r="J1101" s="2">
        <v>45728</v>
      </c>
      <c r="K1101" s="2">
        <v>45730</v>
      </c>
    </row>
    <row r="1102" spans="1:11" x14ac:dyDescent="0.25">
      <c r="A1102" s="1" t="s">
        <v>283</v>
      </c>
      <c r="B1102" s="1" t="s">
        <v>1351</v>
      </c>
      <c r="C1102" s="1" t="s">
        <v>2304</v>
      </c>
      <c r="D1102" s="1" t="s">
        <v>1998</v>
      </c>
      <c r="E1102" s="1"/>
      <c r="F1102" s="1" t="s">
        <v>11</v>
      </c>
      <c r="G1102">
        <v>5</v>
      </c>
      <c r="H1102">
        <v>5</v>
      </c>
      <c r="I1102" s="2"/>
      <c r="J1102" s="2">
        <v>45728</v>
      </c>
      <c r="K1102" s="2">
        <v>45730</v>
      </c>
    </row>
    <row r="1103" spans="1:11" x14ac:dyDescent="0.25">
      <c r="A1103" s="1" t="s">
        <v>284</v>
      </c>
      <c r="B1103" s="1" t="s">
        <v>1264</v>
      </c>
      <c r="C1103" s="1" t="s">
        <v>2241</v>
      </c>
      <c r="D1103" s="1" t="s">
        <v>1998</v>
      </c>
      <c r="E1103" s="1"/>
      <c r="F1103" s="1" t="s">
        <v>11</v>
      </c>
      <c r="G1103">
        <v>835</v>
      </c>
      <c r="H1103">
        <v>835</v>
      </c>
      <c r="I1103" s="2"/>
      <c r="J1103" s="2">
        <v>45726</v>
      </c>
      <c r="K1103" s="2">
        <v>45737</v>
      </c>
    </row>
    <row r="1104" spans="1:11" x14ac:dyDescent="0.25">
      <c r="A1104" s="1" t="s">
        <v>284</v>
      </c>
      <c r="B1104" s="1" t="s">
        <v>1352</v>
      </c>
      <c r="C1104" s="1" t="s">
        <v>2305</v>
      </c>
      <c r="D1104" s="1" t="s">
        <v>1998</v>
      </c>
      <c r="E1104" s="1"/>
      <c r="F1104" s="1" t="s">
        <v>11</v>
      </c>
      <c r="G1104">
        <v>15</v>
      </c>
      <c r="H1104">
        <v>15</v>
      </c>
      <c r="I1104" s="2"/>
      <c r="J1104" s="2">
        <v>45726</v>
      </c>
      <c r="K1104" s="2">
        <v>45737</v>
      </c>
    </row>
    <row r="1105" spans="1:11" x14ac:dyDescent="0.25">
      <c r="A1105" s="1" t="s">
        <v>284</v>
      </c>
      <c r="B1105" s="1" t="s">
        <v>1206</v>
      </c>
      <c r="C1105" s="1" t="s">
        <v>2196</v>
      </c>
      <c r="D1105" s="1" t="s">
        <v>1998</v>
      </c>
      <c r="E1105" s="1"/>
      <c r="F1105" s="1" t="s">
        <v>11</v>
      </c>
      <c r="G1105">
        <v>5</v>
      </c>
      <c r="H1105">
        <v>5</v>
      </c>
      <c r="I1105" s="2"/>
      <c r="J1105" s="2">
        <v>45726</v>
      </c>
      <c r="K1105" s="2">
        <v>45737</v>
      </c>
    </row>
    <row r="1106" spans="1:11" x14ac:dyDescent="0.25">
      <c r="A1106" s="1" t="s">
        <v>285</v>
      </c>
      <c r="B1106" s="1" t="s">
        <v>1004</v>
      </c>
      <c r="C1106" s="1" t="s">
        <v>2022</v>
      </c>
      <c r="D1106" s="1" t="s">
        <v>1998</v>
      </c>
      <c r="E1106" s="1"/>
      <c r="F1106" s="1" t="s">
        <v>11</v>
      </c>
      <c r="G1106">
        <v>440</v>
      </c>
      <c r="H1106">
        <v>630</v>
      </c>
      <c r="I1106" s="2"/>
      <c r="J1106" s="2">
        <v>45721</v>
      </c>
      <c r="K1106" s="2">
        <v>45768</v>
      </c>
    </row>
    <row r="1107" spans="1:11" x14ac:dyDescent="0.25">
      <c r="A1107" s="1" t="s">
        <v>285</v>
      </c>
      <c r="B1107" s="1" t="s">
        <v>1005</v>
      </c>
      <c r="C1107" s="1" t="s">
        <v>2023</v>
      </c>
      <c r="D1107" s="1" t="s">
        <v>1998</v>
      </c>
      <c r="E1107" s="1"/>
      <c r="F1107" s="1" t="s">
        <v>11</v>
      </c>
      <c r="G1107">
        <v>1600</v>
      </c>
      <c r="H1107">
        <v>1735</v>
      </c>
      <c r="I1107" s="2"/>
      <c r="J1107" s="2">
        <v>45721</v>
      </c>
      <c r="K1107" s="2">
        <v>45768</v>
      </c>
    </row>
    <row r="1108" spans="1:11" x14ac:dyDescent="0.25">
      <c r="A1108" s="1" t="s">
        <v>285</v>
      </c>
      <c r="B1108" s="1" t="s">
        <v>1006</v>
      </c>
      <c r="C1108" s="1" t="s">
        <v>2024</v>
      </c>
      <c r="D1108" s="1" t="s">
        <v>1998</v>
      </c>
      <c r="E1108" s="1"/>
      <c r="F1108" s="1" t="s">
        <v>11</v>
      </c>
      <c r="G1108">
        <v>1440</v>
      </c>
      <c r="H1108">
        <v>1575</v>
      </c>
      <c r="I1108" s="2"/>
      <c r="J1108" s="2">
        <v>45721</v>
      </c>
      <c r="K1108" s="2">
        <v>45768</v>
      </c>
    </row>
    <row r="1109" spans="1:11" x14ac:dyDescent="0.25">
      <c r="A1109" s="1" t="s">
        <v>285</v>
      </c>
      <c r="B1109" s="1" t="s">
        <v>1007</v>
      </c>
      <c r="C1109" s="1" t="s">
        <v>2025</v>
      </c>
      <c r="D1109" s="1" t="s">
        <v>1998</v>
      </c>
      <c r="E1109" s="1"/>
      <c r="F1109" s="1" t="s">
        <v>11</v>
      </c>
      <c r="G1109">
        <v>8945</v>
      </c>
      <c r="H1109">
        <v>9685</v>
      </c>
      <c r="I1109" s="2"/>
      <c r="J1109" s="2">
        <v>45721</v>
      </c>
      <c r="K1109" s="2">
        <v>45768</v>
      </c>
    </row>
    <row r="1110" spans="1:11" x14ac:dyDescent="0.25">
      <c r="A1110" s="1" t="s">
        <v>286</v>
      </c>
      <c r="B1110" s="1" t="s">
        <v>1305</v>
      </c>
      <c r="C1110" s="1" t="s">
        <v>2277</v>
      </c>
      <c r="D1110" s="1" t="s">
        <v>1998</v>
      </c>
      <c r="E1110" s="1"/>
      <c r="F1110" s="1" t="s">
        <v>11</v>
      </c>
      <c r="G1110">
        <v>25</v>
      </c>
      <c r="H1110">
        <v>25</v>
      </c>
      <c r="I1110" s="2">
        <v>45783</v>
      </c>
      <c r="J1110" s="2">
        <v>45721</v>
      </c>
      <c r="K1110" s="2">
        <v>45783</v>
      </c>
    </row>
    <row r="1111" spans="1:11" x14ac:dyDescent="0.25">
      <c r="A1111" s="1" t="s">
        <v>286</v>
      </c>
      <c r="B1111" s="1" t="s">
        <v>1306</v>
      </c>
      <c r="C1111" s="1" t="s">
        <v>2278</v>
      </c>
      <c r="D1111" s="1" t="s">
        <v>1998</v>
      </c>
      <c r="E1111" s="1"/>
      <c r="F1111" s="1" t="s">
        <v>11</v>
      </c>
      <c r="G1111">
        <v>25</v>
      </c>
      <c r="H1111">
        <v>25</v>
      </c>
      <c r="I1111" s="2">
        <v>45783</v>
      </c>
      <c r="J1111" s="2">
        <v>45721</v>
      </c>
      <c r="K1111" s="2">
        <v>45783</v>
      </c>
    </row>
    <row r="1112" spans="1:11" x14ac:dyDescent="0.25">
      <c r="A1112" s="1" t="s">
        <v>286</v>
      </c>
      <c r="B1112" s="1" t="s">
        <v>1307</v>
      </c>
      <c r="C1112" s="1" t="s">
        <v>2279</v>
      </c>
      <c r="D1112" s="1" t="s">
        <v>1998</v>
      </c>
      <c r="E1112" s="1"/>
      <c r="F1112" s="1" t="s">
        <v>11</v>
      </c>
      <c r="G1112">
        <v>1</v>
      </c>
      <c r="H1112">
        <v>1</v>
      </c>
      <c r="I1112" s="2">
        <v>45783</v>
      </c>
      <c r="J1112" s="2">
        <v>45721</v>
      </c>
      <c r="K1112" s="2">
        <v>45783</v>
      </c>
    </row>
    <row r="1113" spans="1:11" x14ac:dyDescent="0.25">
      <c r="A1113" s="1" t="s">
        <v>286</v>
      </c>
      <c r="B1113" s="1" t="s">
        <v>1308</v>
      </c>
      <c r="C1113" s="1" t="s">
        <v>2280</v>
      </c>
      <c r="D1113" s="1" t="s">
        <v>1998</v>
      </c>
      <c r="E1113" s="1"/>
      <c r="F1113" s="1" t="s">
        <v>11</v>
      </c>
      <c r="G1113">
        <v>1</v>
      </c>
      <c r="H1113">
        <v>1</v>
      </c>
      <c r="I1113" s="2">
        <v>45783</v>
      </c>
      <c r="J1113" s="2">
        <v>45721</v>
      </c>
      <c r="K1113" s="2">
        <v>45783</v>
      </c>
    </row>
    <row r="1114" spans="1:11" x14ac:dyDescent="0.25">
      <c r="A1114" s="1" t="s">
        <v>286</v>
      </c>
      <c r="B1114" s="1" t="s">
        <v>1309</v>
      </c>
      <c r="C1114" s="1" t="s">
        <v>2281</v>
      </c>
      <c r="D1114" s="1" t="s">
        <v>1998</v>
      </c>
      <c r="E1114" s="1"/>
      <c r="F1114" s="1" t="s">
        <v>11</v>
      </c>
      <c r="G1114">
        <v>725</v>
      </c>
      <c r="H1114">
        <v>725</v>
      </c>
      <c r="I1114" s="2">
        <v>45783</v>
      </c>
      <c r="J1114" s="2">
        <v>45721</v>
      </c>
      <c r="K1114" s="2">
        <v>45783</v>
      </c>
    </row>
    <row r="1115" spans="1:11" x14ac:dyDescent="0.25">
      <c r="A1115" s="1" t="s">
        <v>286</v>
      </c>
      <c r="B1115" s="1" t="s">
        <v>1310</v>
      </c>
      <c r="C1115" s="1" t="s">
        <v>2115</v>
      </c>
      <c r="D1115" s="1" t="s">
        <v>1998</v>
      </c>
      <c r="E1115" s="1"/>
      <c r="F1115" s="1" t="s">
        <v>11</v>
      </c>
      <c r="G1115">
        <v>775</v>
      </c>
      <c r="H1115">
        <v>775</v>
      </c>
      <c r="I1115" s="2">
        <v>45783</v>
      </c>
      <c r="J1115" s="2">
        <v>45721</v>
      </c>
      <c r="K1115" s="2">
        <v>45783</v>
      </c>
    </row>
    <row r="1116" spans="1:11" x14ac:dyDescent="0.25">
      <c r="A1116" s="1" t="s">
        <v>286</v>
      </c>
      <c r="B1116" s="1" t="s">
        <v>1311</v>
      </c>
      <c r="C1116" s="1" t="s">
        <v>2282</v>
      </c>
      <c r="D1116" s="1" t="s">
        <v>1998</v>
      </c>
      <c r="E1116" s="1"/>
      <c r="F1116" s="1" t="s">
        <v>11</v>
      </c>
      <c r="G1116">
        <v>215</v>
      </c>
      <c r="H1116">
        <v>215</v>
      </c>
      <c r="I1116" s="2">
        <v>45783</v>
      </c>
      <c r="J1116" s="2">
        <v>45721</v>
      </c>
      <c r="K1116" s="2">
        <v>45783</v>
      </c>
    </row>
    <row r="1117" spans="1:11" x14ac:dyDescent="0.25">
      <c r="A1117" s="1" t="s">
        <v>286</v>
      </c>
      <c r="B1117" s="1" t="s">
        <v>1312</v>
      </c>
      <c r="C1117" s="1" t="s">
        <v>2283</v>
      </c>
      <c r="D1117" s="1" t="s">
        <v>1998</v>
      </c>
      <c r="E1117" s="1"/>
      <c r="F1117" s="1" t="s">
        <v>11</v>
      </c>
      <c r="G1117">
        <v>85</v>
      </c>
      <c r="H1117">
        <v>85</v>
      </c>
      <c r="I1117" s="2">
        <v>45783</v>
      </c>
      <c r="J1117" s="2">
        <v>45721</v>
      </c>
      <c r="K1117" s="2">
        <v>45783</v>
      </c>
    </row>
    <row r="1118" spans="1:11" x14ac:dyDescent="0.25">
      <c r="A1118" s="1" t="s">
        <v>286</v>
      </c>
      <c r="B1118" s="1" t="s">
        <v>1313</v>
      </c>
      <c r="C1118" s="1" t="s">
        <v>2284</v>
      </c>
      <c r="D1118" s="1" t="s">
        <v>1998</v>
      </c>
      <c r="E1118" s="1"/>
      <c r="F1118" s="1" t="s">
        <v>11</v>
      </c>
      <c r="G1118">
        <v>115</v>
      </c>
      <c r="H1118">
        <v>115</v>
      </c>
      <c r="I1118" s="2">
        <v>45783</v>
      </c>
      <c r="J1118" s="2">
        <v>45721</v>
      </c>
      <c r="K1118" s="2">
        <v>45783</v>
      </c>
    </row>
    <row r="1119" spans="1:11" x14ac:dyDescent="0.25">
      <c r="A1119" s="1" t="s">
        <v>286</v>
      </c>
      <c r="B1119" s="1" t="s">
        <v>1314</v>
      </c>
      <c r="C1119" s="1" t="s">
        <v>2285</v>
      </c>
      <c r="D1119" s="1" t="s">
        <v>1998</v>
      </c>
      <c r="E1119" s="1"/>
      <c r="F1119" s="1" t="s">
        <v>11</v>
      </c>
      <c r="G1119">
        <v>60</v>
      </c>
      <c r="H1119">
        <v>60</v>
      </c>
      <c r="I1119" s="2">
        <v>45783</v>
      </c>
      <c r="J1119" s="2">
        <v>45721</v>
      </c>
      <c r="K1119" s="2">
        <v>45783</v>
      </c>
    </row>
    <row r="1120" spans="1:11" x14ac:dyDescent="0.25">
      <c r="A1120" s="1" t="s">
        <v>286</v>
      </c>
      <c r="B1120" s="1" t="s">
        <v>1315</v>
      </c>
      <c r="C1120" s="1" t="s">
        <v>2286</v>
      </c>
      <c r="D1120" s="1" t="s">
        <v>1998</v>
      </c>
      <c r="E1120" s="1"/>
      <c r="F1120" s="1" t="s">
        <v>11</v>
      </c>
      <c r="G1120">
        <v>115</v>
      </c>
      <c r="H1120">
        <v>115</v>
      </c>
      <c r="I1120" s="2">
        <v>45783</v>
      </c>
      <c r="J1120" s="2">
        <v>45721</v>
      </c>
      <c r="K1120" s="2">
        <v>45783</v>
      </c>
    </row>
    <row r="1121" spans="1:11" x14ac:dyDescent="0.25">
      <c r="A1121" s="1" t="s">
        <v>286</v>
      </c>
      <c r="B1121" s="1" t="s">
        <v>1316</v>
      </c>
      <c r="C1121" s="1" t="s">
        <v>2287</v>
      </c>
      <c r="D1121" s="1" t="s">
        <v>1998</v>
      </c>
      <c r="E1121" s="1"/>
      <c r="F1121" s="1" t="s">
        <v>11</v>
      </c>
      <c r="G1121">
        <v>35</v>
      </c>
      <c r="H1121">
        <v>35</v>
      </c>
      <c r="I1121" s="2">
        <v>45783</v>
      </c>
      <c r="J1121" s="2">
        <v>45721</v>
      </c>
      <c r="K1121" s="2">
        <v>45783</v>
      </c>
    </row>
    <row r="1122" spans="1:11" x14ac:dyDescent="0.25">
      <c r="A1122" s="1" t="s">
        <v>286</v>
      </c>
      <c r="B1122" s="1" t="s">
        <v>1317</v>
      </c>
      <c r="C1122" s="1" t="s">
        <v>2288</v>
      </c>
      <c r="D1122" s="1" t="s">
        <v>1998</v>
      </c>
      <c r="E1122" s="1"/>
      <c r="F1122" s="1" t="s">
        <v>11</v>
      </c>
      <c r="G1122">
        <v>5</v>
      </c>
      <c r="H1122">
        <v>5</v>
      </c>
      <c r="I1122" s="2">
        <v>45783</v>
      </c>
      <c r="J1122" s="2">
        <v>45721</v>
      </c>
      <c r="K1122" s="2">
        <v>45783</v>
      </c>
    </row>
    <row r="1123" spans="1:11" x14ac:dyDescent="0.25">
      <c r="A1123" s="1" t="s">
        <v>286</v>
      </c>
      <c r="B1123" s="1" t="s">
        <v>1318</v>
      </c>
      <c r="C1123" s="1" t="s">
        <v>2289</v>
      </c>
      <c r="D1123" s="1" t="s">
        <v>1998</v>
      </c>
      <c r="E1123" s="1"/>
      <c r="F1123" s="1" t="s">
        <v>11</v>
      </c>
      <c r="G1123">
        <v>15</v>
      </c>
      <c r="H1123">
        <v>15</v>
      </c>
      <c r="I1123" s="2">
        <v>45783</v>
      </c>
      <c r="J1123" s="2">
        <v>45721</v>
      </c>
      <c r="K1123" s="2">
        <v>45783</v>
      </c>
    </row>
    <row r="1124" spans="1:11" x14ac:dyDescent="0.25">
      <c r="A1124" s="1" t="s">
        <v>286</v>
      </c>
      <c r="B1124" s="1" t="s">
        <v>1068</v>
      </c>
      <c r="C1124" s="1" t="s">
        <v>2074</v>
      </c>
      <c r="D1124" s="1" t="s">
        <v>1998</v>
      </c>
      <c r="E1124" s="1"/>
      <c r="F1124" s="1" t="s">
        <v>11</v>
      </c>
      <c r="G1124">
        <v>5</v>
      </c>
      <c r="H1124">
        <v>5</v>
      </c>
      <c r="I1124" s="2">
        <v>45783</v>
      </c>
      <c r="J1124" s="2">
        <v>45721</v>
      </c>
      <c r="K1124" s="2">
        <v>45783</v>
      </c>
    </row>
    <row r="1125" spans="1:11" x14ac:dyDescent="0.25">
      <c r="A1125" s="1" t="s">
        <v>286</v>
      </c>
      <c r="B1125" s="1" t="s">
        <v>1319</v>
      </c>
      <c r="C1125" s="1" t="s">
        <v>2290</v>
      </c>
      <c r="D1125" s="1" t="s">
        <v>1998</v>
      </c>
      <c r="E1125" s="1"/>
      <c r="F1125" s="1" t="s">
        <v>11</v>
      </c>
      <c r="G1125">
        <v>1</v>
      </c>
      <c r="H1125">
        <v>1</v>
      </c>
      <c r="I1125" s="2">
        <v>45783</v>
      </c>
      <c r="J1125" s="2">
        <v>45721</v>
      </c>
      <c r="K1125" s="2">
        <v>45783</v>
      </c>
    </row>
    <row r="1126" spans="1:11" x14ac:dyDescent="0.25">
      <c r="A1126" s="1" t="s">
        <v>286</v>
      </c>
      <c r="B1126" s="1" t="s">
        <v>1320</v>
      </c>
      <c r="C1126" s="1" t="s">
        <v>2291</v>
      </c>
      <c r="D1126" s="1" t="s">
        <v>1998</v>
      </c>
      <c r="E1126" s="1"/>
      <c r="F1126" s="1" t="s">
        <v>11</v>
      </c>
      <c r="G1126">
        <v>1</v>
      </c>
      <c r="H1126">
        <v>1</v>
      </c>
      <c r="I1126" s="2">
        <v>45783</v>
      </c>
      <c r="J1126" s="2">
        <v>45721</v>
      </c>
      <c r="K1126" s="2">
        <v>45783</v>
      </c>
    </row>
    <row r="1127" spans="1:11" x14ac:dyDescent="0.25">
      <c r="A1127" s="1" t="s">
        <v>286</v>
      </c>
      <c r="B1127" s="1" t="s">
        <v>1321</v>
      </c>
      <c r="C1127" s="1" t="s">
        <v>2291</v>
      </c>
      <c r="D1127" s="1" t="s">
        <v>1998</v>
      </c>
      <c r="E1127" s="1"/>
      <c r="F1127" s="1" t="s">
        <v>11</v>
      </c>
      <c r="G1127">
        <v>1</v>
      </c>
      <c r="H1127">
        <v>1</v>
      </c>
      <c r="I1127" s="2">
        <v>45783</v>
      </c>
      <c r="J1127" s="2">
        <v>45721</v>
      </c>
      <c r="K1127" s="2">
        <v>45783</v>
      </c>
    </row>
    <row r="1128" spans="1:11" x14ac:dyDescent="0.25">
      <c r="A1128" s="1" t="s">
        <v>286</v>
      </c>
      <c r="B1128" s="1" t="s">
        <v>1322</v>
      </c>
      <c r="C1128" s="1" t="s">
        <v>2292</v>
      </c>
      <c r="D1128" s="1" t="s">
        <v>1998</v>
      </c>
      <c r="E1128" s="1"/>
      <c r="F1128" s="1" t="s">
        <v>11</v>
      </c>
      <c r="G1128">
        <v>10</v>
      </c>
      <c r="H1128">
        <v>10</v>
      </c>
      <c r="I1128" s="2">
        <v>45783</v>
      </c>
      <c r="J1128" s="2">
        <v>45721</v>
      </c>
      <c r="K1128" s="2">
        <v>45783</v>
      </c>
    </row>
    <row r="1129" spans="1:11" x14ac:dyDescent="0.25">
      <c r="A1129" s="1" t="s">
        <v>287</v>
      </c>
      <c r="B1129" s="1" t="s">
        <v>1305</v>
      </c>
      <c r="C1129" s="1" t="s">
        <v>2277</v>
      </c>
      <c r="D1129" s="1" t="s">
        <v>1998</v>
      </c>
      <c r="E1129" s="1"/>
      <c r="F1129" s="1" t="s">
        <v>11</v>
      </c>
      <c r="G1129">
        <v>30</v>
      </c>
      <c r="H1129">
        <v>30</v>
      </c>
      <c r="I1129" s="2"/>
      <c r="J1129" s="2">
        <v>45721</v>
      </c>
      <c r="K1129" s="2">
        <v>45779</v>
      </c>
    </row>
    <row r="1130" spans="1:11" x14ac:dyDescent="0.25">
      <c r="A1130" s="1" t="s">
        <v>287</v>
      </c>
      <c r="B1130" s="1" t="s">
        <v>1306</v>
      </c>
      <c r="C1130" s="1" t="s">
        <v>2278</v>
      </c>
      <c r="D1130" s="1" t="s">
        <v>1998</v>
      </c>
      <c r="E1130" s="1"/>
      <c r="F1130" s="1" t="s">
        <v>11</v>
      </c>
      <c r="G1130">
        <v>25</v>
      </c>
      <c r="H1130">
        <v>25</v>
      </c>
      <c r="I1130" s="2"/>
      <c r="J1130" s="2">
        <v>45721</v>
      </c>
      <c r="K1130" s="2">
        <v>45779</v>
      </c>
    </row>
    <row r="1131" spans="1:11" x14ac:dyDescent="0.25">
      <c r="A1131" s="1" t="s">
        <v>287</v>
      </c>
      <c r="B1131" s="1" t="s">
        <v>1307</v>
      </c>
      <c r="C1131" s="1" t="s">
        <v>2279</v>
      </c>
      <c r="D1131" s="1" t="s">
        <v>1998</v>
      </c>
      <c r="E1131" s="1"/>
      <c r="F1131" s="1" t="s">
        <v>11</v>
      </c>
      <c r="G1131">
        <v>1</v>
      </c>
      <c r="H1131">
        <v>1</v>
      </c>
      <c r="I1131" s="2"/>
      <c r="J1131" s="2">
        <v>45721</v>
      </c>
      <c r="K1131" s="2">
        <v>45779</v>
      </c>
    </row>
    <row r="1132" spans="1:11" x14ac:dyDescent="0.25">
      <c r="A1132" s="1" t="s">
        <v>287</v>
      </c>
      <c r="B1132" s="1" t="s">
        <v>1308</v>
      </c>
      <c r="C1132" s="1" t="s">
        <v>2280</v>
      </c>
      <c r="D1132" s="1" t="s">
        <v>1998</v>
      </c>
      <c r="E1132" s="1"/>
      <c r="F1132" s="1" t="s">
        <v>11</v>
      </c>
      <c r="G1132">
        <v>1</v>
      </c>
      <c r="H1132">
        <v>1</v>
      </c>
      <c r="I1132" s="2"/>
      <c r="J1132" s="2">
        <v>45721</v>
      </c>
      <c r="K1132" s="2">
        <v>45779</v>
      </c>
    </row>
    <row r="1133" spans="1:11" x14ac:dyDescent="0.25">
      <c r="A1133" s="1" t="s">
        <v>287</v>
      </c>
      <c r="B1133" s="1" t="s">
        <v>1309</v>
      </c>
      <c r="C1133" s="1" t="s">
        <v>2281</v>
      </c>
      <c r="D1133" s="1" t="s">
        <v>1998</v>
      </c>
      <c r="E1133" s="1"/>
      <c r="F1133" s="1" t="s">
        <v>11</v>
      </c>
      <c r="G1133">
        <v>545</v>
      </c>
      <c r="H1133">
        <v>545</v>
      </c>
      <c r="I1133" s="2"/>
      <c r="J1133" s="2">
        <v>45721</v>
      </c>
      <c r="K1133" s="2">
        <v>45779</v>
      </c>
    </row>
    <row r="1134" spans="1:11" x14ac:dyDescent="0.25">
      <c r="A1134" s="1" t="s">
        <v>287</v>
      </c>
      <c r="B1134" s="1" t="s">
        <v>1310</v>
      </c>
      <c r="C1134" s="1" t="s">
        <v>2115</v>
      </c>
      <c r="D1134" s="1" t="s">
        <v>1998</v>
      </c>
      <c r="E1134" s="1"/>
      <c r="F1134" s="1" t="s">
        <v>11</v>
      </c>
      <c r="G1134">
        <v>775</v>
      </c>
      <c r="H1134">
        <v>775</v>
      </c>
      <c r="I1134" s="2"/>
      <c r="J1134" s="2">
        <v>45721</v>
      </c>
      <c r="K1134" s="2">
        <v>45779</v>
      </c>
    </row>
    <row r="1135" spans="1:11" x14ac:dyDescent="0.25">
      <c r="A1135" s="1" t="s">
        <v>287</v>
      </c>
      <c r="B1135" s="1" t="s">
        <v>1311</v>
      </c>
      <c r="C1135" s="1" t="s">
        <v>2282</v>
      </c>
      <c r="D1135" s="1" t="s">
        <v>1998</v>
      </c>
      <c r="E1135" s="1"/>
      <c r="F1135" s="1" t="s">
        <v>11</v>
      </c>
      <c r="G1135">
        <v>215</v>
      </c>
      <c r="H1135">
        <v>215</v>
      </c>
      <c r="I1135" s="2"/>
      <c r="J1135" s="2">
        <v>45721</v>
      </c>
      <c r="K1135" s="2">
        <v>45779</v>
      </c>
    </row>
    <row r="1136" spans="1:11" x14ac:dyDescent="0.25">
      <c r="A1136" s="1" t="s">
        <v>287</v>
      </c>
      <c r="B1136" s="1" t="s">
        <v>1323</v>
      </c>
      <c r="C1136" s="1" t="s">
        <v>2282</v>
      </c>
      <c r="D1136" s="1" t="s">
        <v>1998</v>
      </c>
      <c r="E1136" s="1"/>
      <c r="F1136" s="1" t="s">
        <v>11</v>
      </c>
      <c r="G1136">
        <v>200</v>
      </c>
      <c r="H1136">
        <v>200</v>
      </c>
      <c r="I1136" s="2"/>
      <c r="J1136" s="2">
        <v>45721</v>
      </c>
      <c r="K1136" s="2">
        <v>45779</v>
      </c>
    </row>
    <row r="1137" spans="1:11" x14ac:dyDescent="0.25">
      <c r="A1137" s="1" t="s">
        <v>287</v>
      </c>
      <c r="B1137" s="1" t="s">
        <v>1312</v>
      </c>
      <c r="C1137" s="1" t="s">
        <v>2283</v>
      </c>
      <c r="D1137" s="1" t="s">
        <v>1998</v>
      </c>
      <c r="E1137" s="1"/>
      <c r="F1137" s="1" t="s">
        <v>11</v>
      </c>
      <c r="G1137">
        <v>85</v>
      </c>
      <c r="H1137">
        <v>85</v>
      </c>
      <c r="I1137" s="2"/>
      <c r="J1137" s="2">
        <v>45721</v>
      </c>
      <c r="K1137" s="2">
        <v>45779</v>
      </c>
    </row>
    <row r="1138" spans="1:11" x14ac:dyDescent="0.25">
      <c r="A1138" s="1" t="s">
        <v>287</v>
      </c>
      <c r="B1138" s="1" t="s">
        <v>1313</v>
      </c>
      <c r="C1138" s="1" t="s">
        <v>2284</v>
      </c>
      <c r="D1138" s="1" t="s">
        <v>1998</v>
      </c>
      <c r="E1138" s="1"/>
      <c r="F1138" s="1" t="s">
        <v>11</v>
      </c>
      <c r="G1138">
        <v>115</v>
      </c>
      <c r="H1138">
        <v>115</v>
      </c>
      <c r="I1138" s="2"/>
      <c r="J1138" s="2">
        <v>45721</v>
      </c>
      <c r="K1138" s="2">
        <v>45779</v>
      </c>
    </row>
    <row r="1139" spans="1:11" x14ac:dyDescent="0.25">
      <c r="A1139" s="1" t="s">
        <v>287</v>
      </c>
      <c r="B1139" s="1" t="s">
        <v>1314</v>
      </c>
      <c r="C1139" s="1" t="s">
        <v>2285</v>
      </c>
      <c r="D1139" s="1" t="s">
        <v>1998</v>
      </c>
      <c r="E1139" s="1"/>
      <c r="F1139" s="1" t="s">
        <v>11</v>
      </c>
      <c r="G1139">
        <v>60</v>
      </c>
      <c r="H1139">
        <v>60</v>
      </c>
      <c r="I1139" s="2"/>
      <c r="J1139" s="2">
        <v>45721</v>
      </c>
      <c r="K1139" s="2">
        <v>45779</v>
      </c>
    </row>
    <row r="1140" spans="1:11" x14ac:dyDescent="0.25">
      <c r="A1140" s="1" t="s">
        <v>287</v>
      </c>
      <c r="B1140" s="1" t="s">
        <v>1315</v>
      </c>
      <c r="C1140" s="1" t="s">
        <v>2286</v>
      </c>
      <c r="D1140" s="1" t="s">
        <v>1998</v>
      </c>
      <c r="E1140" s="1"/>
      <c r="F1140" s="1" t="s">
        <v>11</v>
      </c>
      <c r="G1140">
        <v>115</v>
      </c>
      <c r="H1140">
        <v>115</v>
      </c>
      <c r="I1140" s="2"/>
      <c r="J1140" s="2">
        <v>45721</v>
      </c>
      <c r="K1140" s="2">
        <v>45779</v>
      </c>
    </row>
    <row r="1141" spans="1:11" x14ac:dyDescent="0.25">
      <c r="A1141" s="1" t="s">
        <v>287</v>
      </c>
      <c r="B1141" s="1" t="s">
        <v>1316</v>
      </c>
      <c r="C1141" s="1" t="s">
        <v>2287</v>
      </c>
      <c r="D1141" s="1" t="s">
        <v>1998</v>
      </c>
      <c r="E1141" s="1"/>
      <c r="F1141" s="1" t="s">
        <v>11</v>
      </c>
      <c r="G1141">
        <v>35</v>
      </c>
      <c r="H1141">
        <v>35</v>
      </c>
      <c r="I1141" s="2"/>
      <c r="J1141" s="2">
        <v>45721</v>
      </c>
      <c r="K1141" s="2">
        <v>45779</v>
      </c>
    </row>
    <row r="1142" spans="1:11" x14ac:dyDescent="0.25">
      <c r="A1142" s="1" t="s">
        <v>287</v>
      </c>
      <c r="B1142" s="1" t="s">
        <v>1317</v>
      </c>
      <c r="C1142" s="1" t="s">
        <v>2288</v>
      </c>
      <c r="D1142" s="1" t="s">
        <v>1998</v>
      </c>
      <c r="E1142" s="1"/>
      <c r="F1142" s="1" t="s">
        <v>11</v>
      </c>
      <c r="G1142">
        <v>5</v>
      </c>
      <c r="H1142">
        <v>5</v>
      </c>
      <c r="I1142" s="2"/>
      <c r="J1142" s="2">
        <v>45721</v>
      </c>
      <c r="K1142" s="2">
        <v>45779</v>
      </c>
    </row>
    <row r="1143" spans="1:11" x14ac:dyDescent="0.25">
      <c r="A1143" s="1" t="s">
        <v>287</v>
      </c>
      <c r="B1143" s="1" t="s">
        <v>1318</v>
      </c>
      <c r="C1143" s="1" t="s">
        <v>2289</v>
      </c>
      <c r="D1143" s="1" t="s">
        <v>1998</v>
      </c>
      <c r="E1143" s="1"/>
      <c r="F1143" s="1" t="s">
        <v>11</v>
      </c>
      <c r="G1143">
        <v>15</v>
      </c>
      <c r="H1143">
        <v>15</v>
      </c>
      <c r="I1143" s="2"/>
      <c r="J1143" s="2">
        <v>45721</v>
      </c>
      <c r="K1143" s="2">
        <v>45779</v>
      </c>
    </row>
    <row r="1144" spans="1:11" x14ac:dyDescent="0.25">
      <c r="A1144" s="1" t="s">
        <v>287</v>
      </c>
      <c r="B1144" s="1" t="s">
        <v>1068</v>
      </c>
      <c r="C1144" s="1" t="s">
        <v>2074</v>
      </c>
      <c r="D1144" s="1" t="s">
        <v>1998</v>
      </c>
      <c r="E1144" s="1"/>
      <c r="F1144" s="1" t="s">
        <v>11</v>
      </c>
      <c r="G1144">
        <v>5</v>
      </c>
      <c r="H1144">
        <v>5</v>
      </c>
      <c r="I1144" s="2"/>
      <c r="J1144" s="2">
        <v>45721</v>
      </c>
      <c r="K1144" s="2">
        <v>45779</v>
      </c>
    </row>
    <row r="1145" spans="1:11" x14ac:dyDescent="0.25">
      <c r="A1145" s="1" t="s">
        <v>287</v>
      </c>
      <c r="B1145" s="1" t="s">
        <v>1319</v>
      </c>
      <c r="C1145" s="1" t="s">
        <v>2290</v>
      </c>
      <c r="D1145" s="1" t="s">
        <v>1998</v>
      </c>
      <c r="E1145" s="1"/>
      <c r="F1145" s="1" t="s">
        <v>11</v>
      </c>
      <c r="G1145">
        <v>1</v>
      </c>
      <c r="H1145">
        <v>1</v>
      </c>
      <c r="I1145" s="2"/>
      <c r="J1145" s="2">
        <v>45721</v>
      </c>
      <c r="K1145" s="2">
        <v>45779</v>
      </c>
    </row>
    <row r="1146" spans="1:11" x14ac:dyDescent="0.25">
      <c r="A1146" s="1" t="s">
        <v>287</v>
      </c>
      <c r="B1146" s="1" t="s">
        <v>1328</v>
      </c>
      <c r="C1146" s="1" t="s">
        <v>2291</v>
      </c>
      <c r="D1146" s="1" t="s">
        <v>1998</v>
      </c>
      <c r="E1146" s="1"/>
      <c r="F1146" s="1" t="s">
        <v>11</v>
      </c>
      <c r="G1146">
        <v>1</v>
      </c>
      <c r="H1146">
        <v>1</v>
      </c>
      <c r="I1146" s="2"/>
      <c r="J1146" s="2">
        <v>45721</v>
      </c>
      <c r="K1146" s="2">
        <v>45779</v>
      </c>
    </row>
    <row r="1147" spans="1:11" x14ac:dyDescent="0.25">
      <c r="A1147" s="1" t="s">
        <v>287</v>
      </c>
      <c r="B1147" s="1" t="s">
        <v>1329</v>
      </c>
      <c r="C1147" s="1" t="s">
        <v>2291</v>
      </c>
      <c r="D1147" s="1" t="s">
        <v>1998</v>
      </c>
      <c r="E1147" s="1"/>
      <c r="F1147" s="1" t="s">
        <v>11</v>
      </c>
      <c r="G1147">
        <v>1</v>
      </c>
      <c r="H1147">
        <v>1</v>
      </c>
      <c r="I1147" s="2"/>
      <c r="J1147" s="2">
        <v>45721</v>
      </c>
      <c r="K1147" s="2">
        <v>45779</v>
      </c>
    </row>
    <row r="1148" spans="1:11" x14ac:dyDescent="0.25">
      <c r="A1148" s="1" t="s">
        <v>287</v>
      </c>
      <c r="B1148" s="1" t="s">
        <v>1322</v>
      </c>
      <c r="C1148" s="1" t="s">
        <v>2292</v>
      </c>
      <c r="D1148" s="1" t="s">
        <v>1998</v>
      </c>
      <c r="E1148" s="1"/>
      <c r="F1148" s="1" t="s">
        <v>11</v>
      </c>
      <c r="G1148">
        <v>10</v>
      </c>
      <c r="H1148">
        <v>10</v>
      </c>
      <c r="I1148" s="2"/>
      <c r="J1148" s="2">
        <v>45721</v>
      </c>
      <c r="K1148" s="2">
        <v>45779</v>
      </c>
    </row>
    <row r="1149" spans="1:11" x14ac:dyDescent="0.25">
      <c r="A1149" s="1" t="s">
        <v>288</v>
      </c>
      <c r="B1149" s="1" t="s">
        <v>1305</v>
      </c>
      <c r="C1149" s="1" t="s">
        <v>2277</v>
      </c>
      <c r="D1149" s="1" t="s">
        <v>1998</v>
      </c>
      <c r="E1149" s="1"/>
      <c r="F1149" s="1" t="s">
        <v>11</v>
      </c>
      <c r="G1149">
        <v>25</v>
      </c>
      <c r="H1149">
        <v>25</v>
      </c>
      <c r="I1149" s="2">
        <v>45783</v>
      </c>
      <c r="J1149" s="2">
        <v>45721</v>
      </c>
      <c r="K1149" s="2">
        <v>45783</v>
      </c>
    </row>
    <row r="1150" spans="1:11" x14ac:dyDescent="0.25">
      <c r="A1150" s="1" t="s">
        <v>288</v>
      </c>
      <c r="B1150" s="1" t="s">
        <v>1306</v>
      </c>
      <c r="C1150" s="1" t="s">
        <v>2278</v>
      </c>
      <c r="D1150" s="1" t="s">
        <v>1998</v>
      </c>
      <c r="E1150" s="1"/>
      <c r="F1150" s="1" t="s">
        <v>11</v>
      </c>
      <c r="G1150">
        <v>25</v>
      </c>
      <c r="H1150">
        <v>25</v>
      </c>
      <c r="I1150" s="2">
        <v>45783</v>
      </c>
      <c r="J1150" s="2">
        <v>45721</v>
      </c>
      <c r="K1150" s="2">
        <v>45783</v>
      </c>
    </row>
    <row r="1151" spans="1:11" x14ac:dyDescent="0.25">
      <c r="A1151" s="1" t="s">
        <v>288</v>
      </c>
      <c r="B1151" s="1" t="s">
        <v>1307</v>
      </c>
      <c r="C1151" s="1" t="s">
        <v>2279</v>
      </c>
      <c r="D1151" s="1" t="s">
        <v>1998</v>
      </c>
      <c r="E1151" s="1"/>
      <c r="F1151" s="1" t="s">
        <v>11</v>
      </c>
      <c r="G1151">
        <v>1</v>
      </c>
      <c r="H1151">
        <v>1</v>
      </c>
      <c r="I1151" s="2">
        <v>45783</v>
      </c>
      <c r="J1151" s="2">
        <v>45721</v>
      </c>
      <c r="K1151" s="2">
        <v>45783</v>
      </c>
    </row>
    <row r="1152" spans="1:11" x14ac:dyDescent="0.25">
      <c r="A1152" s="1" t="s">
        <v>288</v>
      </c>
      <c r="B1152" s="1" t="s">
        <v>1308</v>
      </c>
      <c r="C1152" s="1" t="s">
        <v>2280</v>
      </c>
      <c r="D1152" s="1" t="s">
        <v>1998</v>
      </c>
      <c r="E1152" s="1"/>
      <c r="F1152" s="1" t="s">
        <v>11</v>
      </c>
      <c r="G1152">
        <v>1</v>
      </c>
      <c r="H1152">
        <v>1</v>
      </c>
      <c r="I1152" s="2">
        <v>45783</v>
      </c>
      <c r="J1152" s="2">
        <v>45721</v>
      </c>
      <c r="K1152" s="2">
        <v>45783</v>
      </c>
    </row>
    <row r="1153" spans="1:11" x14ac:dyDescent="0.25">
      <c r="A1153" s="1" t="s">
        <v>288</v>
      </c>
      <c r="B1153" s="1" t="s">
        <v>1309</v>
      </c>
      <c r="C1153" s="1" t="s">
        <v>2281</v>
      </c>
      <c r="D1153" s="1" t="s">
        <v>1998</v>
      </c>
      <c r="E1153" s="1"/>
      <c r="F1153" s="1" t="s">
        <v>11</v>
      </c>
      <c r="G1153">
        <v>545</v>
      </c>
      <c r="H1153">
        <v>545</v>
      </c>
      <c r="I1153" s="2">
        <v>45783</v>
      </c>
      <c r="J1153" s="2">
        <v>45721</v>
      </c>
      <c r="K1153" s="2">
        <v>45783</v>
      </c>
    </row>
    <row r="1154" spans="1:11" x14ac:dyDescent="0.25">
      <c r="A1154" s="1" t="s">
        <v>288</v>
      </c>
      <c r="B1154" s="1" t="s">
        <v>1310</v>
      </c>
      <c r="C1154" s="1" t="s">
        <v>2115</v>
      </c>
      <c r="D1154" s="1" t="s">
        <v>1998</v>
      </c>
      <c r="E1154" s="1"/>
      <c r="F1154" s="1" t="s">
        <v>11</v>
      </c>
      <c r="G1154">
        <v>665</v>
      </c>
      <c r="H1154">
        <v>665</v>
      </c>
      <c r="I1154" s="2">
        <v>45783</v>
      </c>
      <c r="J1154" s="2">
        <v>45721</v>
      </c>
      <c r="K1154" s="2">
        <v>45783</v>
      </c>
    </row>
    <row r="1155" spans="1:11" x14ac:dyDescent="0.25">
      <c r="A1155" s="1" t="s">
        <v>288</v>
      </c>
      <c r="B1155" s="1" t="s">
        <v>1311</v>
      </c>
      <c r="C1155" s="1" t="s">
        <v>2282</v>
      </c>
      <c r="D1155" s="1" t="s">
        <v>1998</v>
      </c>
      <c r="E1155" s="1"/>
      <c r="F1155" s="1" t="s">
        <v>11</v>
      </c>
      <c r="G1155">
        <v>215</v>
      </c>
      <c r="H1155">
        <v>215</v>
      </c>
      <c r="I1155" s="2">
        <v>45783</v>
      </c>
      <c r="J1155" s="2">
        <v>45721</v>
      </c>
      <c r="K1155" s="2">
        <v>45783</v>
      </c>
    </row>
    <row r="1156" spans="1:11" x14ac:dyDescent="0.25">
      <c r="A1156" s="1" t="s">
        <v>288</v>
      </c>
      <c r="B1156" s="1" t="s">
        <v>1323</v>
      </c>
      <c r="C1156" s="1" t="s">
        <v>2282</v>
      </c>
      <c r="D1156" s="1" t="s">
        <v>1998</v>
      </c>
      <c r="E1156" s="1"/>
      <c r="F1156" s="1" t="s">
        <v>11</v>
      </c>
      <c r="G1156">
        <v>200</v>
      </c>
      <c r="H1156">
        <v>200</v>
      </c>
      <c r="I1156" s="2">
        <v>45783</v>
      </c>
      <c r="J1156" s="2">
        <v>45721</v>
      </c>
      <c r="K1156" s="2">
        <v>45783</v>
      </c>
    </row>
    <row r="1157" spans="1:11" x14ac:dyDescent="0.25">
      <c r="A1157" s="1" t="s">
        <v>288</v>
      </c>
      <c r="B1157" s="1" t="s">
        <v>1312</v>
      </c>
      <c r="C1157" s="1" t="s">
        <v>2283</v>
      </c>
      <c r="D1157" s="1" t="s">
        <v>1998</v>
      </c>
      <c r="E1157" s="1"/>
      <c r="F1157" s="1" t="s">
        <v>11</v>
      </c>
      <c r="G1157">
        <v>85</v>
      </c>
      <c r="H1157">
        <v>85</v>
      </c>
      <c r="I1157" s="2">
        <v>45783</v>
      </c>
      <c r="J1157" s="2">
        <v>45721</v>
      </c>
      <c r="K1157" s="2">
        <v>45783</v>
      </c>
    </row>
    <row r="1158" spans="1:11" x14ac:dyDescent="0.25">
      <c r="A1158" s="1" t="s">
        <v>288</v>
      </c>
      <c r="B1158" s="1" t="s">
        <v>1313</v>
      </c>
      <c r="C1158" s="1" t="s">
        <v>2284</v>
      </c>
      <c r="D1158" s="1" t="s">
        <v>1998</v>
      </c>
      <c r="E1158" s="1"/>
      <c r="F1158" s="1" t="s">
        <v>11</v>
      </c>
      <c r="G1158">
        <v>100</v>
      </c>
      <c r="H1158">
        <v>100</v>
      </c>
      <c r="I1158" s="2">
        <v>45783</v>
      </c>
      <c r="J1158" s="2">
        <v>45721</v>
      </c>
      <c r="K1158" s="2">
        <v>45783</v>
      </c>
    </row>
    <row r="1159" spans="1:11" x14ac:dyDescent="0.25">
      <c r="A1159" s="1" t="s">
        <v>288</v>
      </c>
      <c r="B1159" s="1" t="s">
        <v>1314</v>
      </c>
      <c r="C1159" s="1" t="s">
        <v>2285</v>
      </c>
      <c r="D1159" s="1" t="s">
        <v>1998</v>
      </c>
      <c r="E1159" s="1"/>
      <c r="F1159" s="1" t="s">
        <v>11</v>
      </c>
      <c r="G1159">
        <v>50</v>
      </c>
      <c r="H1159">
        <v>50</v>
      </c>
      <c r="I1159" s="2">
        <v>45783</v>
      </c>
      <c r="J1159" s="2">
        <v>45721</v>
      </c>
      <c r="K1159" s="2">
        <v>45783</v>
      </c>
    </row>
    <row r="1160" spans="1:11" x14ac:dyDescent="0.25">
      <c r="A1160" s="1" t="s">
        <v>288</v>
      </c>
      <c r="B1160" s="1" t="s">
        <v>1315</v>
      </c>
      <c r="C1160" s="1" t="s">
        <v>2286</v>
      </c>
      <c r="D1160" s="1" t="s">
        <v>1998</v>
      </c>
      <c r="E1160" s="1"/>
      <c r="F1160" s="1" t="s">
        <v>11</v>
      </c>
      <c r="G1160">
        <v>95</v>
      </c>
      <c r="H1160">
        <v>95</v>
      </c>
      <c r="I1160" s="2">
        <v>45783</v>
      </c>
      <c r="J1160" s="2">
        <v>45721</v>
      </c>
      <c r="K1160" s="2">
        <v>45783</v>
      </c>
    </row>
    <row r="1161" spans="1:11" x14ac:dyDescent="0.25">
      <c r="A1161" s="1" t="s">
        <v>288</v>
      </c>
      <c r="B1161" s="1" t="s">
        <v>1316</v>
      </c>
      <c r="C1161" s="1" t="s">
        <v>2287</v>
      </c>
      <c r="D1161" s="1" t="s">
        <v>1998</v>
      </c>
      <c r="E1161" s="1"/>
      <c r="F1161" s="1" t="s">
        <v>11</v>
      </c>
      <c r="G1161">
        <v>30</v>
      </c>
      <c r="H1161">
        <v>30</v>
      </c>
      <c r="I1161" s="2">
        <v>45783</v>
      </c>
      <c r="J1161" s="2">
        <v>45721</v>
      </c>
      <c r="K1161" s="2">
        <v>45783</v>
      </c>
    </row>
    <row r="1162" spans="1:11" x14ac:dyDescent="0.25">
      <c r="A1162" s="1" t="s">
        <v>288</v>
      </c>
      <c r="B1162" s="1" t="s">
        <v>1317</v>
      </c>
      <c r="C1162" s="1" t="s">
        <v>2288</v>
      </c>
      <c r="D1162" s="1" t="s">
        <v>1998</v>
      </c>
      <c r="E1162" s="1"/>
      <c r="F1162" s="1" t="s">
        <v>11</v>
      </c>
      <c r="G1162">
        <v>5</v>
      </c>
      <c r="H1162">
        <v>5</v>
      </c>
      <c r="I1162" s="2">
        <v>45783</v>
      </c>
      <c r="J1162" s="2">
        <v>45721</v>
      </c>
      <c r="K1162" s="2">
        <v>45783</v>
      </c>
    </row>
    <row r="1163" spans="1:11" x14ac:dyDescent="0.25">
      <c r="A1163" s="1" t="s">
        <v>288</v>
      </c>
      <c r="B1163" s="1" t="s">
        <v>1318</v>
      </c>
      <c r="C1163" s="1" t="s">
        <v>2289</v>
      </c>
      <c r="D1163" s="1" t="s">
        <v>1998</v>
      </c>
      <c r="E1163" s="1"/>
      <c r="F1163" s="1" t="s">
        <v>11</v>
      </c>
      <c r="G1163">
        <v>15</v>
      </c>
      <c r="H1163">
        <v>15</v>
      </c>
      <c r="I1163" s="2">
        <v>45783</v>
      </c>
      <c r="J1163" s="2">
        <v>45721</v>
      </c>
      <c r="K1163" s="2">
        <v>45783</v>
      </c>
    </row>
    <row r="1164" spans="1:11" x14ac:dyDescent="0.25">
      <c r="A1164" s="1" t="s">
        <v>288</v>
      </c>
      <c r="B1164" s="1" t="s">
        <v>1068</v>
      </c>
      <c r="C1164" s="1" t="s">
        <v>2074</v>
      </c>
      <c r="D1164" s="1" t="s">
        <v>1998</v>
      </c>
      <c r="E1164" s="1"/>
      <c r="F1164" s="1" t="s">
        <v>11</v>
      </c>
      <c r="G1164">
        <v>5</v>
      </c>
      <c r="H1164">
        <v>5</v>
      </c>
      <c r="I1164" s="2">
        <v>45783</v>
      </c>
      <c r="J1164" s="2">
        <v>45721</v>
      </c>
      <c r="K1164" s="2">
        <v>45783</v>
      </c>
    </row>
    <row r="1165" spans="1:11" x14ac:dyDescent="0.25">
      <c r="A1165" s="1" t="s">
        <v>288</v>
      </c>
      <c r="B1165" s="1" t="s">
        <v>1319</v>
      </c>
      <c r="C1165" s="1" t="s">
        <v>2290</v>
      </c>
      <c r="D1165" s="1" t="s">
        <v>1998</v>
      </c>
      <c r="E1165" s="1"/>
      <c r="F1165" s="1" t="s">
        <v>11</v>
      </c>
      <c r="G1165">
        <v>1</v>
      </c>
      <c r="H1165">
        <v>1</v>
      </c>
      <c r="I1165" s="2">
        <v>45783</v>
      </c>
      <c r="J1165" s="2">
        <v>45721</v>
      </c>
      <c r="K1165" s="2">
        <v>45783</v>
      </c>
    </row>
    <row r="1166" spans="1:11" x14ac:dyDescent="0.25">
      <c r="A1166" s="1" t="s">
        <v>288</v>
      </c>
      <c r="B1166" s="1" t="s">
        <v>1324</v>
      </c>
      <c r="C1166" s="1" t="s">
        <v>2291</v>
      </c>
      <c r="D1166" s="1" t="s">
        <v>1998</v>
      </c>
      <c r="E1166" s="1"/>
      <c r="F1166" s="1" t="s">
        <v>11</v>
      </c>
      <c r="G1166">
        <v>1</v>
      </c>
      <c r="H1166">
        <v>1</v>
      </c>
      <c r="I1166" s="2">
        <v>45783</v>
      </c>
      <c r="J1166" s="2">
        <v>45721</v>
      </c>
      <c r="K1166" s="2">
        <v>45783</v>
      </c>
    </row>
    <row r="1167" spans="1:11" x14ac:dyDescent="0.25">
      <c r="A1167" s="1" t="s">
        <v>288</v>
      </c>
      <c r="B1167" s="1" t="s">
        <v>1325</v>
      </c>
      <c r="C1167" s="1" t="s">
        <v>2291</v>
      </c>
      <c r="D1167" s="1" t="s">
        <v>1998</v>
      </c>
      <c r="E1167" s="1"/>
      <c r="F1167" s="1" t="s">
        <v>11</v>
      </c>
      <c r="G1167">
        <v>1</v>
      </c>
      <c r="H1167">
        <v>1</v>
      </c>
      <c r="I1167" s="2">
        <v>45783</v>
      </c>
      <c r="J1167" s="2">
        <v>45721</v>
      </c>
      <c r="K1167" s="2">
        <v>45783</v>
      </c>
    </row>
    <row r="1168" spans="1:11" x14ac:dyDescent="0.25">
      <c r="A1168" s="1" t="s">
        <v>288</v>
      </c>
      <c r="B1168" s="1" t="s">
        <v>1322</v>
      </c>
      <c r="C1168" s="1" t="s">
        <v>2292</v>
      </c>
      <c r="D1168" s="1" t="s">
        <v>1998</v>
      </c>
      <c r="E1168" s="1"/>
      <c r="F1168" s="1" t="s">
        <v>11</v>
      </c>
      <c r="G1168">
        <v>10</v>
      </c>
      <c r="H1168">
        <v>10</v>
      </c>
      <c r="I1168" s="2">
        <v>45783</v>
      </c>
      <c r="J1168" s="2">
        <v>45721</v>
      </c>
      <c r="K1168" s="2">
        <v>45783</v>
      </c>
    </row>
    <row r="1169" spans="1:11" x14ac:dyDescent="0.25">
      <c r="A1169" s="1" t="s">
        <v>289</v>
      </c>
      <c r="B1169" s="1" t="s">
        <v>1305</v>
      </c>
      <c r="C1169" s="1" t="s">
        <v>2277</v>
      </c>
      <c r="D1169" s="1" t="s">
        <v>1998</v>
      </c>
      <c r="E1169" s="1"/>
      <c r="F1169" s="1" t="s">
        <v>11</v>
      </c>
      <c r="G1169">
        <v>25</v>
      </c>
      <c r="H1169">
        <v>25</v>
      </c>
      <c r="I1169" s="2">
        <v>45783</v>
      </c>
      <c r="J1169" s="2">
        <v>45721</v>
      </c>
      <c r="K1169" s="2">
        <v>45783</v>
      </c>
    </row>
    <row r="1170" spans="1:11" x14ac:dyDescent="0.25">
      <c r="A1170" s="1" t="s">
        <v>289</v>
      </c>
      <c r="B1170" s="1" t="s">
        <v>1306</v>
      </c>
      <c r="C1170" s="1" t="s">
        <v>2278</v>
      </c>
      <c r="D1170" s="1" t="s">
        <v>1998</v>
      </c>
      <c r="E1170" s="1"/>
      <c r="F1170" s="1" t="s">
        <v>11</v>
      </c>
      <c r="G1170">
        <v>25</v>
      </c>
      <c r="H1170">
        <v>25</v>
      </c>
      <c r="I1170" s="2">
        <v>45783</v>
      </c>
      <c r="J1170" s="2">
        <v>45721</v>
      </c>
      <c r="K1170" s="2">
        <v>45783</v>
      </c>
    </row>
    <row r="1171" spans="1:11" x14ac:dyDescent="0.25">
      <c r="A1171" s="1" t="s">
        <v>289</v>
      </c>
      <c r="B1171" s="1" t="s">
        <v>1307</v>
      </c>
      <c r="C1171" s="1" t="s">
        <v>2279</v>
      </c>
      <c r="D1171" s="1" t="s">
        <v>1998</v>
      </c>
      <c r="E1171" s="1"/>
      <c r="F1171" s="1" t="s">
        <v>11</v>
      </c>
      <c r="G1171">
        <v>1</v>
      </c>
      <c r="H1171">
        <v>1</v>
      </c>
      <c r="I1171" s="2">
        <v>45783</v>
      </c>
      <c r="J1171" s="2">
        <v>45721</v>
      </c>
      <c r="K1171" s="2">
        <v>45783</v>
      </c>
    </row>
    <row r="1172" spans="1:11" x14ac:dyDescent="0.25">
      <c r="A1172" s="1" t="s">
        <v>289</v>
      </c>
      <c r="B1172" s="1" t="s">
        <v>1308</v>
      </c>
      <c r="C1172" s="1" t="s">
        <v>2280</v>
      </c>
      <c r="D1172" s="1" t="s">
        <v>1998</v>
      </c>
      <c r="E1172" s="1"/>
      <c r="F1172" s="1" t="s">
        <v>11</v>
      </c>
      <c r="G1172">
        <v>1</v>
      </c>
      <c r="H1172">
        <v>1</v>
      </c>
      <c r="I1172" s="2">
        <v>45783</v>
      </c>
      <c r="J1172" s="2">
        <v>45721</v>
      </c>
      <c r="K1172" s="2">
        <v>45783</v>
      </c>
    </row>
    <row r="1173" spans="1:11" x14ac:dyDescent="0.25">
      <c r="A1173" s="1" t="s">
        <v>289</v>
      </c>
      <c r="B1173" s="1" t="s">
        <v>1309</v>
      </c>
      <c r="C1173" s="1" t="s">
        <v>2281</v>
      </c>
      <c r="D1173" s="1" t="s">
        <v>1998</v>
      </c>
      <c r="E1173" s="1"/>
      <c r="F1173" s="1" t="s">
        <v>11</v>
      </c>
      <c r="G1173">
        <v>725</v>
      </c>
      <c r="H1173">
        <v>725</v>
      </c>
      <c r="I1173" s="2">
        <v>45783</v>
      </c>
      <c r="J1173" s="2">
        <v>45721</v>
      </c>
      <c r="K1173" s="2">
        <v>45783</v>
      </c>
    </row>
    <row r="1174" spans="1:11" x14ac:dyDescent="0.25">
      <c r="A1174" s="1" t="s">
        <v>289</v>
      </c>
      <c r="B1174" s="1" t="s">
        <v>1310</v>
      </c>
      <c r="C1174" s="1" t="s">
        <v>2115</v>
      </c>
      <c r="D1174" s="1" t="s">
        <v>1998</v>
      </c>
      <c r="E1174" s="1"/>
      <c r="F1174" s="1" t="s">
        <v>11</v>
      </c>
      <c r="G1174">
        <v>775</v>
      </c>
      <c r="H1174">
        <v>775</v>
      </c>
      <c r="I1174" s="2">
        <v>45783</v>
      </c>
      <c r="J1174" s="2">
        <v>45721</v>
      </c>
      <c r="K1174" s="2">
        <v>45783</v>
      </c>
    </row>
    <row r="1175" spans="1:11" x14ac:dyDescent="0.25">
      <c r="A1175" s="1" t="s">
        <v>289</v>
      </c>
      <c r="B1175" s="1" t="s">
        <v>1311</v>
      </c>
      <c r="C1175" s="1" t="s">
        <v>2282</v>
      </c>
      <c r="D1175" s="1" t="s">
        <v>1998</v>
      </c>
      <c r="E1175" s="1"/>
      <c r="F1175" s="1" t="s">
        <v>11</v>
      </c>
      <c r="G1175">
        <v>215</v>
      </c>
      <c r="H1175">
        <v>215</v>
      </c>
      <c r="I1175" s="2">
        <v>45783</v>
      </c>
      <c r="J1175" s="2">
        <v>45721</v>
      </c>
      <c r="K1175" s="2">
        <v>45783</v>
      </c>
    </row>
    <row r="1176" spans="1:11" x14ac:dyDescent="0.25">
      <c r="A1176" s="1" t="s">
        <v>289</v>
      </c>
      <c r="B1176" s="1" t="s">
        <v>1312</v>
      </c>
      <c r="C1176" s="1" t="s">
        <v>2283</v>
      </c>
      <c r="D1176" s="1" t="s">
        <v>1998</v>
      </c>
      <c r="E1176" s="1"/>
      <c r="F1176" s="1" t="s">
        <v>11</v>
      </c>
      <c r="G1176">
        <v>85</v>
      </c>
      <c r="H1176">
        <v>85</v>
      </c>
      <c r="I1176" s="2">
        <v>45783</v>
      </c>
      <c r="J1176" s="2">
        <v>45721</v>
      </c>
      <c r="K1176" s="2">
        <v>45783</v>
      </c>
    </row>
    <row r="1177" spans="1:11" x14ac:dyDescent="0.25">
      <c r="A1177" s="1" t="s">
        <v>289</v>
      </c>
      <c r="B1177" s="1" t="s">
        <v>1313</v>
      </c>
      <c r="C1177" s="1" t="s">
        <v>2284</v>
      </c>
      <c r="D1177" s="1" t="s">
        <v>1998</v>
      </c>
      <c r="E1177" s="1"/>
      <c r="F1177" s="1" t="s">
        <v>11</v>
      </c>
      <c r="G1177">
        <v>115</v>
      </c>
      <c r="H1177">
        <v>115</v>
      </c>
      <c r="I1177" s="2">
        <v>45783</v>
      </c>
      <c r="J1177" s="2">
        <v>45721</v>
      </c>
      <c r="K1177" s="2">
        <v>45783</v>
      </c>
    </row>
    <row r="1178" spans="1:11" x14ac:dyDescent="0.25">
      <c r="A1178" s="1" t="s">
        <v>289</v>
      </c>
      <c r="B1178" s="1" t="s">
        <v>1314</v>
      </c>
      <c r="C1178" s="1" t="s">
        <v>2285</v>
      </c>
      <c r="D1178" s="1" t="s">
        <v>1998</v>
      </c>
      <c r="E1178" s="1"/>
      <c r="F1178" s="1" t="s">
        <v>11</v>
      </c>
      <c r="G1178">
        <v>60</v>
      </c>
      <c r="H1178">
        <v>60</v>
      </c>
      <c r="I1178" s="2">
        <v>45783</v>
      </c>
      <c r="J1178" s="2">
        <v>45721</v>
      </c>
      <c r="K1178" s="2">
        <v>45783</v>
      </c>
    </row>
    <row r="1179" spans="1:11" x14ac:dyDescent="0.25">
      <c r="A1179" s="1" t="s">
        <v>289</v>
      </c>
      <c r="B1179" s="1" t="s">
        <v>1315</v>
      </c>
      <c r="C1179" s="1" t="s">
        <v>2286</v>
      </c>
      <c r="D1179" s="1" t="s">
        <v>1998</v>
      </c>
      <c r="E1179" s="1"/>
      <c r="F1179" s="1" t="s">
        <v>11</v>
      </c>
      <c r="G1179">
        <v>115</v>
      </c>
      <c r="H1179">
        <v>115</v>
      </c>
      <c r="I1179" s="2">
        <v>45783</v>
      </c>
      <c r="J1179" s="2">
        <v>45721</v>
      </c>
      <c r="K1179" s="2">
        <v>45783</v>
      </c>
    </row>
    <row r="1180" spans="1:11" x14ac:dyDescent="0.25">
      <c r="A1180" s="1" t="s">
        <v>289</v>
      </c>
      <c r="B1180" s="1" t="s">
        <v>1316</v>
      </c>
      <c r="C1180" s="1" t="s">
        <v>2287</v>
      </c>
      <c r="D1180" s="1" t="s">
        <v>1998</v>
      </c>
      <c r="E1180" s="1"/>
      <c r="F1180" s="1" t="s">
        <v>11</v>
      </c>
      <c r="G1180">
        <v>35</v>
      </c>
      <c r="H1180">
        <v>35</v>
      </c>
      <c r="I1180" s="2">
        <v>45783</v>
      </c>
      <c r="J1180" s="2">
        <v>45721</v>
      </c>
      <c r="K1180" s="2">
        <v>45783</v>
      </c>
    </row>
    <row r="1181" spans="1:11" x14ac:dyDescent="0.25">
      <c r="A1181" s="1" t="s">
        <v>289</v>
      </c>
      <c r="B1181" s="1" t="s">
        <v>1317</v>
      </c>
      <c r="C1181" s="1" t="s">
        <v>2288</v>
      </c>
      <c r="D1181" s="1" t="s">
        <v>1998</v>
      </c>
      <c r="E1181" s="1"/>
      <c r="F1181" s="1" t="s">
        <v>11</v>
      </c>
      <c r="G1181">
        <v>5</v>
      </c>
      <c r="H1181">
        <v>5</v>
      </c>
      <c r="I1181" s="2">
        <v>45783</v>
      </c>
      <c r="J1181" s="2">
        <v>45721</v>
      </c>
      <c r="K1181" s="2">
        <v>45783</v>
      </c>
    </row>
    <row r="1182" spans="1:11" x14ac:dyDescent="0.25">
      <c r="A1182" s="1" t="s">
        <v>289</v>
      </c>
      <c r="B1182" s="1" t="s">
        <v>1318</v>
      </c>
      <c r="C1182" s="1" t="s">
        <v>2289</v>
      </c>
      <c r="D1182" s="1" t="s">
        <v>1998</v>
      </c>
      <c r="E1182" s="1"/>
      <c r="F1182" s="1" t="s">
        <v>11</v>
      </c>
      <c r="G1182">
        <v>15</v>
      </c>
      <c r="H1182">
        <v>15</v>
      </c>
      <c r="I1182" s="2">
        <v>45783</v>
      </c>
      <c r="J1182" s="2">
        <v>45721</v>
      </c>
      <c r="K1182" s="2">
        <v>45783</v>
      </c>
    </row>
    <row r="1183" spans="1:11" x14ac:dyDescent="0.25">
      <c r="A1183" s="1" t="s">
        <v>289</v>
      </c>
      <c r="B1183" s="1" t="s">
        <v>1068</v>
      </c>
      <c r="C1183" s="1" t="s">
        <v>2074</v>
      </c>
      <c r="D1183" s="1" t="s">
        <v>1998</v>
      </c>
      <c r="E1183" s="1"/>
      <c r="F1183" s="1" t="s">
        <v>11</v>
      </c>
      <c r="G1183">
        <v>5</v>
      </c>
      <c r="H1183">
        <v>5</v>
      </c>
      <c r="I1183" s="2">
        <v>45783</v>
      </c>
      <c r="J1183" s="2">
        <v>45721</v>
      </c>
      <c r="K1183" s="2">
        <v>45783</v>
      </c>
    </row>
    <row r="1184" spans="1:11" x14ac:dyDescent="0.25">
      <c r="A1184" s="1" t="s">
        <v>289</v>
      </c>
      <c r="B1184" s="1" t="s">
        <v>1319</v>
      </c>
      <c r="C1184" s="1" t="s">
        <v>2290</v>
      </c>
      <c r="D1184" s="1" t="s">
        <v>1998</v>
      </c>
      <c r="E1184" s="1"/>
      <c r="F1184" s="1" t="s">
        <v>11</v>
      </c>
      <c r="G1184">
        <v>1</v>
      </c>
      <c r="H1184">
        <v>1</v>
      </c>
      <c r="I1184" s="2">
        <v>45783</v>
      </c>
      <c r="J1184" s="2">
        <v>45721</v>
      </c>
      <c r="K1184" s="2">
        <v>45783</v>
      </c>
    </row>
    <row r="1185" spans="1:11" x14ac:dyDescent="0.25">
      <c r="A1185" s="1" t="s">
        <v>289</v>
      </c>
      <c r="B1185" s="1" t="s">
        <v>1326</v>
      </c>
      <c r="C1185" s="1" t="s">
        <v>2291</v>
      </c>
      <c r="D1185" s="1" t="s">
        <v>1998</v>
      </c>
      <c r="E1185" s="1"/>
      <c r="F1185" s="1" t="s">
        <v>11</v>
      </c>
      <c r="G1185">
        <v>1</v>
      </c>
      <c r="H1185">
        <v>1</v>
      </c>
      <c r="I1185" s="2">
        <v>45783</v>
      </c>
      <c r="J1185" s="2">
        <v>45721</v>
      </c>
      <c r="K1185" s="2">
        <v>45783</v>
      </c>
    </row>
    <row r="1186" spans="1:11" x14ac:dyDescent="0.25">
      <c r="A1186" s="1" t="s">
        <v>289</v>
      </c>
      <c r="B1186" s="1" t="s">
        <v>1327</v>
      </c>
      <c r="C1186" s="1" t="s">
        <v>2291</v>
      </c>
      <c r="D1186" s="1" t="s">
        <v>1998</v>
      </c>
      <c r="E1186" s="1"/>
      <c r="F1186" s="1" t="s">
        <v>11</v>
      </c>
      <c r="G1186">
        <v>1</v>
      </c>
      <c r="H1186">
        <v>1</v>
      </c>
      <c r="I1186" s="2">
        <v>45783</v>
      </c>
      <c r="J1186" s="2">
        <v>45721</v>
      </c>
      <c r="K1186" s="2">
        <v>45783</v>
      </c>
    </row>
    <row r="1187" spans="1:11" x14ac:dyDescent="0.25">
      <c r="A1187" s="1" t="s">
        <v>289</v>
      </c>
      <c r="B1187" s="1" t="s">
        <v>1322</v>
      </c>
      <c r="C1187" s="1" t="s">
        <v>2292</v>
      </c>
      <c r="D1187" s="1" t="s">
        <v>1998</v>
      </c>
      <c r="E1187" s="1"/>
      <c r="F1187" s="1" t="s">
        <v>11</v>
      </c>
      <c r="G1187">
        <v>10</v>
      </c>
      <c r="H1187">
        <v>10</v>
      </c>
      <c r="I1187" s="2">
        <v>45783</v>
      </c>
      <c r="J1187" s="2">
        <v>45721</v>
      </c>
      <c r="K1187" s="2">
        <v>45783</v>
      </c>
    </row>
    <row r="1188" spans="1:11" x14ac:dyDescent="0.25">
      <c r="A1188" s="1" t="s">
        <v>290</v>
      </c>
      <c r="B1188" s="1" t="s">
        <v>1305</v>
      </c>
      <c r="C1188" s="1" t="s">
        <v>2277</v>
      </c>
      <c r="D1188" s="1" t="s">
        <v>1998</v>
      </c>
      <c r="E1188" s="1"/>
      <c r="F1188" s="1" t="s">
        <v>11</v>
      </c>
      <c r="G1188">
        <v>145</v>
      </c>
      <c r="H1188">
        <v>145</v>
      </c>
      <c r="I1188" s="2">
        <v>45783</v>
      </c>
      <c r="J1188" s="2">
        <v>45721</v>
      </c>
      <c r="K1188" s="2">
        <v>45783</v>
      </c>
    </row>
    <row r="1189" spans="1:11" x14ac:dyDescent="0.25">
      <c r="A1189" s="1" t="s">
        <v>290</v>
      </c>
      <c r="B1189" s="1" t="s">
        <v>1306</v>
      </c>
      <c r="C1189" s="1" t="s">
        <v>2278</v>
      </c>
      <c r="D1189" s="1" t="s">
        <v>1998</v>
      </c>
      <c r="E1189" s="1"/>
      <c r="F1189" s="1" t="s">
        <v>11</v>
      </c>
      <c r="G1189">
        <v>135</v>
      </c>
      <c r="H1189">
        <v>135</v>
      </c>
      <c r="I1189" s="2">
        <v>45783</v>
      </c>
      <c r="J1189" s="2">
        <v>45721</v>
      </c>
      <c r="K1189" s="2">
        <v>45783</v>
      </c>
    </row>
    <row r="1190" spans="1:11" x14ac:dyDescent="0.25">
      <c r="A1190" s="1" t="s">
        <v>290</v>
      </c>
      <c r="B1190" s="1" t="s">
        <v>1307</v>
      </c>
      <c r="C1190" s="1" t="s">
        <v>2279</v>
      </c>
      <c r="D1190" s="1" t="s">
        <v>1998</v>
      </c>
      <c r="E1190" s="1"/>
      <c r="F1190" s="1" t="s">
        <v>11</v>
      </c>
      <c r="G1190">
        <v>1</v>
      </c>
      <c r="H1190">
        <v>1</v>
      </c>
      <c r="I1190" s="2">
        <v>45783</v>
      </c>
      <c r="J1190" s="2">
        <v>45721</v>
      </c>
      <c r="K1190" s="2">
        <v>45783</v>
      </c>
    </row>
    <row r="1191" spans="1:11" x14ac:dyDescent="0.25">
      <c r="A1191" s="1" t="s">
        <v>290</v>
      </c>
      <c r="B1191" s="1" t="s">
        <v>1308</v>
      </c>
      <c r="C1191" s="1" t="s">
        <v>2280</v>
      </c>
      <c r="D1191" s="1" t="s">
        <v>1998</v>
      </c>
      <c r="E1191" s="1"/>
      <c r="F1191" s="1" t="s">
        <v>11</v>
      </c>
      <c r="G1191">
        <v>1</v>
      </c>
      <c r="H1191">
        <v>1</v>
      </c>
      <c r="I1191" s="2">
        <v>45783</v>
      </c>
      <c r="J1191" s="2">
        <v>45721</v>
      </c>
      <c r="K1191" s="2">
        <v>45783</v>
      </c>
    </row>
    <row r="1192" spans="1:11" x14ac:dyDescent="0.25">
      <c r="A1192" s="1" t="s">
        <v>290</v>
      </c>
      <c r="B1192" s="1" t="s">
        <v>1330</v>
      </c>
      <c r="C1192" s="1" t="s">
        <v>2293</v>
      </c>
      <c r="D1192" s="1" t="s">
        <v>1998</v>
      </c>
      <c r="E1192" s="1"/>
      <c r="F1192" s="1" t="s">
        <v>11</v>
      </c>
      <c r="G1192">
        <v>5</v>
      </c>
      <c r="H1192">
        <v>5</v>
      </c>
      <c r="I1192" s="2">
        <v>45783</v>
      </c>
      <c r="J1192" s="2">
        <v>45721</v>
      </c>
      <c r="K1192" s="2">
        <v>45783</v>
      </c>
    </row>
    <row r="1193" spans="1:11" x14ac:dyDescent="0.25">
      <c r="A1193" s="1" t="s">
        <v>290</v>
      </c>
      <c r="B1193" s="1" t="s">
        <v>1331</v>
      </c>
      <c r="C1193" s="1" t="s">
        <v>2294</v>
      </c>
      <c r="D1193" s="1" t="s">
        <v>1998</v>
      </c>
      <c r="E1193" s="1"/>
      <c r="F1193" s="1" t="s">
        <v>11</v>
      </c>
      <c r="G1193">
        <v>275</v>
      </c>
      <c r="H1193">
        <v>275</v>
      </c>
      <c r="I1193" s="2">
        <v>45783</v>
      </c>
      <c r="J1193" s="2">
        <v>45721</v>
      </c>
      <c r="K1193" s="2">
        <v>45783</v>
      </c>
    </row>
    <row r="1194" spans="1:11" x14ac:dyDescent="0.25">
      <c r="A1194" s="1" t="s">
        <v>290</v>
      </c>
      <c r="B1194" s="1" t="s">
        <v>1332</v>
      </c>
      <c r="C1194" s="1" t="s">
        <v>2281</v>
      </c>
      <c r="D1194" s="1" t="s">
        <v>1998</v>
      </c>
      <c r="E1194" s="1"/>
      <c r="F1194" s="1" t="s">
        <v>11</v>
      </c>
      <c r="G1194">
        <v>1820</v>
      </c>
      <c r="H1194">
        <v>1820</v>
      </c>
      <c r="I1194" s="2">
        <v>45783</v>
      </c>
      <c r="J1194" s="2">
        <v>45721</v>
      </c>
      <c r="K1194" s="2">
        <v>45783</v>
      </c>
    </row>
    <row r="1195" spans="1:11" x14ac:dyDescent="0.25">
      <c r="A1195" s="1" t="s">
        <v>290</v>
      </c>
      <c r="B1195" s="1" t="s">
        <v>1333</v>
      </c>
      <c r="C1195" s="1" t="s">
        <v>2295</v>
      </c>
      <c r="D1195" s="1" t="s">
        <v>1998</v>
      </c>
      <c r="E1195" s="1"/>
      <c r="F1195" s="1" t="s">
        <v>11</v>
      </c>
      <c r="G1195">
        <v>3800</v>
      </c>
      <c r="H1195">
        <v>3800</v>
      </c>
      <c r="I1195" s="2">
        <v>45783</v>
      </c>
      <c r="J1195" s="2">
        <v>45721</v>
      </c>
      <c r="K1195" s="2">
        <v>45783</v>
      </c>
    </row>
    <row r="1196" spans="1:11" x14ac:dyDescent="0.25">
      <c r="A1196" s="1" t="s">
        <v>290</v>
      </c>
      <c r="B1196" s="1" t="s">
        <v>1334</v>
      </c>
      <c r="C1196" s="1" t="s">
        <v>2282</v>
      </c>
      <c r="D1196" s="1" t="s">
        <v>1998</v>
      </c>
      <c r="E1196" s="1"/>
      <c r="F1196" s="1" t="s">
        <v>11</v>
      </c>
      <c r="G1196">
        <v>365</v>
      </c>
      <c r="H1196">
        <v>365</v>
      </c>
      <c r="I1196" s="2">
        <v>45783</v>
      </c>
      <c r="J1196" s="2">
        <v>45721</v>
      </c>
      <c r="K1196" s="2">
        <v>45783</v>
      </c>
    </row>
    <row r="1197" spans="1:11" x14ac:dyDescent="0.25">
      <c r="A1197" s="1" t="s">
        <v>290</v>
      </c>
      <c r="B1197" s="1" t="s">
        <v>1335</v>
      </c>
      <c r="C1197" s="1" t="s">
        <v>2282</v>
      </c>
      <c r="D1197" s="1" t="s">
        <v>1998</v>
      </c>
      <c r="E1197" s="1"/>
      <c r="F1197" s="1" t="s">
        <v>11</v>
      </c>
      <c r="G1197">
        <v>390</v>
      </c>
      <c r="H1197">
        <v>390</v>
      </c>
      <c r="I1197" s="2">
        <v>45783</v>
      </c>
      <c r="J1197" s="2">
        <v>45721</v>
      </c>
      <c r="K1197" s="2">
        <v>45783</v>
      </c>
    </row>
    <row r="1198" spans="1:11" x14ac:dyDescent="0.25">
      <c r="A1198" s="1" t="s">
        <v>290</v>
      </c>
      <c r="B1198" s="1" t="s">
        <v>1313</v>
      </c>
      <c r="C1198" s="1" t="s">
        <v>2284</v>
      </c>
      <c r="D1198" s="1" t="s">
        <v>1998</v>
      </c>
      <c r="E1198" s="1"/>
      <c r="F1198" s="1" t="s">
        <v>11</v>
      </c>
      <c r="G1198">
        <v>590</v>
      </c>
      <c r="H1198">
        <v>590</v>
      </c>
      <c r="I1198" s="2">
        <v>45783</v>
      </c>
      <c r="J1198" s="2">
        <v>45721</v>
      </c>
      <c r="K1198" s="2">
        <v>45783</v>
      </c>
    </row>
    <row r="1199" spans="1:11" x14ac:dyDescent="0.25">
      <c r="A1199" s="1" t="s">
        <v>290</v>
      </c>
      <c r="B1199" s="1" t="s">
        <v>1314</v>
      </c>
      <c r="C1199" s="1" t="s">
        <v>2285</v>
      </c>
      <c r="D1199" s="1" t="s">
        <v>1998</v>
      </c>
      <c r="E1199" s="1"/>
      <c r="F1199" s="1" t="s">
        <v>11</v>
      </c>
      <c r="G1199">
        <v>310</v>
      </c>
      <c r="H1199">
        <v>310</v>
      </c>
      <c r="I1199" s="2">
        <v>45783</v>
      </c>
      <c r="J1199" s="2">
        <v>45721</v>
      </c>
      <c r="K1199" s="2">
        <v>45783</v>
      </c>
    </row>
    <row r="1200" spans="1:11" x14ac:dyDescent="0.25">
      <c r="A1200" s="1" t="s">
        <v>290</v>
      </c>
      <c r="B1200" s="1" t="s">
        <v>1315</v>
      </c>
      <c r="C1200" s="1" t="s">
        <v>2286</v>
      </c>
      <c r="D1200" s="1" t="s">
        <v>1998</v>
      </c>
      <c r="E1200" s="1"/>
      <c r="F1200" s="1" t="s">
        <v>11</v>
      </c>
      <c r="G1200">
        <v>580</v>
      </c>
      <c r="H1200">
        <v>580</v>
      </c>
      <c r="I1200" s="2">
        <v>45783</v>
      </c>
      <c r="J1200" s="2">
        <v>45721</v>
      </c>
      <c r="K1200" s="2">
        <v>45783</v>
      </c>
    </row>
    <row r="1201" spans="1:11" x14ac:dyDescent="0.25">
      <c r="A1201" s="1" t="s">
        <v>290</v>
      </c>
      <c r="B1201" s="1" t="s">
        <v>1316</v>
      </c>
      <c r="C1201" s="1" t="s">
        <v>2287</v>
      </c>
      <c r="D1201" s="1" t="s">
        <v>1998</v>
      </c>
      <c r="E1201" s="1"/>
      <c r="F1201" s="1" t="s">
        <v>11</v>
      </c>
      <c r="G1201">
        <v>170</v>
      </c>
      <c r="H1201">
        <v>170</v>
      </c>
      <c r="I1201" s="2">
        <v>45783</v>
      </c>
      <c r="J1201" s="2">
        <v>45721</v>
      </c>
      <c r="K1201" s="2">
        <v>45783</v>
      </c>
    </row>
    <row r="1202" spans="1:11" x14ac:dyDescent="0.25">
      <c r="A1202" s="1" t="s">
        <v>290</v>
      </c>
      <c r="B1202" s="1" t="s">
        <v>1317</v>
      </c>
      <c r="C1202" s="1" t="s">
        <v>2288</v>
      </c>
      <c r="D1202" s="1" t="s">
        <v>1998</v>
      </c>
      <c r="E1202" s="1"/>
      <c r="F1202" s="1" t="s">
        <v>11</v>
      </c>
      <c r="G1202">
        <v>15</v>
      </c>
      <c r="H1202">
        <v>15</v>
      </c>
      <c r="I1202" s="2">
        <v>45783</v>
      </c>
      <c r="J1202" s="2">
        <v>45721</v>
      </c>
      <c r="K1202" s="2">
        <v>45783</v>
      </c>
    </row>
    <row r="1203" spans="1:11" x14ac:dyDescent="0.25">
      <c r="A1203" s="1" t="s">
        <v>290</v>
      </c>
      <c r="B1203" s="1" t="s">
        <v>1318</v>
      </c>
      <c r="C1203" s="1" t="s">
        <v>2289</v>
      </c>
      <c r="D1203" s="1" t="s">
        <v>1998</v>
      </c>
      <c r="E1203" s="1"/>
      <c r="F1203" s="1" t="s">
        <v>11</v>
      </c>
      <c r="G1203">
        <v>55</v>
      </c>
      <c r="H1203">
        <v>55</v>
      </c>
      <c r="I1203" s="2">
        <v>45783</v>
      </c>
      <c r="J1203" s="2">
        <v>45721</v>
      </c>
      <c r="K1203" s="2">
        <v>45783</v>
      </c>
    </row>
    <row r="1204" spans="1:11" x14ac:dyDescent="0.25">
      <c r="A1204" s="1" t="s">
        <v>290</v>
      </c>
      <c r="B1204" s="1" t="s">
        <v>1068</v>
      </c>
      <c r="C1204" s="1" t="s">
        <v>2074</v>
      </c>
      <c r="D1204" s="1" t="s">
        <v>1998</v>
      </c>
      <c r="E1204" s="1"/>
      <c r="F1204" s="1" t="s">
        <v>11</v>
      </c>
      <c r="G1204">
        <v>5</v>
      </c>
      <c r="H1204">
        <v>15</v>
      </c>
      <c r="I1204" s="2">
        <v>45783</v>
      </c>
      <c r="J1204" s="2">
        <v>45721</v>
      </c>
      <c r="K1204" s="2">
        <v>45783</v>
      </c>
    </row>
    <row r="1205" spans="1:11" x14ac:dyDescent="0.25">
      <c r="A1205" s="1" t="s">
        <v>290</v>
      </c>
      <c r="B1205" s="1" t="s">
        <v>1336</v>
      </c>
      <c r="C1205" s="1" t="s">
        <v>2296</v>
      </c>
      <c r="D1205" s="1" t="s">
        <v>1998</v>
      </c>
      <c r="E1205" s="1"/>
      <c r="F1205" s="1" t="s">
        <v>11</v>
      </c>
      <c r="G1205">
        <v>1</v>
      </c>
      <c r="H1205">
        <v>1</v>
      </c>
      <c r="I1205" s="2">
        <v>45783</v>
      </c>
      <c r="J1205" s="2">
        <v>45721</v>
      </c>
      <c r="K1205" s="2">
        <v>45783</v>
      </c>
    </row>
    <row r="1206" spans="1:11" x14ac:dyDescent="0.25">
      <c r="A1206" s="1" t="s">
        <v>290</v>
      </c>
      <c r="B1206" s="1" t="s">
        <v>1337</v>
      </c>
      <c r="C1206" s="1" t="s">
        <v>2291</v>
      </c>
      <c r="D1206" s="1" t="s">
        <v>1998</v>
      </c>
      <c r="E1206" s="1"/>
      <c r="F1206" s="1" t="s">
        <v>11</v>
      </c>
      <c r="G1206">
        <v>1</v>
      </c>
      <c r="H1206">
        <v>1</v>
      </c>
      <c r="I1206" s="2">
        <v>45783</v>
      </c>
      <c r="J1206" s="2">
        <v>45721</v>
      </c>
      <c r="K1206" s="2">
        <v>45783</v>
      </c>
    </row>
    <row r="1207" spans="1:11" x14ac:dyDescent="0.25">
      <c r="A1207" s="1" t="s">
        <v>290</v>
      </c>
      <c r="B1207" s="1" t="s">
        <v>1338</v>
      </c>
      <c r="C1207" s="1" t="s">
        <v>2291</v>
      </c>
      <c r="D1207" s="1" t="s">
        <v>1998</v>
      </c>
      <c r="E1207" s="1"/>
      <c r="F1207" s="1" t="s">
        <v>11</v>
      </c>
      <c r="G1207">
        <v>1</v>
      </c>
      <c r="H1207">
        <v>1</v>
      </c>
      <c r="I1207" s="2">
        <v>45783</v>
      </c>
      <c r="J1207" s="2">
        <v>45721</v>
      </c>
      <c r="K1207" s="2">
        <v>45783</v>
      </c>
    </row>
    <row r="1208" spans="1:11" x14ac:dyDescent="0.25">
      <c r="A1208" s="1" t="s">
        <v>290</v>
      </c>
      <c r="B1208" s="1" t="s">
        <v>1339</v>
      </c>
      <c r="C1208" s="1" t="s">
        <v>2291</v>
      </c>
      <c r="D1208" s="1" t="s">
        <v>1998</v>
      </c>
      <c r="E1208" s="1"/>
      <c r="F1208" s="1" t="s">
        <v>11</v>
      </c>
      <c r="G1208">
        <v>1</v>
      </c>
      <c r="H1208">
        <v>1</v>
      </c>
      <c r="I1208" s="2">
        <v>45783</v>
      </c>
      <c r="J1208" s="2">
        <v>45721</v>
      </c>
      <c r="K1208" s="2">
        <v>45783</v>
      </c>
    </row>
    <row r="1209" spans="1:11" x14ac:dyDescent="0.25">
      <c r="A1209" s="1" t="s">
        <v>290</v>
      </c>
      <c r="B1209" s="1" t="s">
        <v>1340</v>
      </c>
      <c r="C1209" s="1" t="s">
        <v>2291</v>
      </c>
      <c r="D1209" s="1" t="s">
        <v>1998</v>
      </c>
      <c r="E1209" s="1"/>
      <c r="F1209" s="1" t="s">
        <v>11</v>
      </c>
      <c r="G1209">
        <v>1</v>
      </c>
      <c r="H1209">
        <v>1</v>
      </c>
      <c r="I1209" s="2">
        <v>45783</v>
      </c>
      <c r="J1209" s="2">
        <v>45721</v>
      </c>
      <c r="K1209" s="2">
        <v>45783</v>
      </c>
    </row>
    <row r="1210" spans="1:11" x14ac:dyDescent="0.25">
      <c r="A1210" s="1" t="s">
        <v>291</v>
      </c>
      <c r="B1210" s="1" t="s">
        <v>1353</v>
      </c>
      <c r="C1210" s="1" t="s">
        <v>2306</v>
      </c>
      <c r="D1210" s="1" t="s">
        <v>1998</v>
      </c>
      <c r="E1210" s="1"/>
      <c r="F1210" s="1" t="s">
        <v>11</v>
      </c>
      <c r="G1210">
        <v>323245</v>
      </c>
      <c r="H1210">
        <v>323245</v>
      </c>
      <c r="I1210" s="2"/>
      <c r="J1210" s="2">
        <v>45722</v>
      </c>
      <c r="K1210" s="2">
        <v>45749</v>
      </c>
    </row>
    <row r="1211" spans="1:11" x14ac:dyDescent="0.25">
      <c r="A1211" s="1" t="s">
        <v>291</v>
      </c>
      <c r="B1211" s="1" t="s">
        <v>1354</v>
      </c>
      <c r="C1211" s="1" t="s">
        <v>2307</v>
      </c>
      <c r="D1211" s="1" t="s">
        <v>1998</v>
      </c>
      <c r="E1211" s="1"/>
      <c r="F1211" s="1" t="s">
        <v>11</v>
      </c>
      <c r="G1211">
        <v>365</v>
      </c>
      <c r="H1211">
        <v>365</v>
      </c>
      <c r="I1211" s="2"/>
      <c r="J1211" s="2">
        <v>45722</v>
      </c>
      <c r="K1211" s="2">
        <v>45749</v>
      </c>
    </row>
    <row r="1212" spans="1:11" x14ac:dyDescent="0.25">
      <c r="A1212" s="1" t="s">
        <v>291</v>
      </c>
      <c r="B1212" s="1" t="s">
        <v>1354</v>
      </c>
      <c r="C1212" s="1" t="s">
        <v>2307</v>
      </c>
      <c r="D1212" s="1" t="s">
        <v>1998</v>
      </c>
      <c r="E1212" s="1"/>
      <c r="F1212" s="1" t="s">
        <v>11</v>
      </c>
      <c r="G1212">
        <v>10</v>
      </c>
      <c r="H1212">
        <v>10</v>
      </c>
      <c r="I1212" s="2"/>
      <c r="J1212" s="2">
        <v>45722</v>
      </c>
      <c r="K1212" s="2">
        <v>45749</v>
      </c>
    </row>
    <row r="1213" spans="1:11" x14ac:dyDescent="0.25">
      <c r="A1213" s="1" t="s">
        <v>291</v>
      </c>
      <c r="B1213" s="1" t="s">
        <v>999</v>
      </c>
      <c r="C1213" s="1" t="s">
        <v>2017</v>
      </c>
      <c r="D1213" s="1" t="s">
        <v>1998</v>
      </c>
      <c r="E1213" s="1"/>
      <c r="F1213" s="1" t="s">
        <v>11</v>
      </c>
      <c r="G1213">
        <v>1</v>
      </c>
      <c r="H1213">
        <v>1</v>
      </c>
      <c r="I1213" s="2"/>
      <c r="J1213" s="2">
        <v>45722</v>
      </c>
      <c r="K1213" s="2">
        <v>45749</v>
      </c>
    </row>
    <row r="1214" spans="1:11" x14ac:dyDescent="0.25">
      <c r="A1214" s="1" t="s">
        <v>291</v>
      </c>
      <c r="B1214" s="1" t="s">
        <v>1000</v>
      </c>
      <c r="C1214" s="1" t="s">
        <v>2018</v>
      </c>
      <c r="D1214" s="1" t="s">
        <v>1998</v>
      </c>
      <c r="E1214" s="1"/>
      <c r="F1214" s="1" t="s">
        <v>11</v>
      </c>
      <c r="G1214">
        <v>1</v>
      </c>
      <c r="H1214">
        <v>1</v>
      </c>
      <c r="I1214" s="2"/>
      <c r="J1214" s="2">
        <v>45722</v>
      </c>
      <c r="K1214" s="2">
        <v>45749</v>
      </c>
    </row>
    <row r="1215" spans="1:11" x14ac:dyDescent="0.25">
      <c r="A1215" s="1" t="s">
        <v>291</v>
      </c>
      <c r="B1215" s="1" t="s">
        <v>1001</v>
      </c>
      <c r="C1215" s="1" t="s">
        <v>2019</v>
      </c>
      <c r="D1215" s="1" t="s">
        <v>1998</v>
      </c>
      <c r="E1215" s="1"/>
      <c r="F1215" s="1" t="s">
        <v>11</v>
      </c>
      <c r="G1215">
        <v>1</v>
      </c>
      <c r="H1215">
        <v>1</v>
      </c>
      <c r="I1215" s="2"/>
      <c r="J1215" s="2">
        <v>45722</v>
      </c>
      <c r="K1215" s="2">
        <v>45749</v>
      </c>
    </row>
    <row r="1216" spans="1:11" x14ac:dyDescent="0.25">
      <c r="A1216" s="1" t="s">
        <v>292</v>
      </c>
      <c r="B1216" s="1" t="s">
        <v>1355</v>
      </c>
      <c r="C1216" s="1" t="s">
        <v>2308</v>
      </c>
      <c r="D1216" s="1" t="s">
        <v>1998</v>
      </c>
      <c r="E1216" s="1"/>
      <c r="F1216" s="1" t="s">
        <v>11</v>
      </c>
      <c r="G1216">
        <v>625</v>
      </c>
      <c r="H1216">
        <v>625</v>
      </c>
      <c r="I1216" s="2"/>
      <c r="J1216" s="2">
        <v>45730</v>
      </c>
      <c r="K1216" s="2">
        <v>45744</v>
      </c>
    </row>
    <row r="1217" spans="1:11" x14ac:dyDescent="0.25">
      <c r="A1217" s="1" t="s">
        <v>292</v>
      </c>
      <c r="B1217" s="1" t="s">
        <v>1356</v>
      </c>
      <c r="C1217" s="1" t="s">
        <v>2014</v>
      </c>
      <c r="D1217" s="1" t="s">
        <v>1998</v>
      </c>
      <c r="E1217" s="1"/>
      <c r="F1217" s="1" t="s">
        <v>11</v>
      </c>
      <c r="G1217">
        <v>60</v>
      </c>
      <c r="H1217">
        <v>60</v>
      </c>
      <c r="I1217" s="2"/>
      <c r="J1217" s="2">
        <v>45730</v>
      </c>
      <c r="K1217" s="2">
        <v>45744</v>
      </c>
    </row>
    <row r="1218" spans="1:11" x14ac:dyDescent="0.25">
      <c r="A1218" s="1" t="s">
        <v>292</v>
      </c>
      <c r="B1218" s="1" t="s">
        <v>1357</v>
      </c>
      <c r="C1218" s="1" t="s">
        <v>2002</v>
      </c>
      <c r="D1218" s="1" t="s">
        <v>1998</v>
      </c>
      <c r="E1218" s="1"/>
      <c r="F1218" s="1" t="s">
        <v>11</v>
      </c>
      <c r="G1218">
        <v>5</v>
      </c>
      <c r="H1218">
        <v>5</v>
      </c>
      <c r="I1218" s="2"/>
      <c r="J1218" s="2">
        <v>45730</v>
      </c>
      <c r="K1218" s="2">
        <v>45744</v>
      </c>
    </row>
    <row r="1219" spans="1:11" x14ac:dyDescent="0.25">
      <c r="A1219" s="1" t="s">
        <v>293</v>
      </c>
      <c r="B1219" s="1" t="s">
        <v>1003</v>
      </c>
      <c r="C1219" s="1" t="s">
        <v>2021</v>
      </c>
      <c r="D1219" s="1" t="s">
        <v>1998</v>
      </c>
      <c r="E1219" s="1"/>
      <c r="F1219" s="1" t="s">
        <v>11</v>
      </c>
      <c r="G1219">
        <v>1670</v>
      </c>
      <c r="H1219">
        <v>1090</v>
      </c>
      <c r="I1219" s="2"/>
      <c r="J1219" s="2">
        <v>45722</v>
      </c>
      <c r="K1219" s="2">
        <v>45741</v>
      </c>
    </row>
    <row r="1220" spans="1:11" x14ac:dyDescent="0.25">
      <c r="A1220" s="1" t="s">
        <v>294</v>
      </c>
      <c r="B1220" s="1" t="s">
        <v>1265</v>
      </c>
      <c r="C1220" s="1" t="s">
        <v>2242</v>
      </c>
      <c r="D1220" s="1" t="s">
        <v>1998</v>
      </c>
      <c r="E1220" s="1"/>
      <c r="F1220" s="1" t="s">
        <v>11</v>
      </c>
      <c r="G1220">
        <v>1160</v>
      </c>
      <c r="H1220">
        <v>1190</v>
      </c>
      <c r="I1220" s="2"/>
      <c r="J1220" s="2">
        <v>45726</v>
      </c>
      <c r="K1220" s="2">
        <v>45744</v>
      </c>
    </row>
    <row r="1221" spans="1:11" x14ac:dyDescent="0.25">
      <c r="A1221" s="1" t="s">
        <v>294</v>
      </c>
      <c r="B1221" s="1" t="s">
        <v>1267</v>
      </c>
      <c r="C1221" s="1" t="s">
        <v>2244</v>
      </c>
      <c r="D1221" s="1" t="s">
        <v>1998</v>
      </c>
      <c r="E1221" s="1"/>
      <c r="F1221" s="1" t="s">
        <v>11</v>
      </c>
      <c r="G1221">
        <v>65</v>
      </c>
      <c r="H1221">
        <v>50</v>
      </c>
      <c r="I1221" s="2"/>
      <c r="J1221" s="2">
        <v>45726</v>
      </c>
      <c r="K1221" s="2">
        <v>45744</v>
      </c>
    </row>
    <row r="1222" spans="1:11" x14ac:dyDescent="0.25">
      <c r="A1222" s="1" t="s">
        <v>294</v>
      </c>
      <c r="B1222" s="1" t="s">
        <v>1206</v>
      </c>
      <c r="C1222" s="1" t="s">
        <v>2196</v>
      </c>
      <c r="D1222" s="1" t="s">
        <v>1998</v>
      </c>
      <c r="E1222" s="1"/>
      <c r="F1222" s="1" t="s">
        <v>11</v>
      </c>
      <c r="G1222">
        <v>5</v>
      </c>
      <c r="H1222">
        <v>5</v>
      </c>
      <c r="I1222" s="2"/>
      <c r="J1222" s="2">
        <v>45726</v>
      </c>
      <c r="K1222" s="2">
        <v>45744</v>
      </c>
    </row>
    <row r="1223" spans="1:11" x14ac:dyDescent="0.25">
      <c r="A1223" s="1" t="s">
        <v>294</v>
      </c>
      <c r="B1223" s="1" t="s">
        <v>1266</v>
      </c>
      <c r="C1223" s="1" t="s">
        <v>2243</v>
      </c>
      <c r="D1223" s="1" t="s">
        <v>1998</v>
      </c>
      <c r="E1223" s="1"/>
      <c r="F1223" s="1" t="s">
        <v>11</v>
      </c>
      <c r="G1223">
        <v>10</v>
      </c>
      <c r="H1223">
        <v>10</v>
      </c>
      <c r="I1223" s="2"/>
      <c r="J1223" s="2">
        <v>45726</v>
      </c>
      <c r="K1223" s="2">
        <v>45744</v>
      </c>
    </row>
    <row r="1224" spans="1:11" x14ac:dyDescent="0.25">
      <c r="A1224" s="1" t="s">
        <v>295</v>
      </c>
      <c r="B1224" s="1" t="s">
        <v>1358</v>
      </c>
      <c r="C1224" s="1" t="s">
        <v>2308</v>
      </c>
      <c r="D1224" s="1" t="s">
        <v>1998</v>
      </c>
      <c r="E1224" s="1"/>
      <c r="F1224" s="1" t="s">
        <v>11</v>
      </c>
      <c r="G1224">
        <v>30</v>
      </c>
      <c r="H1224">
        <v>30</v>
      </c>
      <c r="I1224" s="2"/>
      <c r="J1224" s="2">
        <v>45734</v>
      </c>
      <c r="K1224" s="2">
        <v>45744</v>
      </c>
    </row>
    <row r="1225" spans="1:11" x14ac:dyDescent="0.25">
      <c r="A1225" s="1" t="s">
        <v>295</v>
      </c>
      <c r="B1225" s="1" t="s">
        <v>1358</v>
      </c>
      <c r="C1225" s="1" t="s">
        <v>2308</v>
      </c>
      <c r="D1225" s="1" t="s">
        <v>1998</v>
      </c>
      <c r="E1225" s="1"/>
      <c r="F1225" s="1" t="s">
        <v>16</v>
      </c>
      <c r="G1225">
        <v>1</v>
      </c>
      <c r="H1225">
        <v>1</v>
      </c>
      <c r="I1225" s="2"/>
      <c r="J1225" s="2">
        <v>45734</v>
      </c>
      <c r="K1225" s="2">
        <v>45744</v>
      </c>
    </row>
    <row r="1226" spans="1:11" x14ac:dyDescent="0.25">
      <c r="A1226" s="1" t="s">
        <v>295</v>
      </c>
      <c r="B1226" s="1" t="s">
        <v>1356</v>
      </c>
      <c r="C1226" s="1" t="s">
        <v>2014</v>
      </c>
      <c r="D1226" s="1" t="s">
        <v>1998</v>
      </c>
      <c r="E1226" s="1"/>
      <c r="F1226" s="1" t="s">
        <v>11</v>
      </c>
      <c r="G1226">
        <v>60</v>
      </c>
      <c r="H1226">
        <v>60</v>
      </c>
      <c r="I1226" s="2"/>
      <c r="J1226" s="2">
        <v>45734</v>
      </c>
      <c r="K1226" s="2">
        <v>45744</v>
      </c>
    </row>
    <row r="1227" spans="1:11" x14ac:dyDescent="0.25">
      <c r="A1227" s="1" t="s">
        <v>295</v>
      </c>
      <c r="B1227" s="1" t="s">
        <v>1356</v>
      </c>
      <c r="C1227" s="1" t="s">
        <v>2014</v>
      </c>
      <c r="D1227" s="1" t="s">
        <v>1998</v>
      </c>
      <c r="E1227" s="1"/>
      <c r="F1227" s="1" t="s">
        <v>16</v>
      </c>
      <c r="G1227">
        <v>1</v>
      </c>
      <c r="H1227">
        <v>1</v>
      </c>
      <c r="I1227" s="2"/>
      <c r="J1227" s="2">
        <v>45734</v>
      </c>
      <c r="K1227" s="2">
        <v>45744</v>
      </c>
    </row>
    <row r="1228" spans="1:11" x14ac:dyDescent="0.25">
      <c r="A1228" s="1" t="s">
        <v>295</v>
      </c>
      <c r="B1228" s="1" t="s">
        <v>1357</v>
      </c>
      <c r="C1228" s="1" t="s">
        <v>2002</v>
      </c>
      <c r="D1228" s="1" t="s">
        <v>1998</v>
      </c>
      <c r="E1228" s="1"/>
      <c r="F1228" s="1" t="s">
        <v>11</v>
      </c>
      <c r="G1228">
        <v>5</v>
      </c>
      <c r="H1228">
        <v>5</v>
      </c>
      <c r="I1228" s="2"/>
      <c r="J1228" s="2">
        <v>45734</v>
      </c>
      <c r="K1228" s="2">
        <v>45744</v>
      </c>
    </row>
    <row r="1229" spans="1:11" x14ac:dyDescent="0.25">
      <c r="A1229" s="1" t="s">
        <v>295</v>
      </c>
      <c r="B1229" s="1" t="s">
        <v>1357</v>
      </c>
      <c r="C1229" s="1" t="s">
        <v>2002</v>
      </c>
      <c r="D1229" s="1" t="s">
        <v>1998</v>
      </c>
      <c r="E1229" s="1"/>
      <c r="F1229" s="1" t="s">
        <v>16</v>
      </c>
      <c r="G1229">
        <v>1</v>
      </c>
      <c r="H1229">
        <v>1</v>
      </c>
      <c r="I1229" s="2"/>
      <c r="J1229" s="2">
        <v>45734</v>
      </c>
      <c r="K1229" s="2">
        <v>45744</v>
      </c>
    </row>
    <row r="1230" spans="1:11" x14ac:dyDescent="0.25">
      <c r="A1230" s="1" t="s">
        <v>296</v>
      </c>
      <c r="B1230" s="1" t="s">
        <v>1264</v>
      </c>
      <c r="C1230" s="1" t="s">
        <v>2241</v>
      </c>
      <c r="D1230" s="1" t="s">
        <v>1998</v>
      </c>
      <c r="E1230" s="1"/>
      <c r="F1230" s="1" t="s">
        <v>11</v>
      </c>
      <c r="G1230">
        <v>625</v>
      </c>
      <c r="H1230">
        <v>435</v>
      </c>
      <c r="I1230" s="2"/>
      <c r="J1230" s="2">
        <v>45721</v>
      </c>
      <c r="K1230" s="2">
        <v>45729</v>
      </c>
    </row>
    <row r="1231" spans="1:11" x14ac:dyDescent="0.25">
      <c r="A1231" s="1" t="s">
        <v>296</v>
      </c>
      <c r="B1231" s="1" t="s">
        <v>1246</v>
      </c>
      <c r="C1231" s="1" t="s">
        <v>2228</v>
      </c>
      <c r="D1231" s="1" t="s">
        <v>1998</v>
      </c>
      <c r="E1231" s="1"/>
      <c r="F1231" s="1" t="s">
        <v>12</v>
      </c>
      <c r="G1231">
        <v>1</v>
      </c>
      <c r="H1231">
        <v>310</v>
      </c>
      <c r="I1231" s="2"/>
      <c r="J1231" s="2">
        <v>45721</v>
      </c>
      <c r="K1231" s="2">
        <v>45729</v>
      </c>
    </row>
    <row r="1232" spans="1:11" x14ac:dyDescent="0.25">
      <c r="A1232" s="1" t="s">
        <v>296</v>
      </c>
      <c r="B1232" s="1" t="s">
        <v>1206</v>
      </c>
      <c r="C1232" s="1" t="s">
        <v>2196</v>
      </c>
      <c r="D1232" s="1" t="s">
        <v>1998</v>
      </c>
      <c r="E1232" s="1"/>
      <c r="F1232" s="1" t="s">
        <v>11</v>
      </c>
      <c r="G1232">
        <v>1</v>
      </c>
      <c r="H1232">
        <v>1</v>
      </c>
      <c r="I1232" s="2"/>
      <c r="J1232" s="2">
        <v>45721</v>
      </c>
      <c r="K1232" s="2">
        <v>45729</v>
      </c>
    </row>
    <row r="1233" spans="1:11" x14ac:dyDescent="0.25">
      <c r="A1233" s="1" t="s">
        <v>296</v>
      </c>
      <c r="B1233" s="1" t="s">
        <v>1359</v>
      </c>
      <c r="C1233" s="1" t="s">
        <v>2309</v>
      </c>
      <c r="D1233" s="1" t="s">
        <v>1998</v>
      </c>
      <c r="E1233" s="1"/>
      <c r="F1233" s="1" t="s">
        <v>11</v>
      </c>
      <c r="G1233">
        <v>20</v>
      </c>
      <c r="H1233">
        <v>20</v>
      </c>
      <c r="I1233" s="2"/>
      <c r="J1233" s="2">
        <v>45721</v>
      </c>
      <c r="K1233" s="2">
        <v>45729</v>
      </c>
    </row>
    <row r="1234" spans="1:11" x14ac:dyDescent="0.25">
      <c r="A1234" s="1" t="s">
        <v>297</v>
      </c>
      <c r="B1234" s="1" t="s">
        <v>1360</v>
      </c>
      <c r="C1234" s="1" t="s">
        <v>2310</v>
      </c>
      <c r="D1234" s="1" t="s">
        <v>1998</v>
      </c>
      <c r="E1234" s="1"/>
      <c r="F1234" s="1" t="s">
        <v>11</v>
      </c>
      <c r="G1234">
        <v>4450</v>
      </c>
      <c r="H1234">
        <v>4780</v>
      </c>
      <c r="I1234" s="2"/>
      <c r="J1234" s="2">
        <v>45722</v>
      </c>
      <c r="K1234" s="2">
        <v>45754</v>
      </c>
    </row>
    <row r="1235" spans="1:11" x14ac:dyDescent="0.25">
      <c r="A1235" s="1" t="s">
        <v>298</v>
      </c>
      <c r="B1235" s="1" t="s">
        <v>1361</v>
      </c>
      <c r="C1235" s="1" t="s">
        <v>2311</v>
      </c>
      <c r="D1235" s="1" t="s">
        <v>1998</v>
      </c>
      <c r="E1235" s="1"/>
      <c r="F1235" s="1" t="s">
        <v>11</v>
      </c>
      <c r="G1235">
        <v>100</v>
      </c>
      <c r="H1235">
        <v>100</v>
      </c>
      <c r="I1235" s="2"/>
      <c r="J1235" s="2">
        <v>45733</v>
      </c>
      <c r="K1235" s="2">
        <v>45733</v>
      </c>
    </row>
    <row r="1236" spans="1:11" x14ac:dyDescent="0.25">
      <c r="A1236" s="1" t="s">
        <v>298</v>
      </c>
      <c r="B1236" s="1" t="s">
        <v>1362</v>
      </c>
      <c r="C1236" s="1" t="s">
        <v>2312</v>
      </c>
      <c r="D1236" s="1" t="s">
        <v>1998</v>
      </c>
      <c r="E1236" s="1"/>
      <c r="F1236" s="1" t="s">
        <v>11</v>
      </c>
      <c r="G1236">
        <v>95</v>
      </c>
      <c r="H1236">
        <v>95</v>
      </c>
      <c r="I1236" s="2"/>
      <c r="J1236" s="2">
        <v>45733</v>
      </c>
      <c r="K1236" s="2">
        <v>45733</v>
      </c>
    </row>
    <row r="1237" spans="1:11" x14ac:dyDescent="0.25">
      <c r="A1237" s="1" t="s">
        <v>298</v>
      </c>
      <c r="B1237" s="1" t="s">
        <v>1363</v>
      </c>
      <c r="C1237" s="1" t="s">
        <v>2313</v>
      </c>
      <c r="D1237" s="1" t="s">
        <v>1998</v>
      </c>
      <c r="E1237" s="1"/>
      <c r="F1237" s="1" t="s">
        <v>11</v>
      </c>
      <c r="G1237">
        <v>1</v>
      </c>
      <c r="H1237">
        <v>1</v>
      </c>
      <c r="I1237" s="2"/>
      <c r="J1237" s="2">
        <v>45733</v>
      </c>
      <c r="K1237" s="2">
        <v>45733</v>
      </c>
    </row>
    <row r="1238" spans="1:11" x14ac:dyDescent="0.25">
      <c r="A1238" s="1" t="s">
        <v>298</v>
      </c>
      <c r="B1238" s="1" t="s">
        <v>1234</v>
      </c>
      <c r="C1238" s="1" t="s">
        <v>2218</v>
      </c>
      <c r="D1238" s="1" t="s">
        <v>1998</v>
      </c>
      <c r="E1238" s="1"/>
      <c r="F1238" s="1" t="s">
        <v>11</v>
      </c>
      <c r="G1238">
        <v>1</v>
      </c>
      <c r="H1238">
        <v>1</v>
      </c>
      <c r="I1238" s="2"/>
      <c r="J1238" s="2">
        <v>45733</v>
      </c>
      <c r="K1238" s="2">
        <v>45733</v>
      </c>
    </row>
    <row r="1239" spans="1:11" x14ac:dyDescent="0.25">
      <c r="A1239" s="1" t="s">
        <v>298</v>
      </c>
      <c r="B1239" s="1" t="s">
        <v>1364</v>
      </c>
      <c r="C1239" s="1" t="s">
        <v>2314</v>
      </c>
      <c r="D1239" s="1" t="s">
        <v>1998</v>
      </c>
      <c r="E1239" s="1"/>
      <c r="F1239" s="1" t="s">
        <v>11</v>
      </c>
      <c r="G1239">
        <v>1</v>
      </c>
      <c r="H1239">
        <v>1</v>
      </c>
      <c r="I1239" s="2"/>
      <c r="J1239" s="2">
        <v>45733</v>
      </c>
      <c r="K1239" s="2">
        <v>45733</v>
      </c>
    </row>
    <row r="1240" spans="1:11" x14ac:dyDescent="0.25">
      <c r="A1240" s="1" t="s">
        <v>299</v>
      </c>
      <c r="B1240" s="1" t="s">
        <v>1350</v>
      </c>
      <c r="C1240" s="1" t="s">
        <v>2303</v>
      </c>
      <c r="D1240" s="1" t="s">
        <v>1998</v>
      </c>
      <c r="E1240" s="1"/>
      <c r="F1240" s="1" t="s">
        <v>11</v>
      </c>
      <c r="G1240">
        <v>75</v>
      </c>
      <c r="H1240">
        <v>105</v>
      </c>
      <c r="I1240" s="2"/>
      <c r="J1240" s="2">
        <v>45728</v>
      </c>
      <c r="K1240" s="2">
        <v>45730</v>
      </c>
    </row>
    <row r="1241" spans="1:11" x14ac:dyDescent="0.25">
      <c r="A1241" s="1" t="s">
        <v>299</v>
      </c>
      <c r="B1241" s="1" t="s">
        <v>1206</v>
      </c>
      <c r="C1241" s="1" t="s">
        <v>2196</v>
      </c>
      <c r="D1241" s="1" t="s">
        <v>1998</v>
      </c>
      <c r="E1241" s="1"/>
      <c r="F1241" s="1" t="s">
        <v>11</v>
      </c>
      <c r="G1241">
        <v>1</v>
      </c>
      <c r="H1241">
        <v>1</v>
      </c>
      <c r="I1241" s="2"/>
      <c r="J1241" s="2">
        <v>45728</v>
      </c>
      <c r="K1241" s="2">
        <v>45730</v>
      </c>
    </row>
    <row r="1242" spans="1:11" x14ac:dyDescent="0.25">
      <c r="A1242" s="1" t="s">
        <v>299</v>
      </c>
      <c r="B1242" s="1" t="s">
        <v>1279</v>
      </c>
      <c r="C1242" s="1" t="s">
        <v>2256</v>
      </c>
      <c r="D1242" s="1" t="s">
        <v>1998</v>
      </c>
      <c r="E1242" s="1"/>
      <c r="F1242" s="1" t="s">
        <v>11</v>
      </c>
      <c r="G1242">
        <v>5</v>
      </c>
      <c r="H1242">
        <v>5</v>
      </c>
      <c r="I1242" s="2"/>
      <c r="J1242" s="2">
        <v>45728</v>
      </c>
      <c r="K1242" s="2">
        <v>45730</v>
      </c>
    </row>
    <row r="1243" spans="1:11" x14ac:dyDescent="0.25">
      <c r="A1243" s="1" t="s">
        <v>300</v>
      </c>
      <c r="B1243" s="1" t="s">
        <v>1365</v>
      </c>
      <c r="C1243" s="1" t="s">
        <v>2315</v>
      </c>
      <c r="D1243" s="1" t="s">
        <v>1998</v>
      </c>
      <c r="E1243" s="1"/>
      <c r="F1243" s="1" t="s">
        <v>11</v>
      </c>
      <c r="G1243">
        <v>40</v>
      </c>
      <c r="H1243">
        <v>1</v>
      </c>
      <c r="I1243" s="2"/>
      <c r="J1243" s="2">
        <v>45734</v>
      </c>
      <c r="K1243" s="2">
        <v>45769</v>
      </c>
    </row>
    <row r="1244" spans="1:11" x14ac:dyDescent="0.25">
      <c r="A1244" s="1" t="s">
        <v>300</v>
      </c>
      <c r="B1244" s="1" t="s">
        <v>1366</v>
      </c>
      <c r="C1244" s="1" t="s">
        <v>2316</v>
      </c>
      <c r="D1244" s="1" t="s">
        <v>1998</v>
      </c>
      <c r="E1244" s="1"/>
      <c r="F1244" s="1" t="s">
        <v>11</v>
      </c>
      <c r="G1244">
        <v>50</v>
      </c>
      <c r="H1244">
        <v>1</v>
      </c>
      <c r="I1244" s="2"/>
      <c r="J1244" s="2">
        <v>45734</v>
      </c>
      <c r="K1244" s="2">
        <v>45769</v>
      </c>
    </row>
    <row r="1245" spans="1:11" x14ac:dyDescent="0.25">
      <c r="A1245" s="1" t="s">
        <v>300</v>
      </c>
      <c r="B1245" s="1" t="s">
        <v>1367</v>
      </c>
      <c r="C1245" s="1" t="s">
        <v>2317</v>
      </c>
      <c r="D1245" s="1" t="s">
        <v>1998</v>
      </c>
      <c r="E1245" s="1"/>
      <c r="F1245" s="1" t="s">
        <v>11</v>
      </c>
      <c r="G1245">
        <v>1</v>
      </c>
      <c r="H1245">
        <v>1</v>
      </c>
      <c r="I1245" s="2"/>
      <c r="J1245" s="2">
        <v>45734</v>
      </c>
      <c r="K1245" s="2">
        <v>45769</v>
      </c>
    </row>
    <row r="1246" spans="1:11" x14ac:dyDescent="0.25">
      <c r="A1246" s="1" t="s">
        <v>300</v>
      </c>
      <c r="B1246" s="1" t="s">
        <v>1234</v>
      </c>
      <c r="C1246" s="1" t="s">
        <v>2218</v>
      </c>
      <c r="D1246" s="1" t="s">
        <v>1998</v>
      </c>
      <c r="E1246" s="1"/>
      <c r="F1246" s="1" t="s">
        <v>11</v>
      </c>
      <c r="G1246">
        <v>1</v>
      </c>
      <c r="H1246">
        <v>1</v>
      </c>
      <c r="I1246" s="2"/>
      <c r="J1246" s="2">
        <v>45734</v>
      </c>
      <c r="K1246" s="2">
        <v>45769</v>
      </c>
    </row>
    <row r="1247" spans="1:11" x14ac:dyDescent="0.25">
      <c r="A1247" s="1" t="s">
        <v>301</v>
      </c>
      <c r="B1247" s="1" t="s">
        <v>1041</v>
      </c>
      <c r="C1247" s="1" t="s">
        <v>2051</v>
      </c>
      <c r="D1247" s="1" t="s">
        <v>1998</v>
      </c>
      <c r="E1247" s="1"/>
      <c r="F1247" s="1" t="s">
        <v>11</v>
      </c>
      <c r="G1247">
        <v>75</v>
      </c>
      <c r="H1247">
        <v>75</v>
      </c>
      <c r="I1247" s="2"/>
      <c r="J1247" s="2">
        <v>45722</v>
      </c>
      <c r="K1247" s="2">
        <v>45750</v>
      </c>
    </row>
    <row r="1248" spans="1:11" x14ac:dyDescent="0.25">
      <c r="A1248" s="1" t="s">
        <v>301</v>
      </c>
      <c r="B1248" s="1" t="s">
        <v>1042</v>
      </c>
      <c r="C1248" s="1" t="s">
        <v>2052</v>
      </c>
      <c r="D1248" s="1" t="s">
        <v>1998</v>
      </c>
      <c r="E1248" s="1"/>
      <c r="F1248" s="1" t="s">
        <v>11</v>
      </c>
      <c r="G1248">
        <v>1220</v>
      </c>
      <c r="H1248">
        <v>1220</v>
      </c>
      <c r="I1248" s="2"/>
      <c r="J1248" s="2">
        <v>45722</v>
      </c>
      <c r="K1248" s="2">
        <v>45750</v>
      </c>
    </row>
    <row r="1249" spans="1:11" x14ac:dyDescent="0.25">
      <c r="A1249" s="1" t="s">
        <v>301</v>
      </c>
      <c r="B1249" s="1" t="s">
        <v>1043</v>
      </c>
      <c r="C1249" s="1" t="s">
        <v>2053</v>
      </c>
      <c r="D1249" s="1" t="s">
        <v>1998</v>
      </c>
      <c r="E1249" s="1"/>
      <c r="F1249" s="1" t="s">
        <v>11</v>
      </c>
      <c r="G1249">
        <v>1215</v>
      </c>
      <c r="H1249">
        <v>1215</v>
      </c>
      <c r="I1249" s="2"/>
      <c r="J1249" s="2">
        <v>45722</v>
      </c>
      <c r="K1249" s="2">
        <v>45750</v>
      </c>
    </row>
    <row r="1250" spans="1:11" x14ac:dyDescent="0.25">
      <c r="A1250" s="1" t="s">
        <v>301</v>
      </c>
      <c r="B1250" s="1" t="s">
        <v>1044</v>
      </c>
      <c r="C1250" s="1" t="s">
        <v>2027</v>
      </c>
      <c r="D1250" s="1" t="s">
        <v>1998</v>
      </c>
      <c r="E1250" s="1"/>
      <c r="F1250" s="1" t="s">
        <v>11</v>
      </c>
      <c r="G1250">
        <v>850</v>
      </c>
      <c r="H1250">
        <v>850</v>
      </c>
      <c r="I1250" s="2"/>
      <c r="J1250" s="2">
        <v>45722</v>
      </c>
      <c r="K1250" s="2">
        <v>45750</v>
      </c>
    </row>
    <row r="1251" spans="1:11" x14ac:dyDescent="0.25">
      <c r="A1251" s="1" t="s">
        <v>301</v>
      </c>
      <c r="B1251" s="1" t="s">
        <v>1045</v>
      </c>
      <c r="C1251" s="1" t="s">
        <v>2054</v>
      </c>
      <c r="D1251" s="1" t="s">
        <v>1998</v>
      </c>
      <c r="E1251" s="1"/>
      <c r="F1251" s="1" t="s">
        <v>11</v>
      </c>
      <c r="G1251">
        <v>830</v>
      </c>
      <c r="H1251">
        <v>830</v>
      </c>
      <c r="I1251" s="2"/>
      <c r="J1251" s="2">
        <v>45722</v>
      </c>
      <c r="K1251" s="2">
        <v>45750</v>
      </c>
    </row>
    <row r="1252" spans="1:11" x14ac:dyDescent="0.25">
      <c r="A1252" s="1" t="s">
        <v>301</v>
      </c>
      <c r="B1252" s="1" t="s">
        <v>1012</v>
      </c>
      <c r="C1252" s="1" t="s">
        <v>2029</v>
      </c>
      <c r="D1252" s="1" t="s">
        <v>1998</v>
      </c>
      <c r="E1252" s="1"/>
      <c r="F1252" s="1" t="s">
        <v>11</v>
      </c>
      <c r="G1252">
        <v>105</v>
      </c>
      <c r="H1252">
        <v>105</v>
      </c>
      <c r="I1252" s="2"/>
      <c r="J1252" s="2">
        <v>45722</v>
      </c>
      <c r="K1252" s="2">
        <v>45750</v>
      </c>
    </row>
    <row r="1253" spans="1:11" x14ac:dyDescent="0.25">
      <c r="A1253" s="1" t="s">
        <v>301</v>
      </c>
      <c r="B1253" s="1" t="s">
        <v>1046</v>
      </c>
      <c r="C1253" s="1" t="s">
        <v>2055</v>
      </c>
      <c r="D1253" s="1" t="s">
        <v>1998</v>
      </c>
      <c r="E1253" s="1"/>
      <c r="F1253" s="1" t="s">
        <v>11</v>
      </c>
      <c r="G1253">
        <v>10</v>
      </c>
      <c r="H1253">
        <v>10</v>
      </c>
      <c r="I1253" s="2"/>
      <c r="J1253" s="2">
        <v>45722</v>
      </c>
      <c r="K1253" s="2">
        <v>45750</v>
      </c>
    </row>
    <row r="1254" spans="1:11" x14ac:dyDescent="0.25">
      <c r="A1254" s="1" t="s">
        <v>301</v>
      </c>
      <c r="B1254" s="1" t="s">
        <v>1013</v>
      </c>
      <c r="C1254" s="1" t="s">
        <v>2030</v>
      </c>
      <c r="D1254" s="1" t="s">
        <v>1998</v>
      </c>
      <c r="E1254" s="1"/>
      <c r="F1254" s="1" t="s">
        <v>11</v>
      </c>
      <c r="G1254">
        <v>75</v>
      </c>
      <c r="H1254">
        <v>75</v>
      </c>
      <c r="I1254" s="2"/>
      <c r="J1254" s="2">
        <v>45722</v>
      </c>
      <c r="K1254" s="2">
        <v>45750</v>
      </c>
    </row>
    <row r="1255" spans="1:11" x14ac:dyDescent="0.25">
      <c r="A1255" s="1" t="s">
        <v>301</v>
      </c>
      <c r="B1255" s="1" t="s">
        <v>993</v>
      </c>
      <c r="C1255" s="1" t="s">
        <v>2011</v>
      </c>
      <c r="D1255" s="1" t="s">
        <v>1998</v>
      </c>
      <c r="E1255" s="1"/>
      <c r="F1255" s="1" t="s">
        <v>11</v>
      </c>
      <c r="G1255">
        <v>25</v>
      </c>
      <c r="H1255">
        <v>25</v>
      </c>
      <c r="I1255" s="2"/>
      <c r="J1255" s="2">
        <v>45722</v>
      </c>
      <c r="K1255" s="2">
        <v>45750</v>
      </c>
    </row>
    <row r="1256" spans="1:11" x14ac:dyDescent="0.25">
      <c r="A1256" s="1" t="s">
        <v>302</v>
      </c>
      <c r="B1256" s="1" t="s">
        <v>1349</v>
      </c>
      <c r="C1256" s="1" t="s">
        <v>2302</v>
      </c>
      <c r="D1256" s="1" t="s">
        <v>1998</v>
      </c>
      <c r="E1256" s="1"/>
      <c r="F1256" s="1" t="s">
        <v>11</v>
      </c>
      <c r="G1256">
        <v>100</v>
      </c>
      <c r="H1256">
        <v>130</v>
      </c>
      <c r="I1256" s="2"/>
      <c r="J1256" s="2">
        <v>45726</v>
      </c>
      <c r="K1256" s="2">
        <v>45729</v>
      </c>
    </row>
    <row r="1257" spans="1:11" x14ac:dyDescent="0.25">
      <c r="A1257" s="1" t="s">
        <v>302</v>
      </c>
      <c r="B1257" s="1" t="s">
        <v>1350</v>
      </c>
      <c r="C1257" s="1" t="s">
        <v>2303</v>
      </c>
      <c r="D1257" s="1" t="s">
        <v>1998</v>
      </c>
      <c r="E1257" s="1"/>
      <c r="F1257" s="1" t="s">
        <v>11</v>
      </c>
      <c r="G1257">
        <v>730</v>
      </c>
      <c r="H1257">
        <v>710</v>
      </c>
      <c r="I1257" s="2"/>
      <c r="J1257" s="2">
        <v>45726</v>
      </c>
      <c r="K1257" s="2">
        <v>45729</v>
      </c>
    </row>
    <row r="1258" spans="1:11" x14ac:dyDescent="0.25">
      <c r="A1258" s="1" t="s">
        <v>302</v>
      </c>
      <c r="B1258" s="1" t="s">
        <v>1206</v>
      </c>
      <c r="C1258" s="1" t="s">
        <v>2196</v>
      </c>
      <c r="D1258" s="1" t="s">
        <v>1998</v>
      </c>
      <c r="E1258" s="1"/>
      <c r="F1258" s="1" t="s">
        <v>11</v>
      </c>
      <c r="G1258">
        <v>1</v>
      </c>
      <c r="H1258">
        <v>1</v>
      </c>
      <c r="I1258" s="2"/>
      <c r="J1258" s="2">
        <v>45726</v>
      </c>
      <c r="K1258" s="2">
        <v>45729</v>
      </c>
    </row>
    <row r="1259" spans="1:11" x14ac:dyDescent="0.25">
      <c r="A1259" s="1" t="s">
        <v>302</v>
      </c>
      <c r="B1259" s="1" t="s">
        <v>1351</v>
      </c>
      <c r="C1259" s="1" t="s">
        <v>2304</v>
      </c>
      <c r="D1259" s="1" t="s">
        <v>1998</v>
      </c>
      <c r="E1259" s="1"/>
      <c r="F1259" s="1" t="s">
        <v>11</v>
      </c>
      <c r="G1259">
        <v>15</v>
      </c>
      <c r="H1259">
        <v>15</v>
      </c>
      <c r="I1259" s="2"/>
      <c r="J1259" s="2">
        <v>45726</v>
      </c>
      <c r="K1259" s="2">
        <v>45729</v>
      </c>
    </row>
    <row r="1260" spans="1:11" x14ac:dyDescent="0.25">
      <c r="A1260" s="1" t="s">
        <v>303</v>
      </c>
      <c r="B1260" s="1" t="s">
        <v>1349</v>
      </c>
      <c r="C1260" s="1" t="s">
        <v>2302</v>
      </c>
      <c r="D1260" s="1" t="s">
        <v>1998</v>
      </c>
      <c r="E1260" s="1"/>
      <c r="F1260" s="1" t="s">
        <v>11</v>
      </c>
      <c r="G1260">
        <v>100</v>
      </c>
      <c r="H1260">
        <v>130</v>
      </c>
      <c r="I1260" s="2"/>
      <c r="J1260" s="2">
        <v>45726</v>
      </c>
      <c r="K1260" s="2">
        <v>45729</v>
      </c>
    </row>
    <row r="1261" spans="1:11" x14ac:dyDescent="0.25">
      <c r="A1261" s="1" t="s">
        <v>303</v>
      </c>
      <c r="B1261" s="1" t="s">
        <v>1350</v>
      </c>
      <c r="C1261" s="1" t="s">
        <v>2303</v>
      </c>
      <c r="D1261" s="1" t="s">
        <v>1998</v>
      </c>
      <c r="E1261" s="1"/>
      <c r="F1261" s="1" t="s">
        <v>11</v>
      </c>
      <c r="G1261">
        <v>730</v>
      </c>
      <c r="H1261">
        <v>710</v>
      </c>
      <c r="I1261" s="2"/>
      <c r="J1261" s="2">
        <v>45726</v>
      </c>
      <c r="K1261" s="2">
        <v>45729</v>
      </c>
    </row>
    <row r="1262" spans="1:11" x14ac:dyDescent="0.25">
      <c r="A1262" s="1" t="s">
        <v>303</v>
      </c>
      <c r="B1262" s="1" t="s">
        <v>1206</v>
      </c>
      <c r="C1262" s="1" t="s">
        <v>2196</v>
      </c>
      <c r="D1262" s="1" t="s">
        <v>1998</v>
      </c>
      <c r="E1262" s="1"/>
      <c r="F1262" s="1" t="s">
        <v>11</v>
      </c>
      <c r="G1262">
        <v>1</v>
      </c>
      <c r="H1262">
        <v>1</v>
      </c>
      <c r="I1262" s="2"/>
      <c r="J1262" s="2">
        <v>45726</v>
      </c>
      <c r="K1262" s="2">
        <v>45729</v>
      </c>
    </row>
    <row r="1263" spans="1:11" x14ac:dyDescent="0.25">
      <c r="A1263" s="1" t="s">
        <v>303</v>
      </c>
      <c r="B1263" s="1" t="s">
        <v>1351</v>
      </c>
      <c r="C1263" s="1" t="s">
        <v>2304</v>
      </c>
      <c r="D1263" s="1" t="s">
        <v>1998</v>
      </c>
      <c r="E1263" s="1"/>
      <c r="F1263" s="1" t="s">
        <v>11</v>
      </c>
      <c r="G1263">
        <v>15</v>
      </c>
      <c r="H1263">
        <v>15</v>
      </c>
      <c r="I1263" s="2"/>
      <c r="J1263" s="2">
        <v>45726</v>
      </c>
      <c r="K1263" s="2">
        <v>45729</v>
      </c>
    </row>
    <row r="1264" spans="1:11" x14ac:dyDescent="0.25">
      <c r="A1264" s="1" t="s">
        <v>304</v>
      </c>
      <c r="B1264" s="1" t="s">
        <v>1016</v>
      </c>
      <c r="C1264" s="1" t="s">
        <v>2033</v>
      </c>
      <c r="D1264" s="1" t="s">
        <v>1998</v>
      </c>
      <c r="E1264" s="1"/>
      <c r="F1264" s="1" t="s">
        <v>11</v>
      </c>
      <c r="G1264">
        <v>75</v>
      </c>
      <c r="H1264">
        <v>50</v>
      </c>
      <c r="I1264" s="2"/>
      <c r="J1264" s="2">
        <v>45723</v>
      </c>
      <c r="K1264" s="2">
        <v>45755</v>
      </c>
    </row>
    <row r="1265" spans="1:11" x14ac:dyDescent="0.25">
      <c r="A1265" s="1" t="s">
        <v>304</v>
      </c>
      <c r="B1265" s="1" t="s">
        <v>1017</v>
      </c>
      <c r="C1265" s="1" t="s">
        <v>2034</v>
      </c>
      <c r="D1265" s="1" t="s">
        <v>1998</v>
      </c>
      <c r="E1265" s="1"/>
      <c r="F1265" s="1" t="s">
        <v>11</v>
      </c>
      <c r="G1265">
        <v>200</v>
      </c>
      <c r="H1265">
        <v>200</v>
      </c>
      <c r="I1265" s="2"/>
      <c r="J1265" s="2">
        <v>45723</v>
      </c>
      <c r="K1265" s="2">
        <v>45755</v>
      </c>
    </row>
    <row r="1266" spans="1:11" x14ac:dyDescent="0.25">
      <c r="A1266" s="1" t="s">
        <v>304</v>
      </c>
      <c r="B1266" s="1" t="s">
        <v>1018</v>
      </c>
      <c r="C1266" s="1" t="s">
        <v>2035</v>
      </c>
      <c r="D1266" s="1" t="s">
        <v>1998</v>
      </c>
      <c r="E1266" s="1"/>
      <c r="F1266" s="1" t="s">
        <v>11</v>
      </c>
      <c r="G1266">
        <v>885</v>
      </c>
      <c r="H1266">
        <v>945</v>
      </c>
      <c r="I1266" s="2"/>
      <c r="J1266" s="2">
        <v>45723</v>
      </c>
      <c r="K1266" s="2">
        <v>45755</v>
      </c>
    </row>
    <row r="1267" spans="1:11" x14ac:dyDescent="0.25">
      <c r="A1267" s="1" t="s">
        <v>304</v>
      </c>
      <c r="B1267" s="1" t="s">
        <v>999</v>
      </c>
      <c r="C1267" s="1" t="s">
        <v>2017</v>
      </c>
      <c r="D1267" s="1" t="s">
        <v>1998</v>
      </c>
      <c r="E1267" s="1"/>
      <c r="F1267" s="1" t="s">
        <v>11</v>
      </c>
      <c r="G1267">
        <v>1</v>
      </c>
      <c r="H1267">
        <v>1</v>
      </c>
      <c r="I1267" s="2"/>
      <c r="J1267" s="2">
        <v>45723</v>
      </c>
      <c r="K1267" s="2">
        <v>45755</v>
      </c>
    </row>
    <row r="1268" spans="1:11" x14ac:dyDescent="0.25">
      <c r="A1268" s="1" t="s">
        <v>304</v>
      </c>
      <c r="B1268" s="1" t="s">
        <v>1000</v>
      </c>
      <c r="C1268" s="1" t="s">
        <v>2018</v>
      </c>
      <c r="D1268" s="1" t="s">
        <v>1998</v>
      </c>
      <c r="E1268" s="1"/>
      <c r="F1268" s="1" t="s">
        <v>11</v>
      </c>
      <c r="G1268">
        <v>5</v>
      </c>
      <c r="H1268">
        <v>5</v>
      </c>
      <c r="I1268" s="2"/>
      <c r="J1268" s="2">
        <v>45723</v>
      </c>
      <c r="K1268" s="2">
        <v>45755</v>
      </c>
    </row>
    <row r="1269" spans="1:11" x14ac:dyDescent="0.25">
      <c r="A1269" s="1" t="s">
        <v>304</v>
      </c>
      <c r="B1269" s="1" t="s">
        <v>1001</v>
      </c>
      <c r="C1269" s="1" t="s">
        <v>2019</v>
      </c>
      <c r="D1269" s="1" t="s">
        <v>1998</v>
      </c>
      <c r="E1269" s="1"/>
      <c r="F1269" s="1" t="s">
        <v>11</v>
      </c>
      <c r="G1269">
        <v>5</v>
      </c>
      <c r="H1269">
        <v>5</v>
      </c>
      <c r="I1269" s="2"/>
      <c r="J1269" s="2">
        <v>45723</v>
      </c>
      <c r="K1269" s="2">
        <v>45755</v>
      </c>
    </row>
    <row r="1270" spans="1:11" x14ac:dyDescent="0.25">
      <c r="A1270" s="1" t="s">
        <v>304</v>
      </c>
      <c r="B1270" s="1" t="s">
        <v>1019</v>
      </c>
      <c r="C1270" s="1" t="s">
        <v>2036</v>
      </c>
      <c r="D1270" s="1" t="s">
        <v>1998</v>
      </c>
      <c r="E1270" s="1"/>
      <c r="F1270" s="1" t="s">
        <v>11</v>
      </c>
      <c r="G1270">
        <v>3135</v>
      </c>
      <c r="H1270">
        <v>3135</v>
      </c>
      <c r="I1270" s="2"/>
      <c r="J1270" s="2">
        <v>45723</v>
      </c>
      <c r="K1270" s="2">
        <v>45755</v>
      </c>
    </row>
    <row r="1271" spans="1:11" x14ac:dyDescent="0.25">
      <c r="A1271" s="1" t="s">
        <v>304</v>
      </c>
      <c r="B1271" s="1" t="s">
        <v>1020</v>
      </c>
      <c r="C1271" s="1" t="s">
        <v>2037</v>
      </c>
      <c r="D1271" s="1" t="s">
        <v>1998</v>
      </c>
      <c r="E1271" s="1"/>
      <c r="F1271" s="1" t="s">
        <v>11</v>
      </c>
      <c r="G1271">
        <v>8375</v>
      </c>
      <c r="H1271">
        <v>8375</v>
      </c>
      <c r="I1271" s="2"/>
      <c r="J1271" s="2">
        <v>45723</v>
      </c>
      <c r="K1271" s="2">
        <v>45755</v>
      </c>
    </row>
    <row r="1272" spans="1:11" x14ac:dyDescent="0.25">
      <c r="A1272" s="1" t="s">
        <v>305</v>
      </c>
      <c r="B1272" s="1" t="s">
        <v>995</v>
      </c>
      <c r="C1272" s="1" t="s">
        <v>2013</v>
      </c>
      <c r="D1272" s="1" t="s">
        <v>1998</v>
      </c>
      <c r="E1272" s="1"/>
      <c r="F1272" s="1" t="s">
        <v>11</v>
      </c>
      <c r="G1272">
        <v>100</v>
      </c>
      <c r="H1272">
        <v>1</v>
      </c>
      <c r="I1272" s="2"/>
      <c r="J1272" s="2">
        <v>45726</v>
      </c>
      <c r="K1272" s="2">
        <v>45783</v>
      </c>
    </row>
    <row r="1273" spans="1:11" x14ac:dyDescent="0.25">
      <c r="A1273" s="1" t="s">
        <v>305</v>
      </c>
      <c r="B1273" s="1" t="s">
        <v>1242</v>
      </c>
      <c r="C1273" s="1" t="s">
        <v>2224</v>
      </c>
      <c r="D1273" s="1" t="s">
        <v>1998</v>
      </c>
      <c r="E1273" s="1"/>
      <c r="F1273" s="1" t="s">
        <v>11</v>
      </c>
      <c r="G1273">
        <v>3500</v>
      </c>
      <c r="H1273">
        <v>3500</v>
      </c>
      <c r="I1273" s="2"/>
      <c r="J1273" s="2">
        <v>45726</v>
      </c>
      <c r="K1273" s="2">
        <v>45783</v>
      </c>
    </row>
    <row r="1274" spans="1:11" x14ac:dyDescent="0.25">
      <c r="A1274" s="1" t="s">
        <v>305</v>
      </c>
      <c r="B1274" s="1" t="s">
        <v>1243</v>
      </c>
      <c r="C1274" s="1" t="s">
        <v>2225</v>
      </c>
      <c r="D1274" s="1" t="s">
        <v>1998</v>
      </c>
      <c r="E1274" s="1"/>
      <c r="F1274" s="1" t="s">
        <v>11</v>
      </c>
      <c r="G1274">
        <v>3915</v>
      </c>
      <c r="H1274">
        <v>3915</v>
      </c>
      <c r="I1274" s="2"/>
      <c r="J1274" s="2">
        <v>45726</v>
      </c>
      <c r="K1274" s="2">
        <v>45783</v>
      </c>
    </row>
    <row r="1275" spans="1:11" x14ac:dyDescent="0.25">
      <c r="A1275" s="1" t="s">
        <v>305</v>
      </c>
      <c r="B1275" s="1" t="s">
        <v>1244</v>
      </c>
      <c r="C1275" s="1" t="s">
        <v>2226</v>
      </c>
      <c r="D1275" s="1" t="s">
        <v>1998</v>
      </c>
      <c r="E1275" s="1"/>
      <c r="F1275" s="1" t="s">
        <v>11</v>
      </c>
      <c r="G1275">
        <v>60</v>
      </c>
      <c r="H1275">
        <v>60</v>
      </c>
      <c r="I1275" s="2"/>
      <c r="J1275" s="2">
        <v>45726</v>
      </c>
      <c r="K1275" s="2">
        <v>45783</v>
      </c>
    </row>
    <row r="1276" spans="1:11" x14ac:dyDescent="0.25">
      <c r="A1276" s="1" t="s">
        <v>305</v>
      </c>
      <c r="B1276" s="1" t="s">
        <v>1368</v>
      </c>
      <c r="C1276" s="1" t="s">
        <v>2318</v>
      </c>
      <c r="D1276" s="1" t="s">
        <v>1998</v>
      </c>
      <c r="E1276" s="1"/>
      <c r="F1276" s="1" t="s">
        <v>11</v>
      </c>
      <c r="G1276">
        <v>275</v>
      </c>
      <c r="H1276">
        <v>275</v>
      </c>
      <c r="I1276" s="2"/>
      <c r="J1276" s="2">
        <v>45726</v>
      </c>
      <c r="K1276" s="2">
        <v>45783</v>
      </c>
    </row>
    <row r="1277" spans="1:11" x14ac:dyDescent="0.25">
      <c r="A1277" s="1" t="s">
        <v>305</v>
      </c>
      <c r="B1277" s="1" t="s">
        <v>999</v>
      </c>
      <c r="C1277" s="1" t="s">
        <v>2017</v>
      </c>
      <c r="D1277" s="1" t="s">
        <v>1998</v>
      </c>
      <c r="E1277" s="1"/>
      <c r="F1277" s="1" t="s">
        <v>11</v>
      </c>
      <c r="G1277">
        <v>1</v>
      </c>
      <c r="H1277">
        <v>1</v>
      </c>
      <c r="I1277" s="2"/>
      <c r="J1277" s="2">
        <v>45726</v>
      </c>
      <c r="K1277" s="2">
        <v>45783</v>
      </c>
    </row>
    <row r="1278" spans="1:11" x14ac:dyDescent="0.25">
      <c r="A1278" s="1" t="s">
        <v>305</v>
      </c>
      <c r="B1278" s="1" t="s">
        <v>1000</v>
      </c>
      <c r="C1278" s="1" t="s">
        <v>2018</v>
      </c>
      <c r="D1278" s="1" t="s">
        <v>1998</v>
      </c>
      <c r="E1278" s="1"/>
      <c r="F1278" s="1" t="s">
        <v>11</v>
      </c>
      <c r="G1278">
        <v>1</v>
      </c>
      <c r="H1278">
        <v>1</v>
      </c>
      <c r="I1278" s="2"/>
      <c r="J1278" s="2">
        <v>45726</v>
      </c>
      <c r="K1278" s="2">
        <v>45783</v>
      </c>
    </row>
    <row r="1279" spans="1:11" x14ac:dyDescent="0.25">
      <c r="A1279" s="1" t="s">
        <v>305</v>
      </c>
      <c r="B1279" s="1" t="s">
        <v>1001</v>
      </c>
      <c r="C1279" s="1" t="s">
        <v>2019</v>
      </c>
      <c r="D1279" s="1" t="s">
        <v>1998</v>
      </c>
      <c r="E1279" s="1"/>
      <c r="F1279" s="1" t="s">
        <v>11</v>
      </c>
      <c r="G1279">
        <v>1</v>
      </c>
      <c r="H1279">
        <v>1</v>
      </c>
      <c r="I1279" s="2"/>
      <c r="J1279" s="2">
        <v>45726</v>
      </c>
      <c r="K1279" s="2">
        <v>45783</v>
      </c>
    </row>
    <row r="1280" spans="1:11" x14ac:dyDescent="0.25">
      <c r="A1280" s="1" t="s">
        <v>306</v>
      </c>
      <c r="B1280" s="1" t="s">
        <v>1369</v>
      </c>
      <c r="C1280" s="1" t="s">
        <v>2319</v>
      </c>
      <c r="D1280" s="1" t="s">
        <v>1998</v>
      </c>
      <c r="E1280" s="1"/>
      <c r="F1280" s="1" t="s">
        <v>11</v>
      </c>
      <c r="G1280">
        <v>10</v>
      </c>
      <c r="H1280">
        <v>15</v>
      </c>
      <c r="I1280" s="2"/>
      <c r="J1280" s="2">
        <v>45729</v>
      </c>
      <c r="K1280" s="2">
        <v>45737</v>
      </c>
    </row>
    <row r="1281" spans="1:11" x14ac:dyDescent="0.25">
      <c r="A1281" s="1" t="s">
        <v>306</v>
      </c>
      <c r="B1281" s="1" t="s">
        <v>1369</v>
      </c>
      <c r="C1281" s="1" t="s">
        <v>2319</v>
      </c>
      <c r="D1281" s="1" t="s">
        <v>1998</v>
      </c>
      <c r="E1281" s="1"/>
      <c r="F1281" s="1" t="s">
        <v>11</v>
      </c>
      <c r="G1281">
        <v>15</v>
      </c>
      <c r="H1281">
        <v>15</v>
      </c>
      <c r="I1281" s="2"/>
      <c r="J1281" s="2">
        <v>45729</v>
      </c>
      <c r="K1281" s="2">
        <v>45737</v>
      </c>
    </row>
    <row r="1282" spans="1:11" x14ac:dyDescent="0.25">
      <c r="A1282" s="1" t="s">
        <v>307</v>
      </c>
      <c r="B1282" s="1" t="s">
        <v>1370</v>
      </c>
      <c r="C1282" s="1" t="s">
        <v>2320</v>
      </c>
      <c r="D1282" s="1" t="s">
        <v>1998</v>
      </c>
      <c r="E1282" s="1"/>
      <c r="F1282" s="1" t="s">
        <v>11</v>
      </c>
      <c r="G1282">
        <v>80</v>
      </c>
      <c r="H1282">
        <v>80</v>
      </c>
      <c r="I1282" s="2"/>
      <c r="J1282" s="2">
        <v>45728</v>
      </c>
      <c r="K1282" s="2">
        <v>45779</v>
      </c>
    </row>
    <row r="1283" spans="1:11" x14ac:dyDescent="0.25">
      <c r="A1283" s="1" t="s">
        <v>307</v>
      </c>
      <c r="B1283" s="1" t="s">
        <v>1370</v>
      </c>
      <c r="C1283" s="1" t="s">
        <v>2320</v>
      </c>
      <c r="D1283" s="1" t="s">
        <v>1998</v>
      </c>
      <c r="E1283" s="1"/>
      <c r="F1283" s="1" t="s">
        <v>11</v>
      </c>
      <c r="G1283">
        <v>30</v>
      </c>
      <c r="H1283">
        <v>70</v>
      </c>
      <c r="I1283" s="2"/>
      <c r="J1283" s="2">
        <v>45728</v>
      </c>
      <c r="K1283" s="2">
        <v>45779</v>
      </c>
    </row>
    <row r="1284" spans="1:11" x14ac:dyDescent="0.25">
      <c r="A1284" s="1" t="s">
        <v>307</v>
      </c>
      <c r="B1284" s="1" t="s">
        <v>1027</v>
      </c>
      <c r="C1284" s="1" t="s">
        <v>2040</v>
      </c>
      <c r="D1284" s="1" t="s">
        <v>1998</v>
      </c>
      <c r="E1284" s="1"/>
      <c r="F1284" s="1" t="s">
        <v>12</v>
      </c>
      <c r="G1284">
        <v>1</v>
      </c>
      <c r="H1284">
        <v>40</v>
      </c>
      <c r="I1284" s="2"/>
      <c r="J1284" s="2">
        <v>45728</v>
      </c>
      <c r="K1284" s="2">
        <v>45779</v>
      </c>
    </row>
    <row r="1285" spans="1:11" x14ac:dyDescent="0.25">
      <c r="A1285" s="1" t="s">
        <v>307</v>
      </c>
      <c r="B1285" s="1" t="s">
        <v>1013</v>
      </c>
      <c r="C1285" s="1" t="s">
        <v>2030</v>
      </c>
      <c r="D1285" s="1" t="s">
        <v>1998</v>
      </c>
      <c r="E1285" s="1"/>
      <c r="F1285" s="1" t="s">
        <v>12</v>
      </c>
      <c r="G1285">
        <v>1</v>
      </c>
      <c r="H1285">
        <v>15</v>
      </c>
      <c r="I1285" s="2"/>
      <c r="J1285" s="2">
        <v>45728</v>
      </c>
      <c r="K1285" s="2">
        <v>45779</v>
      </c>
    </row>
    <row r="1286" spans="1:11" x14ac:dyDescent="0.25">
      <c r="A1286" s="1" t="s">
        <v>307</v>
      </c>
      <c r="B1286" s="1" t="s">
        <v>1263</v>
      </c>
      <c r="C1286" s="1" t="s">
        <v>2223</v>
      </c>
      <c r="D1286" s="1" t="s">
        <v>1998</v>
      </c>
      <c r="E1286" s="1"/>
      <c r="F1286" s="1" t="s">
        <v>11</v>
      </c>
      <c r="G1286">
        <v>55</v>
      </c>
      <c r="H1286">
        <v>55</v>
      </c>
      <c r="I1286" s="2"/>
      <c r="J1286" s="2">
        <v>45728</v>
      </c>
      <c r="K1286" s="2">
        <v>45779</v>
      </c>
    </row>
    <row r="1287" spans="1:11" x14ac:dyDescent="0.25">
      <c r="A1287" s="1" t="s">
        <v>308</v>
      </c>
      <c r="B1287" s="1" t="s">
        <v>1008</v>
      </c>
      <c r="C1287" s="1" t="s">
        <v>2014</v>
      </c>
      <c r="D1287" s="1" t="s">
        <v>1998</v>
      </c>
      <c r="E1287" s="1"/>
      <c r="F1287" s="1" t="s">
        <v>11</v>
      </c>
      <c r="G1287">
        <v>1890</v>
      </c>
      <c r="H1287">
        <v>2205</v>
      </c>
      <c r="I1287" s="2"/>
      <c r="J1287" s="2">
        <v>45723</v>
      </c>
      <c r="K1287" s="2">
        <v>45764</v>
      </c>
    </row>
    <row r="1288" spans="1:11" x14ac:dyDescent="0.25">
      <c r="A1288" s="1" t="s">
        <v>308</v>
      </c>
      <c r="B1288" s="1" t="s">
        <v>1008</v>
      </c>
      <c r="C1288" s="1" t="s">
        <v>2014</v>
      </c>
      <c r="D1288" s="1" t="s">
        <v>1998</v>
      </c>
      <c r="E1288" s="1"/>
      <c r="F1288" s="1" t="s">
        <v>11</v>
      </c>
      <c r="G1288">
        <v>505</v>
      </c>
      <c r="H1288">
        <v>275</v>
      </c>
      <c r="I1288" s="2"/>
      <c r="J1288" s="2">
        <v>45723</v>
      </c>
      <c r="K1288" s="2">
        <v>45764</v>
      </c>
    </row>
    <row r="1289" spans="1:11" x14ac:dyDescent="0.25">
      <c r="A1289" s="1" t="s">
        <v>308</v>
      </c>
      <c r="B1289" s="1" t="s">
        <v>1009</v>
      </c>
      <c r="C1289" s="1" t="s">
        <v>2026</v>
      </c>
      <c r="D1289" s="1" t="s">
        <v>1998</v>
      </c>
      <c r="E1289" s="1"/>
      <c r="F1289" s="1" t="s">
        <v>11</v>
      </c>
      <c r="G1289">
        <v>2605</v>
      </c>
      <c r="H1289">
        <v>2605</v>
      </c>
      <c r="I1289" s="2"/>
      <c r="J1289" s="2">
        <v>45723</v>
      </c>
      <c r="K1289" s="2">
        <v>45764</v>
      </c>
    </row>
    <row r="1290" spans="1:11" x14ac:dyDescent="0.25">
      <c r="A1290" s="1" t="s">
        <v>308</v>
      </c>
      <c r="B1290" s="1" t="s">
        <v>1010</v>
      </c>
      <c r="C1290" s="1" t="s">
        <v>2027</v>
      </c>
      <c r="D1290" s="1" t="s">
        <v>1998</v>
      </c>
      <c r="E1290" s="1"/>
      <c r="F1290" s="1" t="s">
        <v>11</v>
      </c>
      <c r="G1290">
        <v>1100</v>
      </c>
      <c r="H1290">
        <v>1100</v>
      </c>
      <c r="I1290" s="2"/>
      <c r="J1290" s="2">
        <v>45723</v>
      </c>
      <c r="K1290" s="2">
        <v>45764</v>
      </c>
    </row>
    <row r="1291" spans="1:11" x14ac:dyDescent="0.25">
      <c r="A1291" s="1" t="s">
        <v>308</v>
      </c>
      <c r="B1291" s="1" t="s">
        <v>1011</v>
      </c>
      <c r="C1291" s="1" t="s">
        <v>2028</v>
      </c>
      <c r="D1291" s="1" t="s">
        <v>1998</v>
      </c>
      <c r="E1291" s="1"/>
      <c r="F1291" s="1" t="s">
        <v>11</v>
      </c>
      <c r="G1291">
        <v>645</v>
      </c>
      <c r="H1291">
        <v>790</v>
      </c>
      <c r="I1291" s="2"/>
      <c r="J1291" s="2">
        <v>45723</v>
      </c>
      <c r="K1291" s="2">
        <v>45764</v>
      </c>
    </row>
    <row r="1292" spans="1:11" x14ac:dyDescent="0.25">
      <c r="A1292" s="1" t="s">
        <v>308</v>
      </c>
      <c r="B1292" s="1" t="s">
        <v>1012</v>
      </c>
      <c r="C1292" s="1" t="s">
        <v>2029</v>
      </c>
      <c r="D1292" s="1" t="s">
        <v>1998</v>
      </c>
      <c r="E1292" s="1"/>
      <c r="F1292" s="1" t="s">
        <v>11</v>
      </c>
      <c r="G1292">
        <v>295</v>
      </c>
      <c r="H1292">
        <v>345</v>
      </c>
      <c r="I1292" s="2"/>
      <c r="J1292" s="2">
        <v>45723</v>
      </c>
      <c r="K1292" s="2">
        <v>45764</v>
      </c>
    </row>
    <row r="1293" spans="1:11" x14ac:dyDescent="0.25">
      <c r="A1293" s="1" t="s">
        <v>308</v>
      </c>
      <c r="B1293" s="1" t="s">
        <v>1013</v>
      </c>
      <c r="C1293" s="1" t="s">
        <v>2030</v>
      </c>
      <c r="D1293" s="1" t="s">
        <v>1998</v>
      </c>
      <c r="E1293" s="1"/>
      <c r="F1293" s="1" t="s">
        <v>11</v>
      </c>
      <c r="G1293">
        <v>55</v>
      </c>
      <c r="H1293">
        <v>65</v>
      </c>
      <c r="I1293" s="2"/>
      <c r="J1293" s="2">
        <v>45723</v>
      </c>
      <c r="K1293" s="2">
        <v>45764</v>
      </c>
    </row>
    <row r="1294" spans="1:11" x14ac:dyDescent="0.25">
      <c r="A1294" s="1" t="s">
        <v>308</v>
      </c>
      <c r="B1294" s="1" t="s">
        <v>993</v>
      </c>
      <c r="C1294" s="1" t="s">
        <v>2011</v>
      </c>
      <c r="D1294" s="1" t="s">
        <v>1998</v>
      </c>
      <c r="E1294" s="1"/>
      <c r="F1294" s="1" t="s">
        <v>11</v>
      </c>
      <c r="G1294">
        <v>20</v>
      </c>
      <c r="H1294">
        <v>25</v>
      </c>
      <c r="I1294" s="2"/>
      <c r="J1294" s="2">
        <v>45723</v>
      </c>
      <c r="K1294" s="2">
        <v>45764</v>
      </c>
    </row>
    <row r="1295" spans="1:11" x14ac:dyDescent="0.25">
      <c r="A1295" s="1" t="s">
        <v>309</v>
      </c>
      <c r="B1295" s="1" t="s">
        <v>1371</v>
      </c>
      <c r="C1295" s="1" t="s">
        <v>2321</v>
      </c>
      <c r="D1295" s="1" t="s">
        <v>1998</v>
      </c>
      <c r="E1295" s="1"/>
      <c r="F1295" s="1" t="s">
        <v>11</v>
      </c>
      <c r="G1295">
        <v>1080</v>
      </c>
      <c r="H1295">
        <v>1120</v>
      </c>
      <c r="I1295" s="2"/>
      <c r="J1295" s="2">
        <v>45723</v>
      </c>
      <c r="K1295" s="2">
        <v>45756</v>
      </c>
    </row>
    <row r="1296" spans="1:11" x14ac:dyDescent="0.25">
      <c r="A1296" s="1" t="s">
        <v>309</v>
      </c>
      <c r="B1296" s="1" t="s">
        <v>1372</v>
      </c>
      <c r="C1296" s="1" t="s">
        <v>2322</v>
      </c>
      <c r="D1296" s="1" t="s">
        <v>1998</v>
      </c>
      <c r="E1296" s="1"/>
      <c r="F1296" s="1" t="s">
        <v>11</v>
      </c>
      <c r="G1296">
        <v>45</v>
      </c>
      <c r="H1296">
        <v>45</v>
      </c>
      <c r="I1296" s="2"/>
      <c r="J1296" s="2">
        <v>45723</v>
      </c>
      <c r="K1296" s="2">
        <v>45756</v>
      </c>
    </row>
    <row r="1297" spans="1:11" x14ac:dyDescent="0.25">
      <c r="A1297" s="1" t="s">
        <v>309</v>
      </c>
      <c r="B1297" s="1" t="s">
        <v>1373</v>
      </c>
      <c r="C1297" s="1" t="s">
        <v>2323</v>
      </c>
      <c r="D1297" s="1" t="s">
        <v>1998</v>
      </c>
      <c r="E1297" s="1"/>
      <c r="F1297" s="1" t="s">
        <v>11</v>
      </c>
      <c r="G1297">
        <v>1395</v>
      </c>
      <c r="H1297">
        <v>1395</v>
      </c>
      <c r="I1297" s="2"/>
      <c r="J1297" s="2">
        <v>45723</v>
      </c>
      <c r="K1297" s="2">
        <v>45756</v>
      </c>
    </row>
    <row r="1298" spans="1:11" x14ac:dyDescent="0.25">
      <c r="A1298" s="1" t="s">
        <v>309</v>
      </c>
      <c r="B1298" s="1" t="s">
        <v>1374</v>
      </c>
      <c r="C1298" s="1" t="s">
        <v>2324</v>
      </c>
      <c r="D1298" s="1" t="s">
        <v>1998</v>
      </c>
      <c r="E1298" s="1"/>
      <c r="F1298" s="1" t="s">
        <v>11</v>
      </c>
      <c r="G1298">
        <v>120</v>
      </c>
      <c r="H1298">
        <v>165</v>
      </c>
      <c r="I1298" s="2"/>
      <c r="J1298" s="2">
        <v>45723</v>
      </c>
      <c r="K1298" s="2">
        <v>45756</v>
      </c>
    </row>
    <row r="1299" spans="1:11" x14ac:dyDescent="0.25">
      <c r="A1299" s="1" t="s">
        <v>309</v>
      </c>
      <c r="B1299" s="1" t="s">
        <v>1375</v>
      </c>
      <c r="C1299" s="1" t="s">
        <v>2325</v>
      </c>
      <c r="D1299" s="1" t="s">
        <v>1998</v>
      </c>
      <c r="E1299" s="1"/>
      <c r="F1299" s="1" t="s">
        <v>11</v>
      </c>
      <c r="G1299">
        <v>35</v>
      </c>
      <c r="H1299">
        <v>35</v>
      </c>
      <c r="I1299" s="2"/>
      <c r="J1299" s="2">
        <v>45723</v>
      </c>
      <c r="K1299" s="2">
        <v>45756</v>
      </c>
    </row>
    <row r="1300" spans="1:11" x14ac:dyDescent="0.25">
      <c r="A1300" s="1" t="s">
        <v>309</v>
      </c>
      <c r="B1300" s="1" t="s">
        <v>1376</v>
      </c>
      <c r="C1300" s="1" t="s">
        <v>2044</v>
      </c>
      <c r="D1300" s="1" t="s">
        <v>1998</v>
      </c>
      <c r="E1300" s="1"/>
      <c r="F1300" s="1" t="s">
        <v>11</v>
      </c>
      <c r="G1300">
        <v>1</v>
      </c>
      <c r="H1300">
        <v>1</v>
      </c>
      <c r="I1300" s="2"/>
      <c r="J1300" s="2">
        <v>45723</v>
      </c>
      <c r="K1300" s="2">
        <v>45756</v>
      </c>
    </row>
    <row r="1301" spans="1:11" x14ac:dyDescent="0.25">
      <c r="A1301" s="1" t="s">
        <v>309</v>
      </c>
      <c r="B1301" s="1" t="s">
        <v>991</v>
      </c>
      <c r="C1301" s="1" t="s">
        <v>2009</v>
      </c>
      <c r="D1301" s="1" t="s">
        <v>1998</v>
      </c>
      <c r="E1301" s="1"/>
      <c r="F1301" s="1" t="s">
        <v>12</v>
      </c>
      <c r="G1301">
        <v>1</v>
      </c>
      <c r="H1301">
        <v>30</v>
      </c>
      <c r="I1301" s="2"/>
      <c r="J1301" s="2">
        <v>45723</v>
      </c>
      <c r="K1301" s="2">
        <v>45756</v>
      </c>
    </row>
    <row r="1302" spans="1:11" x14ac:dyDescent="0.25">
      <c r="A1302" s="1" t="s">
        <v>309</v>
      </c>
      <c r="B1302" s="1" t="s">
        <v>991</v>
      </c>
      <c r="C1302" s="1" t="s">
        <v>2009</v>
      </c>
      <c r="D1302" s="1" t="s">
        <v>1998</v>
      </c>
      <c r="E1302" s="1"/>
      <c r="F1302" s="1" t="s">
        <v>12</v>
      </c>
      <c r="G1302">
        <v>1</v>
      </c>
      <c r="H1302">
        <v>10</v>
      </c>
      <c r="I1302" s="2"/>
      <c r="J1302" s="2">
        <v>45723</v>
      </c>
      <c r="K1302" s="2">
        <v>45756</v>
      </c>
    </row>
    <row r="1303" spans="1:11" x14ac:dyDescent="0.25">
      <c r="A1303" s="1" t="s">
        <v>309</v>
      </c>
      <c r="B1303" s="1" t="s">
        <v>992</v>
      </c>
      <c r="C1303" s="1" t="s">
        <v>2010</v>
      </c>
      <c r="D1303" s="1" t="s">
        <v>1998</v>
      </c>
      <c r="E1303" s="1"/>
      <c r="F1303" s="1" t="s">
        <v>12</v>
      </c>
      <c r="G1303">
        <v>1</v>
      </c>
      <c r="H1303">
        <v>50</v>
      </c>
      <c r="I1303" s="2"/>
      <c r="J1303" s="2">
        <v>45723</v>
      </c>
      <c r="K1303" s="2">
        <v>45756</v>
      </c>
    </row>
    <row r="1304" spans="1:11" x14ac:dyDescent="0.25">
      <c r="A1304" s="1" t="s">
        <v>309</v>
      </c>
      <c r="B1304" s="1" t="s">
        <v>992</v>
      </c>
      <c r="C1304" s="1" t="s">
        <v>2010</v>
      </c>
      <c r="D1304" s="1" t="s">
        <v>1998</v>
      </c>
      <c r="E1304" s="1"/>
      <c r="F1304" s="1" t="s">
        <v>12</v>
      </c>
      <c r="G1304">
        <v>1</v>
      </c>
      <c r="H1304">
        <v>15</v>
      </c>
      <c r="I1304" s="2"/>
      <c r="J1304" s="2">
        <v>45723</v>
      </c>
      <c r="K1304" s="2">
        <v>45756</v>
      </c>
    </row>
    <row r="1305" spans="1:11" x14ac:dyDescent="0.25">
      <c r="A1305" s="1" t="s">
        <v>310</v>
      </c>
      <c r="B1305" s="1" t="s">
        <v>1240</v>
      </c>
      <c r="C1305" s="1" t="s">
        <v>2115</v>
      </c>
      <c r="D1305" s="1" t="s">
        <v>1998</v>
      </c>
      <c r="E1305" s="1"/>
      <c r="F1305" s="1" t="s">
        <v>11</v>
      </c>
      <c r="G1305">
        <v>12720</v>
      </c>
      <c r="H1305">
        <v>1</v>
      </c>
      <c r="I1305" s="2"/>
      <c r="J1305" s="2">
        <v>45727</v>
      </c>
      <c r="K1305" s="2">
        <v>45743</v>
      </c>
    </row>
    <row r="1306" spans="1:11" x14ac:dyDescent="0.25">
      <c r="A1306" s="1" t="s">
        <v>310</v>
      </c>
      <c r="B1306" s="1" t="s">
        <v>1241</v>
      </c>
      <c r="C1306" s="1" t="s">
        <v>2115</v>
      </c>
      <c r="D1306" s="1" t="s">
        <v>1998</v>
      </c>
      <c r="E1306" s="1"/>
      <c r="F1306" s="1" t="s">
        <v>11</v>
      </c>
      <c r="G1306">
        <v>2190</v>
      </c>
      <c r="H1306">
        <v>1</v>
      </c>
      <c r="I1306" s="2"/>
      <c r="J1306" s="2">
        <v>45727</v>
      </c>
      <c r="K1306" s="2">
        <v>45743</v>
      </c>
    </row>
    <row r="1307" spans="1:11" x14ac:dyDescent="0.25">
      <c r="A1307" s="1" t="s">
        <v>311</v>
      </c>
      <c r="B1307" s="1" t="s">
        <v>1240</v>
      </c>
      <c r="C1307" s="1" t="s">
        <v>2115</v>
      </c>
      <c r="D1307" s="1" t="s">
        <v>1998</v>
      </c>
      <c r="E1307" s="1"/>
      <c r="F1307" s="1" t="s">
        <v>11</v>
      </c>
      <c r="G1307">
        <v>12720</v>
      </c>
      <c r="H1307">
        <v>1</v>
      </c>
      <c r="I1307" s="2"/>
      <c r="J1307" s="2">
        <v>45734</v>
      </c>
      <c r="K1307" s="2">
        <v>45743</v>
      </c>
    </row>
    <row r="1308" spans="1:11" x14ac:dyDescent="0.25">
      <c r="A1308" s="1" t="s">
        <v>311</v>
      </c>
      <c r="B1308" s="1" t="s">
        <v>1241</v>
      </c>
      <c r="C1308" s="1" t="s">
        <v>2115</v>
      </c>
      <c r="D1308" s="1" t="s">
        <v>1998</v>
      </c>
      <c r="E1308" s="1"/>
      <c r="F1308" s="1" t="s">
        <v>11</v>
      </c>
      <c r="G1308">
        <v>2190</v>
      </c>
      <c r="H1308">
        <v>1</v>
      </c>
      <c r="I1308" s="2"/>
      <c r="J1308" s="2">
        <v>45734</v>
      </c>
      <c r="K1308" s="2">
        <v>45743</v>
      </c>
    </row>
    <row r="1309" spans="1:11" x14ac:dyDescent="0.25">
      <c r="A1309" s="1" t="s">
        <v>312</v>
      </c>
      <c r="B1309" s="1" t="s">
        <v>1240</v>
      </c>
      <c r="C1309" s="1" t="s">
        <v>2115</v>
      </c>
      <c r="D1309" s="1" t="s">
        <v>1998</v>
      </c>
      <c r="E1309" s="1"/>
      <c r="F1309" s="1" t="s">
        <v>11</v>
      </c>
      <c r="G1309">
        <v>12720</v>
      </c>
      <c r="H1309">
        <v>12720</v>
      </c>
      <c r="I1309" s="2"/>
      <c r="J1309" s="2">
        <v>45733</v>
      </c>
      <c r="K1309" s="2">
        <v>45754</v>
      </c>
    </row>
    <row r="1310" spans="1:11" x14ac:dyDescent="0.25">
      <c r="A1310" s="1" t="s">
        <v>312</v>
      </c>
      <c r="B1310" s="1" t="s">
        <v>1241</v>
      </c>
      <c r="C1310" s="1" t="s">
        <v>2115</v>
      </c>
      <c r="D1310" s="1" t="s">
        <v>1998</v>
      </c>
      <c r="E1310" s="1"/>
      <c r="F1310" s="1" t="s">
        <v>11</v>
      </c>
      <c r="G1310">
        <v>2190</v>
      </c>
      <c r="H1310">
        <v>2190</v>
      </c>
      <c r="I1310" s="2"/>
      <c r="J1310" s="2">
        <v>45733</v>
      </c>
      <c r="K1310" s="2">
        <v>45754</v>
      </c>
    </row>
    <row r="1311" spans="1:11" x14ac:dyDescent="0.25">
      <c r="A1311" s="1" t="s">
        <v>313</v>
      </c>
      <c r="B1311" s="1" t="s">
        <v>1240</v>
      </c>
      <c r="C1311" s="1" t="s">
        <v>2115</v>
      </c>
      <c r="D1311" s="1" t="s">
        <v>1998</v>
      </c>
      <c r="E1311" s="1"/>
      <c r="F1311" s="1" t="s">
        <v>11</v>
      </c>
      <c r="G1311">
        <v>12720</v>
      </c>
      <c r="H1311">
        <v>12720</v>
      </c>
      <c r="I1311" s="2"/>
      <c r="J1311" s="2">
        <v>45723</v>
      </c>
      <c r="K1311" s="2">
        <v>45747</v>
      </c>
    </row>
    <row r="1312" spans="1:11" x14ac:dyDescent="0.25">
      <c r="A1312" s="1" t="s">
        <v>313</v>
      </c>
      <c r="B1312" s="1" t="s">
        <v>1241</v>
      </c>
      <c r="C1312" s="1" t="s">
        <v>2115</v>
      </c>
      <c r="D1312" s="1" t="s">
        <v>1998</v>
      </c>
      <c r="E1312" s="1"/>
      <c r="F1312" s="1" t="s">
        <v>11</v>
      </c>
      <c r="G1312">
        <v>2190</v>
      </c>
      <c r="H1312">
        <v>2190</v>
      </c>
      <c r="I1312" s="2"/>
      <c r="J1312" s="2">
        <v>45723</v>
      </c>
      <c r="K1312" s="2">
        <v>45747</v>
      </c>
    </row>
    <row r="1313" spans="1:11" x14ac:dyDescent="0.25">
      <c r="A1313" s="1" t="s">
        <v>314</v>
      </c>
      <c r="B1313" s="1" t="s">
        <v>1377</v>
      </c>
      <c r="C1313" s="1" t="s">
        <v>2326</v>
      </c>
      <c r="D1313" s="1" t="s">
        <v>1998</v>
      </c>
      <c r="E1313" s="1"/>
      <c r="F1313" s="1" t="s">
        <v>11</v>
      </c>
      <c r="G1313">
        <v>3465</v>
      </c>
      <c r="H1313">
        <v>795</v>
      </c>
      <c r="I1313" s="2"/>
      <c r="J1313" s="2">
        <v>45727</v>
      </c>
      <c r="K1313" s="2">
        <v>45737</v>
      </c>
    </row>
    <row r="1314" spans="1:11" x14ac:dyDescent="0.25">
      <c r="A1314" s="1" t="s">
        <v>315</v>
      </c>
      <c r="B1314" s="1" t="s">
        <v>1349</v>
      </c>
      <c r="C1314" s="1" t="s">
        <v>2302</v>
      </c>
      <c r="D1314" s="1" t="s">
        <v>1998</v>
      </c>
      <c r="E1314" s="1"/>
      <c r="F1314" s="1" t="s">
        <v>11</v>
      </c>
      <c r="G1314">
        <v>100</v>
      </c>
      <c r="H1314">
        <v>130</v>
      </c>
      <c r="I1314" s="2"/>
      <c r="J1314" s="2">
        <v>45727</v>
      </c>
      <c r="K1314" s="2">
        <v>45729</v>
      </c>
    </row>
    <row r="1315" spans="1:11" x14ac:dyDescent="0.25">
      <c r="A1315" s="1" t="s">
        <v>315</v>
      </c>
      <c r="B1315" s="1" t="s">
        <v>1350</v>
      </c>
      <c r="C1315" s="1" t="s">
        <v>2303</v>
      </c>
      <c r="D1315" s="1" t="s">
        <v>1998</v>
      </c>
      <c r="E1315" s="1"/>
      <c r="F1315" s="1" t="s">
        <v>11</v>
      </c>
      <c r="G1315">
        <v>730</v>
      </c>
      <c r="H1315">
        <v>710</v>
      </c>
      <c r="I1315" s="2"/>
      <c r="J1315" s="2">
        <v>45727</v>
      </c>
      <c r="K1315" s="2">
        <v>45729</v>
      </c>
    </row>
    <row r="1316" spans="1:11" x14ac:dyDescent="0.25">
      <c r="A1316" s="1" t="s">
        <v>315</v>
      </c>
      <c r="B1316" s="1" t="s">
        <v>1206</v>
      </c>
      <c r="C1316" s="1" t="s">
        <v>2196</v>
      </c>
      <c r="D1316" s="1" t="s">
        <v>1998</v>
      </c>
      <c r="E1316" s="1"/>
      <c r="F1316" s="1" t="s">
        <v>11</v>
      </c>
      <c r="G1316">
        <v>1</v>
      </c>
      <c r="H1316">
        <v>1</v>
      </c>
      <c r="I1316" s="2"/>
      <c r="J1316" s="2">
        <v>45727</v>
      </c>
      <c r="K1316" s="2">
        <v>45729</v>
      </c>
    </row>
    <row r="1317" spans="1:11" x14ac:dyDescent="0.25">
      <c r="A1317" s="1" t="s">
        <v>315</v>
      </c>
      <c r="B1317" s="1" t="s">
        <v>1351</v>
      </c>
      <c r="C1317" s="1" t="s">
        <v>2304</v>
      </c>
      <c r="D1317" s="1" t="s">
        <v>1998</v>
      </c>
      <c r="E1317" s="1"/>
      <c r="F1317" s="1" t="s">
        <v>11</v>
      </c>
      <c r="G1317">
        <v>15</v>
      </c>
      <c r="H1317">
        <v>15</v>
      </c>
      <c r="I1317" s="2"/>
      <c r="J1317" s="2">
        <v>45727</v>
      </c>
      <c r="K1317" s="2">
        <v>45729</v>
      </c>
    </row>
    <row r="1318" spans="1:11" x14ac:dyDescent="0.25">
      <c r="A1318" s="1" t="s">
        <v>316</v>
      </c>
      <c r="B1318" s="1" t="s">
        <v>1349</v>
      </c>
      <c r="C1318" s="1" t="s">
        <v>2302</v>
      </c>
      <c r="D1318" s="1" t="s">
        <v>1998</v>
      </c>
      <c r="E1318" s="1"/>
      <c r="F1318" s="1" t="s">
        <v>11</v>
      </c>
      <c r="G1318">
        <v>100</v>
      </c>
      <c r="H1318">
        <v>130</v>
      </c>
      <c r="I1318" s="2"/>
      <c r="J1318" s="2">
        <v>45727</v>
      </c>
      <c r="K1318" s="2">
        <v>45730</v>
      </c>
    </row>
    <row r="1319" spans="1:11" x14ac:dyDescent="0.25">
      <c r="A1319" s="1" t="s">
        <v>316</v>
      </c>
      <c r="B1319" s="1" t="s">
        <v>1350</v>
      </c>
      <c r="C1319" s="1" t="s">
        <v>2303</v>
      </c>
      <c r="D1319" s="1" t="s">
        <v>1998</v>
      </c>
      <c r="E1319" s="1"/>
      <c r="F1319" s="1" t="s">
        <v>11</v>
      </c>
      <c r="G1319">
        <v>730</v>
      </c>
      <c r="H1319">
        <v>710</v>
      </c>
      <c r="I1319" s="2"/>
      <c r="J1319" s="2">
        <v>45727</v>
      </c>
      <c r="K1319" s="2">
        <v>45730</v>
      </c>
    </row>
    <row r="1320" spans="1:11" x14ac:dyDescent="0.25">
      <c r="A1320" s="1" t="s">
        <v>316</v>
      </c>
      <c r="B1320" s="1" t="s">
        <v>1206</v>
      </c>
      <c r="C1320" s="1" t="s">
        <v>2196</v>
      </c>
      <c r="D1320" s="1" t="s">
        <v>1998</v>
      </c>
      <c r="E1320" s="1"/>
      <c r="F1320" s="1" t="s">
        <v>11</v>
      </c>
      <c r="G1320">
        <v>1</v>
      </c>
      <c r="H1320">
        <v>1</v>
      </c>
      <c r="I1320" s="2"/>
      <c r="J1320" s="2">
        <v>45727</v>
      </c>
      <c r="K1320" s="2">
        <v>45730</v>
      </c>
    </row>
    <row r="1321" spans="1:11" x14ac:dyDescent="0.25">
      <c r="A1321" s="1" t="s">
        <v>316</v>
      </c>
      <c r="B1321" s="1" t="s">
        <v>1351</v>
      </c>
      <c r="C1321" s="1" t="s">
        <v>2304</v>
      </c>
      <c r="D1321" s="1" t="s">
        <v>1998</v>
      </c>
      <c r="E1321" s="1"/>
      <c r="F1321" s="1" t="s">
        <v>11</v>
      </c>
      <c r="G1321">
        <v>15</v>
      </c>
      <c r="H1321">
        <v>15</v>
      </c>
      <c r="I1321" s="2"/>
      <c r="J1321" s="2">
        <v>45727</v>
      </c>
      <c r="K1321" s="2">
        <v>45730</v>
      </c>
    </row>
    <row r="1322" spans="1:11" x14ac:dyDescent="0.25">
      <c r="A1322" s="1" t="s">
        <v>317</v>
      </c>
      <c r="B1322" s="1" t="s">
        <v>1349</v>
      </c>
      <c r="C1322" s="1" t="s">
        <v>2302</v>
      </c>
      <c r="D1322" s="1" t="s">
        <v>1998</v>
      </c>
      <c r="E1322" s="1"/>
      <c r="F1322" s="1" t="s">
        <v>11</v>
      </c>
      <c r="G1322">
        <v>100</v>
      </c>
      <c r="H1322">
        <v>135</v>
      </c>
      <c r="I1322" s="2"/>
      <c r="J1322" s="2">
        <v>45727</v>
      </c>
      <c r="K1322" s="2">
        <v>45756</v>
      </c>
    </row>
    <row r="1323" spans="1:11" x14ac:dyDescent="0.25">
      <c r="A1323" s="1" t="s">
        <v>317</v>
      </c>
      <c r="B1323" s="1" t="s">
        <v>1350</v>
      </c>
      <c r="C1323" s="1" t="s">
        <v>2303</v>
      </c>
      <c r="D1323" s="1" t="s">
        <v>1998</v>
      </c>
      <c r="E1323" s="1"/>
      <c r="F1323" s="1" t="s">
        <v>11</v>
      </c>
      <c r="G1323">
        <v>730</v>
      </c>
      <c r="H1323">
        <v>710</v>
      </c>
      <c r="I1323" s="2"/>
      <c r="J1323" s="2">
        <v>45727</v>
      </c>
      <c r="K1323" s="2">
        <v>45756</v>
      </c>
    </row>
    <row r="1324" spans="1:11" x14ac:dyDescent="0.25">
      <c r="A1324" s="1" t="s">
        <v>317</v>
      </c>
      <c r="B1324" s="1" t="s">
        <v>1206</v>
      </c>
      <c r="C1324" s="1" t="s">
        <v>2196</v>
      </c>
      <c r="D1324" s="1" t="s">
        <v>1998</v>
      </c>
      <c r="E1324" s="1"/>
      <c r="F1324" s="1" t="s">
        <v>11</v>
      </c>
      <c r="G1324">
        <v>1</v>
      </c>
      <c r="H1324">
        <v>1</v>
      </c>
      <c r="I1324" s="2"/>
      <c r="J1324" s="2">
        <v>45727</v>
      </c>
      <c r="K1324" s="2">
        <v>45756</v>
      </c>
    </row>
    <row r="1325" spans="1:11" x14ac:dyDescent="0.25">
      <c r="A1325" s="1" t="s">
        <v>317</v>
      </c>
      <c r="B1325" s="1" t="s">
        <v>1351</v>
      </c>
      <c r="C1325" s="1" t="s">
        <v>2304</v>
      </c>
      <c r="D1325" s="1" t="s">
        <v>1998</v>
      </c>
      <c r="E1325" s="1"/>
      <c r="F1325" s="1" t="s">
        <v>11</v>
      </c>
      <c r="G1325">
        <v>15</v>
      </c>
      <c r="H1325">
        <v>15</v>
      </c>
      <c r="I1325" s="2"/>
      <c r="J1325" s="2">
        <v>45727</v>
      </c>
      <c r="K1325" s="2">
        <v>45756</v>
      </c>
    </row>
    <row r="1326" spans="1:11" x14ac:dyDescent="0.25">
      <c r="A1326" s="1" t="s">
        <v>318</v>
      </c>
      <c r="B1326" s="1" t="s">
        <v>1016</v>
      </c>
      <c r="C1326" s="1" t="s">
        <v>2033</v>
      </c>
      <c r="D1326" s="1" t="s">
        <v>1998</v>
      </c>
      <c r="E1326" s="1"/>
      <c r="F1326" s="1" t="s">
        <v>11</v>
      </c>
      <c r="G1326">
        <v>75</v>
      </c>
      <c r="H1326">
        <v>50</v>
      </c>
      <c r="I1326" s="2"/>
      <c r="J1326" s="2">
        <v>45723</v>
      </c>
      <c r="K1326" s="2">
        <v>45757</v>
      </c>
    </row>
    <row r="1327" spans="1:11" x14ac:dyDescent="0.25">
      <c r="A1327" s="1" t="s">
        <v>318</v>
      </c>
      <c r="B1327" s="1" t="s">
        <v>1017</v>
      </c>
      <c r="C1327" s="1" t="s">
        <v>2034</v>
      </c>
      <c r="D1327" s="1" t="s">
        <v>1998</v>
      </c>
      <c r="E1327" s="1"/>
      <c r="F1327" s="1" t="s">
        <v>11</v>
      </c>
      <c r="G1327">
        <v>200</v>
      </c>
      <c r="H1327">
        <v>200</v>
      </c>
      <c r="I1327" s="2"/>
      <c r="J1327" s="2">
        <v>45723</v>
      </c>
      <c r="K1327" s="2">
        <v>45757</v>
      </c>
    </row>
    <row r="1328" spans="1:11" x14ac:dyDescent="0.25">
      <c r="A1328" s="1" t="s">
        <v>318</v>
      </c>
      <c r="B1328" s="1" t="s">
        <v>1018</v>
      </c>
      <c r="C1328" s="1" t="s">
        <v>2035</v>
      </c>
      <c r="D1328" s="1" t="s">
        <v>1998</v>
      </c>
      <c r="E1328" s="1"/>
      <c r="F1328" s="1" t="s">
        <v>11</v>
      </c>
      <c r="G1328">
        <v>885</v>
      </c>
      <c r="H1328">
        <v>945</v>
      </c>
      <c r="I1328" s="2"/>
      <c r="J1328" s="2">
        <v>45723</v>
      </c>
      <c r="K1328" s="2">
        <v>45757</v>
      </c>
    </row>
    <row r="1329" spans="1:11" x14ac:dyDescent="0.25">
      <c r="A1329" s="1" t="s">
        <v>318</v>
      </c>
      <c r="B1329" s="1" t="s">
        <v>999</v>
      </c>
      <c r="C1329" s="1" t="s">
        <v>2017</v>
      </c>
      <c r="D1329" s="1" t="s">
        <v>1998</v>
      </c>
      <c r="E1329" s="1"/>
      <c r="F1329" s="1" t="s">
        <v>11</v>
      </c>
      <c r="G1329">
        <v>1</v>
      </c>
      <c r="H1329">
        <v>1</v>
      </c>
      <c r="I1329" s="2"/>
      <c r="J1329" s="2">
        <v>45723</v>
      </c>
      <c r="K1329" s="2">
        <v>45757</v>
      </c>
    </row>
    <row r="1330" spans="1:11" x14ac:dyDescent="0.25">
      <c r="A1330" s="1" t="s">
        <v>318</v>
      </c>
      <c r="B1330" s="1" t="s">
        <v>1000</v>
      </c>
      <c r="C1330" s="1" t="s">
        <v>2018</v>
      </c>
      <c r="D1330" s="1" t="s">
        <v>1998</v>
      </c>
      <c r="E1330" s="1"/>
      <c r="F1330" s="1" t="s">
        <v>11</v>
      </c>
      <c r="G1330">
        <v>5</v>
      </c>
      <c r="H1330">
        <v>5</v>
      </c>
      <c r="I1330" s="2"/>
      <c r="J1330" s="2">
        <v>45723</v>
      </c>
      <c r="K1330" s="2">
        <v>45757</v>
      </c>
    </row>
    <row r="1331" spans="1:11" x14ac:dyDescent="0.25">
      <c r="A1331" s="1" t="s">
        <v>318</v>
      </c>
      <c r="B1331" s="1" t="s">
        <v>1001</v>
      </c>
      <c r="C1331" s="1" t="s">
        <v>2019</v>
      </c>
      <c r="D1331" s="1" t="s">
        <v>1998</v>
      </c>
      <c r="E1331" s="1"/>
      <c r="F1331" s="1" t="s">
        <v>11</v>
      </c>
      <c r="G1331">
        <v>5</v>
      </c>
      <c r="H1331">
        <v>5</v>
      </c>
      <c r="I1331" s="2"/>
      <c r="J1331" s="2">
        <v>45723</v>
      </c>
      <c r="K1331" s="2">
        <v>45757</v>
      </c>
    </row>
    <row r="1332" spans="1:11" x14ac:dyDescent="0.25">
      <c r="A1332" s="1" t="s">
        <v>318</v>
      </c>
      <c r="B1332" s="1" t="s">
        <v>1019</v>
      </c>
      <c r="C1332" s="1" t="s">
        <v>2036</v>
      </c>
      <c r="D1332" s="1" t="s">
        <v>1998</v>
      </c>
      <c r="E1332" s="1"/>
      <c r="F1332" s="1" t="s">
        <v>11</v>
      </c>
      <c r="G1332">
        <v>3135</v>
      </c>
      <c r="H1332">
        <v>3135</v>
      </c>
      <c r="I1332" s="2"/>
      <c r="J1332" s="2">
        <v>45723</v>
      </c>
      <c r="K1332" s="2">
        <v>45757</v>
      </c>
    </row>
    <row r="1333" spans="1:11" x14ac:dyDescent="0.25">
      <c r="A1333" s="1" t="s">
        <v>318</v>
      </c>
      <c r="B1333" s="1" t="s">
        <v>1020</v>
      </c>
      <c r="C1333" s="1" t="s">
        <v>2037</v>
      </c>
      <c r="D1333" s="1" t="s">
        <v>1998</v>
      </c>
      <c r="E1333" s="1"/>
      <c r="F1333" s="1" t="s">
        <v>11</v>
      </c>
      <c r="G1333">
        <v>8375</v>
      </c>
      <c r="H1333">
        <v>8375</v>
      </c>
      <c r="I1333" s="2"/>
      <c r="J1333" s="2">
        <v>45723</v>
      </c>
      <c r="K1333" s="2">
        <v>45757</v>
      </c>
    </row>
    <row r="1334" spans="1:11" x14ac:dyDescent="0.25">
      <c r="A1334" s="1" t="s">
        <v>319</v>
      </c>
      <c r="B1334" s="1" t="s">
        <v>1008</v>
      </c>
      <c r="C1334" s="1" t="s">
        <v>2014</v>
      </c>
      <c r="D1334" s="1" t="s">
        <v>1998</v>
      </c>
      <c r="E1334" s="1"/>
      <c r="F1334" s="1" t="s">
        <v>11</v>
      </c>
      <c r="G1334">
        <v>1470</v>
      </c>
      <c r="H1334">
        <v>1470</v>
      </c>
      <c r="I1334" s="2"/>
      <c r="J1334" s="2">
        <v>45726</v>
      </c>
      <c r="K1334" s="2">
        <v>45764</v>
      </c>
    </row>
    <row r="1335" spans="1:11" x14ac:dyDescent="0.25">
      <c r="A1335" s="1" t="s">
        <v>319</v>
      </c>
      <c r="B1335" s="1" t="s">
        <v>1009</v>
      </c>
      <c r="C1335" s="1" t="s">
        <v>2026</v>
      </c>
      <c r="D1335" s="1" t="s">
        <v>1998</v>
      </c>
      <c r="E1335" s="1"/>
      <c r="F1335" s="1" t="s">
        <v>11</v>
      </c>
      <c r="G1335">
        <v>2025</v>
      </c>
      <c r="H1335">
        <v>2170</v>
      </c>
      <c r="I1335" s="2"/>
      <c r="J1335" s="2">
        <v>45726</v>
      </c>
      <c r="K1335" s="2">
        <v>45764</v>
      </c>
    </row>
    <row r="1336" spans="1:11" x14ac:dyDescent="0.25">
      <c r="A1336" s="1" t="s">
        <v>319</v>
      </c>
      <c r="B1336" s="1" t="s">
        <v>1010</v>
      </c>
      <c r="C1336" s="1" t="s">
        <v>2027</v>
      </c>
      <c r="D1336" s="1" t="s">
        <v>1998</v>
      </c>
      <c r="E1336" s="1"/>
      <c r="F1336" s="1" t="s">
        <v>11</v>
      </c>
      <c r="G1336">
        <v>855</v>
      </c>
      <c r="H1336">
        <v>855</v>
      </c>
      <c r="I1336" s="2"/>
      <c r="J1336" s="2">
        <v>45726</v>
      </c>
      <c r="K1336" s="2">
        <v>45764</v>
      </c>
    </row>
    <row r="1337" spans="1:11" x14ac:dyDescent="0.25">
      <c r="A1337" s="1" t="s">
        <v>319</v>
      </c>
      <c r="B1337" s="1" t="s">
        <v>1011</v>
      </c>
      <c r="C1337" s="1" t="s">
        <v>2028</v>
      </c>
      <c r="D1337" s="1" t="s">
        <v>1998</v>
      </c>
      <c r="E1337" s="1"/>
      <c r="F1337" s="1" t="s">
        <v>11</v>
      </c>
      <c r="G1337">
        <v>505</v>
      </c>
      <c r="H1337">
        <v>330</v>
      </c>
      <c r="I1337" s="2"/>
      <c r="J1337" s="2">
        <v>45726</v>
      </c>
      <c r="K1337" s="2">
        <v>45764</v>
      </c>
    </row>
    <row r="1338" spans="1:11" x14ac:dyDescent="0.25">
      <c r="A1338" s="1" t="s">
        <v>319</v>
      </c>
      <c r="B1338" s="1" t="s">
        <v>1012</v>
      </c>
      <c r="C1338" s="1" t="s">
        <v>2029</v>
      </c>
      <c r="D1338" s="1" t="s">
        <v>1998</v>
      </c>
      <c r="E1338" s="1"/>
      <c r="F1338" s="1" t="s">
        <v>11</v>
      </c>
      <c r="G1338">
        <v>230</v>
      </c>
      <c r="H1338">
        <v>315</v>
      </c>
      <c r="I1338" s="2"/>
      <c r="J1338" s="2">
        <v>45726</v>
      </c>
      <c r="K1338" s="2">
        <v>45764</v>
      </c>
    </row>
    <row r="1339" spans="1:11" x14ac:dyDescent="0.25">
      <c r="A1339" s="1" t="s">
        <v>319</v>
      </c>
      <c r="B1339" s="1" t="s">
        <v>1013</v>
      </c>
      <c r="C1339" s="1" t="s">
        <v>2030</v>
      </c>
      <c r="D1339" s="1" t="s">
        <v>1998</v>
      </c>
      <c r="E1339" s="1"/>
      <c r="F1339" s="1" t="s">
        <v>11</v>
      </c>
      <c r="G1339">
        <v>45</v>
      </c>
      <c r="H1339">
        <v>60</v>
      </c>
      <c r="I1339" s="2"/>
      <c r="J1339" s="2">
        <v>45726</v>
      </c>
      <c r="K1339" s="2">
        <v>45764</v>
      </c>
    </row>
    <row r="1340" spans="1:11" x14ac:dyDescent="0.25">
      <c r="A1340" s="1" t="s">
        <v>319</v>
      </c>
      <c r="B1340" s="1" t="s">
        <v>993</v>
      </c>
      <c r="C1340" s="1" t="s">
        <v>2011</v>
      </c>
      <c r="D1340" s="1" t="s">
        <v>1998</v>
      </c>
      <c r="E1340" s="1"/>
      <c r="F1340" s="1" t="s">
        <v>11</v>
      </c>
      <c r="G1340">
        <v>15</v>
      </c>
      <c r="H1340">
        <v>1</v>
      </c>
      <c r="I1340" s="2"/>
      <c r="J1340" s="2">
        <v>45726</v>
      </c>
      <c r="K1340" s="2">
        <v>45764</v>
      </c>
    </row>
    <row r="1341" spans="1:11" x14ac:dyDescent="0.25">
      <c r="A1341" s="1" t="s">
        <v>320</v>
      </c>
      <c r="B1341" s="1" t="s">
        <v>1288</v>
      </c>
      <c r="C1341" s="1" t="s">
        <v>2265</v>
      </c>
      <c r="D1341" s="1" t="s">
        <v>1998</v>
      </c>
      <c r="E1341" s="1"/>
      <c r="F1341" s="1" t="s">
        <v>11</v>
      </c>
      <c r="G1341">
        <v>1510</v>
      </c>
      <c r="H1341">
        <v>1615</v>
      </c>
      <c r="I1341" s="2"/>
      <c r="J1341" s="2">
        <v>45747</v>
      </c>
      <c r="K1341" s="2">
        <v>45776</v>
      </c>
    </row>
    <row r="1342" spans="1:11" x14ac:dyDescent="0.25">
      <c r="A1342" s="1" t="s">
        <v>321</v>
      </c>
      <c r="B1342" s="1" t="s">
        <v>1264</v>
      </c>
      <c r="C1342" s="1" t="s">
        <v>2241</v>
      </c>
      <c r="D1342" s="1" t="s">
        <v>1998</v>
      </c>
      <c r="E1342" s="1"/>
      <c r="F1342" s="1" t="s">
        <v>11</v>
      </c>
      <c r="G1342">
        <v>445</v>
      </c>
      <c r="H1342">
        <v>750</v>
      </c>
      <c r="I1342" s="2"/>
      <c r="J1342" s="2">
        <v>45743</v>
      </c>
      <c r="K1342" s="2">
        <v>45748</v>
      </c>
    </row>
    <row r="1343" spans="1:11" x14ac:dyDescent="0.25">
      <c r="A1343" s="1" t="s">
        <v>321</v>
      </c>
      <c r="B1343" s="1" t="s">
        <v>1265</v>
      </c>
      <c r="C1343" s="1" t="s">
        <v>2242</v>
      </c>
      <c r="D1343" s="1" t="s">
        <v>1998</v>
      </c>
      <c r="E1343" s="1"/>
      <c r="F1343" s="1" t="s">
        <v>11</v>
      </c>
      <c r="G1343">
        <v>980</v>
      </c>
      <c r="H1343">
        <v>575</v>
      </c>
      <c r="I1343" s="2"/>
      <c r="J1343" s="2">
        <v>45743</v>
      </c>
      <c r="K1343" s="2">
        <v>45748</v>
      </c>
    </row>
    <row r="1344" spans="1:11" x14ac:dyDescent="0.25">
      <c r="A1344" s="1" t="s">
        <v>321</v>
      </c>
      <c r="B1344" s="1" t="s">
        <v>1206</v>
      </c>
      <c r="C1344" s="1" t="s">
        <v>2196</v>
      </c>
      <c r="D1344" s="1" t="s">
        <v>1998</v>
      </c>
      <c r="E1344" s="1"/>
      <c r="F1344" s="1" t="s">
        <v>11</v>
      </c>
      <c r="G1344">
        <v>5</v>
      </c>
      <c r="H1344">
        <v>5</v>
      </c>
      <c r="I1344" s="2"/>
      <c r="J1344" s="2">
        <v>45743</v>
      </c>
      <c r="K1344" s="2">
        <v>45748</v>
      </c>
    </row>
    <row r="1345" spans="1:11" x14ac:dyDescent="0.25">
      <c r="A1345" s="1" t="s">
        <v>321</v>
      </c>
      <c r="B1345" s="1" t="s">
        <v>1280</v>
      </c>
      <c r="C1345" s="1" t="s">
        <v>2257</v>
      </c>
      <c r="D1345" s="1" t="s">
        <v>1998</v>
      </c>
      <c r="E1345" s="1"/>
      <c r="F1345" s="1" t="s">
        <v>11</v>
      </c>
      <c r="G1345">
        <v>35</v>
      </c>
      <c r="H1345">
        <v>35</v>
      </c>
      <c r="I1345" s="2"/>
      <c r="J1345" s="2">
        <v>45743</v>
      </c>
      <c r="K1345" s="2">
        <v>45748</v>
      </c>
    </row>
    <row r="1346" spans="1:11" x14ac:dyDescent="0.25">
      <c r="A1346" s="1" t="s">
        <v>322</v>
      </c>
      <c r="B1346" s="1" t="s">
        <v>1378</v>
      </c>
      <c r="C1346" s="1" t="s">
        <v>2327</v>
      </c>
      <c r="D1346" s="1" t="s">
        <v>1998</v>
      </c>
      <c r="E1346" s="1"/>
      <c r="F1346" s="1" t="s">
        <v>11</v>
      </c>
      <c r="G1346">
        <v>595</v>
      </c>
      <c r="H1346">
        <v>640</v>
      </c>
      <c r="I1346" s="2"/>
      <c r="J1346" s="2">
        <v>45743</v>
      </c>
      <c r="K1346" s="2">
        <v>45750</v>
      </c>
    </row>
    <row r="1347" spans="1:11" x14ac:dyDescent="0.25">
      <c r="A1347" s="1" t="s">
        <v>322</v>
      </c>
      <c r="B1347" s="1" t="s">
        <v>1378</v>
      </c>
      <c r="C1347" s="1" t="s">
        <v>2327</v>
      </c>
      <c r="D1347" s="1" t="s">
        <v>1998</v>
      </c>
      <c r="E1347" s="1"/>
      <c r="F1347" s="1" t="s">
        <v>11</v>
      </c>
      <c r="G1347">
        <v>145</v>
      </c>
      <c r="H1347">
        <v>145</v>
      </c>
      <c r="I1347" s="2"/>
      <c r="J1347" s="2">
        <v>45743</v>
      </c>
      <c r="K1347" s="2">
        <v>45750</v>
      </c>
    </row>
    <row r="1348" spans="1:11" x14ac:dyDescent="0.25">
      <c r="A1348" s="1" t="s">
        <v>323</v>
      </c>
      <c r="B1348" s="1" t="s">
        <v>1379</v>
      </c>
      <c r="C1348" s="1" t="s">
        <v>2328</v>
      </c>
      <c r="D1348" s="1" t="s">
        <v>1998</v>
      </c>
      <c r="E1348" s="1"/>
      <c r="F1348" s="1" t="s">
        <v>11</v>
      </c>
      <c r="G1348">
        <v>3920</v>
      </c>
      <c r="H1348">
        <v>3565</v>
      </c>
      <c r="I1348" s="2">
        <v>45769</v>
      </c>
      <c r="J1348" s="2">
        <v>45723</v>
      </c>
      <c r="K1348" s="2">
        <v>45769</v>
      </c>
    </row>
    <row r="1349" spans="1:11" x14ac:dyDescent="0.25">
      <c r="A1349" s="1" t="s">
        <v>323</v>
      </c>
      <c r="B1349" s="1" t="s">
        <v>1380</v>
      </c>
      <c r="C1349" s="1" t="s">
        <v>2329</v>
      </c>
      <c r="D1349" s="1" t="s">
        <v>1998</v>
      </c>
      <c r="E1349" s="1"/>
      <c r="F1349" s="1" t="s">
        <v>11</v>
      </c>
      <c r="G1349">
        <v>3230</v>
      </c>
      <c r="H1349">
        <v>2940</v>
      </c>
      <c r="I1349" s="2">
        <v>45769</v>
      </c>
      <c r="J1349" s="2">
        <v>45723</v>
      </c>
      <c r="K1349" s="2">
        <v>45769</v>
      </c>
    </row>
    <row r="1350" spans="1:11" x14ac:dyDescent="0.25">
      <c r="A1350" s="1" t="s">
        <v>323</v>
      </c>
      <c r="B1350" s="1" t="s">
        <v>1381</v>
      </c>
      <c r="C1350" s="1" t="s">
        <v>2330</v>
      </c>
      <c r="D1350" s="1" t="s">
        <v>1998</v>
      </c>
      <c r="E1350" s="1"/>
      <c r="F1350" s="1" t="s">
        <v>11</v>
      </c>
      <c r="G1350">
        <v>1685</v>
      </c>
      <c r="H1350">
        <v>1595</v>
      </c>
      <c r="I1350" s="2">
        <v>45769</v>
      </c>
      <c r="J1350" s="2">
        <v>45723</v>
      </c>
      <c r="K1350" s="2">
        <v>45769</v>
      </c>
    </row>
    <row r="1351" spans="1:11" x14ac:dyDescent="0.25">
      <c r="A1351" s="1" t="s">
        <v>323</v>
      </c>
      <c r="B1351" s="1" t="s">
        <v>1381</v>
      </c>
      <c r="C1351" s="1" t="s">
        <v>2330</v>
      </c>
      <c r="D1351" s="1" t="s">
        <v>1998</v>
      </c>
      <c r="E1351" s="1"/>
      <c r="F1351" s="1" t="s">
        <v>11</v>
      </c>
      <c r="G1351">
        <v>150</v>
      </c>
      <c r="H1351">
        <v>145</v>
      </c>
      <c r="I1351" s="2">
        <v>45769</v>
      </c>
      <c r="J1351" s="2">
        <v>45723</v>
      </c>
      <c r="K1351" s="2">
        <v>45769</v>
      </c>
    </row>
    <row r="1352" spans="1:11" x14ac:dyDescent="0.25">
      <c r="A1352" s="1" t="s">
        <v>323</v>
      </c>
      <c r="B1352" s="1" t="s">
        <v>1382</v>
      </c>
      <c r="C1352" s="1" t="s">
        <v>2331</v>
      </c>
      <c r="D1352" s="1" t="s">
        <v>1998</v>
      </c>
      <c r="E1352" s="1"/>
      <c r="F1352" s="1" t="s">
        <v>11</v>
      </c>
      <c r="G1352">
        <v>1555</v>
      </c>
      <c r="H1352">
        <v>1410</v>
      </c>
      <c r="I1352" s="2">
        <v>45769</v>
      </c>
      <c r="J1352" s="2">
        <v>45723</v>
      </c>
      <c r="K1352" s="2">
        <v>45769</v>
      </c>
    </row>
    <row r="1353" spans="1:11" x14ac:dyDescent="0.25">
      <c r="A1353" s="1" t="s">
        <v>323</v>
      </c>
      <c r="B1353" s="1" t="s">
        <v>1383</v>
      </c>
      <c r="C1353" s="1" t="s">
        <v>2332</v>
      </c>
      <c r="D1353" s="1" t="s">
        <v>1998</v>
      </c>
      <c r="E1353" s="1"/>
      <c r="F1353" s="1" t="s">
        <v>11</v>
      </c>
      <c r="G1353">
        <v>1385</v>
      </c>
      <c r="H1353">
        <v>1260</v>
      </c>
      <c r="I1353" s="2">
        <v>45769</v>
      </c>
      <c r="J1353" s="2">
        <v>45723</v>
      </c>
      <c r="K1353" s="2">
        <v>45769</v>
      </c>
    </row>
    <row r="1354" spans="1:11" x14ac:dyDescent="0.25">
      <c r="A1354" s="1" t="s">
        <v>323</v>
      </c>
      <c r="B1354" s="1" t="s">
        <v>1012</v>
      </c>
      <c r="C1354" s="1" t="s">
        <v>2029</v>
      </c>
      <c r="D1354" s="1" t="s">
        <v>1998</v>
      </c>
      <c r="E1354" s="1"/>
      <c r="F1354" s="1" t="s">
        <v>11</v>
      </c>
      <c r="G1354">
        <v>125</v>
      </c>
      <c r="H1354">
        <v>145</v>
      </c>
      <c r="I1354" s="2">
        <v>45769</v>
      </c>
      <c r="J1354" s="2">
        <v>45723</v>
      </c>
      <c r="K1354" s="2">
        <v>45769</v>
      </c>
    </row>
    <row r="1355" spans="1:11" x14ac:dyDescent="0.25">
      <c r="A1355" s="1" t="s">
        <v>323</v>
      </c>
      <c r="B1355" s="1" t="s">
        <v>1013</v>
      </c>
      <c r="C1355" s="1" t="s">
        <v>2030</v>
      </c>
      <c r="D1355" s="1" t="s">
        <v>1998</v>
      </c>
      <c r="E1355" s="1"/>
      <c r="F1355" s="1" t="s">
        <v>11</v>
      </c>
      <c r="G1355">
        <v>90</v>
      </c>
      <c r="H1355">
        <v>95</v>
      </c>
      <c r="I1355" s="2">
        <v>45769</v>
      </c>
      <c r="J1355" s="2">
        <v>45723</v>
      </c>
      <c r="K1355" s="2">
        <v>45769</v>
      </c>
    </row>
    <row r="1356" spans="1:11" x14ac:dyDescent="0.25">
      <c r="A1356" s="1" t="s">
        <v>323</v>
      </c>
      <c r="B1356" s="1" t="s">
        <v>993</v>
      </c>
      <c r="C1356" s="1" t="s">
        <v>2011</v>
      </c>
      <c r="D1356" s="1" t="s">
        <v>1998</v>
      </c>
      <c r="E1356" s="1"/>
      <c r="F1356" s="1" t="s">
        <v>11</v>
      </c>
      <c r="G1356">
        <v>35</v>
      </c>
      <c r="H1356">
        <v>35</v>
      </c>
      <c r="I1356" s="2">
        <v>45769</v>
      </c>
      <c r="J1356" s="2">
        <v>45723</v>
      </c>
      <c r="K1356" s="2">
        <v>45769</v>
      </c>
    </row>
    <row r="1357" spans="1:11" x14ac:dyDescent="0.25">
      <c r="A1357" s="1" t="s">
        <v>324</v>
      </c>
      <c r="B1357" s="1" t="s">
        <v>1384</v>
      </c>
      <c r="C1357" s="1" t="s">
        <v>2333</v>
      </c>
      <c r="D1357" s="1" t="s">
        <v>1998</v>
      </c>
      <c r="E1357" s="1"/>
      <c r="F1357" s="1" t="s">
        <v>11</v>
      </c>
      <c r="G1357">
        <v>995</v>
      </c>
      <c r="H1357">
        <v>1005</v>
      </c>
      <c r="I1357" s="2"/>
      <c r="J1357" s="2">
        <v>45726</v>
      </c>
      <c r="K1357" s="2">
        <v>45751</v>
      </c>
    </row>
    <row r="1358" spans="1:11" x14ac:dyDescent="0.25">
      <c r="A1358" s="1" t="s">
        <v>325</v>
      </c>
      <c r="B1358" s="1" t="s">
        <v>1384</v>
      </c>
      <c r="C1358" s="1" t="s">
        <v>2333</v>
      </c>
      <c r="D1358" s="1" t="s">
        <v>1998</v>
      </c>
      <c r="E1358" s="1"/>
      <c r="F1358" s="1" t="s">
        <v>11</v>
      </c>
      <c r="G1358">
        <v>995</v>
      </c>
      <c r="H1358">
        <v>995</v>
      </c>
      <c r="I1358" s="2"/>
      <c r="J1358" s="2">
        <v>45726</v>
      </c>
      <c r="K1358" s="2">
        <v>45748</v>
      </c>
    </row>
    <row r="1359" spans="1:11" x14ac:dyDescent="0.25">
      <c r="A1359" s="1" t="s">
        <v>326</v>
      </c>
      <c r="B1359" s="1" t="s">
        <v>1004</v>
      </c>
      <c r="C1359" s="1" t="s">
        <v>2022</v>
      </c>
      <c r="D1359" s="1" t="s">
        <v>1998</v>
      </c>
      <c r="E1359" s="1"/>
      <c r="F1359" s="1" t="s">
        <v>11</v>
      </c>
      <c r="G1359">
        <v>475</v>
      </c>
      <c r="H1359">
        <v>525</v>
      </c>
      <c r="I1359" s="2"/>
      <c r="J1359" s="2">
        <v>45765</v>
      </c>
      <c r="K1359" s="2">
        <v>45789</v>
      </c>
    </row>
    <row r="1360" spans="1:11" x14ac:dyDescent="0.25">
      <c r="A1360" s="1" t="s">
        <v>326</v>
      </c>
      <c r="B1360" s="1" t="s">
        <v>1005</v>
      </c>
      <c r="C1360" s="1" t="s">
        <v>2023</v>
      </c>
      <c r="D1360" s="1" t="s">
        <v>1998</v>
      </c>
      <c r="E1360" s="1"/>
      <c r="F1360" s="1" t="s">
        <v>11</v>
      </c>
      <c r="G1360">
        <v>1735</v>
      </c>
      <c r="H1360">
        <v>1735</v>
      </c>
      <c r="I1360" s="2"/>
      <c r="J1360" s="2">
        <v>45765</v>
      </c>
      <c r="K1360" s="2">
        <v>45789</v>
      </c>
    </row>
    <row r="1361" spans="1:11" x14ac:dyDescent="0.25">
      <c r="A1361" s="1" t="s">
        <v>326</v>
      </c>
      <c r="B1361" s="1" t="s">
        <v>1005</v>
      </c>
      <c r="C1361" s="1" t="s">
        <v>2023</v>
      </c>
      <c r="D1361" s="1" t="s">
        <v>1998</v>
      </c>
      <c r="E1361" s="1"/>
      <c r="F1361" s="1" t="s">
        <v>11</v>
      </c>
      <c r="G1361">
        <v>220</v>
      </c>
      <c r="H1361">
        <v>220</v>
      </c>
      <c r="I1361" s="2"/>
      <c r="J1361" s="2">
        <v>45765</v>
      </c>
      <c r="K1361" s="2">
        <v>45789</v>
      </c>
    </row>
    <row r="1362" spans="1:11" x14ac:dyDescent="0.25">
      <c r="A1362" s="1" t="s">
        <v>326</v>
      </c>
      <c r="B1362" s="1" t="s">
        <v>1006</v>
      </c>
      <c r="C1362" s="1" t="s">
        <v>2024</v>
      </c>
      <c r="D1362" s="1" t="s">
        <v>1998</v>
      </c>
      <c r="E1362" s="1"/>
      <c r="F1362" s="1" t="s">
        <v>11</v>
      </c>
      <c r="G1362">
        <v>1560</v>
      </c>
      <c r="H1362">
        <v>1575</v>
      </c>
      <c r="I1362" s="2"/>
      <c r="J1362" s="2">
        <v>45765</v>
      </c>
      <c r="K1362" s="2">
        <v>45789</v>
      </c>
    </row>
    <row r="1363" spans="1:11" x14ac:dyDescent="0.25">
      <c r="A1363" s="1" t="s">
        <v>326</v>
      </c>
      <c r="B1363" s="1" t="s">
        <v>1007</v>
      </c>
      <c r="C1363" s="1" t="s">
        <v>2025</v>
      </c>
      <c r="D1363" s="1" t="s">
        <v>1998</v>
      </c>
      <c r="E1363" s="1"/>
      <c r="F1363" s="1" t="s">
        <v>11</v>
      </c>
      <c r="G1363">
        <v>9685</v>
      </c>
      <c r="H1363">
        <v>9685</v>
      </c>
      <c r="I1363" s="2"/>
      <c r="J1363" s="2">
        <v>45765</v>
      </c>
      <c r="K1363" s="2">
        <v>45789</v>
      </c>
    </row>
    <row r="1364" spans="1:11" x14ac:dyDescent="0.25">
      <c r="A1364" s="1" t="s">
        <v>326</v>
      </c>
      <c r="B1364" s="1" t="s">
        <v>1007</v>
      </c>
      <c r="C1364" s="1" t="s">
        <v>2025</v>
      </c>
      <c r="D1364" s="1" t="s">
        <v>1998</v>
      </c>
      <c r="E1364" s="1"/>
      <c r="F1364" s="1" t="s">
        <v>11</v>
      </c>
      <c r="G1364">
        <v>1220</v>
      </c>
      <c r="H1364">
        <v>1220</v>
      </c>
      <c r="I1364" s="2"/>
      <c r="J1364" s="2">
        <v>45765</v>
      </c>
      <c r="K1364" s="2">
        <v>45789</v>
      </c>
    </row>
    <row r="1365" spans="1:11" x14ac:dyDescent="0.25">
      <c r="A1365" s="1" t="s">
        <v>327</v>
      </c>
      <c r="B1365" s="1" t="s">
        <v>1370</v>
      </c>
      <c r="C1365" s="1" t="s">
        <v>2320</v>
      </c>
      <c r="D1365" s="1" t="s">
        <v>1998</v>
      </c>
      <c r="E1365" s="1"/>
      <c r="F1365" s="1" t="s">
        <v>11</v>
      </c>
      <c r="G1365">
        <v>80</v>
      </c>
      <c r="H1365">
        <v>80</v>
      </c>
      <c r="I1365" s="2"/>
      <c r="J1365" s="2">
        <v>45728</v>
      </c>
      <c r="K1365" s="2">
        <v>45776</v>
      </c>
    </row>
    <row r="1366" spans="1:11" x14ac:dyDescent="0.25">
      <c r="A1366" s="1" t="s">
        <v>327</v>
      </c>
      <c r="B1366" s="1" t="s">
        <v>1370</v>
      </c>
      <c r="C1366" s="1" t="s">
        <v>2320</v>
      </c>
      <c r="D1366" s="1" t="s">
        <v>1998</v>
      </c>
      <c r="E1366" s="1"/>
      <c r="F1366" s="1" t="s">
        <v>11</v>
      </c>
      <c r="G1366">
        <v>30</v>
      </c>
      <c r="H1366">
        <v>50</v>
      </c>
      <c r="I1366" s="2"/>
      <c r="J1366" s="2">
        <v>45728</v>
      </c>
      <c r="K1366" s="2">
        <v>45776</v>
      </c>
    </row>
    <row r="1367" spans="1:11" x14ac:dyDescent="0.25">
      <c r="A1367" s="1" t="s">
        <v>327</v>
      </c>
      <c r="B1367" s="1" t="s">
        <v>1263</v>
      </c>
      <c r="C1367" s="1" t="s">
        <v>2223</v>
      </c>
      <c r="D1367" s="1" t="s">
        <v>1998</v>
      </c>
      <c r="E1367" s="1"/>
      <c r="F1367" s="1" t="s">
        <v>11</v>
      </c>
      <c r="G1367">
        <v>55</v>
      </c>
      <c r="H1367">
        <v>55</v>
      </c>
      <c r="I1367" s="2"/>
      <c r="J1367" s="2">
        <v>45728</v>
      </c>
      <c r="K1367" s="2">
        <v>45776</v>
      </c>
    </row>
    <row r="1368" spans="1:11" x14ac:dyDescent="0.25">
      <c r="A1368" s="1" t="s">
        <v>328</v>
      </c>
      <c r="B1368" s="1" t="s">
        <v>1385</v>
      </c>
      <c r="C1368" s="1" t="s">
        <v>2334</v>
      </c>
      <c r="D1368" s="1" t="s">
        <v>1998</v>
      </c>
      <c r="E1368" s="1"/>
      <c r="F1368" s="1" t="s">
        <v>11</v>
      </c>
      <c r="G1368">
        <v>15</v>
      </c>
      <c r="H1368">
        <v>15</v>
      </c>
      <c r="I1368" s="2"/>
      <c r="J1368" s="2">
        <v>45729</v>
      </c>
      <c r="K1368" s="2">
        <v>45730</v>
      </c>
    </row>
    <row r="1369" spans="1:11" x14ac:dyDescent="0.25">
      <c r="A1369" s="1" t="s">
        <v>328</v>
      </c>
      <c r="B1369" s="1" t="s">
        <v>1228</v>
      </c>
      <c r="C1369" s="1" t="s">
        <v>2212</v>
      </c>
      <c r="D1369" s="1" t="s">
        <v>1998</v>
      </c>
      <c r="E1369" s="1"/>
      <c r="F1369" s="1" t="s">
        <v>11</v>
      </c>
      <c r="G1369">
        <v>1</v>
      </c>
      <c r="H1369">
        <v>1</v>
      </c>
      <c r="I1369" s="2"/>
      <c r="J1369" s="2">
        <v>45729</v>
      </c>
      <c r="K1369" s="2">
        <v>45730</v>
      </c>
    </row>
    <row r="1370" spans="1:11" x14ac:dyDescent="0.25">
      <c r="A1370" s="1" t="s">
        <v>328</v>
      </c>
      <c r="B1370" s="1" t="s">
        <v>1386</v>
      </c>
      <c r="C1370" s="1" t="s">
        <v>2335</v>
      </c>
      <c r="D1370" s="1" t="s">
        <v>1998</v>
      </c>
      <c r="E1370" s="1"/>
      <c r="F1370" s="1" t="s">
        <v>11</v>
      </c>
      <c r="G1370">
        <v>1</v>
      </c>
      <c r="H1370">
        <v>1</v>
      </c>
      <c r="I1370" s="2"/>
      <c r="J1370" s="2">
        <v>45729</v>
      </c>
      <c r="K1370" s="2">
        <v>45730</v>
      </c>
    </row>
    <row r="1371" spans="1:11" x14ac:dyDescent="0.25">
      <c r="A1371" s="1" t="s">
        <v>328</v>
      </c>
      <c r="B1371" s="1" t="s">
        <v>1229</v>
      </c>
      <c r="C1371" s="1" t="s">
        <v>2213</v>
      </c>
      <c r="D1371" s="1" t="s">
        <v>1998</v>
      </c>
      <c r="E1371" s="1"/>
      <c r="F1371" s="1" t="s">
        <v>11</v>
      </c>
      <c r="G1371">
        <v>1</v>
      </c>
      <c r="H1371">
        <v>1</v>
      </c>
      <c r="I1371" s="2"/>
      <c r="J1371" s="2">
        <v>45729</v>
      </c>
      <c r="K1371" s="2">
        <v>45730</v>
      </c>
    </row>
    <row r="1372" spans="1:11" x14ac:dyDescent="0.25">
      <c r="A1372" s="1" t="s">
        <v>328</v>
      </c>
      <c r="B1372" s="1" t="s">
        <v>1363</v>
      </c>
      <c r="C1372" s="1" t="s">
        <v>2313</v>
      </c>
      <c r="D1372" s="1" t="s">
        <v>1998</v>
      </c>
      <c r="E1372" s="1"/>
      <c r="F1372" s="1" t="s">
        <v>11</v>
      </c>
      <c r="G1372">
        <v>1</v>
      </c>
      <c r="H1372">
        <v>1</v>
      </c>
      <c r="I1372" s="2"/>
      <c r="J1372" s="2">
        <v>45729</v>
      </c>
      <c r="K1372" s="2">
        <v>45730</v>
      </c>
    </row>
    <row r="1373" spans="1:11" x14ac:dyDescent="0.25">
      <c r="A1373" s="1" t="s">
        <v>328</v>
      </c>
      <c r="B1373" s="1" t="s">
        <v>1367</v>
      </c>
      <c r="C1373" s="1" t="s">
        <v>2317</v>
      </c>
      <c r="D1373" s="1" t="s">
        <v>1998</v>
      </c>
      <c r="E1373" s="1"/>
      <c r="F1373" s="1" t="s">
        <v>11</v>
      </c>
      <c r="G1373">
        <v>1</v>
      </c>
      <c r="H1373">
        <v>1</v>
      </c>
      <c r="I1373" s="2"/>
      <c r="J1373" s="2">
        <v>45729</v>
      </c>
      <c r="K1373" s="2">
        <v>45730</v>
      </c>
    </row>
    <row r="1374" spans="1:11" x14ac:dyDescent="0.25">
      <c r="A1374" s="1" t="s">
        <v>328</v>
      </c>
      <c r="B1374" s="1" t="s">
        <v>1387</v>
      </c>
      <c r="C1374" s="1" t="s">
        <v>2336</v>
      </c>
      <c r="D1374" s="1" t="s">
        <v>1998</v>
      </c>
      <c r="E1374" s="1"/>
      <c r="F1374" s="1" t="s">
        <v>11</v>
      </c>
      <c r="G1374">
        <v>5</v>
      </c>
      <c r="H1374">
        <v>5</v>
      </c>
      <c r="I1374" s="2"/>
      <c r="J1374" s="2">
        <v>45729</v>
      </c>
      <c r="K1374" s="2">
        <v>45730</v>
      </c>
    </row>
    <row r="1375" spans="1:11" x14ac:dyDescent="0.25">
      <c r="A1375" s="1" t="s">
        <v>328</v>
      </c>
      <c r="B1375" s="1" t="s">
        <v>1234</v>
      </c>
      <c r="C1375" s="1" t="s">
        <v>2218</v>
      </c>
      <c r="D1375" s="1" t="s">
        <v>1998</v>
      </c>
      <c r="E1375" s="1"/>
      <c r="F1375" s="1" t="s">
        <v>11</v>
      </c>
      <c r="G1375">
        <v>1</v>
      </c>
      <c r="H1375">
        <v>1</v>
      </c>
      <c r="I1375" s="2"/>
      <c r="J1375" s="2">
        <v>45729</v>
      </c>
      <c r="K1375" s="2">
        <v>45730</v>
      </c>
    </row>
    <row r="1376" spans="1:11" x14ac:dyDescent="0.25">
      <c r="A1376" s="1" t="s">
        <v>328</v>
      </c>
      <c r="B1376" s="1" t="s">
        <v>1388</v>
      </c>
      <c r="C1376" s="1" t="s">
        <v>2337</v>
      </c>
      <c r="D1376" s="1" t="s">
        <v>1998</v>
      </c>
      <c r="E1376" s="1"/>
      <c r="F1376" s="1" t="s">
        <v>11</v>
      </c>
      <c r="G1376">
        <v>1</v>
      </c>
      <c r="H1376">
        <v>1</v>
      </c>
      <c r="I1376" s="2"/>
      <c r="J1376" s="2">
        <v>45729</v>
      </c>
      <c r="K1376" s="2">
        <v>45730</v>
      </c>
    </row>
    <row r="1377" spans="1:11" x14ac:dyDescent="0.25">
      <c r="A1377" s="1" t="s">
        <v>328</v>
      </c>
      <c r="B1377" s="1" t="s">
        <v>1389</v>
      </c>
      <c r="C1377" s="1" t="s">
        <v>2338</v>
      </c>
      <c r="D1377" s="1" t="s">
        <v>1998</v>
      </c>
      <c r="E1377" s="1"/>
      <c r="F1377" s="1" t="s">
        <v>11</v>
      </c>
      <c r="G1377">
        <v>1</v>
      </c>
      <c r="H1377">
        <v>1</v>
      </c>
      <c r="I1377" s="2"/>
      <c r="J1377" s="2">
        <v>45729</v>
      </c>
      <c r="K1377" s="2">
        <v>45730</v>
      </c>
    </row>
    <row r="1378" spans="1:11" x14ac:dyDescent="0.25">
      <c r="A1378" s="1" t="s">
        <v>328</v>
      </c>
      <c r="B1378" s="1" t="s">
        <v>1390</v>
      </c>
      <c r="C1378" s="1" t="s">
        <v>2339</v>
      </c>
      <c r="D1378" s="1" t="s">
        <v>1998</v>
      </c>
      <c r="E1378" s="1"/>
      <c r="F1378" s="1" t="s">
        <v>11</v>
      </c>
      <c r="G1378">
        <v>1</v>
      </c>
      <c r="H1378">
        <v>1</v>
      </c>
      <c r="I1378" s="2"/>
      <c r="J1378" s="2">
        <v>45729</v>
      </c>
      <c r="K1378" s="2">
        <v>45730</v>
      </c>
    </row>
    <row r="1379" spans="1:11" x14ac:dyDescent="0.25">
      <c r="A1379" s="1" t="s">
        <v>328</v>
      </c>
      <c r="B1379" s="1" t="s">
        <v>1391</v>
      </c>
      <c r="C1379" s="1" t="s">
        <v>2340</v>
      </c>
      <c r="D1379" s="1" t="s">
        <v>1998</v>
      </c>
      <c r="E1379" s="1"/>
      <c r="F1379" s="1" t="s">
        <v>11</v>
      </c>
      <c r="G1379">
        <v>10</v>
      </c>
      <c r="H1379">
        <v>10</v>
      </c>
      <c r="I1379" s="2"/>
      <c r="J1379" s="2">
        <v>45729</v>
      </c>
      <c r="K1379" s="2">
        <v>45730</v>
      </c>
    </row>
    <row r="1380" spans="1:11" x14ac:dyDescent="0.25">
      <c r="A1380" s="1" t="s">
        <v>328</v>
      </c>
      <c r="B1380" s="1" t="s">
        <v>1392</v>
      </c>
      <c r="C1380" s="1" t="s">
        <v>2341</v>
      </c>
      <c r="D1380" s="1" t="s">
        <v>1998</v>
      </c>
      <c r="E1380" s="1"/>
      <c r="F1380" s="1" t="s">
        <v>11</v>
      </c>
      <c r="G1380">
        <v>1</v>
      </c>
      <c r="H1380">
        <v>1</v>
      </c>
      <c r="I1380" s="2"/>
      <c r="J1380" s="2">
        <v>45729</v>
      </c>
      <c r="K1380" s="2">
        <v>45730</v>
      </c>
    </row>
    <row r="1381" spans="1:11" x14ac:dyDescent="0.25">
      <c r="A1381" s="1" t="s">
        <v>328</v>
      </c>
      <c r="B1381" s="1" t="s">
        <v>1393</v>
      </c>
      <c r="C1381" s="1" t="s">
        <v>2342</v>
      </c>
      <c r="D1381" s="1" t="s">
        <v>1998</v>
      </c>
      <c r="E1381" s="1"/>
      <c r="F1381" s="1" t="s">
        <v>11</v>
      </c>
      <c r="G1381">
        <v>25</v>
      </c>
      <c r="H1381">
        <v>25</v>
      </c>
      <c r="I1381" s="2"/>
      <c r="J1381" s="2">
        <v>45729</v>
      </c>
      <c r="K1381" s="2">
        <v>45730</v>
      </c>
    </row>
    <row r="1382" spans="1:11" x14ac:dyDescent="0.25">
      <c r="A1382" s="1" t="s">
        <v>329</v>
      </c>
      <c r="B1382" s="1" t="s">
        <v>1394</v>
      </c>
      <c r="C1382" s="1" t="s">
        <v>2343</v>
      </c>
      <c r="D1382" s="1" t="s">
        <v>1998</v>
      </c>
      <c r="E1382" s="1"/>
      <c r="F1382" s="1" t="s">
        <v>11</v>
      </c>
      <c r="G1382">
        <v>2330</v>
      </c>
      <c r="H1382">
        <v>2330</v>
      </c>
      <c r="I1382" s="2"/>
      <c r="J1382" s="2">
        <v>45726</v>
      </c>
      <c r="K1382" s="2">
        <v>45789</v>
      </c>
    </row>
    <row r="1383" spans="1:11" x14ac:dyDescent="0.25">
      <c r="A1383" s="1" t="s">
        <v>329</v>
      </c>
      <c r="B1383" s="1" t="s">
        <v>1394</v>
      </c>
      <c r="C1383" s="1" t="s">
        <v>2343</v>
      </c>
      <c r="D1383" s="1" t="s">
        <v>1998</v>
      </c>
      <c r="E1383" s="1"/>
      <c r="F1383" s="1" t="s">
        <v>11</v>
      </c>
      <c r="G1383">
        <v>145</v>
      </c>
      <c r="H1383">
        <v>145</v>
      </c>
      <c r="I1383" s="2"/>
      <c r="J1383" s="2">
        <v>45726</v>
      </c>
      <c r="K1383" s="2">
        <v>45789</v>
      </c>
    </row>
    <row r="1384" spans="1:11" x14ac:dyDescent="0.25">
      <c r="A1384" s="1" t="s">
        <v>329</v>
      </c>
      <c r="B1384" s="1" t="s">
        <v>1251</v>
      </c>
      <c r="C1384" s="1" t="s">
        <v>2233</v>
      </c>
      <c r="D1384" s="1" t="s">
        <v>1998</v>
      </c>
      <c r="E1384" s="1"/>
      <c r="F1384" s="1" t="s">
        <v>11</v>
      </c>
      <c r="G1384">
        <v>410</v>
      </c>
      <c r="H1384">
        <v>410</v>
      </c>
      <c r="I1384" s="2"/>
      <c r="J1384" s="2">
        <v>45726</v>
      </c>
      <c r="K1384" s="2">
        <v>45789</v>
      </c>
    </row>
    <row r="1385" spans="1:11" x14ac:dyDescent="0.25">
      <c r="A1385" s="1" t="s">
        <v>330</v>
      </c>
      <c r="B1385" s="1" t="s">
        <v>1395</v>
      </c>
      <c r="C1385" s="1" t="s">
        <v>2344</v>
      </c>
      <c r="D1385" s="1" t="s">
        <v>1998</v>
      </c>
      <c r="E1385" s="1"/>
      <c r="F1385" s="1" t="s">
        <v>11</v>
      </c>
      <c r="G1385">
        <v>80</v>
      </c>
      <c r="H1385">
        <v>115</v>
      </c>
      <c r="I1385" s="2"/>
      <c r="J1385" s="2">
        <v>45729</v>
      </c>
      <c r="K1385" s="2">
        <v>45734</v>
      </c>
    </row>
    <row r="1386" spans="1:11" x14ac:dyDescent="0.25">
      <c r="A1386" s="1" t="s">
        <v>331</v>
      </c>
      <c r="B1386" s="1" t="s">
        <v>1305</v>
      </c>
      <c r="C1386" s="1" t="s">
        <v>2277</v>
      </c>
      <c r="D1386" s="1" t="s">
        <v>1998</v>
      </c>
      <c r="E1386" s="1"/>
      <c r="F1386" s="1" t="s">
        <v>11</v>
      </c>
      <c r="G1386">
        <v>30</v>
      </c>
      <c r="H1386">
        <v>30</v>
      </c>
      <c r="I1386" s="2">
        <v>45783</v>
      </c>
      <c r="J1386" s="2">
        <v>45730</v>
      </c>
      <c r="K1386" s="2">
        <v>45783</v>
      </c>
    </row>
    <row r="1387" spans="1:11" x14ac:dyDescent="0.25">
      <c r="A1387" s="1" t="s">
        <v>331</v>
      </c>
      <c r="B1387" s="1" t="s">
        <v>1306</v>
      </c>
      <c r="C1387" s="1" t="s">
        <v>2278</v>
      </c>
      <c r="D1387" s="1" t="s">
        <v>1998</v>
      </c>
      <c r="E1387" s="1"/>
      <c r="F1387" s="1" t="s">
        <v>11</v>
      </c>
      <c r="G1387">
        <v>25</v>
      </c>
      <c r="H1387">
        <v>25</v>
      </c>
      <c r="I1387" s="2">
        <v>45783</v>
      </c>
      <c r="J1387" s="2">
        <v>45730</v>
      </c>
      <c r="K1387" s="2">
        <v>45783</v>
      </c>
    </row>
    <row r="1388" spans="1:11" x14ac:dyDescent="0.25">
      <c r="A1388" s="1" t="s">
        <v>331</v>
      </c>
      <c r="B1388" s="1" t="s">
        <v>1307</v>
      </c>
      <c r="C1388" s="1" t="s">
        <v>2279</v>
      </c>
      <c r="D1388" s="1" t="s">
        <v>1998</v>
      </c>
      <c r="E1388" s="1"/>
      <c r="F1388" s="1" t="s">
        <v>11</v>
      </c>
      <c r="G1388">
        <v>1</v>
      </c>
      <c r="H1388">
        <v>1</v>
      </c>
      <c r="I1388" s="2">
        <v>45783</v>
      </c>
      <c r="J1388" s="2">
        <v>45730</v>
      </c>
      <c r="K1388" s="2">
        <v>45783</v>
      </c>
    </row>
    <row r="1389" spans="1:11" x14ac:dyDescent="0.25">
      <c r="A1389" s="1" t="s">
        <v>331</v>
      </c>
      <c r="B1389" s="1" t="s">
        <v>1308</v>
      </c>
      <c r="C1389" s="1" t="s">
        <v>2280</v>
      </c>
      <c r="D1389" s="1" t="s">
        <v>1998</v>
      </c>
      <c r="E1389" s="1"/>
      <c r="F1389" s="1" t="s">
        <v>11</v>
      </c>
      <c r="G1389">
        <v>1</v>
      </c>
      <c r="H1389">
        <v>1</v>
      </c>
      <c r="I1389" s="2">
        <v>45783</v>
      </c>
      <c r="J1389" s="2">
        <v>45730</v>
      </c>
      <c r="K1389" s="2">
        <v>45783</v>
      </c>
    </row>
    <row r="1390" spans="1:11" x14ac:dyDescent="0.25">
      <c r="A1390" s="1" t="s">
        <v>331</v>
      </c>
      <c r="B1390" s="1" t="s">
        <v>1309</v>
      </c>
      <c r="C1390" s="1" t="s">
        <v>2281</v>
      </c>
      <c r="D1390" s="1" t="s">
        <v>1998</v>
      </c>
      <c r="E1390" s="1"/>
      <c r="F1390" s="1" t="s">
        <v>11</v>
      </c>
      <c r="G1390">
        <v>545</v>
      </c>
      <c r="H1390">
        <v>545</v>
      </c>
      <c r="I1390" s="2">
        <v>45783</v>
      </c>
      <c r="J1390" s="2">
        <v>45730</v>
      </c>
      <c r="K1390" s="2">
        <v>45783</v>
      </c>
    </row>
    <row r="1391" spans="1:11" x14ac:dyDescent="0.25">
      <c r="A1391" s="1" t="s">
        <v>331</v>
      </c>
      <c r="B1391" s="1" t="s">
        <v>1310</v>
      </c>
      <c r="C1391" s="1" t="s">
        <v>2115</v>
      </c>
      <c r="D1391" s="1" t="s">
        <v>1998</v>
      </c>
      <c r="E1391" s="1"/>
      <c r="F1391" s="1" t="s">
        <v>11</v>
      </c>
      <c r="G1391">
        <v>775</v>
      </c>
      <c r="H1391">
        <v>775</v>
      </c>
      <c r="I1391" s="2">
        <v>45783</v>
      </c>
      <c r="J1391" s="2">
        <v>45730</v>
      </c>
      <c r="K1391" s="2">
        <v>45783</v>
      </c>
    </row>
    <row r="1392" spans="1:11" x14ac:dyDescent="0.25">
      <c r="A1392" s="1" t="s">
        <v>331</v>
      </c>
      <c r="B1392" s="1" t="s">
        <v>1311</v>
      </c>
      <c r="C1392" s="1" t="s">
        <v>2282</v>
      </c>
      <c r="D1392" s="1" t="s">
        <v>1998</v>
      </c>
      <c r="E1392" s="1"/>
      <c r="F1392" s="1" t="s">
        <v>11</v>
      </c>
      <c r="G1392">
        <v>215</v>
      </c>
      <c r="H1392">
        <v>215</v>
      </c>
      <c r="I1392" s="2">
        <v>45783</v>
      </c>
      <c r="J1392" s="2">
        <v>45730</v>
      </c>
      <c r="K1392" s="2">
        <v>45783</v>
      </c>
    </row>
    <row r="1393" spans="1:11" x14ac:dyDescent="0.25">
      <c r="A1393" s="1" t="s">
        <v>331</v>
      </c>
      <c r="B1393" s="1" t="s">
        <v>1323</v>
      </c>
      <c r="C1393" s="1" t="s">
        <v>2282</v>
      </c>
      <c r="D1393" s="1" t="s">
        <v>1998</v>
      </c>
      <c r="E1393" s="1"/>
      <c r="F1393" s="1" t="s">
        <v>11</v>
      </c>
      <c r="G1393">
        <v>200</v>
      </c>
      <c r="H1393">
        <v>200</v>
      </c>
      <c r="I1393" s="2">
        <v>45783</v>
      </c>
      <c r="J1393" s="2">
        <v>45730</v>
      </c>
      <c r="K1393" s="2">
        <v>45783</v>
      </c>
    </row>
    <row r="1394" spans="1:11" x14ac:dyDescent="0.25">
      <c r="A1394" s="1" t="s">
        <v>331</v>
      </c>
      <c r="B1394" s="1" t="s">
        <v>1312</v>
      </c>
      <c r="C1394" s="1" t="s">
        <v>2283</v>
      </c>
      <c r="D1394" s="1" t="s">
        <v>1998</v>
      </c>
      <c r="E1394" s="1"/>
      <c r="F1394" s="1" t="s">
        <v>11</v>
      </c>
      <c r="G1394">
        <v>85</v>
      </c>
      <c r="H1394">
        <v>85</v>
      </c>
      <c r="I1394" s="2">
        <v>45783</v>
      </c>
      <c r="J1394" s="2">
        <v>45730</v>
      </c>
      <c r="K1394" s="2">
        <v>45783</v>
      </c>
    </row>
    <row r="1395" spans="1:11" x14ac:dyDescent="0.25">
      <c r="A1395" s="1" t="s">
        <v>331</v>
      </c>
      <c r="B1395" s="1" t="s">
        <v>1313</v>
      </c>
      <c r="C1395" s="1" t="s">
        <v>2284</v>
      </c>
      <c r="D1395" s="1" t="s">
        <v>1998</v>
      </c>
      <c r="E1395" s="1"/>
      <c r="F1395" s="1" t="s">
        <v>11</v>
      </c>
      <c r="G1395">
        <v>115</v>
      </c>
      <c r="H1395">
        <v>115</v>
      </c>
      <c r="I1395" s="2">
        <v>45783</v>
      </c>
      <c r="J1395" s="2">
        <v>45730</v>
      </c>
      <c r="K1395" s="2">
        <v>45783</v>
      </c>
    </row>
    <row r="1396" spans="1:11" x14ac:dyDescent="0.25">
      <c r="A1396" s="1" t="s">
        <v>331</v>
      </c>
      <c r="B1396" s="1" t="s">
        <v>1314</v>
      </c>
      <c r="C1396" s="1" t="s">
        <v>2285</v>
      </c>
      <c r="D1396" s="1" t="s">
        <v>1998</v>
      </c>
      <c r="E1396" s="1"/>
      <c r="F1396" s="1" t="s">
        <v>11</v>
      </c>
      <c r="G1396">
        <v>60</v>
      </c>
      <c r="H1396">
        <v>60</v>
      </c>
      <c r="I1396" s="2">
        <v>45783</v>
      </c>
      <c r="J1396" s="2">
        <v>45730</v>
      </c>
      <c r="K1396" s="2">
        <v>45783</v>
      </c>
    </row>
    <row r="1397" spans="1:11" x14ac:dyDescent="0.25">
      <c r="A1397" s="1" t="s">
        <v>331</v>
      </c>
      <c r="B1397" s="1" t="s">
        <v>1315</v>
      </c>
      <c r="C1397" s="1" t="s">
        <v>2286</v>
      </c>
      <c r="D1397" s="1" t="s">
        <v>1998</v>
      </c>
      <c r="E1397" s="1"/>
      <c r="F1397" s="1" t="s">
        <v>11</v>
      </c>
      <c r="G1397">
        <v>115</v>
      </c>
      <c r="H1397">
        <v>115</v>
      </c>
      <c r="I1397" s="2">
        <v>45783</v>
      </c>
      <c r="J1397" s="2">
        <v>45730</v>
      </c>
      <c r="K1397" s="2">
        <v>45783</v>
      </c>
    </row>
    <row r="1398" spans="1:11" x14ac:dyDescent="0.25">
      <c r="A1398" s="1" t="s">
        <v>331</v>
      </c>
      <c r="B1398" s="1" t="s">
        <v>1316</v>
      </c>
      <c r="C1398" s="1" t="s">
        <v>2287</v>
      </c>
      <c r="D1398" s="1" t="s">
        <v>1998</v>
      </c>
      <c r="E1398" s="1"/>
      <c r="F1398" s="1" t="s">
        <v>11</v>
      </c>
      <c r="G1398">
        <v>35</v>
      </c>
      <c r="H1398">
        <v>35</v>
      </c>
      <c r="I1398" s="2">
        <v>45783</v>
      </c>
      <c r="J1398" s="2">
        <v>45730</v>
      </c>
      <c r="K1398" s="2">
        <v>45783</v>
      </c>
    </row>
    <row r="1399" spans="1:11" x14ac:dyDescent="0.25">
      <c r="A1399" s="1" t="s">
        <v>331</v>
      </c>
      <c r="B1399" s="1" t="s">
        <v>1317</v>
      </c>
      <c r="C1399" s="1" t="s">
        <v>2288</v>
      </c>
      <c r="D1399" s="1" t="s">
        <v>1998</v>
      </c>
      <c r="E1399" s="1"/>
      <c r="F1399" s="1" t="s">
        <v>11</v>
      </c>
      <c r="G1399">
        <v>5</v>
      </c>
      <c r="H1399">
        <v>5</v>
      </c>
      <c r="I1399" s="2">
        <v>45783</v>
      </c>
      <c r="J1399" s="2">
        <v>45730</v>
      </c>
      <c r="K1399" s="2">
        <v>45783</v>
      </c>
    </row>
    <row r="1400" spans="1:11" x14ac:dyDescent="0.25">
      <c r="A1400" s="1" t="s">
        <v>331</v>
      </c>
      <c r="B1400" s="1" t="s">
        <v>1318</v>
      </c>
      <c r="C1400" s="1" t="s">
        <v>2289</v>
      </c>
      <c r="D1400" s="1" t="s">
        <v>1998</v>
      </c>
      <c r="E1400" s="1"/>
      <c r="F1400" s="1" t="s">
        <v>11</v>
      </c>
      <c r="G1400">
        <v>15</v>
      </c>
      <c r="H1400">
        <v>15</v>
      </c>
      <c r="I1400" s="2">
        <v>45783</v>
      </c>
      <c r="J1400" s="2">
        <v>45730</v>
      </c>
      <c r="K1400" s="2">
        <v>45783</v>
      </c>
    </row>
    <row r="1401" spans="1:11" x14ac:dyDescent="0.25">
      <c r="A1401" s="1" t="s">
        <v>331</v>
      </c>
      <c r="B1401" s="1" t="s">
        <v>1068</v>
      </c>
      <c r="C1401" s="1" t="s">
        <v>2074</v>
      </c>
      <c r="D1401" s="1" t="s">
        <v>1998</v>
      </c>
      <c r="E1401" s="1"/>
      <c r="F1401" s="1" t="s">
        <v>11</v>
      </c>
      <c r="G1401">
        <v>5</v>
      </c>
      <c r="H1401">
        <v>5</v>
      </c>
      <c r="I1401" s="2">
        <v>45783</v>
      </c>
      <c r="J1401" s="2">
        <v>45730</v>
      </c>
      <c r="K1401" s="2">
        <v>45783</v>
      </c>
    </row>
    <row r="1402" spans="1:11" x14ac:dyDescent="0.25">
      <c r="A1402" s="1" t="s">
        <v>331</v>
      </c>
      <c r="B1402" s="1" t="s">
        <v>1319</v>
      </c>
      <c r="C1402" s="1" t="s">
        <v>2290</v>
      </c>
      <c r="D1402" s="1" t="s">
        <v>1998</v>
      </c>
      <c r="E1402" s="1"/>
      <c r="F1402" s="1" t="s">
        <v>11</v>
      </c>
      <c r="G1402">
        <v>1</v>
      </c>
      <c r="H1402">
        <v>1</v>
      </c>
      <c r="I1402" s="2">
        <v>45783</v>
      </c>
      <c r="J1402" s="2">
        <v>45730</v>
      </c>
      <c r="K1402" s="2">
        <v>45783</v>
      </c>
    </row>
    <row r="1403" spans="1:11" x14ac:dyDescent="0.25">
      <c r="A1403" s="1" t="s">
        <v>331</v>
      </c>
      <c r="B1403" s="1" t="s">
        <v>1328</v>
      </c>
      <c r="C1403" s="1" t="s">
        <v>2291</v>
      </c>
      <c r="D1403" s="1" t="s">
        <v>1998</v>
      </c>
      <c r="E1403" s="1"/>
      <c r="F1403" s="1" t="s">
        <v>11</v>
      </c>
      <c r="G1403">
        <v>1</v>
      </c>
      <c r="H1403">
        <v>1</v>
      </c>
      <c r="I1403" s="2">
        <v>45783</v>
      </c>
      <c r="J1403" s="2">
        <v>45730</v>
      </c>
      <c r="K1403" s="2">
        <v>45783</v>
      </c>
    </row>
    <row r="1404" spans="1:11" x14ac:dyDescent="0.25">
      <c r="A1404" s="1" t="s">
        <v>331</v>
      </c>
      <c r="B1404" s="1" t="s">
        <v>1329</v>
      </c>
      <c r="C1404" s="1" t="s">
        <v>2291</v>
      </c>
      <c r="D1404" s="1" t="s">
        <v>1998</v>
      </c>
      <c r="E1404" s="1"/>
      <c r="F1404" s="1" t="s">
        <v>11</v>
      </c>
      <c r="G1404">
        <v>1</v>
      </c>
      <c r="H1404">
        <v>1</v>
      </c>
      <c r="I1404" s="2">
        <v>45783</v>
      </c>
      <c r="J1404" s="2">
        <v>45730</v>
      </c>
      <c r="K1404" s="2">
        <v>45783</v>
      </c>
    </row>
    <row r="1405" spans="1:11" x14ac:dyDescent="0.25">
      <c r="A1405" s="1" t="s">
        <v>331</v>
      </c>
      <c r="B1405" s="1" t="s">
        <v>1322</v>
      </c>
      <c r="C1405" s="1" t="s">
        <v>2292</v>
      </c>
      <c r="D1405" s="1" t="s">
        <v>1998</v>
      </c>
      <c r="E1405" s="1"/>
      <c r="F1405" s="1" t="s">
        <v>11</v>
      </c>
      <c r="G1405">
        <v>10</v>
      </c>
      <c r="H1405">
        <v>10</v>
      </c>
      <c r="I1405" s="2">
        <v>45783</v>
      </c>
      <c r="J1405" s="2">
        <v>45730</v>
      </c>
      <c r="K1405" s="2">
        <v>45783</v>
      </c>
    </row>
    <row r="1406" spans="1:11" x14ac:dyDescent="0.25">
      <c r="A1406" s="1" t="s">
        <v>332</v>
      </c>
      <c r="B1406" s="1" t="s">
        <v>1016</v>
      </c>
      <c r="C1406" s="1" t="s">
        <v>2033</v>
      </c>
      <c r="D1406" s="1" t="s">
        <v>1998</v>
      </c>
      <c r="E1406" s="1"/>
      <c r="F1406" s="1" t="s">
        <v>11</v>
      </c>
      <c r="G1406">
        <v>75</v>
      </c>
      <c r="H1406">
        <v>1</v>
      </c>
      <c r="I1406" s="2"/>
      <c r="J1406" s="2">
        <v>45729</v>
      </c>
      <c r="K1406" s="2">
        <v>45751</v>
      </c>
    </row>
    <row r="1407" spans="1:11" x14ac:dyDescent="0.25">
      <c r="A1407" s="1" t="s">
        <v>332</v>
      </c>
      <c r="B1407" s="1" t="s">
        <v>1017</v>
      </c>
      <c r="C1407" s="1" t="s">
        <v>2034</v>
      </c>
      <c r="D1407" s="1" t="s">
        <v>1998</v>
      </c>
      <c r="E1407" s="1"/>
      <c r="F1407" s="1" t="s">
        <v>11</v>
      </c>
      <c r="G1407">
        <v>200</v>
      </c>
      <c r="H1407">
        <v>200</v>
      </c>
      <c r="I1407" s="2"/>
      <c r="J1407" s="2">
        <v>45729</v>
      </c>
      <c r="K1407" s="2">
        <v>45751</v>
      </c>
    </row>
    <row r="1408" spans="1:11" x14ac:dyDescent="0.25">
      <c r="A1408" s="1" t="s">
        <v>332</v>
      </c>
      <c r="B1408" s="1" t="s">
        <v>1018</v>
      </c>
      <c r="C1408" s="1" t="s">
        <v>2035</v>
      </c>
      <c r="D1408" s="1" t="s">
        <v>1998</v>
      </c>
      <c r="E1408" s="1"/>
      <c r="F1408" s="1" t="s">
        <v>11</v>
      </c>
      <c r="G1408">
        <v>885</v>
      </c>
      <c r="H1408">
        <v>930</v>
      </c>
      <c r="I1408" s="2"/>
      <c r="J1408" s="2">
        <v>45729</v>
      </c>
      <c r="K1408" s="2">
        <v>45751</v>
      </c>
    </row>
    <row r="1409" spans="1:11" x14ac:dyDescent="0.25">
      <c r="A1409" s="1" t="s">
        <v>332</v>
      </c>
      <c r="B1409" s="1" t="s">
        <v>999</v>
      </c>
      <c r="C1409" s="1" t="s">
        <v>2017</v>
      </c>
      <c r="D1409" s="1" t="s">
        <v>1998</v>
      </c>
      <c r="E1409" s="1"/>
      <c r="F1409" s="1" t="s">
        <v>11</v>
      </c>
      <c r="G1409">
        <v>1</v>
      </c>
      <c r="H1409">
        <v>1</v>
      </c>
      <c r="I1409" s="2"/>
      <c r="J1409" s="2">
        <v>45729</v>
      </c>
      <c r="K1409" s="2">
        <v>45751</v>
      </c>
    </row>
    <row r="1410" spans="1:11" x14ac:dyDescent="0.25">
      <c r="A1410" s="1" t="s">
        <v>332</v>
      </c>
      <c r="B1410" s="1" t="s">
        <v>1000</v>
      </c>
      <c r="C1410" s="1" t="s">
        <v>2018</v>
      </c>
      <c r="D1410" s="1" t="s">
        <v>1998</v>
      </c>
      <c r="E1410" s="1"/>
      <c r="F1410" s="1" t="s">
        <v>11</v>
      </c>
      <c r="G1410">
        <v>5</v>
      </c>
      <c r="H1410">
        <v>1</v>
      </c>
      <c r="I1410" s="2"/>
      <c r="J1410" s="2">
        <v>45729</v>
      </c>
      <c r="K1410" s="2">
        <v>45751</v>
      </c>
    </row>
    <row r="1411" spans="1:11" x14ac:dyDescent="0.25">
      <c r="A1411" s="1" t="s">
        <v>332</v>
      </c>
      <c r="B1411" s="1" t="s">
        <v>1001</v>
      </c>
      <c r="C1411" s="1" t="s">
        <v>2019</v>
      </c>
      <c r="D1411" s="1" t="s">
        <v>1998</v>
      </c>
      <c r="E1411" s="1"/>
      <c r="F1411" s="1" t="s">
        <v>11</v>
      </c>
      <c r="G1411">
        <v>5</v>
      </c>
      <c r="H1411">
        <v>1</v>
      </c>
      <c r="I1411" s="2"/>
      <c r="J1411" s="2">
        <v>45729</v>
      </c>
      <c r="K1411" s="2">
        <v>45751</v>
      </c>
    </row>
    <row r="1412" spans="1:11" x14ac:dyDescent="0.25">
      <c r="A1412" s="1" t="s">
        <v>332</v>
      </c>
      <c r="B1412" s="1" t="s">
        <v>1019</v>
      </c>
      <c r="C1412" s="1" t="s">
        <v>2036</v>
      </c>
      <c r="D1412" s="1" t="s">
        <v>1998</v>
      </c>
      <c r="E1412" s="1"/>
      <c r="F1412" s="1" t="s">
        <v>11</v>
      </c>
      <c r="G1412">
        <v>3135</v>
      </c>
      <c r="H1412">
        <v>3135</v>
      </c>
      <c r="I1412" s="2"/>
      <c r="J1412" s="2">
        <v>45729</v>
      </c>
      <c r="K1412" s="2">
        <v>45751</v>
      </c>
    </row>
    <row r="1413" spans="1:11" x14ac:dyDescent="0.25">
      <c r="A1413" s="1" t="s">
        <v>332</v>
      </c>
      <c r="B1413" s="1" t="s">
        <v>1020</v>
      </c>
      <c r="C1413" s="1" t="s">
        <v>2037</v>
      </c>
      <c r="D1413" s="1" t="s">
        <v>1998</v>
      </c>
      <c r="E1413" s="1"/>
      <c r="F1413" s="1" t="s">
        <v>11</v>
      </c>
      <c r="G1413">
        <v>8375</v>
      </c>
      <c r="H1413">
        <v>8375</v>
      </c>
      <c r="I1413" s="2"/>
      <c r="J1413" s="2">
        <v>45729</v>
      </c>
      <c r="K1413" s="2">
        <v>45751</v>
      </c>
    </row>
    <row r="1414" spans="1:11" x14ac:dyDescent="0.25">
      <c r="A1414" s="1" t="s">
        <v>333</v>
      </c>
      <c r="B1414" s="1" t="s">
        <v>1004</v>
      </c>
      <c r="C1414" s="1" t="s">
        <v>2022</v>
      </c>
      <c r="D1414" s="1" t="s">
        <v>1998</v>
      </c>
      <c r="E1414" s="1"/>
      <c r="F1414" s="1" t="s">
        <v>11</v>
      </c>
      <c r="G1414">
        <v>475</v>
      </c>
      <c r="H1414">
        <v>525</v>
      </c>
      <c r="I1414" s="2"/>
      <c r="J1414" s="2">
        <v>45765</v>
      </c>
      <c r="K1414" s="2">
        <v>45789</v>
      </c>
    </row>
    <row r="1415" spans="1:11" x14ac:dyDescent="0.25">
      <c r="A1415" s="1" t="s">
        <v>333</v>
      </c>
      <c r="B1415" s="1" t="s">
        <v>1005</v>
      </c>
      <c r="C1415" s="1" t="s">
        <v>2023</v>
      </c>
      <c r="D1415" s="1" t="s">
        <v>1998</v>
      </c>
      <c r="E1415" s="1"/>
      <c r="F1415" s="1" t="s">
        <v>11</v>
      </c>
      <c r="G1415">
        <v>1735</v>
      </c>
      <c r="H1415">
        <v>1735</v>
      </c>
      <c r="I1415" s="2"/>
      <c r="J1415" s="2">
        <v>45765</v>
      </c>
      <c r="K1415" s="2">
        <v>45789</v>
      </c>
    </row>
    <row r="1416" spans="1:11" x14ac:dyDescent="0.25">
      <c r="A1416" s="1" t="s">
        <v>333</v>
      </c>
      <c r="B1416" s="1" t="s">
        <v>1006</v>
      </c>
      <c r="C1416" s="1" t="s">
        <v>2024</v>
      </c>
      <c r="D1416" s="1" t="s">
        <v>1998</v>
      </c>
      <c r="E1416" s="1"/>
      <c r="F1416" s="1" t="s">
        <v>11</v>
      </c>
      <c r="G1416">
        <v>1560</v>
      </c>
      <c r="H1416">
        <v>1575</v>
      </c>
      <c r="I1416" s="2"/>
      <c r="J1416" s="2">
        <v>45765</v>
      </c>
      <c r="K1416" s="2">
        <v>45789</v>
      </c>
    </row>
    <row r="1417" spans="1:11" x14ac:dyDescent="0.25">
      <c r="A1417" s="1" t="s">
        <v>333</v>
      </c>
      <c r="B1417" s="1" t="s">
        <v>1007</v>
      </c>
      <c r="C1417" s="1" t="s">
        <v>2025</v>
      </c>
      <c r="D1417" s="1" t="s">
        <v>1998</v>
      </c>
      <c r="E1417" s="1"/>
      <c r="F1417" s="1" t="s">
        <v>11</v>
      </c>
      <c r="G1417">
        <v>9685</v>
      </c>
      <c r="H1417">
        <v>9685</v>
      </c>
      <c r="I1417" s="2"/>
      <c r="J1417" s="2">
        <v>45765</v>
      </c>
      <c r="K1417" s="2">
        <v>45789</v>
      </c>
    </row>
    <row r="1418" spans="1:11" x14ac:dyDescent="0.25">
      <c r="A1418" s="1" t="s">
        <v>334</v>
      </c>
      <c r="B1418" s="1" t="s">
        <v>1288</v>
      </c>
      <c r="C1418" s="1" t="s">
        <v>2265</v>
      </c>
      <c r="D1418" s="1" t="s">
        <v>1998</v>
      </c>
      <c r="E1418" s="1"/>
      <c r="F1418" s="1" t="s">
        <v>11</v>
      </c>
      <c r="G1418">
        <v>1615</v>
      </c>
      <c r="H1418">
        <v>1615</v>
      </c>
      <c r="I1418" s="2"/>
      <c r="J1418" s="2">
        <v>45789</v>
      </c>
      <c r="K1418" s="2">
        <v>45789</v>
      </c>
    </row>
    <row r="1419" spans="1:11" x14ac:dyDescent="0.25">
      <c r="A1419" s="1" t="s">
        <v>335</v>
      </c>
      <c r="B1419" s="1" t="s">
        <v>1396</v>
      </c>
      <c r="C1419" s="1" t="s">
        <v>2345</v>
      </c>
      <c r="D1419" s="1" t="s">
        <v>1998</v>
      </c>
      <c r="E1419" s="1"/>
      <c r="F1419" s="1" t="s">
        <v>11</v>
      </c>
      <c r="G1419">
        <v>20</v>
      </c>
      <c r="H1419">
        <v>20</v>
      </c>
      <c r="I1419" s="2"/>
      <c r="J1419" s="2">
        <v>45729</v>
      </c>
      <c r="K1419" s="2">
        <v>45741</v>
      </c>
    </row>
    <row r="1420" spans="1:11" x14ac:dyDescent="0.25">
      <c r="A1420" s="1" t="s">
        <v>335</v>
      </c>
      <c r="B1420" s="1" t="s">
        <v>1194</v>
      </c>
      <c r="C1420" s="1" t="s">
        <v>2185</v>
      </c>
      <c r="D1420" s="1" t="s">
        <v>1998</v>
      </c>
      <c r="E1420" s="1"/>
      <c r="F1420" s="1" t="s">
        <v>11</v>
      </c>
      <c r="G1420">
        <v>60</v>
      </c>
      <c r="H1420">
        <v>60</v>
      </c>
      <c r="I1420" s="2"/>
      <c r="J1420" s="2">
        <v>45729</v>
      </c>
      <c r="K1420" s="2">
        <v>45741</v>
      </c>
    </row>
    <row r="1421" spans="1:11" x14ac:dyDescent="0.25">
      <c r="A1421" s="1" t="s">
        <v>336</v>
      </c>
      <c r="B1421" s="1" t="s">
        <v>995</v>
      </c>
      <c r="C1421" s="1" t="s">
        <v>2013</v>
      </c>
      <c r="D1421" s="1" t="s">
        <v>1998</v>
      </c>
      <c r="E1421" s="1"/>
      <c r="F1421" s="1" t="s">
        <v>11</v>
      </c>
      <c r="G1421">
        <v>715</v>
      </c>
      <c r="H1421">
        <v>10</v>
      </c>
      <c r="I1421" s="2"/>
      <c r="J1421" s="2">
        <v>45727</v>
      </c>
      <c r="K1421" s="2">
        <v>45743</v>
      </c>
    </row>
    <row r="1422" spans="1:11" x14ac:dyDescent="0.25">
      <c r="A1422" s="1" t="s">
        <v>336</v>
      </c>
      <c r="B1422" s="1" t="s">
        <v>1075</v>
      </c>
      <c r="C1422" s="1" t="s">
        <v>2078</v>
      </c>
      <c r="D1422" s="1" t="s">
        <v>1998</v>
      </c>
      <c r="E1422" s="1"/>
      <c r="F1422" s="1" t="s">
        <v>11</v>
      </c>
      <c r="G1422">
        <v>210</v>
      </c>
      <c r="H1422">
        <v>210</v>
      </c>
      <c r="I1422" s="2"/>
      <c r="J1422" s="2">
        <v>45727</v>
      </c>
      <c r="K1422" s="2">
        <v>45743</v>
      </c>
    </row>
    <row r="1423" spans="1:11" x14ac:dyDescent="0.25">
      <c r="A1423" s="1" t="s">
        <v>336</v>
      </c>
      <c r="B1423" s="1" t="s">
        <v>1052</v>
      </c>
      <c r="C1423" s="1" t="s">
        <v>2061</v>
      </c>
      <c r="D1423" s="1" t="s">
        <v>1998</v>
      </c>
      <c r="E1423" s="1"/>
      <c r="F1423" s="1" t="s">
        <v>11</v>
      </c>
      <c r="G1423">
        <v>1945</v>
      </c>
      <c r="H1423">
        <v>1945</v>
      </c>
      <c r="I1423" s="2"/>
      <c r="J1423" s="2">
        <v>45727</v>
      </c>
      <c r="K1423" s="2">
        <v>45743</v>
      </c>
    </row>
    <row r="1424" spans="1:11" x14ac:dyDescent="0.25">
      <c r="A1424" s="1" t="s">
        <v>336</v>
      </c>
      <c r="B1424" s="1" t="s">
        <v>999</v>
      </c>
      <c r="C1424" s="1" t="s">
        <v>2017</v>
      </c>
      <c r="D1424" s="1" t="s">
        <v>1998</v>
      </c>
      <c r="E1424" s="1"/>
      <c r="F1424" s="1" t="s">
        <v>11</v>
      </c>
      <c r="G1424">
        <v>1</v>
      </c>
      <c r="H1424">
        <v>1</v>
      </c>
      <c r="I1424" s="2"/>
      <c r="J1424" s="2">
        <v>45727</v>
      </c>
      <c r="K1424" s="2">
        <v>45743</v>
      </c>
    </row>
    <row r="1425" spans="1:11" x14ac:dyDescent="0.25">
      <c r="A1425" s="1" t="s">
        <v>336</v>
      </c>
      <c r="B1425" s="1" t="s">
        <v>1000</v>
      </c>
      <c r="C1425" s="1" t="s">
        <v>2018</v>
      </c>
      <c r="D1425" s="1" t="s">
        <v>1998</v>
      </c>
      <c r="E1425" s="1"/>
      <c r="F1425" s="1" t="s">
        <v>11</v>
      </c>
      <c r="G1425">
        <v>10</v>
      </c>
      <c r="H1425">
        <v>10</v>
      </c>
      <c r="I1425" s="2"/>
      <c r="J1425" s="2">
        <v>45727</v>
      </c>
      <c r="K1425" s="2">
        <v>45743</v>
      </c>
    </row>
    <row r="1426" spans="1:11" x14ac:dyDescent="0.25">
      <c r="A1426" s="1" t="s">
        <v>336</v>
      </c>
      <c r="B1426" s="1" t="s">
        <v>1001</v>
      </c>
      <c r="C1426" s="1" t="s">
        <v>2019</v>
      </c>
      <c r="D1426" s="1" t="s">
        <v>1998</v>
      </c>
      <c r="E1426" s="1"/>
      <c r="F1426" s="1" t="s">
        <v>11</v>
      </c>
      <c r="G1426">
        <v>5</v>
      </c>
      <c r="H1426">
        <v>5</v>
      </c>
      <c r="I1426" s="2"/>
      <c r="J1426" s="2">
        <v>45727</v>
      </c>
      <c r="K1426" s="2">
        <v>45743</v>
      </c>
    </row>
    <row r="1427" spans="1:11" x14ac:dyDescent="0.25">
      <c r="A1427" s="1" t="s">
        <v>336</v>
      </c>
      <c r="B1427" s="1" t="s">
        <v>1076</v>
      </c>
      <c r="C1427" s="1" t="s">
        <v>2079</v>
      </c>
      <c r="D1427" s="1" t="s">
        <v>1998</v>
      </c>
      <c r="E1427" s="1"/>
      <c r="F1427" s="1" t="s">
        <v>11</v>
      </c>
      <c r="G1427">
        <v>5520</v>
      </c>
      <c r="H1427">
        <v>5520</v>
      </c>
      <c r="I1427" s="2"/>
      <c r="J1427" s="2">
        <v>45727</v>
      </c>
      <c r="K1427" s="2">
        <v>45743</v>
      </c>
    </row>
    <row r="1428" spans="1:11" x14ac:dyDescent="0.25">
      <c r="A1428" s="1" t="s">
        <v>336</v>
      </c>
      <c r="B1428" s="1" t="s">
        <v>1077</v>
      </c>
      <c r="C1428" s="1" t="s">
        <v>2080</v>
      </c>
      <c r="D1428" s="1" t="s">
        <v>1998</v>
      </c>
      <c r="E1428" s="1"/>
      <c r="F1428" s="1" t="s">
        <v>11</v>
      </c>
      <c r="G1428">
        <v>6395</v>
      </c>
      <c r="H1428">
        <v>6395</v>
      </c>
      <c r="I1428" s="2"/>
      <c r="J1428" s="2">
        <v>45727</v>
      </c>
      <c r="K1428" s="2">
        <v>45743</v>
      </c>
    </row>
    <row r="1429" spans="1:11" x14ac:dyDescent="0.25">
      <c r="A1429" s="1" t="s">
        <v>337</v>
      </c>
      <c r="B1429" s="1" t="s">
        <v>1397</v>
      </c>
      <c r="C1429" s="1" t="s">
        <v>2346</v>
      </c>
      <c r="D1429" s="1" t="s">
        <v>1998</v>
      </c>
      <c r="E1429" s="1"/>
      <c r="F1429" s="1" t="s">
        <v>11</v>
      </c>
      <c r="G1429">
        <v>70</v>
      </c>
      <c r="H1429">
        <v>70</v>
      </c>
      <c r="I1429" s="2"/>
      <c r="J1429" s="2">
        <v>45727</v>
      </c>
      <c r="K1429" s="2">
        <v>45730</v>
      </c>
    </row>
    <row r="1430" spans="1:11" x14ac:dyDescent="0.25">
      <c r="A1430" s="1" t="s">
        <v>337</v>
      </c>
      <c r="B1430" s="1" t="s">
        <v>1398</v>
      </c>
      <c r="C1430" s="1" t="s">
        <v>2347</v>
      </c>
      <c r="D1430" s="1" t="s">
        <v>1998</v>
      </c>
      <c r="E1430" s="1"/>
      <c r="F1430" s="1" t="s">
        <v>11</v>
      </c>
      <c r="G1430">
        <v>35</v>
      </c>
      <c r="H1430">
        <v>1</v>
      </c>
      <c r="I1430" s="2"/>
      <c r="J1430" s="2">
        <v>45727</v>
      </c>
      <c r="K1430" s="2">
        <v>45730</v>
      </c>
    </row>
    <row r="1431" spans="1:11" x14ac:dyDescent="0.25">
      <c r="A1431" s="1" t="s">
        <v>337</v>
      </c>
      <c r="B1431" s="1" t="s">
        <v>1399</v>
      </c>
      <c r="C1431" s="1" t="s">
        <v>2002</v>
      </c>
      <c r="D1431" s="1" t="s">
        <v>1998</v>
      </c>
      <c r="E1431" s="1"/>
      <c r="F1431" s="1" t="s">
        <v>11</v>
      </c>
      <c r="G1431">
        <v>70</v>
      </c>
      <c r="H1431">
        <v>70</v>
      </c>
      <c r="I1431" s="2"/>
      <c r="J1431" s="2">
        <v>45727</v>
      </c>
      <c r="K1431" s="2">
        <v>45730</v>
      </c>
    </row>
    <row r="1432" spans="1:11" x14ac:dyDescent="0.25">
      <c r="A1432" s="1" t="s">
        <v>338</v>
      </c>
      <c r="B1432" s="1" t="s">
        <v>1397</v>
      </c>
      <c r="C1432" s="1" t="s">
        <v>2346</v>
      </c>
      <c r="D1432" s="1" t="s">
        <v>1998</v>
      </c>
      <c r="E1432" s="1"/>
      <c r="F1432" s="1" t="s">
        <v>11</v>
      </c>
      <c r="G1432">
        <v>70</v>
      </c>
      <c r="H1432">
        <v>70</v>
      </c>
      <c r="I1432" s="2"/>
      <c r="J1432" s="2">
        <v>45727</v>
      </c>
      <c r="K1432" s="2">
        <v>45750</v>
      </c>
    </row>
    <row r="1433" spans="1:11" x14ac:dyDescent="0.25">
      <c r="A1433" s="1" t="s">
        <v>338</v>
      </c>
      <c r="B1433" s="1" t="s">
        <v>1398</v>
      </c>
      <c r="C1433" s="1" t="s">
        <v>2347</v>
      </c>
      <c r="D1433" s="1" t="s">
        <v>1998</v>
      </c>
      <c r="E1433" s="1"/>
      <c r="F1433" s="1" t="s">
        <v>11</v>
      </c>
      <c r="G1433">
        <v>35</v>
      </c>
      <c r="H1433">
        <v>1</v>
      </c>
      <c r="I1433" s="2"/>
      <c r="J1433" s="2">
        <v>45727</v>
      </c>
      <c r="K1433" s="2">
        <v>45750</v>
      </c>
    </row>
    <row r="1434" spans="1:11" x14ac:dyDescent="0.25">
      <c r="A1434" s="1" t="s">
        <v>338</v>
      </c>
      <c r="B1434" s="1" t="s">
        <v>1399</v>
      </c>
      <c r="C1434" s="1" t="s">
        <v>2002</v>
      </c>
      <c r="D1434" s="1" t="s">
        <v>1998</v>
      </c>
      <c r="E1434" s="1"/>
      <c r="F1434" s="1" t="s">
        <v>11</v>
      </c>
      <c r="G1434">
        <v>70</v>
      </c>
      <c r="H1434">
        <v>70</v>
      </c>
      <c r="I1434" s="2"/>
      <c r="J1434" s="2">
        <v>45727</v>
      </c>
      <c r="K1434" s="2">
        <v>45750</v>
      </c>
    </row>
    <row r="1435" spans="1:11" x14ac:dyDescent="0.25">
      <c r="A1435" s="1" t="s">
        <v>339</v>
      </c>
      <c r="B1435" s="1" t="s">
        <v>1400</v>
      </c>
      <c r="C1435" s="1" t="s">
        <v>2014</v>
      </c>
      <c r="D1435" s="1" t="s">
        <v>1998</v>
      </c>
      <c r="E1435" s="1"/>
      <c r="F1435" s="1" t="s">
        <v>11</v>
      </c>
      <c r="G1435">
        <v>1435</v>
      </c>
      <c r="H1435">
        <v>1435</v>
      </c>
      <c r="I1435" s="2"/>
      <c r="J1435" s="2">
        <v>45729</v>
      </c>
      <c r="K1435" s="2">
        <v>45749</v>
      </c>
    </row>
    <row r="1436" spans="1:11" x14ac:dyDescent="0.25">
      <c r="A1436" s="1" t="s">
        <v>339</v>
      </c>
      <c r="B1436" s="1" t="s">
        <v>1400</v>
      </c>
      <c r="C1436" s="1" t="s">
        <v>2014</v>
      </c>
      <c r="D1436" s="1" t="s">
        <v>1998</v>
      </c>
      <c r="E1436" s="1"/>
      <c r="F1436" s="1" t="s">
        <v>11</v>
      </c>
      <c r="G1436">
        <v>55</v>
      </c>
      <c r="H1436">
        <v>55</v>
      </c>
      <c r="I1436" s="2"/>
      <c r="J1436" s="2">
        <v>45729</v>
      </c>
      <c r="K1436" s="2">
        <v>45749</v>
      </c>
    </row>
    <row r="1437" spans="1:11" x14ac:dyDescent="0.25">
      <c r="A1437" s="1" t="s">
        <v>339</v>
      </c>
      <c r="B1437" s="1" t="s">
        <v>1400</v>
      </c>
      <c r="C1437" s="1" t="s">
        <v>2014</v>
      </c>
      <c r="D1437" s="1" t="s">
        <v>1998</v>
      </c>
      <c r="E1437" s="1"/>
      <c r="F1437" s="1" t="s">
        <v>11</v>
      </c>
      <c r="G1437">
        <v>35</v>
      </c>
      <c r="H1437">
        <v>35</v>
      </c>
      <c r="I1437" s="2"/>
      <c r="J1437" s="2">
        <v>45729</v>
      </c>
      <c r="K1437" s="2">
        <v>45749</v>
      </c>
    </row>
    <row r="1438" spans="1:11" x14ac:dyDescent="0.25">
      <c r="A1438" s="1" t="s">
        <v>339</v>
      </c>
      <c r="B1438" s="1" t="s">
        <v>1401</v>
      </c>
      <c r="C1438" s="1" t="s">
        <v>2348</v>
      </c>
      <c r="D1438" s="1" t="s">
        <v>1998</v>
      </c>
      <c r="E1438" s="1"/>
      <c r="F1438" s="1" t="s">
        <v>11</v>
      </c>
      <c r="G1438">
        <v>960</v>
      </c>
      <c r="H1438">
        <v>945</v>
      </c>
      <c r="I1438" s="2"/>
      <c r="J1438" s="2">
        <v>45729</v>
      </c>
      <c r="K1438" s="2">
        <v>45749</v>
      </c>
    </row>
    <row r="1439" spans="1:11" x14ac:dyDescent="0.25">
      <c r="A1439" s="1" t="s">
        <v>339</v>
      </c>
      <c r="B1439" s="1" t="s">
        <v>1402</v>
      </c>
      <c r="C1439" s="1" t="s">
        <v>2016</v>
      </c>
      <c r="D1439" s="1" t="s">
        <v>1998</v>
      </c>
      <c r="E1439" s="1"/>
      <c r="F1439" s="1" t="s">
        <v>11</v>
      </c>
      <c r="G1439">
        <v>2010</v>
      </c>
      <c r="H1439">
        <v>2010</v>
      </c>
      <c r="I1439" s="2"/>
      <c r="J1439" s="2">
        <v>45729</v>
      </c>
      <c r="K1439" s="2">
        <v>45749</v>
      </c>
    </row>
    <row r="1440" spans="1:11" x14ac:dyDescent="0.25">
      <c r="A1440" s="1" t="s">
        <v>339</v>
      </c>
      <c r="B1440" s="1" t="s">
        <v>1402</v>
      </c>
      <c r="C1440" s="1" t="s">
        <v>2016</v>
      </c>
      <c r="D1440" s="1" t="s">
        <v>1998</v>
      </c>
      <c r="E1440" s="1"/>
      <c r="F1440" s="1" t="s">
        <v>11</v>
      </c>
      <c r="G1440">
        <v>80</v>
      </c>
      <c r="H1440">
        <v>80</v>
      </c>
      <c r="I1440" s="2"/>
      <c r="J1440" s="2">
        <v>45729</v>
      </c>
      <c r="K1440" s="2">
        <v>45749</v>
      </c>
    </row>
    <row r="1441" spans="1:11" x14ac:dyDescent="0.25">
      <c r="A1441" s="1" t="s">
        <v>339</v>
      </c>
      <c r="B1441" s="1" t="s">
        <v>1402</v>
      </c>
      <c r="C1441" s="1" t="s">
        <v>2016</v>
      </c>
      <c r="D1441" s="1" t="s">
        <v>1998</v>
      </c>
      <c r="E1441" s="1"/>
      <c r="F1441" s="1" t="s">
        <v>11</v>
      </c>
      <c r="G1441">
        <v>15</v>
      </c>
      <c r="H1441">
        <v>15</v>
      </c>
      <c r="I1441" s="2"/>
      <c r="J1441" s="2">
        <v>45729</v>
      </c>
      <c r="K1441" s="2">
        <v>45749</v>
      </c>
    </row>
    <row r="1442" spans="1:11" x14ac:dyDescent="0.25">
      <c r="A1442" s="1" t="s">
        <v>340</v>
      </c>
      <c r="B1442" s="1" t="s">
        <v>1403</v>
      </c>
      <c r="C1442" s="1" t="s">
        <v>2349</v>
      </c>
      <c r="D1442" s="1" t="s">
        <v>1998</v>
      </c>
      <c r="E1442" s="1"/>
      <c r="F1442" s="1" t="s">
        <v>11</v>
      </c>
      <c r="G1442">
        <v>15</v>
      </c>
      <c r="H1442">
        <v>15</v>
      </c>
      <c r="I1442" s="2"/>
      <c r="J1442" s="2">
        <v>45728</v>
      </c>
      <c r="K1442" s="2">
        <v>45761</v>
      </c>
    </row>
    <row r="1443" spans="1:11" x14ac:dyDescent="0.25">
      <c r="A1443" s="1" t="s">
        <v>340</v>
      </c>
      <c r="B1443" s="1" t="s">
        <v>1403</v>
      </c>
      <c r="C1443" s="1" t="s">
        <v>2349</v>
      </c>
      <c r="D1443" s="1" t="s">
        <v>1998</v>
      </c>
      <c r="E1443" s="1"/>
      <c r="F1443" s="1" t="s">
        <v>11</v>
      </c>
      <c r="G1443">
        <v>1</v>
      </c>
      <c r="H1443">
        <v>1</v>
      </c>
      <c r="I1443" s="2"/>
      <c r="J1443" s="2">
        <v>45728</v>
      </c>
      <c r="K1443" s="2">
        <v>45761</v>
      </c>
    </row>
    <row r="1444" spans="1:11" x14ac:dyDescent="0.25">
      <c r="A1444" s="1" t="s">
        <v>340</v>
      </c>
      <c r="B1444" s="1" t="s">
        <v>1404</v>
      </c>
      <c r="C1444" s="1" t="s">
        <v>2350</v>
      </c>
      <c r="D1444" s="1" t="s">
        <v>1998</v>
      </c>
      <c r="E1444" s="1"/>
      <c r="F1444" s="1" t="s">
        <v>11</v>
      </c>
      <c r="G1444">
        <v>65</v>
      </c>
      <c r="H1444">
        <v>65</v>
      </c>
      <c r="I1444" s="2"/>
      <c r="J1444" s="2">
        <v>45728</v>
      </c>
      <c r="K1444" s="2">
        <v>45761</v>
      </c>
    </row>
    <row r="1445" spans="1:11" x14ac:dyDescent="0.25">
      <c r="A1445" s="1" t="s">
        <v>340</v>
      </c>
      <c r="B1445" s="1" t="s">
        <v>1404</v>
      </c>
      <c r="C1445" s="1" t="s">
        <v>2350</v>
      </c>
      <c r="D1445" s="1" t="s">
        <v>1998</v>
      </c>
      <c r="E1445" s="1"/>
      <c r="F1445" s="1" t="s">
        <v>11</v>
      </c>
      <c r="G1445">
        <v>1</v>
      </c>
      <c r="H1445">
        <v>1</v>
      </c>
      <c r="I1445" s="2"/>
      <c r="J1445" s="2">
        <v>45728</v>
      </c>
      <c r="K1445" s="2">
        <v>45761</v>
      </c>
    </row>
    <row r="1446" spans="1:11" x14ac:dyDescent="0.25">
      <c r="A1446" s="1" t="s">
        <v>340</v>
      </c>
      <c r="B1446" s="1" t="s">
        <v>1405</v>
      </c>
      <c r="C1446" s="1" t="s">
        <v>2351</v>
      </c>
      <c r="D1446" s="1" t="s">
        <v>1998</v>
      </c>
      <c r="E1446" s="1"/>
      <c r="F1446" s="1" t="s">
        <v>11</v>
      </c>
      <c r="G1446">
        <v>65</v>
      </c>
      <c r="H1446">
        <v>65</v>
      </c>
      <c r="I1446" s="2"/>
      <c r="J1446" s="2">
        <v>45728</v>
      </c>
      <c r="K1446" s="2">
        <v>45761</v>
      </c>
    </row>
    <row r="1447" spans="1:11" x14ac:dyDescent="0.25">
      <c r="A1447" s="1" t="s">
        <v>340</v>
      </c>
      <c r="B1447" s="1" t="s">
        <v>1406</v>
      </c>
      <c r="C1447" s="1" t="s">
        <v>2352</v>
      </c>
      <c r="D1447" s="1" t="s">
        <v>1998</v>
      </c>
      <c r="E1447" s="1"/>
      <c r="F1447" s="1" t="s">
        <v>11</v>
      </c>
      <c r="G1447">
        <v>5</v>
      </c>
      <c r="H1447">
        <v>5</v>
      </c>
      <c r="I1447" s="2"/>
      <c r="J1447" s="2">
        <v>45728</v>
      </c>
      <c r="K1447" s="2">
        <v>45761</v>
      </c>
    </row>
    <row r="1448" spans="1:11" x14ac:dyDescent="0.25">
      <c r="A1448" s="1" t="s">
        <v>340</v>
      </c>
      <c r="B1448" s="1" t="s">
        <v>1407</v>
      </c>
      <c r="C1448" s="1" t="s">
        <v>2353</v>
      </c>
      <c r="D1448" s="1" t="s">
        <v>1998</v>
      </c>
      <c r="E1448" s="1"/>
      <c r="F1448" s="1" t="s">
        <v>11</v>
      </c>
      <c r="G1448">
        <v>65</v>
      </c>
      <c r="H1448">
        <v>65</v>
      </c>
      <c r="I1448" s="2"/>
      <c r="J1448" s="2">
        <v>45728</v>
      </c>
      <c r="K1448" s="2">
        <v>45761</v>
      </c>
    </row>
    <row r="1449" spans="1:11" x14ac:dyDescent="0.25">
      <c r="A1449" s="1" t="s">
        <v>340</v>
      </c>
      <c r="B1449" s="1" t="s">
        <v>1408</v>
      </c>
      <c r="C1449" s="1" t="s">
        <v>2354</v>
      </c>
      <c r="D1449" s="1" t="s">
        <v>1998</v>
      </c>
      <c r="E1449" s="1"/>
      <c r="F1449" s="1" t="s">
        <v>11</v>
      </c>
      <c r="G1449">
        <v>6500</v>
      </c>
      <c r="H1449">
        <v>6500</v>
      </c>
      <c r="I1449" s="2"/>
      <c r="J1449" s="2">
        <v>45728</v>
      </c>
      <c r="K1449" s="2">
        <v>45761</v>
      </c>
    </row>
    <row r="1450" spans="1:11" x14ac:dyDescent="0.25">
      <c r="A1450" s="1" t="s">
        <v>340</v>
      </c>
      <c r="B1450" s="1" t="s">
        <v>1409</v>
      </c>
      <c r="C1450" s="1" t="s">
        <v>2115</v>
      </c>
      <c r="D1450" s="1" t="s">
        <v>1998</v>
      </c>
      <c r="E1450" s="1"/>
      <c r="F1450" s="1" t="s">
        <v>11</v>
      </c>
      <c r="G1450">
        <v>16880</v>
      </c>
      <c r="H1450">
        <v>16880</v>
      </c>
      <c r="I1450" s="2"/>
      <c r="J1450" s="2">
        <v>45728</v>
      </c>
      <c r="K1450" s="2">
        <v>45761</v>
      </c>
    </row>
    <row r="1451" spans="1:11" x14ac:dyDescent="0.25">
      <c r="A1451" s="1" t="s">
        <v>340</v>
      </c>
      <c r="B1451" s="1" t="s">
        <v>1410</v>
      </c>
      <c r="C1451" s="1" t="s">
        <v>2014</v>
      </c>
      <c r="D1451" s="1" t="s">
        <v>1998</v>
      </c>
      <c r="E1451" s="1"/>
      <c r="F1451" s="1" t="s">
        <v>11</v>
      </c>
      <c r="G1451">
        <v>15905</v>
      </c>
      <c r="H1451">
        <v>15905</v>
      </c>
      <c r="I1451" s="2"/>
      <c r="J1451" s="2">
        <v>45728</v>
      </c>
      <c r="K1451" s="2">
        <v>45761</v>
      </c>
    </row>
    <row r="1452" spans="1:11" x14ac:dyDescent="0.25">
      <c r="A1452" s="1" t="s">
        <v>340</v>
      </c>
      <c r="B1452" s="1" t="s">
        <v>1410</v>
      </c>
      <c r="C1452" s="1" t="s">
        <v>2014</v>
      </c>
      <c r="D1452" s="1" t="s">
        <v>1998</v>
      </c>
      <c r="E1452" s="1"/>
      <c r="F1452" s="1" t="s">
        <v>11</v>
      </c>
      <c r="G1452">
        <v>795</v>
      </c>
      <c r="H1452">
        <v>795</v>
      </c>
      <c r="I1452" s="2"/>
      <c r="J1452" s="2">
        <v>45728</v>
      </c>
      <c r="K1452" s="2">
        <v>45761</v>
      </c>
    </row>
    <row r="1453" spans="1:11" x14ac:dyDescent="0.25">
      <c r="A1453" s="1" t="s">
        <v>340</v>
      </c>
      <c r="B1453" s="1" t="s">
        <v>1411</v>
      </c>
      <c r="C1453" s="1" t="s">
        <v>2355</v>
      </c>
      <c r="D1453" s="1" t="s">
        <v>1998</v>
      </c>
      <c r="E1453" s="1"/>
      <c r="F1453" s="1" t="s">
        <v>11</v>
      </c>
      <c r="G1453">
        <v>14615</v>
      </c>
      <c r="H1453">
        <v>14615</v>
      </c>
      <c r="I1453" s="2"/>
      <c r="J1453" s="2">
        <v>45728</v>
      </c>
      <c r="K1453" s="2">
        <v>45761</v>
      </c>
    </row>
    <row r="1454" spans="1:11" x14ac:dyDescent="0.25">
      <c r="A1454" s="1" t="s">
        <v>340</v>
      </c>
      <c r="B1454" s="1" t="s">
        <v>1412</v>
      </c>
      <c r="C1454" s="1" t="s">
        <v>2356</v>
      </c>
      <c r="D1454" s="1" t="s">
        <v>1998</v>
      </c>
      <c r="E1454" s="1"/>
      <c r="F1454" s="1" t="s">
        <v>11</v>
      </c>
      <c r="G1454">
        <v>15</v>
      </c>
      <c r="H1454">
        <v>20</v>
      </c>
      <c r="I1454" s="2"/>
      <c r="J1454" s="2">
        <v>45728</v>
      </c>
      <c r="K1454" s="2">
        <v>45761</v>
      </c>
    </row>
    <row r="1455" spans="1:11" x14ac:dyDescent="0.25">
      <c r="A1455" s="1" t="s">
        <v>340</v>
      </c>
      <c r="B1455" s="1" t="s">
        <v>1413</v>
      </c>
      <c r="C1455" s="1" t="s">
        <v>2357</v>
      </c>
      <c r="D1455" s="1" t="s">
        <v>1998</v>
      </c>
      <c r="E1455" s="1"/>
      <c r="F1455" s="1" t="s">
        <v>11</v>
      </c>
      <c r="G1455">
        <v>1</v>
      </c>
      <c r="H1455">
        <v>1</v>
      </c>
      <c r="I1455" s="2"/>
      <c r="J1455" s="2">
        <v>45728</v>
      </c>
      <c r="K1455" s="2">
        <v>45761</v>
      </c>
    </row>
    <row r="1456" spans="1:11" x14ac:dyDescent="0.25">
      <c r="A1456" s="1" t="s">
        <v>340</v>
      </c>
      <c r="B1456" s="1" t="s">
        <v>1414</v>
      </c>
      <c r="C1456" s="1" t="s">
        <v>2358</v>
      </c>
      <c r="D1456" s="1" t="s">
        <v>1998</v>
      </c>
      <c r="E1456" s="1"/>
      <c r="F1456" s="1" t="s">
        <v>11</v>
      </c>
      <c r="G1456">
        <v>45</v>
      </c>
      <c r="H1456">
        <v>90</v>
      </c>
      <c r="I1456" s="2"/>
      <c r="J1456" s="2">
        <v>45728</v>
      </c>
      <c r="K1456" s="2">
        <v>45761</v>
      </c>
    </row>
    <row r="1457" spans="1:11" x14ac:dyDescent="0.25">
      <c r="A1457" s="1" t="s">
        <v>340</v>
      </c>
      <c r="B1457" s="1" t="s">
        <v>1040</v>
      </c>
      <c r="C1457" s="1" t="s">
        <v>2050</v>
      </c>
      <c r="D1457" s="1" t="s">
        <v>1998</v>
      </c>
      <c r="E1457" s="1"/>
      <c r="F1457" s="1" t="s">
        <v>11</v>
      </c>
      <c r="G1457">
        <v>45</v>
      </c>
      <c r="H1457">
        <v>90</v>
      </c>
      <c r="I1457" s="2"/>
      <c r="J1457" s="2">
        <v>45728</v>
      </c>
      <c r="K1457" s="2">
        <v>45761</v>
      </c>
    </row>
    <row r="1458" spans="1:11" x14ac:dyDescent="0.25">
      <c r="A1458" s="1" t="s">
        <v>341</v>
      </c>
      <c r="B1458" s="1" t="s">
        <v>1240</v>
      </c>
      <c r="C1458" s="1" t="s">
        <v>2115</v>
      </c>
      <c r="D1458" s="1" t="s">
        <v>1998</v>
      </c>
      <c r="E1458" s="1"/>
      <c r="F1458" s="1" t="s">
        <v>11</v>
      </c>
      <c r="G1458">
        <v>12720</v>
      </c>
      <c r="H1458">
        <v>12720</v>
      </c>
      <c r="I1458" s="2"/>
      <c r="J1458" s="2">
        <v>45729</v>
      </c>
      <c r="K1458" s="2">
        <v>45754</v>
      </c>
    </row>
    <row r="1459" spans="1:11" x14ac:dyDescent="0.25">
      <c r="A1459" s="1" t="s">
        <v>341</v>
      </c>
      <c r="B1459" s="1" t="s">
        <v>1241</v>
      </c>
      <c r="C1459" s="1" t="s">
        <v>2115</v>
      </c>
      <c r="D1459" s="1" t="s">
        <v>1998</v>
      </c>
      <c r="E1459" s="1"/>
      <c r="F1459" s="1" t="s">
        <v>11</v>
      </c>
      <c r="G1459">
        <v>2190</v>
      </c>
      <c r="H1459">
        <v>2190</v>
      </c>
      <c r="I1459" s="2"/>
      <c r="J1459" s="2">
        <v>45729</v>
      </c>
      <c r="K1459" s="2">
        <v>45754</v>
      </c>
    </row>
    <row r="1460" spans="1:11" x14ac:dyDescent="0.25">
      <c r="A1460" s="1" t="s">
        <v>342</v>
      </c>
      <c r="B1460" s="1" t="s">
        <v>1240</v>
      </c>
      <c r="C1460" s="1" t="s">
        <v>2115</v>
      </c>
      <c r="D1460" s="1" t="s">
        <v>1998</v>
      </c>
      <c r="E1460" s="1"/>
      <c r="F1460" s="1" t="s">
        <v>11</v>
      </c>
      <c r="G1460">
        <v>12720</v>
      </c>
      <c r="H1460">
        <v>12720</v>
      </c>
      <c r="I1460" s="2"/>
      <c r="J1460" s="2">
        <v>45729</v>
      </c>
      <c r="K1460" s="2">
        <v>45754</v>
      </c>
    </row>
    <row r="1461" spans="1:11" x14ac:dyDescent="0.25">
      <c r="A1461" s="1" t="s">
        <v>342</v>
      </c>
      <c r="B1461" s="1" t="s">
        <v>1241</v>
      </c>
      <c r="C1461" s="1" t="s">
        <v>2115</v>
      </c>
      <c r="D1461" s="1" t="s">
        <v>1998</v>
      </c>
      <c r="E1461" s="1"/>
      <c r="F1461" s="1" t="s">
        <v>11</v>
      </c>
      <c r="G1461">
        <v>2190</v>
      </c>
      <c r="H1461">
        <v>2190</v>
      </c>
      <c r="I1461" s="2"/>
      <c r="J1461" s="2">
        <v>45729</v>
      </c>
      <c r="K1461" s="2">
        <v>45754</v>
      </c>
    </row>
    <row r="1462" spans="1:11" x14ac:dyDescent="0.25">
      <c r="A1462" s="1" t="s">
        <v>343</v>
      </c>
      <c r="B1462" s="1" t="s">
        <v>1240</v>
      </c>
      <c r="C1462" s="1" t="s">
        <v>2115</v>
      </c>
      <c r="D1462" s="1" t="s">
        <v>1998</v>
      </c>
      <c r="E1462" s="1"/>
      <c r="F1462" s="1" t="s">
        <v>11</v>
      </c>
      <c r="G1462">
        <v>12720</v>
      </c>
      <c r="H1462">
        <v>12720</v>
      </c>
      <c r="I1462" s="2"/>
      <c r="J1462" s="2">
        <v>45733</v>
      </c>
      <c r="K1462" s="2">
        <v>45779</v>
      </c>
    </row>
    <row r="1463" spans="1:11" x14ac:dyDescent="0.25">
      <c r="A1463" s="1" t="s">
        <v>343</v>
      </c>
      <c r="B1463" s="1" t="s">
        <v>1241</v>
      </c>
      <c r="C1463" s="1" t="s">
        <v>2115</v>
      </c>
      <c r="D1463" s="1" t="s">
        <v>1998</v>
      </c>
      <c r="E1463" s="1"/>
      <c r="F1463" s="1" t="s">
        <v>11</v>
      </c>
      <c r="G1463">
        <v>2190</v>
      </c>
      <c r="H1463">
        <v>2190</v>
      </c>
      <c r="I1463" s="2"/>
      <c r="J1463" s="2">
        <v>45733</v>
      </c>
      <c r="K1463" s="2">
        <v>45779</v>
      </c>
    </row>
    <row r="1464" spans="1:11" x14ac:dyDescent="0.25">
      <c r="A1464" s="1" t="s">
        <v>344</v>
      </c>
      <c r="B1464" s="1" t="s">
        <v>1216</v>
      </c>
      <c r="C1464" s="1" t="s">
        <v>2204</v>
      </c>
      <c r="D1464" s="1" t="s">
        <v>1998</v>
      </c>
      <c r="E1464" s="1"/>
      <c r="F1464" s="1" t="s">
        <v>11</v>
      </c>
      <c r="G1464">
        <v>710</v>
      </c>
      <c r="H1464">
        <v>680</v>
      </c>
      <c r="I1464" s="2"/>
      <c r="J1464" s="2">
        <v>45729</v>
      </c>
      <c r="K1464" s="2">
        <v>45758</v>
      </c>
    </row>
    <row r="1465" spans="1:11" x14ac:dyDescent="0.25">
      <c r="A1465" s="1" t="s">
        <v>344</v>
      </c>
      <c r="B1465" s="1" t="s">
        <v>1217</v>
      </c>
      <c r="C1465" s="1" t="s">
        <v>2205</v>
      </c>
      <c r="D1465" s="1" t="s">
        <v>1998</v>
      </c>
      <c r="E1465" s="1"/>
      <c r="F1465" s="1" t="s">
        <v>11</v>
      </c>
      <c r="G1465">
        <v>1255</v>
      </c>
      <c r="H1465">
        <v>1255</v>
      </c>
      <c r="I1465" s="2"/>
      <c r="J1465" s="2">
        <v>45729</v>
      </c>
      <c r="K1465" s="2">
        <v>45758</v>
      </c>
    </row>
    <row r="1466" spans="1:11" x14ac:dyDescent="0.25">
      <c r="A1466" s="1" t="s">
        <v>344</v>
      </c>
      <c r="B1466" s="1" t="s">
        <v>1218</v>
      </c>
      <c r="C1466" s="1" t="s">
        <v>2163</v>
      </c>
      <c r="D1466" s="1" t="s">
        <v>1998</v>
      </c>
      <c r="E1466" s="1"/>
      <c r="F1466" s="1" t="s">
        <v>11</v>
      </c>
      <c r="G1466">
        <v>8175</v>
      </c>
      <c r="H1466">
        <v>8175</v>
      </c>
      <c r="I1466" s="2"/>
      <c r="J1466" s="2">
        <v>45729</v>
      </c>
      <c r="K1466" s="2">
        <v>45758</v>
      </c>
    </row>
    <row r="1467" spans="1:11" x14ac:dyDescent="0.25">
      <c r="A1467" s="1" t="s">
        <v>344</v>
      </c>
      <c r="B1467" s="1" t="s">
        <v>1027</v>
      </c>
      <c r="C1467" s="1" t="s">
        <v>2040</v>
      </c>
      <c r="D1467" s="1" t="s">
        <v>1998</v>
      </c>
      <c r="E1467" s="1"/>
      <c r="F1467" s="1" t="s">
        <v>11</v>
      </c>
      <c r="G1467">
        <v>415</v>
      </c>
      <c r="H1467">
        <v>415</v>
      </c>
      <c r="I1467" s="2"/>
      <c r="J1467" s="2">
        <v>45729</v>
      </c>
      <c r="K1467" s="2">
        <v>45758</v>
      </c>
    </row>
    <row r="1468" spans="1:11" x14ac:dyDescent="0.25">
      <c r="A1468" s="1" t="s">
        <v>344</v>
      </c>
      <c r="B1468" s="1" t="s">
        <v>1027</v>
      </c>
      <c r="C1468" s="1" t="s">
        <v>2040</v>
      </c>
      <c r="D1468" s="1" t="s">
        <v>1998</v>
      </c>
      <c r="E1468" s="1"/>
      <c r="F1468" s="1" t="s">
        <v>12</v>
      </c>
      <c r="G1468">
        <v>1</v>
      </c>
      <c r="H1468">
        <v>125</v>
      </c>
      <c r="I1468" s="2"/>
      <c r="J1468" s="2">
        <v>45729</v>
      </c>
      <c r="K1468" s="2">
        <v>45758</v>
      </c>
    </row>
    <row r="1469" spans="1:11" x14ac:dyDescent="0.25">
      <c r="A1469" s="1" t="s">
        <v>344</v>
      </c>
      <c r="B1469" s="1" t="s">
        <v>1013</v>
      </c>
      <c r="C1469" s="1" t="s">
        <v>2030</v>
      </c>
      <c r="D1469" s="1" t="s">
        <v>1998</v>
      </c>
      <c r="E1469" s="1"/>
      <c r="F1469" s="1" t="s">
        <v>11</v>
      </c>
      <c r="G1469">
        <v>95</v>
      </c>
      <c r="H1469">
        <v>95</v>
      </c>
      <c r="I1469" s="2"/>
      <c r="J1469" s="2">
        <v>45729</v>
      </c>
      <c r="K1469" s="2">
        <v>45758</v>
      </c>
    </row>
    <row r="1470" spans="1:11" x14ac:dyDescent="0.25">
      <c r="A1470" s="1" t="s">
        <v>344</v>
      </c>
      <c r="B1470" s="1" t="s">
        <v>1013</v>
      </c>
      <c r="C1470" s="1" t="s">
        <v>2030</v>
      </c>
      <c r="D1470" s="1" t="s">
        <v>1998</v>
      </c>
      <c r="E1470" s="1"/>
      <c r="F1470" s="1" t="s">
        <v>12</v>
      </c>
      <c r="G1470">
        <v>1</v>
      </c>
      <c r="H1470">
        <v>45</v>
      </c>
      <c r="I1470" s="2"/>
      <c r="J1470" s="2">
        <v>45729</v>
      </c>
      <c r="K1470" s="2">
        <v>45758</v>
      </c>
    </row>
    <row r="1471" spans="1:11" x14ac:dyDescent="0.25">
      <c r="A1471" s="1" t="s">
        <v>344</v>
      </c>
      <c r="B1471" s="1" t="s">
        <v>993</v>
      </c>
      <c r="C1471" s="1" t="s">
        <v>2011</v>
      </c>
      <c r="D1471" s="1" t="s">
        <v>1998</v>
      </c>
      <c r="E1471" s="1"/>
      <c r="F1471" s="1" t="s">
        <v>11</v>
      </c>
      <c r="G1471">
        <v>35</v>
      </c>
      <c r="H1471">
        <v>35</v>
      </c>
      <c r="I1471" s="2"/>
      <c r="J1471" s="2">
        <v>45729</v>
      </c>
      <c r="K1471" s="2">
        <v>45758</v>
      </c>
    </row>
    <row r="1472" spans="1:11" x14ac:dyDescent="0.25">
      <c r="A1472" s="1" t="s">
        <v>344</v>
      </c>
      <c r="B1472" s="1" t="s">
        <v>993</v>
      </c>
      <c r="C1472" s="1" t="s">
        <v>2011</v>
      </c>
      <c r="D1472" s="1" t="s">
        <v>1998</v>
      </c>
      <c r="E1472" s="1"/>
      <c r="F1472" s="1" t="s">
        <v>11</v>
      </c>
      <c r="G1472">
        <v>70</v>
      </c>
      <c r="H1472">
        <v>105</v>
      </c>
      <c r="I1472" s="2"/>
      <c r="J1472" s="2">
        <v>45729</v>
      </c>
      <c r="K1472" s="2">
        <v>45758</v>
      </c>
    </row>
    <row r="1473" spans="1:11" x14ac:dyDescent="0.25">
      <c r="A1473" s="1" t="s">
        <v>344</v>
      </c>
      <c r="B1473" s="1" t="s">
        <v>1219</v>
      </c>
      <c r="C1473" s="1" t="s">
        <v>2042</v>
      </c>
      <c r="D1473" s="1" t="s">
        <v>1998</v>
      </c>
      <c r="E1473" s="1"/>
      <c r="F1473" s="1" t="s">
        <v>11</v>
      </c>
      <c r="G1473">
        <v>5390</v>
      </c>
      <c r="H1473">
        <v>5305</v>
      </c>
      <c r="I1473" s="2"/>
      <c r="J1473" s="2">
        <v>45729</v>
      </c>
      <c r="K1473" s="2">
        <v>45758</v>
      </c>
    </row>
    <row r="1474" spans="1:11" x14ac:dyDescent="0.25">
      <c r="A1474" s="1" t="s">
        <v>344</v>
      </c>
      <c r="B1474" s="1" t="s">
        <v>1220</v>
      </c>
      <c r="C1474" s="1" t="s">
        <v>2164</v>
      </c>
      <c r="D1474" s="1" t="s">
        <v>1998</v>
      </c>
      <c r="E1474" s="1"/>
      <c r="F1474" s="1" t="s">
        <v>11</v>
      </c>
      <c r="G1474">
        <v>1070</v>
      </c>
      <c r="H1474">
        <v>1070</v>
      </c>
      <c r="I1474" s="2"/>
      <c r="J1474" s="2">
        <v>45729</v>
      </c>
      <c r="K1474" s="2">
        <v>45758</v>
      </c>
    </row>
    <row r="1475" spans="1:11" x14ac:dyDescent="0.25">
      <c r="A1475" s="1" t="s">
        <v>344</v>
      </c>
      <c r="B1475" s="1" t="s">
        <v>1221</v>
      </c>
      <c r="C1475" s="1" t="s">
        <v>2206</v>
      </c>
      <c r="D1475" s="1" t="s">
        <v>1998</v>
      </c>
      <c r="E1475" s="1"/>
      <c r="F1475" s="1" t="s">
        <v>11</v>
      </c>
      <c r="G1475">
        <v>1700</v>
      </c>
      <c r="H1475">
        <v>1700</v>
      </c>
      <c r="I1475" s="2"/>
      <c r="J1475" s="2">
        <v>45729</v>
      </c>
      <c r="K1475" s="2">
        <v>45758</v>
      </c>
    </row>
    <row r="1476" spans="1:11" x14ac:dyDescent="0.25">
      <c r="A1476" s="1" t="s">
        <v>345</v>
      </c>
      <c r="B1476" s="1" t="s">
        <v>1349</v>
      </c>
      <c r="C1476" s="1" t="s">
        <v>2302</v>
      </c>
      <c r="D1476" s="1" t="s">
        <v>1998</v>
      </c>
      <c r="E1476" s="1"/>
      <c r="F1476" s="1" t="s">
        <v>11</v>
      </c>
      <c r="G1476">
        <v>100</v>
      </c>
      <c r="H1476">
        <v>135</v>
      </c>
      <c r="I1476" s="2"/>
      <c r="J1476" s="2">
        <v>45743</v>
      </c>
      <c r="K1476" s="2">
        <v>45756</v>
      </c>
    </row>
    <row r="1477" spans="1:11" x14ac:dyDescent="0.25">
      <c r="A1477" s="1" t="s">
        <v>345</v>
      </c>
      <c r="B1477" s="1" t="s">
        <v>1350</v>
      </c>
      <c r="C1477" s="1" t="s">
        <v>2303</v>
      </c>
      <c r="D1477" s="1" t="s">
        <v>1998</v>
      </c>
      <c r="E1477" s="1"/>
      <c r="F1477" s="1" t="s">
        <v>11</v>
      </c>
      <c r="G1477">
        <v>730</v>
      </c>
      <c r="H1477">
        <v>710</v>
      </c>
      <c r="I1477" s="2"/>
      <c r="J1477" s="2">
        <v>45743</v>
      </c>
      <c r="K1477" s="2">
        <v>45756</v>
      </c>
    </row>
    <row r="1478" spans="1:11" x14ac:dyDescent="0.25">
      <c r="A1478" s="1" t="s">
        <v>345</v>
      </c>
      <c r="B1478" s="1" t="s">
        <v>1206</v>
      </c>
      <c r="C1478" s="1" t="s">
        <v>2196</v>
      </c>
      <c r="D1478" s="1" t="s">
        <v>1998</v>
      </c>
      <c r="E1478" s="1"/>
      <c r="F1478" s="1" t="s">
        <v>11</v>
      </c>
      <c r="G1478">
        <v>1</v>
      </c>
      <c r="H1478">
        <v>1</v>
      </c>
      <c r="I1478" s="2"/>
      <c r="J1478" s="2">
        <v>45743</v>
      </c>
      <c r="K1478" s="2">
        <v>45756</v>
      </c>
    </row>
    <row r="1479" spans="1:11" x14ac:dyDescent="0.25">
      <c r="A1479" s="1" t="s">
        <v>345</v>
      </c>
      <c r="B1479" s="1" t="s">
        <v>1351</v>
      </c>
      <c r="C1479" s="1" t="s">
        <v>2304</v>
      </c>
      <c r="D1479" s="1" t="s">
        <v>1998</v>
      </c>
      <c r="E1479" s="1"/>
      <c r="F1479" s="1" t="s">
        <v>11</v>
      </c>
      <c r="G1479">
        <v>15</v>
      </c>
      <c r="H1479">
        <v>15</v>
      </c>
      <c r="I1479" s="2"/>
      <c r="J1479" s="2">
        <v>45743</v>
      </c>
      <c r="K1479" s="2">
        <v>45756</v>
      </c>
    </row>
    <row r="1480" spans="1:11" x14ac:dyDescent="0.25">
      <c r="A1480" s="1" t="s">
        <v>346</v>
      </c>
      <c r="B1480" s="1" t="s">
        <v>1349</v>
      </c>
      <c r="C1480" s="1" t="s">
        <v>2302</v>
      </c>
      <c r="D1480" s="1" t="s">
        <v>1998</v>
      </c>
      <c r="E1480" s="1"/>
      <c r="F1480" s="1" t="s">
        <v>11</v>
      </c>
      <c r="G1480">
        <v>100</v>
      </c>
      <c r="H1480">
        <v>135</v>
      </c>
      <c r="I1480" s="2"/>
      <c r="J1480" s="2">
        <v>45743</v>
      </c>
      <c r="K1480" s="2">
        <v>45756</v>
      </c>
    </row>
    <row r="1481" spans="1:11" x14ac:dyDescent="0.25">
      <c r="A1481" s="1" t="s">
        <v>346</v>
      </c>
      <c r="B1481" s="1" t="s">
        <v>1350</v>
      </c>
      <c r="C1481" s="1" t="s">
        <v>2303</v>
      </c>
      <c r="D1481" s="1" t="s">
        <v>1998</v>
      </c>
      <c r="E1481" s="1"/>
      <c r="F1481" s="1" t="s">
        <v>11</v>
      </c>
      <c r="G1481">
        <v>730</v>
      </c>
      <c r="H1481">
        <v>710</v>
      </c>
      <c r="I1481" s="2"/>
      <c r="J1481" s="2">
        <v>45743</v>
      </c>
      <c r="K1481" s="2">
        <v>45756</v>
      </c>
    </row>
    <row r="1482" spans="1:11" x14ac:dyDescent="0.25">
      <c r="A1482" s="1" t="s">
        <v>346</v>
      </c>
      <c r="B1482" s="1" t="s">
        <v>1206</v>
      </c>
      <c r="C1482" s="1" t="s">
        <v>2196</v>
      </c>
      <c r="D1482" s="1" t="s">
        <v>1998</v>
      </c>
      <c r="E1482" s="1"/>
      <c r="F1482" s="1" t="s">
        <v>11</v>
      </c>
      <c r="G1482">
        <v>1</v>
      </c>
      <c r="H1482">
        <v>1</v>
      </c>
      <c r="I1482" s="2"/>
      <c r="J1482" s="2">
        <v>45743</v>
      </c>
      <c r="K1482" s="2">
        <v>45756</v>
      </c>
    </row>
    <row r="1483" spans="1:11" x14ac:dyDescent="0.25">
      <c r="A1483" s="1" t="s">
        <v>346</v>
      </c>
      <c r="B1483" s="1" t="s">
        <v>1351</v>
      </c>
      <c r="C1483" s="1" t="s">
        <v>2304</v>
      </c>
      <c r="D1483" s="1" t="s">
        <v>1998</v>
      </c>
      <c r="E1483" s="1"/>
      <c r="F1483" s="1" t="s">
        <v>11</v>
      </c>
      <c r="G1483">
        <v>15</v>
      </c>
      <c r="H1483">
        <v>15</v>
      </c>
      <c r="I1483" s="2"/>
      <c r="J1483" s="2">
        <v>45743</v>
      </c>
      <c r="K1483" s="2">
        <v>45756</v>
      </c>
    </row>
    <row r="1484" spans="1:11" x14ac:dyDescent="0.25">
      <c r="A1484" s="1" t="s">
        <v>347</v>
      </c>
      <c r="B1484" s="1" t="s">
        <v>1349</v>
      </c>
      <c r="C1484" s="1" t="s">
        <v>2302</v>
      </c>
      <c r="D1484" s="1" t="s">
        <v>1998</v>
      </c>
      <c r="E1484" s="1"/>
      <c r="F1484" s="1" t="s">
        <v>11</v>
      </c>
      <c r="G1484">
        <v>100</v>
      </c>
      <c r="H1484">
        <v>135</v>
      </c>
      <c r="I1484" s="2"/>
      <c r="J1484" s="2">
        <v>45751</v>
      </c>
      <c r="K1484" s="2">
        <v>45756</v>
      </c>
    </row>
    <row r="1485" spans="1:11" x14ac:dyDescent="0.25">
      <c r="A1485" s="1" t="s">
        <v>347</v>
      </c>
      <c r="B1485" s="1" t="s">
        <v>1350</v>
      </c>
      <c r="C1485" s="1" t="s">
        <v>2303</v>
      </c>
      <c r="D1485" s="1" t="s">
        <v>1998</v>
      </c>
      <c r="E1485" s="1"/>
      <c r="F1485" s="1" t="s">
        <v>11</v>
      </c>
      <c r="G1485">
        <v>730</v>
      </c>
      <c r="H1485">
        <v>710</v>
      </c>
      <c r="I1485" s="2"/>
      <c r="J1485" s="2">
        <v>45751</v>
      </c>
      <c r="K1485" s="2">
        <v>45756</v>
      </c>
    </row>
    <row r="1486" spans="1:11" x14ac:dyDescent="0.25">
      <c r="A1486" s="1" t="s">
        <v>347</v>
      </c>
      <c r="B1486" s="1" t="s">
        <v>1206</v>
      </c>
      <c r="C1486" s="1" t="s">
        <v>2196</v>
      </c>
      <c r="D1486" s="1" t="s">
        <v>1998</v>
      </c>
      <c r="E1486" s="1"/>
      <c r="F1486" s="1" t="s">
        <v>11</v>
      </c>
      <c r="G1486">
        <v>1</v>
      </c>
      <c r="H1486">
        <v>1</v>
      </c>
      <c r="I1486" s="2"/>
      <c r="J1486" s="2">
        <v>45751</v>
      </c>
      <c r="K1486" s="2">
        <v>45756</v>
      </c>
    </row>
    <row r="1487" spans="1:11" x14ac:dyDescent="0.25">
      <c r="A1487" s="1" t="s">
        <v>347</v>
      </c>
      <c r="B1487" s="1" t="s">
        <v>1351</v>
      </c>
      <c r="C1487" s="1" t="s">
        <v>2304</v>
      </c>
      <c r="D1487" s="1" t="s">
        <v>1998</v>
      </c>
      <c r="E1487" s="1"/>
      <c r="F1487" s="1" t="s">
        <v>11</v>
      </c>
      <c r="G1487">
        <v>15</v>
      </c>
      <c r="H1487">
        <v>15</v>
      </c>
      <c r="I1487" s="2"/>
      <c r="J1487" s="2">
        <v>45751</v>
      </c>
      <c r="K1487" s="2">
        <v>45756</v>
      </c>
    </row>
    <row r="1488" spans="1:11" x14ac:dyDescent="0.25">
      <c r="A1488" s="1" t="s">
        <v>348</v>
      </c>
      <c r="B1488" s="1" t="s">
        <v>1255</v>
      </c>
      <c r="C1488" s="1" t="s">
        <v>2235</v>
      </c>
      <c r="D1488" s="1" t="s">
        <v>1998</v>
      </c>
      <c r="E1488" s="1"/>
      <c r="F1488" s="1" t="s">
        <v>11</v>
      </c>
      <c r="G1488">
        <v>140</v>
      </c>
      <c r="H1488">
        <v>280</v>
      </c>
      <c r="I1488" s="2"/>
      <c r="J1488" s="2">
        <v>45729</v>
      </c>
      <c r="K1488" s="2">
        <v>45789</v>
      </c>
    </row>
    <row r="1489" spans="1:11" x14ac:dyDescent="0.25">
      <c r="A1489" s="1" t="s">
        <v>348</v>
      </c>
      <c r="B1489" s="1" t="s">
        <v>1027</v>
      </c>
      <c r="C1489" s="1" t="s">
        <v>2040</v>
      </c>
      <c r="D1489" s="1" t="s">
        <v>1998</v>
      </c>
      <c r="E1489" s="1"/>
      <c r="F1489" s="1" t="s">
        <v>11</v>
      </c>
      <c r="G1489">
        <v>15</v>
      </c>
      <c r="H1489">
        <v>15</v>
      </c>
      <c r="I1489" s="2"/>
      <c r="J1489" s="2">
        <v>45729</v>
      </c>
      <c r="K1489" s="2">
        <v>45789</v>
      </c>
    </row>
    <row r="1490" spans="1:11" x14ac:dyDescent="0.25">
      <c r="A1490" s="1" t="s">
        <v>348</v>
      </c>
      <c r="B1490" s="1" t="s">
        <v>1013</v>
      </c>
      <c r="C1490" s="1" t="s">
        <v>2030</v>
      </c>
      <c r="D1490" s="1" t="s">
        <v>1998</v>
      </c>
      <c r="E1490" s="1"/>
      <c r="F1490" s="1" t="s">
        <v>11</v>
      </c>
      <c r="G1490">
        <v>5</v>
      </c>
      <c r="H1490">
        <v>5</v>
      </c>
      <c r="I1490" s="2"/>
      <c r="J1490" s="2">
        <v>45729</v>
      </c>
      <c r="K1490" s="2">
        <v>45789</v>
      </c>
    </row>
    <row r="1491" spans="1:11" x14ac:dyDescent="0.25">
      <c r="A1491" s="1" t="s">
        <v>348</v>
      </c>
      <c r="B1491" s="1" t="s">
        <v>993</v>
      </c>
      <c r="C1491" s="1" t="s">
        <v>2011</v>
      </c>
      <c r="D1491" s="1" t="s">
        <v>1998</v>
      </c>
      <c r="E1491" s="1"/>
      <c r="F1491" s="1" t="s">
        <v>11</v>
      </c>
      <c r="G1491">
        <v>1</v>
      </c>
      <c r="H1491">
        <v>1</v>
      </c>
      <c r="I1491" s="2"/>
      <c r="J1491" s="2">
        <v>45729</v>
      </c>
      <c r="K1491" s="2">
        <v>45789</v>
      </c>
    </row>
    <row r="1492" spans="1:11" x14ac:dyDescent="0.25">
      <c r="A1492" s="1" t="s">
        <v>348</v>
      </c>
      <c r="B1492" s="1" t="s">
        <v>993</v>
      </c>
      <c r="C1492" s="1" t="s">
        <v>2011</v>
      </c>
      <c r="D1492" s="1" t="s">
        <v>1998</v>
      </c>
      <c r="E1492" s="1"/>
      <c r="F1492" s="1" t="s">
        <v>11</v>
      </c>
      <c r="G1492">
        <v>5</v>
      </c>
      <c r="H1492">
        <v>5</v>
      </c>
      <c r="I1492" s="2"/>
      <c r="J1492" s="2">
        <v>45729</v>
      </c>
      <c r="K1492" s="2">
        <v>45789</v>
      </c>
    </row>
    <row r="1493" spans="1:11" x14ac:dyDescent="0.25">
      <c r="A1493" s="1" t="s">
        <v>348</v>
      </c>
      <c r="B1493" s="1" t="s">
        <v>1239</v>
      </c>
      <c r="C1493" s="1" t="s">
        <v>2223</v>
      </c>
      <c r="D1493" s="1" t="s">
        <v>1998</v>
      </c>
      <c r="E1493" s="1"/>
      <c r="F1493" s="1" t="s">
        <v>11</v>
      </c>
      <c r="G1493">
        <v>1885</v>
      </c>
      <c r="H1493">
        <v>1885</v>
      </c>
      <c r="I1493" s="2"/>
      <c r="J1493" s="2">
        <v>45729</v>
      </c>
      <c r="K1493" s="2">
        <v>45789</v>
      </c>
    </row>
    <row r="1494" spans="1:11" x14ac:dyDescent="0.25">
      <c r="A1494" s="1" t="s">
        <v>348</v>
      </c>
      <c r="B1494" s="1" t="s">
        <v>1239</v>
      </c>
      <c r="C1494" s="1" t="s">
        <v>2223</v>
      </c>
      <c r="D1494" s="1" t="s">
        <v>1998</v>
      </c>
      <c r="E1494" s="1"/>
      <c r="F1494" s="1" t="s">
        <v>11</v>
      </c>
      <c r="G1494">
        <v>1180</v>
      </c>
      <c r="H1494">
        <v>1180</v>
      </c>
      <c r="I1494" s="2"/>
      <c r="J1494" s="2">
        <v>45729</v>
      </c>
      <c r="K1494" s="2">
        <v>45789</v>
      </c>
    </row>
    <row r="1495" spans="1:11" x14ac:dyDescent="0.25">
      <c r="A1495" s="1" t="s">
        <v>349</v>
      </c>
      <c r="B1495" s="1" t="s">
        <v>1415</v>
      </c>
      <c r="C1495" s="1" t="s">
        <v>2359</v>
      </c>
      <c r="D1495" s="1" t="s">
        <v>1998</v>
      </c>
      <c r="E1495" s="1"/>
      <c r="F1495" s="1" t="s">
        <v>11</v>
      </c>
      <c r="G1495">
        <v>5</v>
      </c>
      <c r="H1495">
        <v>5</v>
      </c>
      <c r="I1495" s="2"/>
      <c r="J1495" s="2">
        <v>45728</v>
      </c>
      <c r="K1495" s="2">
        <v>45783</v>
      </c>
    </row>
    <row r="1496" spans="1:11" x14ac:dyDescent="0.25">
      <c r="A1496" s="1" t="s">
        <v>349</v>
      </c>
      <c r="B1496" s="1" t="s">
        <v>1416</v>
      </c>
      <c r="C1496" s="1" t="s">
        <v>2360</v>
      </c>
      <c r="D1496" s="1" t="s">
        <v>1998</v>
      </c>
      <c r="E1496" s="1"/>
      <c r="F1496" s="1" t="s">
        <v>11</v>
      </c>
      <c r="G1496">
        <v>45</v>
      </c>
      <c r="H1496">
        <v>45</v>
      </c>
      <c r="I1496" s="2"/>
      <c r="J1496" s="2">
        <v>45728</v>
      </c>
      <c r="K1496" s="2">
        <v>45783</v>
      </c>
    </row>
    <row r="1497" spans="1:11" x14ac:dyDescent="0.25">
      <c r="A1497" s="1" t="s">
        <v>349</v>
      </c>
      <c r="B1497" s="1" t="s">
        <v>1417</v>
      </c>
      <c r="C1497" s="1" t="s">
        <v>2360</v>
      </c>
      <c r="D1497" s="1" t="s">
        <v>1998</v>
      </c>
      <c r="E1497" s="1"/>
      <c r="F1497" s="1" t="s">
        <v>11</v>
      </c>
      <c r="G1497">
        <v>25</v>
      </c>
      <c r="H1497">
        <v>25</v>
      </c>
      <c r="I1497" s="2"/>
      <c r="J1497" s="2">
        <v>45728</v>
      </c>
      <c r="K1497" s="2">
        <v>45783</v>
      </c>
    </row>
    <row r="1498" spans="1:11" x14ac:dyDescent="0.25">
      <c r="A1498" s="1" t="s">
        <v>349</v>
      </c>
      <c r="B1498" s="1" t="s">
        <v>1418</v>
      </c>
      <c r="C1498" s="1" t="s">
        <v>2115</v>
      </c>
      <c r="D1498" s="1" t="s">
        <v>1998</v>
      </c>
      <c r="E1498" s="1"/>
      <c r="F1498" s="1" t="s">
        <v>11</v>
      </c>
      <c r="G1498">
        <v>8780</v>
      </c>
      <c r="H1498">
        <v>8780</v>
      </c>
      <c r="I1498" s="2"/>
      <c r="J1498" s="2">
        <v>45728</v>
      </c>
      <c r="K1498" s="2">
        <v>45783</v>
      </c>
    </row>
    <row r="1499" spans="1:11" x14ac:dyDescent="0.25">
      <c r="A1499" s="1" t="s">
        <v>349</v>
      </c>
      <c r="B1499" s="1" t="s">
        <v>1419</v>
      </c>
      <c r="C1499" s="1" t="s">
        <v>2361</v>
      </c>
      <c r="D1499" s="1" t="s">
        <v>1998</v>
      </c>
      <c r="E1499" s="1"/>
      <c r="F1499" s="1" t="s">
        <v>11</v>
      </c>
      <c r="G1499">
        <v>3590</v>
      </c>
      <c r="H1499">
        <v>3590</v>
      </c>
      <c r="I1499" s="2"/>
      <c r="J1499" s="2">
        <v>45728</v>
      </c>
      <c r="K1499" s="2">
        <v>45783</v>
      </c>
    </row>
    <row r="1500" spans="1:11" x14ac:dyDescent="0.25">
      <c r="A1500" s="1" t="s">
        <v>349</v>
      </c>
      <c r="B1500" s="1" t="s">
        <v>1420</v>
      </c>
      <c r="C1500" s="1" t="s">
        <v>2362</v>
      </c>
      <c r="D1500" s="1" t="s">
        <v>1998</v>
      </c>
      <c r="E1500" s="1"/>
      <c r="F1500" s="1" t="s">
        <v>11</v>
      </c>
      <c r="G1500">
        <v>1</v>
      </c>
      <c r="H1500">
        <v>1</v>
      </c>
      <c r="I1500" s="2"/>
      <c r="J1500" s="2">
        <v>45728</v>
      </c>
      <c r="K1500" s="2">
        <v>45783</v>
      </c>
    </row>
    <row r="1501" spans="1:11" x14ac:dyDescent="0.25">
      <c r="A1501" s="1" t="s">
        <v>349</v>
      </c>
      <c r="B1501" s="1" t="s">
        <v>1421</v>
      </c>
      <c r="C1501" s="1" t="s">
        <v>2363</v>
      </c>
      <c r="D1501" s="1" t="s">
        <v>1998</v>
      </c>
      <c r="E1501" s="1"/>
      <c r="F1501" s="1" t="s">
        <v>11</v>
      </c>
      <c r="G1501">
        <v>1</v>
      </c>
      <c r="H1501">
        <v>1</v>
      </c>
      <c r="I1501" s="2"/>
      <c r="J1501" s="2">
        <v>45728</v>
      </c>
      <c r="K1501" s="2">
        <v>45783</v>
      </c>
    </row>
    <row r="1502" spans="1:11" x14ac:dyDescent="0.25">
      <c r="A1502" s="1" t="s">
        <v>349</v>
      </c>
      <c r="B1502" s="1" t="s">
        <v>1422</v>
      </c>
      <c r="C1502" s="1" t="s">
        <v>2364</v>
      </c>
      <c r="D1502" s="1" t="s">
        <v>1998</v>
      </c>
      <c r="E1502" s="1"/>
      <c r="F1502" s="1" t="s">
        <v>11</v>
      </c>
      <c r="G1502">
        <v>1</v>
      </c>
      <c r="H1502">
        <v>1</v>
      </c>
      <c r="I1502" s="2"/>
      <c r="J1502" s="2">
        <v>45728</v>
      </c>
      <c r="K1502" s="2">
        <v>45783</v>
      </c>
    </row>
    <row r="1503" spans="1:11" x14ac:dyDescent="0.25">
      <c r="A1503" s="1" t="s">
        <v>349</v>
      </c>
      <c r="B1503" s="1" t="s">
        <v>1423</v>
      </c>
      <c r="C1503" s="1" t="s">
        <v>2365</v>
      </c>
      <c r="D1503" s="1" t="s">
        <v>1998</v>
      </c>
      <c r="E1503" s="1"/>
      <c r="F1503" s="1" t="s">
        <v>11</v>
      </c>
      <c r="G1503">
        <v>1</v>
      </c>
      <c r="H1503">
        <v>1</v>
      </c>
      <c r="I1503" s="2"/>
      <c r="J1503" s="2">
        <v>45728</v>
      </c>
      <c r="K1503" s="2">
        <v>45783</v>
      </c>
    </row>
    <row r="1504" spans="1:11" x14ac:dyDescent="0.25">
      <c r="A1504" s="1" t="s">
        <v>349</v>
      </c>
      <c r="B1504" s="1" t="s">
        <v>1424</v>
      </c>
      <c r="C1504" s="1" t="s">
        <v>2366</v>
      </c>
      <c r="D1504" s="1" t="s">
        <v>1998</v>
      </c>
      <c r="E1504" s="1"/>
      <c r="F1504" s="1" t="s">
        <v>11</v>
      </c>
      <c r="G1504">
        <v>1</v>
      </c>
      <c r="H1504">
        <v>1</v>
      </c>
      <c r="I1504" s="2"/>
      <c r="J1504" s="2">
        <v>45728</v>
      </c>
      <c r="K1504" s="2">
        <v>45783</v>
      </c>
    </row>
    <row r="1505" spans="1:11" x14ac:dyDescent="0.25">
      <c r="A1505" s="1" t="s">
        <v>349</v>
      </c>
      <c r="B1505" s="1" t="s">
        <v>1425</v>
      </c>
      <c r="C1505" s="1" t="s">
        <v>2367</v>
      </c>
      <c r="D1505" s="1" t="s">
        <v>1998</v>
      </c>
      <c r="E1505" s="1"/>
      <c r="F1505" s="1" t="s">
        <v>11</v>
      </c>
      <c r="G1505">
        <v>1</v>
      </c>
      <c r="H1505">
        <v>1</v>
      </c>
      <c r="I1505" s="2"/>
      <c r="J1505" s="2">
        <v>45728</v>
      </c>
      <c r="K1505" s="2">
        <v>45783</v>
      </c>
    </row>
    <row r="1506" spans="1:11" x14ac:dyDescent="0.25">
      <c r="A1506" s="1" t="s">
        <v>349</v>
      </c>
      <c r="B1506" s="1" t="s">
        <v>1426</v>
      </c>
      <c r="C1506" s="1" t="s">
        <v>2368</v>
      </c>
      <c r="D1506" s="1" t="s">
        <v>1998</v>
      </c>
      <c r="E1506" s="1"/>
      <c r="F1506" s="1" t="s">
        <v>11</v>
      </c>
      <c r="G1506">
        <v>630</v>
      </c>
      <c r="H1506">
        <v>630</v>
      </c>
      <c r="I1506" s="2"/>
      <c r="J1506" s="2">
        <v>45728</v>
      </c>
      <c r="K1506" s="2">
        <v>45783</v>
      </c>
    </row>
    <row r="1507" spans="1:11" x14ac:dyDescent="0.25">
      <c r="A1507" s="1" t="s">
        <v>349</v>
      </c>
      <c r="B1507" s="1" t="s">
        <v>1426</v>
      </c>
      <c r="C1507" s="1" t="s">
        <v>2368</v>
      </c>
      <c r="D1507" s="1" t="s">
        <v>1998</v>
      </c>
      <c r="E1507" s="1"/>
      <c r="F1507" s="1" t="s">
        <v>11</v>
      </c>
      <c r="G1507">
        <v>430</v>
      </c>
      <c r="H1507">
        <v>395</v>
      </c>
      <c r="I1507" s="2"/>
      <c r="J1507" s="2">
        <v>45728</v>
      </c>
      <c r="K1507" s="2">
        <v>45783</v>
      </c>
    </row>
    <row r="1508" spans="1:11" x14ac:dyDescent="0.25">
      <c r="A1508" s="1" t="s">
        <v>349</v>
      </c>
      <c r="B1508" s="1" t="s">
        <v>1427</v>
      </c>
      <c r="C1508" s="1" t="s">
        <v>2369</v>
      </c>
      <c r="D1508" s="1" t="s">
        <v>1998</v>
      </c>
      <c r="E1508" s="1"/>
      <c r="F1508" s="1" t="s">
        <v>11</v>
      </c>
      <c r="G1508">
        <v>940</v>
      </c>
      <c r="H1508">
        <v>865</v>
      </c>
      <c r="I1508" s="2"/>
      <c r="J1508" s="2">
        <v>45728</v>
      </c>
      <c r="K1508" s="2">
        <v>45783</v>
      </c>
    </row>
    <row r="1509" spans="1:11" x14ac:dyDescent="0.25">
      <c r="A1509" s="1" t="s">
        <v>349</v>
      </c>
      <c r="B1509" s="1" t="s">
        <v>1427</v>
      </c>
      <c r="C1509" s="1" t="s">
        <v>2369</v>
      </c>
      <c r="D1509" s="1" t="s">
        <v>1998</v>
      </c>
      <c r="E1509" s="1"/>
      <c r="F1509" s="1" t="s">
        <v>11</v>
      </c>
      <c r="G1509">
        <v>770</v>
      </c>
      <c r="H1509">
        <v>705</v>
      </c>
      <c r="I1509" s="2"/>
      <c r="J1509" s="2">
        <v>45728</v>
      </c>
      <c r="K1509" s="2">
        <v>45783</v>
      </c>
    </row>
    <row r="1510" spans="1:11" x14ac:dyDescent="0.25">
      <c r="A1510" s="1" t="s">
        <v>349</v>
      </c>
      <c r="B1510" s="1" t="s">
        <v>1428</v>
      </c>
      <c r="C1510" s="1" t="s">
        <v>2370</v>
      </c>
      <c r="D1510" s="1" t="s">
        <v>1998</v>
      </c>
      <c r="E1510" s="1"/>
      <c r="F1510" s="1" t="s">
        <v>11</v>
      </c>
      <c r="G1510">
        <v>465</v>
      </c>
      <c r="H1510">
        <v>465</v>
      </c>
      <c r="I1510" s="2"/>
      <c r="J1510" s="2">
        <v>45728</v>
      </c>
      <c r="K1510" s="2">
        <v>45783</v>
      </c>
    </row>
    <row r="1511" spans="1:11" x14ac:dyDescent="0.25">
      <c r="A1511" s="1" t="s">
        <v>349</v>
      </c>
      <c r="B1511" s="1" t="s">
        <v>1429</v>
      </c>
      <c r="C1511" s="1" t="s">
        <v>2371</v>
      </c>
      <c r="D1511" s="1" t="s">
        <v>1998</v>
      </c>
      <c r="E1511" s="1"/>
      <c r="F1511" s="1" t="s">
        <v>11</v>
      </c>
      <c r="G1511">
        <v>610</v>
      </c>
      <c r="H1511">
        <v>610</v>
      </c>
      <c r="I1511" s="2"/>
      <c r="J1511" s="2">
        <v>45728</v>
      </c>
      <c r="K1511" s="2">
        <v>45783</v>
      </c>
    </row>
    <row r="1512" spans="1:11" x14ac:dyDescent="0.25">
      <c r="A1512" s="1" t="s">
        <v>350</v>
      </c>
      <c r="B1512" s="1" t="s">
        <v>1016</v>
      </c>
      <c r="C1512" s="1" t="s">
        <v>2033</v>
      </c>
      <c r="D1512" s="1" t="s">
        <v>1998</v>
      </c>
      <c r="E1512" s="1"/>
      <c r="F1512" s="1" t="s">
        <v>11</v>
      </c>
      <c r="G1512">
        <v>75</v>
      </c>
      <c r="H1512">
        <v>15</v>
      </c>
      <c r="I1512" s="2"/>
      <c r="J1512" s="2">
        <v>45729</v>
      </c>
      <c r="K1512" s="2">
        <v>45778</v>
      </c>
    </row>
    <row r="1513" spans="1:11" x14ac:dyDescent="0.25">
      <c r="A1513" s="1" t="s">
        <v>350</v>
      </c>
      <c r="B1513" s="1" t="s">
        <v>1017</v>
      </c>
      <c r="C1513" s="1" t="s">
        <v>2034</v>
      </c>
      <c r="D1513" s="1" t="s">
        <v>1998</v>
      </c>
      <c r="E1513" s="1"/>
      <c r="F1513" s="1" t="s">
        <v>11</v>
      </c>
      <c r="G1513">
        <v>200</v>
      </c>
      <c r="H1513">
        <v>200</v>
      </c>
      <c r="I1513" s="2"/>
      <c r="J1513" s="2">
        <v>45729</v>
      </c>
      <c r="K1513" s="2">
        <v>45778</v>
      </c>
    </row>
    <row r="1514" spans="1:11" x14ac:dyDescent="0.25">
      <c r="A1514" s="1" t="s">
        <v>350</v>
      </c>
      <c r="B1514" s="1" t="s">
        <v>1018</v>
      </c>
      <c r="C1514" s="1" t="s">
        <v>2035</v>
      </c>
      <c r="D1514" s="1" t="s">
        <v>1998</v>
      </c>
      <c r="E1514" s="1"/>
      <c r="F1514" s="1" t="s">
        <v>11</v>
      </c>
      <c r="G1514">
        <v>885</v>
      </c>
      <c r="H1514">
        <v>885</v>
      </c>
      <c r="I1514" s="2"/>
      <c r="J1514" s="2">
        <v>45729</v>
      </c>
      <c r="K1514" s="2">
        <v>45778</v>
      </c>
    </row>
    <row r="1515" spans="1:11" x14ac:dyDescent="0.25">
      <c r="A1515" s="1" t="s">
        <v>350</v>
      </c>
      <c r="B1515" s="1" t="s">
        <v>999</v>
      </c>
      <c r="C1515" s="1" t="s">
        <v>2017</v>
      </c>
      <c r="D1515" s="1" t="s">
        <v>1998</v>
      </c>
      <c r="E1515" s="1"/>
      <c r="F1515" s="1" t="s">
        <v>11</v>
      </c>
      <c r="G1515">
        <v>1</v>
      </c>
      <c r="H1515">
        <v>1</v>
      </c>
      <c r="I1515" s="2"/>
      <c r="J1515" s="2">
        <v>45729</v>
      </c>
      <c r="K1515" s="2">
        <v>45778</v>
      </c>
    </row>
    <row r="1516" spans="1:11" x14ac:dyDescent="0.25">
      <c r="A1516" s="1" t="s">
        <v>350</v>
      </c>
      <c r="B1516" s="1" t="s">
        <v>1000</v>
      </c>
      <c r="C1516" s="1" t="s">
        <v>2018</v>
      </c>
      <c r="D1516" s="1" t="s">
        <v>1998</v>
      </c>
      <c r="E1516" s="1"/>
      <c r="F1516" s="1" t="s">
        <v>11</v>
      </c>
      <c r="G1516">
        <v>5</v>
      </c>
      <c r="H1516">
        <v>5</v>
      </c>
      <c r="I1516" s="2"/>
      <c r="J1516" s="2">
        <v>45729</v>
      </c>
      <c r="K1516" s="2">
        <v>45778</v>
      </c>
    </row>
    <row r="1517" spans="1:11" x14ac:dyDescent="0.25">
      <c r="A1517" s="1" t="s">
        <v>350</v>
      </c>
      <c r="B1517" s="1" t="s">
        <v>1001</v>
      </c>
      <c r="C1517" s="1" t="s">
        <v>2019</v>
      </c>
      <c r="D1517" s="1" t="s">
        <v>1998</v>
      </c>
      <c r="E1517" s="1"/>
      <c r="F1517" s="1" t="s">
        <v>11</v>
      </c>
      <c r="G1517">
        <v>5</v>
      </c>
      <c r="H1517">
        <v>5</v>
      </c>
      <c r="I1517" s="2"/>
      <c r="J1517" s="2">
        <v>45729</v>
      </c>
      <c r="K1517" s="2">
        <v>45778</v>
      </c>
    </row>
    <row r="1518" spans="1:11" x14ac:dyDescent="0.25">
      <c r="A1518" s="1" t="s">
        <v>350</v>
      </c>
      <c r="B1518" s="1" t="s">
        <v>1019</v>
      </c>
      <c r="C1518" s="1" t="s">
        <v>2036</v>
      </c>
      <c r="D1518" s="1" t="s">
        <v>1998</v>
      </c>
      <c r="E1518" s="1"/>
      <c r="F1518" s="1" t="s">
        <v>11</v>
      </c>
      <c r="G1518">
        <v>3135</v>
      </c>
      <c r="H1518">
        <v>3135</v>
      </c>
      <c r="I1518" s="2"/>
      <c r="J1518" s="2">
        <v>45729</v>
      </c>
      <c r="K1518" s="2">
        <v>45778</v>
      </c>
    </row>
    <row r="1519" spans="1:11" x14ac:dyDescent="0.25">
      <c r="A1519" s="1" t="s">
        <v>350</v>
      </c>
      <c r="B1519" s="1" t="s">
        <v>1020</v>
      </c>
      <c r="C1519" s="1" t="s">
        <v>2037</v>
      </c>
      <c r="D1519" s="1" t="s">
        <v>1998</v>
      </c>
      <c r="E1519" s="1"/>
      <c r="F1519" s="1" t="s">
        <v>11</v>
      </c>
      <c r="G1519">
        <v>8375</v>
      </c>
      <c r="H1519">
        <v>8375</v>
      </c>
      <c r="I1519" s="2"/>
      <c r="J1519" s="2">
        <v>45729</v>
      </c>
      <c r="K1519" s="2">
        <v>45778</v>
      </c>
    </row>
    <row r="1520" spans="1:11" x14ac:dyDescent="0.25">
      <c r="A1520" s="1" t="s">
        <v>351</v>
      </c>
      <c r="B1520" s="1" t="s">
        <v>1016</v>
      </c>
      <c r="C1520" s="1" t="s">
        <v>2033</v>
      </c>
      <c r="D1520" s="1" t="s">
        <v>1998</v>
      </c>
      <c r="E1520" s="1"/>
      <c r="F1520" s="1" t="s">
        <v>11</v>
      </c>
      <c r="G1520">
        <v>75</v>
      </c>
      <c r="H1520">
        <v>50</v>
      </c>
      <c r="I1520" s="2"/>
      <c r="J1520" s="2">
        <v>45729</v>
      </c>
      <c r="K1520" s="2">
        <v>45777</v>
      </c>
    </row>
    <row r="1521" spans="1:11" x14ac:dyDescent="0.25">
      <c r="A1521" s="1" t="s">
        <v>351</v>
      </c>
      <c r="B1521" s="1" t="s">
        <v>1017</v>
      </c>
      <c r="C1521" s="1" t="s">
        <v>2034</v>
      </c>
      <c r="D1521" s="1" t="s">
        <v>1998</v>
      </c>
      <c r="E1521" s="1"/>
      <c r="F1521" s="1" t="s">
        <v>11</v>
      </c>
      <c r="G1521">
        <v>200</v>
      </c>
      <c r="H1521">
        <v>200</v>
      </c>
      <c r="I1521" s="2"/>
      <c r="J1521" s="2">
        <v>45729</v>
      </c>
      <c r="K1521" s="2">
        <v>45777</v>
      </c>
    </row>
    <row r="1522" spans="1:11" x14ac:dyDescent="0.25">
      <c r="A1522" s="1" t="s">
        <v>351</v>
      </c>
      <c r="B1522" s="1" t="s">
        <v>1018</v>
      </c>
      <c r="C1522" s="1" t="s">
        <v>2035</v>
      </c>
      <c r="D1522" s="1" t="s">
        <v>1998</v>
      </c>
      <c r="E1522" s="1"/>
      <c r="F1522" s="1" t="s">
        <v>11</v>
      </c>
      <c r="G1522">
        <v>885</v>
      </c>
      <c r="H1522">
        <v>970</v>
      </c>
      <c r="I1522" s="2"/>
      <c r="J1522" s="2">
        <v>45729</v>
      </c>
      <c r="K1522" s="2">
        <v>45777</v>
      </c>
    </row>
    <row r="1523" spans="1:11" x14ac:dyDescent="0.25">
      <c r="A1523" s="1" t="s">
        <v>351</v>
      </c>
      <c r="B1523" s="1" t="s">
        <v>999</v>
      </c>
      <c r="C1523" s="1" t="s">
        <v>2017</v>
      </c>
      <c r="D1523" s="1" t="s">
        <v>1998</v>
      </c>
      <c r="E1523" s="1"/>
      <c r="F1523" s="1" t="s">
        <v>11</v>
      </c>
      <c r="G1523">
        <v>1</v>
      </c>
      <c r="H1523">
        <v>1</v>
      </c>
      <c r="I1523" s="2"/>
      <c r="J1523" s="2">
        <v>45729</v>
      </c>
      <c r="K1523" s="2">
        <v>45777</v>
      </c>
    </row>
    <row r="1524" spans="1:11" x14ac:dyDescent="0.25">
      <c r="A1524" s="1" t="s">
        <v>351</v>
      </c>
      <c r="B1524" s="1" t="s">
        <v>1000</v>
      </c>
      <c r="C1524" s="1" t="s">
        <v>2018</v>
      </c>
      <c r="D1524" s="1" t="s">
        <v>1998</v>
      </c>
      <c r="E1524" s="1"/>
      <c r="F1524" s="1" t="s">
        <v>11</v>
      </c>
      <c r="G1524">
        <v>5</v>
      </c>
      <c r="H1524">
        <v>5</v>
      </c>
      <c r="I1524" s="2"/>
      <c r="J1524" s="2">
        <v>45729</v>
      </c>
      <c r="K1524" s="2">
        <v>45777</v>
      </c>
    </row>
    <row r="1525" spans="1:11" x14ac:dyDescent="0.25">
      <c r="A1525" s="1" t="s">
        <v>351</v>
      </c>
      <c r="B1525" s="1" t="s">
        <v>1001</v>
      </c>
      <c r="C1525" s="1" t="s">
        <v>2019</v>
      </c>
      <c r="D1525" s="1" t="s">
        <v>1998</v>
      </c>
      <c r="E1525" s="1"/>
      <c r="F1525" s="1" t="s">
        <v>11</v>
      </c>
      <c r="G1525">
        <v>5</v>
      </c>
      <c r="H1525">
        <v>5</v>
      </c>
      <c r="I1525" s="2"/>
      <c r="J1525" s="2">
        <v>45729</v>
      </c>
      <c r="K1525" s="2">
        <v>45777</v>
      </c>
    </row>
    <row r="1526" spans="1:11" x14ac:dyDescent="0.25">
      <c r="A1526" s="1" t="s">
        <v>351</v>
      </c>
      <c r="B1526" s="1" t="s">
        <v>1019</v>
      </c>
      <c r="C1526" s="1" t="s">
        <v>2036</v>
      </c>
      <c r="D1526" s="1" t="s">
        <v>1998</v>
      </c>
      <c r="E1526" s="1"/>
      <c r="F1526" s="1" t="s">
        <v>11</v>
      </c>
      <c r="G1526">
        <v>3135</v>
      </c>
      <c r="H1526">
        <v>3135</v>
      </c>
      <c r="I1526" s="2"/>
      <c r="J1526" s="2">
        <v>45729</v>
      </c>
      <c r="K1526" s="2">
        <v>45777</v>
      </c>
    </row>
    <row r="1527" spans="1:11" x14ac:dyDescent="0.25">
      <c r="A1527" s="1" t="s">
        <v>351</v>
      </c>
      <c r="B1527" s="1" t="s">
        <v>1020</v>
      </c>
      <c r="C1527" s="1" t="s">
        <v>2037</v>
      </c>
      <c r="D1527" s="1" t="s">
        <v>1998</v>
      </c>
      <c r="E1527" s="1"/>
      <c r="F1527" s="1" t="s">
        <v>11</v>
      </c>
      <c r="G1527">
        <v>8375</v>
      </c>
      <c r="H1527">
        <v>8375</v>
      </c>
      <c r="I1527" s="2"/>
      <c r="J1527" s="2">
        <v>45729</v>
      </c>
      <c r="K1527" s="2">
        <v>45777</v>
      </c>
    </row>
    <row r="1528" spans="1:11" x14ac:dyDescent="0.25">
      <c r="A1528" s="1" t="s">
        <v>352</v>
      </c>
      <c r="B1528" s="1" t="s">
        <v>1430</v>
      </c>
      <c r="C1528" s="1" t="s">
        <v>2372</v>
      </c>
      <c r="D1528" s="1" t="s">
        <v>1998</v>
      </c>
      <c r="E1528" s="1"/>
      <c r="F1528" s="1" t="s">
        <v>11</v>
      </c>
      <c r="G1528">
        <v>29730</v>
      </c>
      <c r="H1528">
        <v>19495</v>
      </c>
      <c r="I1528" s="2"/>
      <c r="J1528" s="2">
        <v>45770</v>
      </c>
      <c r="K1528" s="2">
        <v>45770</v>
      </c>
    </row>
    <row r="1529" spans="1:11" x14ac:dyDescent="0.25">
      <c r="A1529" s="1" t="s">
        <v>352</v>
      </c>
      <c r="B1529" s="1" t="s">
        <v>1431</v>
      </c>
      <c r="C1529" s="1" t="s">
        <v>2372</v>
      </c>
      <c r="D1529" s="1" t="s">
        <v>1998</v>
      </c>
      <c r="E1529" s="1"/>
      <c r="F1529" s="1" t="s">
        <v>11</v>
      </c>
      <c r="G1529">
        <v>54465</v>
      </c>
      <c r="H1529">
        <v>36610</v>
      </c>
      <c r="I1529" s="2"/>
      <c r="J1529" s="2">
        <v>45770</v>
      </c>
      <c r="K1529" s="2">
        <v>45770</v>
      </c>
    </row>
    <row r="1530" spans="1:11" x14ac:dyDescent="0.25">
      <c r="A1530" s="1" t="s">
        <v>353</v>
      </c>
      <c r="B1530" s="1" t="s">
        <v>1432</v>
      </c>
      <c r="C1530" s="1" t="s">
        <v>2373</v>
      </c>
      <c r="D1530" s="1" t="s">
        <v>1998</v>
      </c>
      <c r="E1530" s="1"/>
      <c r="F1530" s="1" t="s">
        <v>11</v>
      </c>
      <c r="G1530">
        <v>335</v>
      </c>
      <c r="H1530">
        <v>220</v>
      </c>
      <c r="I1530" s="2"/>
      <c r="J1530" s="2">
        <v>45743</v>
      </c>
      <c r="K1530" s="2">
        <v>45782</v>
      </c>
    </row>
    <row r="1531" spans="1:11" x14ac:dyDescent="0.25">
      <c r="A1531" s="1" t="s">
        <v>353</v>
      </c>
      <c r="B1531" s="1" t="s">
        <v>1433</v>
      </c>
      <c r="C1531" s="1" t="s">
        <v>2374</v>
      </c>
      <c r="D1531" s="1" t="s">
        <v>1998</v>
      </c>
      <c r="E1531" s="1"/>
      <c r="F1531" s="1" t="s">
        <v>11</v>
      </c>
      <c r="G1531">
        <v>210</v>
      </c>
      <c r="H1531">
        <v>205</v>
      </c>
      <c r="I1531" s="2"/>
      <c r="J1531" s="2">
        <v>45743</v>
      </c>
      <c r="K1531" s="2">
        <v>45782</v>
      </c>
    </row>
    <row r="1532" spans="1:11" x14ac:dyDescent="0.25">
      <c r="A1532" s="1" t="s">
        <v>353</v>
      </c>
      <c r="B1532" s="1" t="s">
        <v>1434</v>
      </c>
      <c r="C1532" s="1" t="s">
        <v>2375</v>
      </c>
      <c r="D1532" s="1" t="s">
        <v>1998</v>
      </c>
      <c r="E1532" s="1"/>
      <c r="F1532" s="1" t="s">
        <v>11</v>
      </c>
      <c r="G1532">
        <v>11895</v>
      </c>
      <c r="H1532">
        <v>11895</v>
      </c>
      <c r="I1532" s="2"/>
      <c r="J1532" s="2">
        <v>45743</v>
      </c>
      <c r="K1532" s="2">
        <v>45782</v>
      </c>
    </row>
    <row r="1533" spans="1:11" x14ac:dyDescent="0.25">
      <c r="A1533" s="1" t="s">
        <v>353</v>
      </c>
      <c r="B1533" s="1" t="s">
        <v>1435</v>
      </c>
      <c r="C1533" s="1" t="s">
        <v>2376</v>
      </c>
      <c r="D1533" s="1" t="s">
        <v>1998</v>
      </c>
      <c r="E1533" s="1"/>
      <c r="F1533" s="1" t="s">
        <v>11</v>
      </c>
      <c r="G1533">
        <v>11025</v>
      </c>
      <c r="H1533">
        <v>11025</v>
      </c>
      <c r="I1533" s="2"/>
      <c r="J1533" s="2">
        <v>45743</v>
      </c>
      <c r="K1533" s="2">
        <v>45782</v>
      </c>
    </row>
    <row r="1534" spans="1:11" x14ac:dyDescent="0.25">
      <c r="A1534" s="1" t="s">
        <v>354</v>
      </c>
      <c r="B1534" s="1" t="s">
        <v>1436</v>
      </c>
      <c r="C1534" s="1" t="s">
        <v>2377</v>
      </c>
      <c r="D1534" s="1" t="s">
        <v>1998</v>
      </c>
      <c r="E1534" s="1"/>
      <c r="F1534" s="1" t="s">
        <v>11</v>
      </c>
      <c r="G1534">
        <v>185</v>
      </c>
      <c r="H1534">
        <v>125</v>
      </c>
      <c r="I1534" s="2"/>
      <c r="J1534" s="2">
        <v>45735</v>
      </c>
      <c r="K1534" s="2">
        <v>45780</v>
      </c>
    </row>
    <row r="1535" spans="1:11" x14ac:dyDescent="0.25">
      <c r="A1535" s="1" t="s">
        <v>354</v>
      </c>
      <c r="B1535" s="1" t="s">
        <v>1433</v>
      </c>
      <c r="C1535" s="1" t="s">
        <v>2374</v>
      </c>
      <c r="D1535" s="1" t="s">
        <v>1998</v>
      </c>
      <c r="E1535" s="1"/>
      <c r="F1535" s="1" t="s">
        <v>11</v>
      </c>
      <c r="G1535">
        <v>170</v>
      </c>
      <c r="H1535">
        <v>170</v>
      </c>
      <c r="I1535" s="2"/>
      <c r="J1535" s="2">
        <v>45735</v>
      </c>
      <c r="K1535" s="2">
        <v>45780</v>
      </c>
    </row>
    <row r="1536" spans="1:11" x14ac:dyDescent="0.25">
      <c r="A1536" s="1" t="s">
        <v>354</v>
      </c>
      <c r="B1536" s="1" t="s">
        <v>1437</v>
      </c>
      <c r="C1536" s="1" t="s">
        <v>2375</v>
      </c>
      <c r="D1536" s="1" t="s">
        <v>1998</v>
      </c>
      <c r="E1536" s="1"/>
      <c r="F1536" s="1" t="s">
        <v>11</v>
      </c>
      <c r="G1536">
        <v>12530</v>
      </c>
      <c r="H1536">
        <v>12530</v>
      </c>
      <c r="I1536" s="2"/>
      <c r="J1536" s="2">
        <v>45735</v>
      </c>
      <c r="K1536" s="2">
        <v>45780</v>
      </c>
    </row>
    <row r="1537" spans="1:11" x14ac:dyDescent="0.25">
      <c r="A1537" s="1" t="s">
        <v>354</v>
      </c>
      <c r="B1537" s="1" t="s">
        <v>1438</v>
      </c>
      <c r="C1537" s="1" t="s">
        <v>2376</v>
      </c>
      <c r="D1537" s="1" t="s">
        <v>1998</v>
      </c>
      <c r="E1537" s="1"/>
      <c r="F1537" s="1" t="s">
        <v>11</v>
      </c>
      <c r="G1537">
        <v>7055</v>
      </c>
      <c r="H1537">
        <v>7055</v>
      </c>
      <c r="I1537" s="2"/>
      <c r="J1537" s="2">
        <v>45735</v>
      </c>
      <c r="K1537" s="2">
        <v>45780</v>
      </c>
    </row>
    <row r="1538" spans="1:11" x14ac:dyDescent="0.25">
      <c r="A1538" s="1" t="s">
        <v>354</v>
      </c>
      <c r="B1538" s="1" t="s">
        <v>1438</v>
      </c>
      <c r="C1538" s="1" t="s">
        <v>2376</v>
      </c>
      <c r="D1538" s="1" t="s">
        <v>1998</v>
      </c>
      <c r="E1538" s="1"/>
      <c r="F1538" s="1" t="s">
        <v>11</v>
      </c>
      <c r="G1538">
        <v>1850</v>
      </c>
      <c r="H1538">
        <v>1850</v>
      </c>
      <c r="I1538" s="2"/>
      <c r="J1538" s="2">
        <v>45735</v>
      </c>
      <c r="K1538" s="2">
        <v>45780</v>
      </c>
    </row>
    <row r="1539" spans="1:11" x14ac:dyDescent="0.25">
      <c r="A1539" s="1" t="s">
        <v>355</v>
      </c>
      <c r="B1539" s="1" t="s">
        <v>1264</v>
      </c>
      <c r="C1539" s="1" t="s">
        <v>2241</v>
      </c>
      <c r="D1539" s="1" t="s">
        <v>1998</v>
      </c>
      <c r="E1539" s="1"/>
      <c r="F1539" s="1" t="s">
        <v>11</v>
      </c>
      <c r="G1539">
        <v>60</v>
      </c>
      <c r="H1539">
        <v>120</v>
      </c>
      <c r="I1539" s="2"/>
      <c r="J1539" s="2">
        <v>45748</v>
      </c>
      <c r="K1539" s="2">
        <v>45749</v>
      </c>
    </row>
    <row r="1540" spans="1:11" x14ac:dyDescent="0.25">
      <c r="A1540" s="1" t="s">
        <v>355</v>
      </c>
      <c r="B1540" s="1" t="s">
        <v>1265</v>
      </c>
      <c r="C1540" s="1" t="s">
        <v>2242</v>
      </c>
      <c r="D1540" s="1" t="s">
        <v>1998</v>
      </c>
      <c r="E1540" s="1"/>
      <c r="F1540" s="1" t="s">
        <v>11</v>
      </c>
      <c r="G1540">
        <v>1085</v>
      </c>
      <c r="H1540">
        <v>1010</v>
      </c>
      <c r="I1540" s="2"/>
      <c r="J1540" s="2">
        <v>45748</v>
      </c>
      <c r="K1540" s="2">
        <v>45749</v>
      </c>
    </row>
    <row r="1541" spans="1:11" x14ac:dyDescent="0.25">
      <c r="A1541" s="1" t="s">
        <v>355</v>
      </c>
      <c r="B1541" s="1" t="s">
        <v>1206</v>
      </c>
      <c r="C1541" s="1" t="s">
        <v>2196</v>
      </c>
      <c r="D1541" s="1" t="s">
        <v>1998</v>
      </c>
      <c r="E1541" s="1"/>
      <c r="F1541" s="1" t="s">
        <v>11</v>
      </c>
      <c r="G1541">
        <v>5</v>
      </c>
      <c r="H1541">
        <v>5</v>
      </c>
      <c r="I1541" s="2"/>
      <c r="J1541" s="2">
        <v>45748</v>
      </c>
      <c r="K1541" s="2">
        <v>45749</v>
      </c>
    </row>
    <row r="1542" spans="1:11" x14ac:dyDescent="0.25">
      <c r="A1542" s="1" t="s">
        <v>355</v>
      </c>
      <c r="B1542" s="1" t="s">
        <v>1207</v>
      </c>
      <c r="C1542" s="1" t="s">
        <v>2197</v>
      </c>
      <c r="D1542" s="1" t="s">
        <v>1998</v>
      </c>
      <c r="E1542" s="1"/>
      <c r="F1542" s="1" t="s">
        <v>11</v>
      </c>
      <c r="G1542">
        <v>20</v>
      </c>
      <c r="H1542">
        <v>20</v>
      </c>
      <c r="I1542" s="2"/>
      <c r="J1542" s="2">
        <v>45748</v>
      </c>
      <c r="K1542" s="2">
        <v>45749</v>
      </c>
    </row>
    <row r="1543" spans="1:11" x14ac:dyDescent="0.25">
      <c r="A1543" s="1" t="s">
        <v>355</v>
      </c>
      <c r="B1543" s="1" t="s">
        <v>1208</v>
      </c>
      <c r="C1543" s="1" t="s">
        <v>2198</v>
      </c>
      <c r="D1543" s="1" t="s">
        <v>1998</v>
      </c>
      <c r="E1543" s="1"/>
      <c r="F1543" s="1" t="s">
        <v>11</v>
      </c>
      <c r="G1543">
        <v>1</v>
      </c>
      <c r="H1543">
        <v>1</v>
      </c>
      <c r="I1543" s="2"/>
      <c r="J1543" s="2">
        <v>45748</v>
      </c>
      <c r="K1543" s="2">
        <v>45749</v>
      </c>
    </row>
    <row r="1544" spans="1:11" x14ac:dyDescent="0.25">
      <c r="A1544" s="1" t="s">
        <v>356</v>
      </c>
      <c r="B1544" s="1" t="s">
        <v>1277</v>
      </c>
      <c r="C1544" s="1" t="s">
        <v>2254</v>
      </c>
      <c r="D1544" s="1" t="s">
        <v>1998</v>
      </c>
      <c r="E1544" s="1"/>
      <c r="F1544" s="1" t="s">
        <v>11</v>
      </c>
      <c r="G1544">
        <v>360</v>
      </c>
      <c r="H1544">
        <v>375</v>
      </c>
      <c r="I1544" s="2"/>
      <c r="J1544" s="2">
        <v>45733</v>
      </c>
      <c r="K1544" s="2">
        <v>45734</v>
      </c>
    </row>
    <row r="1545" spans="1:11" x14ac:dyDescent="0.25">
      <c r="A1545" s="1" t="s">
        <v>356</v>
      </c>
      <c r="B1545" s="1" t="s">
        <v>1278</v>
      </c>
      <c r="C1545" s="1" t="s">
        <v>2255</v>
      </c>
      <c r="D1545" s="1" t="s">
        <v>1998</v>
      </c>
      <c r="E1545" s="1"/>
      <c r="F1545" s="1" t="s">
        <v>11</v>
      </c>
      <c r="G1545">
        <v>1190</v>
      </c>
      <c r="H1545">
        <v>1170</v>
      </c>
      <c r="I1545" s="2"/>
      <c r="J1545" s="2">
        <v>45733</v>
      </c>
      <c r="K1545" s="2">
        <v>45734</v>
      </c>
    </row>
    <row r="1546" spans="1:11" x14ac:dyDescent="0.25">
      <c r="A1546" s="1" t="s">
        <v>356</v>
      </c>
      <c r="B1546" s="1" t="s">
        <v>1206</v>
      </c>
      <c r="C1546" s="1" t="s">
        <v>2196</v>
      </c>
      <c r="D1546" s="1" t="s">
        <v>1998</v>
      </c>
      <c r="E1546" s="1"/>
      <c r="F1546" s="1" t="s">
        <v>11</v>
      </c>
      <c r="G1546">
        <v>5</v>
      </c>
      <c r="H1546">
        <v>5</v>
      </c>
      <c r="I1546" s="2"/>
      <c r="J1546" s="2">
        <v>45733</v>
      </c>
      <c r="K1546" s="2">
        <v>45734</v>
      </c>
    </row>
    <row r="1547" spans="1:11" x14ac:dyDescent="0.25">
      <c r="A1547" s="1" t="s">
        <v>356</v>
      </c>
      <c r="B1547" s="1" t="s">
        <v>1279</v>
      </c>
      <c r="C1547" s="1" t="s">
        <v>2256</v>
      </c>
      <c r="D1547" s="1" t="s">
        <v>1998</v>
      </c>
      <c r="E1547" s="1"/>
      <c r="F1547" s="1" t="s">
        <v>11</v>
      </c>
      <c r="G1547">
        <v>15</v>
      </c>
      <c r="H1547">
        <v>15</v>
      </c>
      <c r="I1547" s="2"/>
      <c r="J1547" s="2">
        <v>45733</v>
      </c>
      <c r="K1547" s="2">
        <v>45734</v>
      </c>
    </row>
    <row r="1548" spans="1:11" x14ac:dyDescent="0.25">
      <c r="A1548" s="1" t="s">
        <v>356</v>
      </c>
      <c r="B1548" s="1" t="s">
        <v>1280</v>
      </c>
      <c r="C1548" s="1" t="s">
        <v>2257</v>
      </c>
      <c r="D1548" s="1" t="s">
        <v>1998</v>
      </c>
      <c r="E1548" s="1"/>
      <c r="F1548" s="1" t="s">
        <v>11</v>
      </c>
      <c r="G1548">
        <v>5</v>
      </c>
      <c r="H1548">
        <v>5</v>
      </c>
      <c r="I1548" s="2"/>
      <c r="J1548" s="2">
        <v>45733</v>
      </c>
      <c r="K1548" s="2">
        <v>45734</v>
      </c>
    </row>
    <row r="1549" spans="1:11" x14ac:dyDescent="0.25">
      <c r="A1549" s="1" t="s">
        <v>357</v>
      </c>
      <c r="B1549" s="1" t="s">
        <v>1264</v>
      </c>
      <c r="C1549" s="1" t="s">
        <v>2241</v>
      </c>
      <c r="D1549" s="1" t="s">
        <v>1998</v>
      </c>
      <c r="E1549" s="1"/>
      <c r="F1549" s="1" t="s">
        <v>11</v>
      </c>
      <c r="G1549">
        <v>300</v>
      </c>
      <c r="H1549">
        <v>80</v>
      </c>
      <c r="I1549" s="2"/>
      <c r="J1549" s="2">
        <v>45730</v>
      </c>
      <c r="K1549" s="2">
        <v>45734</v>
      </c>
    </row>
    <row r="1550" spans="1:11" x14ac:dyDescent="0.25">
      <c r="A1550" s="1" t="s">
        <v>357</v>
      </c>
      <c r="B1550" s="1" t="s">
        <v>1246</v>
      </c>
      <c r="C1550" s="1" t="s">
        <v>2228</v>
      </c>
      <c r="D1550" s="1" t="s">
        <v>1998</v>
      </c>
      <c r="E1550" s="1"/>
      <c r="F1550" s="1" t="s">
        <v>11</v>
      </c>
      <c r="G1550">
        <v>250</v>
      </c>
      <c r="H1550">
        <v>610</v>
      </c>
      <c r="I1550" s="2"/>
      <c r="J1550" s="2">
        <v>45730</v>
      </c>
      <c r="K1550" s="2">
        <v>45734</v>
      </c>
    </row>
    <row r="1551" spans="1:11" x14ac:dyDescent="0.25">
      <c r="A1551" s="1" t="s">
        <v>357</v>
      </c>
      <c r="B1551" s="1" t="s">
        <v>1206</v>
      </c>
      <c r="C1551" s="1" t="s">
        <v>2196</v>
      </c>
      <c r="D1551" s="1" t="s">
        <v>1998</v>
      </c>
      <c r="E1551" s="1"/>
      <c r="F1551" s="1" t="s">
        <v>11</v>
      </c>
      <c r="G1551">
        <v>1</v>
      </c>
      <c r="H1551">
        <v>1</v>
      </c>
      <c r="I1551" s="2"/>
      <c r="J1551" s="2">
        <v>45730</v>
      </c>
      <c r="K1551" s="2">
        <v>45734</v>
      </c>
    </row>
    <row r="1552" spans="1:11" x14ac:dyDescent="0.25">
      <c r="A1552" s="1" t="s">
        <v>358</v>
      </c>
      <c r="B1552" s="1" t="s">
        <v>1204</v>
      </c>
      <c r="C1552" s="1" t="s">
        <v>2194</v>
      </c>
      <c r="D1552" s="1" t="s">
        <v>1998</v>
      </c>
      <c r="E1552" s="1"/>
      <c r="F1552" s="1" t="s">
        <v>11</v>
      </c>
      <c r="G1552">
        <v>130</v>
      </c>
      <c r="H1552">
        <v>100</v>
      </c>
      <c r="I1552" s="2"/>
      <c r="J1552" s="2">
        <v>45733</v>
      </c>
      <c r="K1552" s="2">
        <v>45750</v>
      </c>
    </row>
    <row r="1553" spans="1:11" x14ac:dyDescent="0.25">
      <c r="A1553" s="1" t="s">
        <v>358</v>
      </c>
      <c r="B1553" s="1" t="s">
        <v>1439</v>
      </c>
      <c r="C1553" s="1" t="s">
        <v>2378</v>
      </c>
      <c r="D1553" s="1" t="s">
        <v>1998</v>
      </c>
      <c r="E1553" s="1"/>
      <c r="F1553" s="1" t="s">
        <v>12</v>
      </c>
      <c r="G1553">
        <v>1</v>
      </c>
      <c r="H1553">
        <v>120</v>
      </c>
      <c r="I1553" s="2"/>
      <c r="J1553" s="2">
        <v>45733</v>
      </c>
      <c r="K1553" s="2">
        <v>45750</v>
      </c>
    </row>
    <row r="1554" spans="1:11" x14ac:dyDescent="0.25">
      <c r="A1554" s="1" t="s">
        <v>358</v>
      </c>
      <c r="B1554" s="1" t="s">
        <v>1267</v>
      </c>
      <c r="C1554" s="1" t="s">
        <v>2244</v>
      </c>
      <c r="D1554" s="1" t="s">
        <v>1998</v>
      </c>
      <c r="E1554" s="1"/>
      <c r="F1554" s="1" t="s">
        <v>12</v>
      </c>
      <c r="G1554">
        <v>1</v>
      </c>
      <c r="H1554">
        <v>5</v>
      </c>
      <c r="I1554" s="2"/>
      <c r="J1554" s="2">
        <v>45733</v>
      </c>
      <c r="K1554" s="2">
        <v>45750</v>
      </c>
    </row>
    <row r="1555" spans="1:11" x14ac:dyDescent="0.25">
      <c r="A1555" s="1" t="s">
        <v>358</v>
      </c>
      <c r="B1555" s="1" t="s">
        <v>1267</v>
      </c>
      <c r="C1555" s="1" t="s">
        <v>2244</v>
      </c>
      <c r="D1555" s="1" t="s">
        <v>1998</v>
      </c>
      <c r="E1555" s="1"/>
      <c r="F1555" s="1" t="s">
        <v>12</v>
      </c>
      <c r="G1555">
        <v>1</v>
      </c>
      <c r="H1555">
        <v>1</v>
      </c>
      <c r="I1555" s="2"/>
      <c r="J1555" s="2">
        <v>45733</v>
      </c>
      <c r="K1555" s="2">
        <v>45750</v>
      </c>
    </row>
    <row r="1556" spans="1:11" x14ac:dyDescent="0.25">
      <c r="A1556" s="1" t="s">
        <v>358</v>
      </c>
      <c r="B1556" s="1" t="s">
        <v>1206</v>
      </c>
      <c r="C1556" s="1" t="s">
        <v>2196</v>
      </c>
      <c r="D1556" s="1" t="s">
        <v>1998</v>
      </c>
      <c r="E1556" s="1"/>
      <c r="F1556" s="1" t="s">
        <v>11</v>
      </c>
      <c r="G1556">
        <v>1</v>
      </c>
      <c r="H1556">
        <v>1</v>
      </c>
      <c r="I1556" s="2"/>
      <c r="J1556" s="2">
        <v>45733</v>
      </c>
      <c r="K1556" s="2">
        <v>45750</v>
      </c>
    </row>
    <row r="1557" spans="1:11" x14ac:dyDescent="0.25">
      <c r="A1557" s="1" t="s">
        <v>358</v>
      </c>
      <c r="B1557" s="1" t="s">
        <v>1351</v>
      </c>
      <c r="C1557" s="1" t="s">
        <v>2304</v>
      </c>
      <c r="D1557" s="1" t="s">
        <v>1998</v>
      </c>
      <c r="E1557" s="1"/>
      <c r="F1557" s="1" t="s">
        <v>11</v>
      </c>
      <c r="G1557">
        <v>1</v>
      </c>
      <c r="H1557">
        <v>1</v>
      </c>
      <c r="I1557" s="2"/>
      <c r="J1557" s="2">
        <v>45733</v>
      </c>
      <c r="K1557" s="2">
        <v>45750</v>
      </c>
    </row>
    <row r="1558" spans="1:11" x14ac:dyDescent="0.25">
      <c r="A1558" s="1" t="s">
        <v>359</v>
      </c>
      <c r="B1558" s="1" t="s">
        <v>1440</v>
      </c>
      <c r="C1558" s="1" t="s">
        <v>2379</v>
      </c>
      <c r="D1558" s="1" t="s">
        <v>1998</v>
      </c>
      <c r="E1558" s="1"/>
      <c r="F1558" s="1" t="s">
        <v>11</v>
      </c>
      <c r="G1558">
        <v>1830</v>
      </c>
      <c r="H1558">
        <v>1830</v>
      </c>
      <c r="I1558" s="2">
        <v>45784</v>
      </c>
      <c r="J1558" s="2">
        <v>45729</v>
      </c>
      <c r="K1558" s="2">
        <v>45784</v>
      </c>
    </row>
    <row r="1559" spans="1:11" x14ac:dyDescent="0.25">
      <c r="A1559" s="1" t="s">
        <v>360</v>
      </c>
      <c r="B1559" s="1" t="s">
        <v>1226</v>
      </c>
      <c r="C1559" s="1" t="s">
        <v>2210</v>
      </c>
      <c r="D1559" s="1" t="s">
        <v>1998</v>
      </c>
      <c r="E1559" s="1"/>
      <c r="F1559" s="1" t="s">
        <v>11</v>
      </c>
      <c r="G1559">
        <v>30</v>
      </c>
      <c r="H1559">
        <v>30</v>
      </c>
      <c r="I1559" s="2"/>
      <c r="J1559" s="2">
        <v>45747</v>
      </c>
      <c r="K1559" s="2">
        <v>45749</v>
      </c>
    </row>
    <row r="1560" spans="1:11" x14ac:dyDescent="0.25">
      <c r="A1560" s="1" t="s">
        <v>360</v>
      </c>
      <c r="B1560" s="1" t="s">
        <v>1228</v>
      </c>
      <c r="C1560" s="1" t="s">
        <v>2212</v>
      </c>
      <c r="D1560" s="1" t="s">
        <v>1998</v>
      </c>
      <c r="E1560" s="1"/>
      <c r="F1560" s="1" t="s">
        <v>11</v>
      </c>
      <c r="G1560">
        <v>1</v>
      </c>
      <c r="H1560">
        <v>1</v>
      </c>
      <c r="I1560" s="2"/>
      <c r="J1560" s="2">
        <v>45747</v>
      </c>
      <c r="K1560" s="2">
        <v>45749</v>
      </c>
    </row>
    <row r="1561" spans="1:11" x14ac:dyDescent="0.25">
      <c r="A1561" s="1" t="s">
        <v>360</v>
      </c>
      <c r="B1561" s="1" t="s">
        <v>1229</v>
      </c>
      <c r="C1561" s="1" t="s">
        <v>2213</v>
      </c>
      <c r="D1561" s="1" t="s">
        <v>1998</v>
      </c>
      <c r="E1561" s="1"/>
      <c r="F1561" s="1" t="s">
        <v>11</v>
      </c>
      <c r="G1561">
        <v>5</v>
      </c>
      <c r="H1561">
        <v>5</v>
      </c>
      <c r="I1561" s="2"/>
      <c r="J1561" s="2">
        <v>45747</v>
      </c>
      <c r="K1561" s="2">
        <v>45749</v>
      </c>
    </row>
    <row r="1562" spans="1:11" x14ac:dyDescent="0.25">
      <c r="A1562" s="1" t="s">
        <v>360</v>
      </c>
      <c r="B1562" s="1" t="s">
        <v>1230</v>
      </c>
      <c r="C1562" s="1" t="s">
        <v>2214</v>
      </c>
      <c r="D1562" s="1" t="s">
        <v>1998</v>
      </c>
      <c r="E1562" s="1"/>
      <c r="F1562" s="1" t="s">
        <v>11</v>
      </c>
      <c r="G1562">
        <v>1</v>
      </c>
      <c r="H1562">
        <v>1</v>
      </c>
      <c r="I1562" s="2"/>
      <c r="J1562" s="2">
        <v>45747</v>
      </c>
      <c r="K1562" s="2">
        <v>45749</v>
      </c>
    </row>
    <row r="1563" spans="1:11" x14ac:dyDescent="0.25">
      <c r="A1563" s="1" t="s">
        <v>360</v>
      </c>
      <c r="B1563" s="1" t="s">
        <v>1363</v>
      </c>
      <c r="C1563" s="1" t="s">
        <v>2313</v>
      </c>
      <c r="D1563" s="1" t="s">
        <v>1998</v>
      </c>
      <c r="E1563" s="1"/>
      <c r="F1563" s="1" t="s">
        <v>11</v>
      </c>
      <c r="G1563">
        <v>5</v>
      </c>
      <c r="H1563">
        <v>5</v>
      </c>
      <c r="I1563" s="2"/>
      <c r="J1563" s="2">
        <v>45747</v>
      </c>
      <c r="K1563" s="2">
        <v>45749</v>
      </c>
    </row>
    <row r="1564" spans="1:11" x14ac:dyDescent="0.25">
      <c r="A1564" s="1" t="s">
        <v>360</v>
      </c>
      <c r="B1564" s="1" t="s">
        <v>1441</v>
      </c>
      <c r="C1564" s="1" t="s">
        <v>2380</v>
      </c>
      <c r="D1564" s="1" t="s">
        <v>1998</v>
      </c>
      <c r="E1564" s="1"/>
      <c r="F1564" s="1" t="s">
        <v>11</v>
      </c>
      <c r="G1564">
        <v>1</v>
      </c>
      <c r="H1564">
        <v>1</v>
      </c>
      <c r="I1564" s="2"/>
      <c r="J1564" s="2">
        <v>45747</v>
      </c>
      <c r="K1564" s="2">
        <v>45749</v>
      </c>
    </row>
    <row r="1565" spans="1:11" x14ac:dyDescent="0.25">
      <c r="A1565" s="1" t="s">
        <v>360</v>
      </c>
      <c r="B1565" s="1" t="s">
        <v>1367</v>
      </c>
      <c r="C1565" s="1" t="s">
        <v>2317</v>
      </c>
      <c r="D1565" s="1" t="s">
        <v>1998</v>
      </c>
      <c r="E1565" s="1"/>
      <c r="F1565" s="1" t="s">
        <v>11</v>
      </c>
      <c r="G1565">
        <v>5</v>
      </c>
      <c r="H1565">
        <v>5</v>
      </c>
      <c r="I1565" s="2"/>
      <c r="J1565" s="2">
        <v>45747</v>
      </c>
      <c r="K1565" s="2">
        <v>45749</v>
      </c>
    </row>
    <row r="1566" spans="1:11" x14ac:dyDescent="0.25">
      <c r="A1566" s="1" t="s">
        <v>360</v>
      </c>
      <c r="B1566" s="1" t="s">
        <v>1232</v>
      </c>
      <c r="C1566" s="1" t="s">
        <v>2216</v>
      </c>
      <c r="D1566" s="1" t="s">
        <v>1998</v>
      </c>
      <c r="E1566" s="1"/>
      <c r="F1566" s="1" t="s">
        <v>11</v>
      </c>
      <c r="G1566">
        <v>1</v>
      </c>
      <c r="H1566">
        <v>1</v>
      </c>
      <c r="I1566" s="2"/>
      <c r="J1566" s="2">
        <v>45747</v>
      </c>
      <c r="K1566" s="2">
        <v>45749</v>
      </c>
    </row>
    <row r="1567" spans="1:11" x14ac:dyDescent="0.25">
      <c r="A1567" s="1" t="s">
        <v>360</v>
      </c>
      <c r="B1567" s="1" t="s">
        <v>1234</v>
      </c>
      <c r="C1567" s="1" t="s">
        <v>2218</v>
      </c>
      <c r="D1567" s="1" t="s">
        <v>1998</v>
      </c>
      <c r="E1567" s="1"/>
      <c r="F1567" s="1" t="s">
        <v>11</v>
      </c>
      <c r="G1567">
        <v>1</v>
      </c>
      <c r="H1567">
        <v>1</v>
      </c>
      <c r="I1567" s="2"/>
      <c r="J1567" s="2">
        <v>45747</v>
      </c>
      <c r="K1567" s="2">
        <v>45749</v>
      </c>
    </row>
    <row r="1568" spans="1:11" x14ac:dyDescent="0.25">
      <c r="A1568" s="1" t="s">
        <v>360</v>
      </c>
      <c r="B1568" s="1" t="s">
        <v>1442</v>
      </c>
      <c r="C1568" s="1" t="s">
        <v>2381</v>
      </c>
      <c r="D1568" s="1" t="s">
        <v>1998</v>
      </c>
      <c r="E1568" s="1"/>
      <c r="F1568" s="1" t="s">
        <v>11</v>
      </c>
      <c r="G1568">
        <v>1</v>
      </c>
      <c r="H1568">
        <v>1</v>
      </c>
      <c r="I1568" s="2"/>
      <c r="J1568" s="2">
        <v>45747</v>
      </c>
      <c r="K1568" s="2">
        <v>45749</v>
      </c>
    </row>
    <row r="1569" spans="1:11" x14ac:dyDescent="0.25">
      <c r="A1569" s="1" t="s">
        <v>360</v>
      </c>
      <c r="B1569" s="1" t="s">
        <v>1364</v>
      </c>
      <c r="C1569" s="1" t="s">
        <v>2314</v>
      </c>
      <c r="D1569" s="1" t="s">
        <v>1998</v>
      </c>
      <c r="E1569" s="1"/>
      <c r="F1569" s="1" t="s">
        <v>11</v>
      </c>
      <c r="G1569">
        <v>1</v>
      </c>
      <c r="H1569">
        <v>1</v>
      </c>
      <c r="I1569" s="2"/>
      <c r="J1569" s="2">
        <v>45747</v>
      </c>
      <c r="K1569" s="2">
        <v>45749</v>
      </c>
    </row>
    <row r="1570" spans="1:11" x14ac:dyDescent="0.25">
      <c r="A1570" s="1" t="s">
        <v>360</v>
      </c>
      <c r="B1570" s="1" t="s">
        <v>1390</v>
      </c>
      <c r="C1570" s="1" t="s">
        <v>2339</v>
      </c>
      <c r="D1570" s="1" t="s">
        <v>1998</v>
      </c>
      <c r="E1570" s="1"/>
      <c r="F1570" s="1" t="s">
        <v>11</v>
      </c>
      <c r="G1570">
        <v>5</v>
      </c>
      <c r="H1570">
        <v>5</v>
      </c>
      <c r="I1570" s="2"/>
      <c r="J1570" s="2">
        <v>45747</v>
      </c>
      <c r="K1570" s="2">
        <v>45749</v>
      </c>
    </row>
    <row r="1571" spans="1:11" x14ac:dyDescent="0.25">
      <c r="A1571" s="1" t="s">
        <v>360</v>
      </c>
      <c r="B1571" s="1" t="s">
        <v>1443</v>
      </c>
      <c r="C1571" s="1" t="s">
        <v>2382</v>
      </c>
      <c r="D1571" s="1" t="s">
        <v>1998</v>
      </c>
      <c r="E1571" s="1"/>
      <c r="F1571" s="1" t="s">
        <v>11</v>
      </c>
      <c r="G1571">
        <v>10</v>
      </c>
      <c r="H1571">
        <v>10</v>
      </c>
      <c r="I1571" s="2"/>
      <c r="J1571" s="2">
        <v>45747</v>
      </c>
      <c r="K1571" s="2">
        <v>45749</v>
      </c>
    </row>
    <row r="1572" spans="1:11" x14ac:dyDescent="0.25">
      <c r="A1572" s="1" t="s">
        <v>360</v>
      </c>
      <c r="B1572" s="1" t="s">
        <v>1236</v>
      </c>
      <c r="C1572" s="1" t="s">
        <v>2220</v>
      </c>
      <c r="D1572" s="1" t="s">
        <v>1998</v>
      </c>
      <c r="E1572" s="1"/>
      <c r="F1572" s="1" t="s">
        <v>11</v>
      </c>
      <c r="G1572">
        <v>1</v>
      </c>
      <c r="H1572">
        <v>1</v>
      </c>
      <c r="I1572" s="2"/>
      <c r="J1572" s="2">
        <v>45747</v>
      </c>
      <c r="K1572" s="2">
        <v>45749</v>
      </c>
    </row>
    <row r="1573" spans="1:11" x14ac:dyDescent="0.25">
      <c r="A1573" s="1" t="s">
        <v>361</v>
      </c>
      <c r="B1573" s="1" t="s">
        <v>1305</v>
      </c>
      <c r="C1573" s="1" t="s">
        <v>2277</v>
      </c>
      <c r="D1573" s="1" t="s">
        <v>1998</v>
      </c>
      <c r="E1573" s="1"/>
      <c r="F1573" s="1" t="s">
        <v>11</v>
      </c>
      <c r="G1573">
        <v>25</v>
      </c>
      <c r="H1573">
        <v>25</v>
      </c>
      <c r="I1573" s="2">
        <v>45783</v>
      </c>
      <c r="J1573" s="2">
        <v>45730</v>
      </c>
      <c r="K1573" s="2">
        <v>45783</v>
      </c>
    </row>
    <row r="1574" spans="1:11" x14ac:dyDescent="0.25">
      <c r="A1574" s="1" t="s">
        <v>361</v>
      </c>
      <c r="B1574" s="1" t="s">
        <v>1306</v>
      </c>
      <c r="C1574" s="1" t="s">
        <v>2278</v>
      </c>
      <c r="D1574" s="1" t="s">
        <v>1998</v>
      </c>
      <c r="E1574" s="1"/>
      <c r="F1574" s="1" t="s">
        <v>11</v>
      </c>
      <c r="G1574">
        <v>25</v>
      </c>
      <c r="H1574">
        <v>25</v>
      </c>
      <c r="I1574" s="2">
        <v>45783</v>
      </c>
      <c r="J1574" s="2">
        <v>45730</v>
      </c>
      <c r="K1574" s="2">
        <v>45783</v>
      </c>
    </row>
    <row r="1575" spans="1:11" x14ac:dyDescent="0.25">
      <c r="A1575" s="1" t="s">
        <v>361</v>
      </c>
      <c r="B1575" s="1" t="s">
        <v>1307</v>
      </c>
      <c r="C1575" s="1" t="s">
        <v>2279</v>
      </c>
      <c r="D1575" s="1" t="s">
        <v>1998</v>
      </c>
      <c r="E1575" s="1"/>
      <c r="F1575" s="1" t="s">
        <v>11</v>
      </c>
      <c r="G1575">
        <v>1</v>
      </c>
      <c r="H1575">
        <v>1</v>
      </c>
      <c r="I1575" s="2">
        <v>45783</v>
      </c>
      <c r="J1575" s="2">
        <v>45730</v>
      </c>
      <c r="K1575" s="2">
        <v>45783</v>
      </c>
    </row>
    <row r="1576" spans="1:11" x14ac:dyDescent="0.25">
      <c r="A1576" s="1" t="s">
        <v>361</v>
      </c>
      <c r="B1576" s="1" t="s">
        <v>1308</v>
      </c>
      <c r="C1576" s="1" t="s">
        <v>2280</v>
      </c>
      <c r="D1576" s="1" t="s">
        <v>1998</v>
      </c>
      <c r="E1576" s="1"/>
      <c r="F1576" s="1" t="s">
        <v>11</v>
      </c>
      <c r="G1576">
        <v>1</v>
      </c>
      <c r="H1576">
        <v>1</v>
      </c>
      <c r="I1576" s="2">
        <v>45783</v>
      </c>
      <c r="J1576" s="2">
        <v>45730</v>
      </c>
      <c r="K1576" s="2">
        <v>45783</v>
      </c>
    </row>
    <row r="1577" spans="1:11" x14ac:dyDescent="0.25">
      <c r="A1577" s="1" t="s">
        <v>361</v>
      </c>
      <c r="B1577" s="1" t="s">
        <v>1309</v>
      </c>
      <c r="C1577" s="1" t="s">
        <v>2281</v>
      </c>
      <c r="D1577" s="1" t="s">
        <v>1998</v>
      </c>
      <c r="E1577" s="1"/>
      <c r="F1577" s="1" t="s">
        <v>11</v>
      </c>
      <c r="G1577">
        <v>725</v>
      </c>
      <c r="H1577">
        <v>725</v>
      </c>
      <c r="I1577" s="2">
        <v>45783</v>
      </c>
      <c r="J1577" s="2">
        <v>45730</v>
      </c>
      <c r="K1577" s="2">
        <v>45783</v>
      </c>
    </row>
    <row r="1578" spans="1:11" x14ac:dyDescent="0.25">
      <c r="A1578" s="1" t="s">
        <v>361</v>
      </c>
      <c r="B1578" s="1" t="s">
        <v>1310</v>
      </c>
      <c r="C1578" s="1" t="s">
        <v>2115</v>
      </c>
      <c r="D1578" s="1" t="s">
        <v>1998</v>
      </c>
      <c r="E1578" s="1"/>
      <c r="F1578" s="1" t="s">
        <v>11</v>
      </c>
      <c r="G1578">
        <v>775</v>
      </c>
      <c r="H1578">
        <v>775</v>
      </c>
      <c r="I1578" s="2">
        <v>45783</v>
      </c>
      <c r="J1578" s="2">
        <v>45730</v>
      </c>
      <c r="K1578" s="2">
        <v>45783</v>
      </c>
    </row>
    <row r="1579" spans="1:11" x14ac:dyDescent="0.25">
      <c r="A1579" s="1" t="s">
        <v>361</v>
      </c>
      <c r="B1579" s="1" t="s">
        <v>1311</v>
      </c>
      <c r="C1579" s="1" t="s">
        <v>2282</v>
      </c>
      <c r="D1579" s="1" t="s">
        <v>1998</v>
      </c>
      <c r="E1579" s="1"/>
      <c r="F1579" s="1" t="s">
        <v>11</v>
      </c>
      <c r="G1579">
        <v>215</v>
      </c>
      <c r="H1579">
        <v>215</v>
      </c>
      <c r="I1579" s="2">
        <v>45783</v>
      </c>
      <c r="J1579" s="2">
        <v>45730</v>
      </c>
      <c r="K1579" s="2">
        <v>45783</v>
      </c>
    </row>
    <row r="1580" spans="1:11" x14ac:dyDescent="0.25">
      <c r="A1580" s="1" t="s">
        <v>361</v>
      </c>
      <c r="B1580" s="1" t="s">
        <v>1312</v>
      </c>
      <c r="C1580" s="1" t="s">
        <v>2283</v>
      </c>
      <c r="D1580" s="1" t="s">
        <v>1998</v>
      </c>
      <c r="E1580" s="1"/>
      <c r="F1580" s="1" t="s">
        <v>11</v>
      </c>
      <c r="G1580">
        <v>85</v>
      </c>
      <c r="H1580">
        <v>85</v>
      </c>
      <c r="I1580" s="2">
        <v>45783</v>
      </c>
      <c r="J1580" s="2">
        <v>45730</v>
      </c>
      <c r="K1580" s="2">
        <v>45783</v>
      </c>
    </row>
    <row r="1581" spans="1:11" x14ac:dyDescent="0.25">
      <c r="A1581" s="1" t="s">
        <v>361</v>
      </c>
      <c r="B1581" s="1" t="s">
        <v>1313</v>
      </c>
      <c r="C1581" s="1" t="s">
        <v>2284</v>
      </c>
      <c r="D1581" s="1" t="s">
        <v>1998</v>
      </c>
      <c r="E1581" s="1"/>
      <c r="F1581" s="1" t="s">
        <v>11</v>
      </c>
      <c r="G1581">
        <v>115</v>
      </c>
      <c r="H1581">
        <v>115</v>
      </c>
      <c r="I1581" s="2">
        <v>45783</v>
      </c>
      <c r="J1581" s="2">
        <v>45730</v>
      </c>
      <c r="K1581" s="2">
        <v>45783</v>
      </c>
    </row>
    <row r="1582" spans="1:11" x14ac:dyDescent="0.25">
      <c r="A1582" s="1" t="s">
        <v>361</v>
      </c>
      <c r="B1582" s="1" t="s">
        <v>1314</v>
      </c>
      <c r="C1582" s="1" t="s">
        <v>2285</v>
      </c>
      <c r="D1582" s="1" t="s">
        <v>1998</v>
      </c>
      <c r="E1582" s="1"/>
      <c r="F1582" s="1" t="s">
        <v>11</v>
      </c>
      <c r="G1582">
        <v>60</v>
      </c>
      <c r="H1582">
        <v>60</v>
      </c>
      <c r="I1582" s="2">
        <v>45783</v>
      </c>
      <c r="J1582" s="2">
        <v>45730</v>
      </c>
      <c r="K1582" s="2">
        <v>45783</v>
      </c>
    </row>
    <row r="1583" spans="1:11" x14ac:dyDescent="0.25">
      <c r="A1583" s="1" t="s">
        <v>361</v>
      </c>
      <c r="B1583" s="1" t="s">
        <v>1315</v>
      </c>
      <c r="C1583" s="1" t="s">
        <v>2286</v>
      </c>
      <c r="D1583" s="1" t="s">
        <v>1998</v>
      </c>
      <c r="E1583" s="1"/>
      <c r="F1583" s="1" t="s">
        <v>11</v>
      </c>
      <c r="G1583">
        <v>115</v>
      </c>
      <c r="H1583">
        <v>115</v>
      </c>
      <c r="I1583" s="2">
        <v>45783</v>
      </c>
      <c r="J1583" s="2">
        <v>45730</v>
      </c>
      <c r="K1583" s="2">
        <v>45783</v>
      </c>
    </row>
    <row r="1584" spans="1:11" x14ac:dyDescent="0.25">
      <c r="A1584" s="1" t="s">
        <v>361</v>
      </c>
      <c r="B1584" s="1" t="s">
        <v>1316</v>
      </c>
      <c r="C1584" s="1" t="s">
        <v>2287</v>
      </c>
      <c r="D1584" s="1" t="s">
        <v>1998</v>
      </c>
      <c r="E1584" s="1"/>
      <c r="F1584" s="1" t="s">
        <v>11</v>
      </c>
      <c r="G1584">
        <v>35</v>
      </c>
      <c r="H1584">
        <v>35</v>
      </c>
      <c r="I1584" s="2">
        <v>45783</v>
      </c>
      <c r="J1584" s="2">
        <v>45730</v>
      </c>
      <c r="K1584" s="2">
        <v>45783</v>
      </c>
    </row>
    <row r="1585" spans="1:11" x14ac:dyDescent="0.25">
      <c r="A1585" s="1" t="s">
        <v>361</v>
      </c>
      <c r="B1585" s="1" t="s">
        <v>1317</v>
      </c>
      <c r="C1585" s="1" t="s">
        <v>2288</v>
      </c>
      <c r="D1585" s="1" t="s">
        <v>1998</v>
      </c>
      <c r="E1585" s="1"/>
      <c r="F1585" s="1" t="s">
        <v>11</v>
      </c>
      <c r="G1585">
        <v>5</v>
      </c>
      <c r="H1585">
        <v>5</v>
      </c>
      <c r="I1585" s="2">
        <v>45783</v>
      </c>
      <c r="J1585" s="2">
        <v>45730</v>
      </c>
      <c r="K1585" s="2">
        <v>45783</v>
      </c>
    </row>
    <row r="1586" spans="1:11" x14ac:dyDescent="0.25">
      <c r="A1586" s="1" t="s">
        <v>361</v>
      </c>
      <c r="B1586" s="1" t="s">
        <v>1318</v>
      </c>
      <c r="C1586" s="1" t="s">
        <v>2289</v>
      </c>
      <c r="D1586" s="1" t="s">
        <v>1998</v>
      </c>
      <c r="E1586" s="1"/>
      <c r="F1586" s="1" t="s">
        <v>11</v>
      </c>
      <c r="G1586">
        <v>15</v>
      </c>
      <c r="H1586">
        <v>15</v>
      </c>
      <c r="I1586" s="2">
        <v>45783</v>
      </c>
      <c r="J1586" s="2">
        <v>45730</v>
      </c>
      <c r="K1586" s="2">
        <v>45783</v>
      </c>
    </row>
    <row r="1587" spans="1:11" x14ac:dyDescent="0.25">
      <c r="A1587" s="1" t="s">
        <v>361</v>
      </c>
      <c r="B1587" s="1" t="s">
        <v>1068</v>
      </c>
      <c r="C1587" s="1" t="s">
        <v>2074</v>
      </c>
      <c r="D1587" s="1" t="s">
        <v>1998</v>
      </c>
      <c r="E1587" s="1"/>
      <c r="F1587" s="1" t="s">
        <v>11</v>
      </c>
      <c r="G1587">
        <v>5</v>
      </c>
      <c r="H1587">
        <v>5</v>
      </c>
      <c r="I1587" s="2">
        <v>45783</v>
      </c>
      <c r="J1587" s="2">
        <v>45730</v>
      </c>
      <c r="K1587" s="2">
        <v>45783</v>
      </c>
    </row>
    <row r="1588" spans="1:11" x14ac:dyDescent="0.25">
      <c r="A1588" s="1" t="s">
        <v>361</v>
      </c>
      <c r="B1588" s="1" t="s">
        <v>1319</v>
      </c>
      <c r="C1588" s="1" t="s">
        <v>2290</v>
      </c>
      <c r="D1588" s="1" t="s">
        <v>1998</v>
      </c>
      <c r="E1588" s="1"/>
      <c r="F1588" s="1" t="s">
        <v>11</v>
      </c>
      <c r="G1588">
        <v>1</v>
      </c>
      <c r="H1588">
        <v>1</v>
      </c>
      <c r="I1588" s="2">
        <v>45783</v>
      </c>
      <c r="J1588" s="2">
        <v>45730</v>
      </c>
      <c r="K1588" s="2">
        <v>45783</v>
      </c>
    </row>
    <row r="1589" spans="1:11" x14ac:dyDescent="0.25">
      <c r="A1589" s="1" t="s">
        <v>361</v>
      </c>
      <c r="B1589" s="1" t="s">
        <v>1320</v>
      </c>
      <c r="C1589" s="1" t="s">
        <v>2291</v>
      </c>
      <c r="D1589" s="1" t="s">
        <v>1998</v>
      </c>
      <c r="E1589" s="1"/>
      <c r="F1589" s="1" t="s">
        <v>11</v>
      </c>
      <c r="G1589">
        <v>1</v>
      </c>
      <c r="H1589">
        <v>1</v>
      </c>
      <c r="I1589" s="2">
        <v>45783</v>
      </c>
      <c r="J1589" s="2">
        <v>45730</v>
      </c>
      <c r="K1589" s="2">
        <v>45783</v>
      </c>
    </row>
    <row r="1590" spans="1:11" x14ac:dyDescent="0.25">
      <c r="A1590" s="1" t="s">
        <v>361</v>
      </c>
      <c r="B1590" s="1" t="s">
        <v>1321</v>
      </c>
      <c r="C1590" s="1" t="s">
        <v>2291</v>
      </c>
      <c r="D1590" s="1" t="s">
        <v>1998</v>
      </c>
      <c r="E1590" s="1"/>
      <c r="F1590" s="1" t="s">
        <v>11</v>
      </c>
      <c r="G1590">
        <v>1</v>
      </c>
      <c r="H1590">
        <v>1</v>
      </c>
      <c r="I1590" s="2">
        <v>45783</v>
      </c>
      <c r="J1590" s="2">
        <v>45730</v>
      </c>
      <c r="K1590" s="2">
        <v>45783</v>
      </c>
    </row>
    <row r="1591" spans="1:11" x14ac:dyDescent="0.25">
      <c r="A1591" s="1" t="s">
        <v>361</v>
      </c>
      <c r="B1591" s="1" t="s">
        <v>1322</v>
      </c>
      <c r="C1591" s="1" t="s">
        <v>2292</v>
      </c>
      <c r="D1591" s="1" t="s">
        <v>1998</v>
      </c>
      <c r="E1591" s="1"/>
      <c r="F1591" s="1" t="s">
        <v>11</v>
      </c>
      <c r="G1591">
        <v>10</v>
      </c>
      <c r="H1591">
        <v>10</v>
      </c>
      <c r="I1591" s="2">
        <v>45783</v>
      </c>
      <c r="J1591" s="2">
        <v>45730</v>
      </c>
      <c r="K1591" s="2">
        <v>45783</v>
      </c>
    </row>
    <row r="1592" spans="1:11" x14ac:dyDescent="0.25">
      <c r="A1592" s="1" t="s">
        <v>362</v>
      </c>
      <c r="B1592" s="1" t="s">
        <v>1305</v>
      </c>
      <c r="C1592" s="1" t="s">
        <v>2277</v>
      </c>
      <c r="D1592" s="1" t="s">
        <v>1998</v>
      </c>
      <c r="E1592" s="1"/>
      <c r="F1592" s="1" t="s">
        <v>11</v>
      </c>
      <c r="G1592">
        <v>25</v>
      </c>
      <c r="H1592">
        <v>25</v>
      </c>
      <c r="I1592" s="2">
        <v>45783</v>
      </c>
      <c r="J1592" s="2">
        <v>45730</v>
      </c>
      <c r="K1592" s="2">
        <v>45783</v>
      </c>
    </row>
    <row r="1593" spans="1:11" x14ac:dyDescent="0.25">
      <c r="A1593" s="1" t="s">
        <v>362</v>
      </c>
      <c r="B1593" s="1" t="s">
        <v>1306</v>
      </c>
      <c r="C1593" s="1" t="s">
        <v>2278</v>
      </c>
      <c r="D1593" s="1" t="s">
        <v>1998</v>
      </c>
      <c r="E1593" s="1"/>
      <c r="F1593" s="1" t="s">
        <v>11</v>
      </c>
      <c r="G1593">
        <v>25</v>
      </c>
      <c r="H1593">
        <v>25</v>
      </c>
      <c r="I1593" s="2">
        <v>45783</v>
      </c>
      <c r="J1593" s="2">
        <v>45730</v>
      </c>
      <c r="K1593" s="2">
        <v>45783</v>
      </c>
    </row>
    <row r="1594" spans="1:11" x14ac:dyDescent="0.25">
      <c r="A1594" s="1" t="s">
        <v>362</v>
      </c>
      <c r="B1594" s="1" t="s">
        <v>1307</v>
      </c>
      <c r="C1594" s="1" t="s">
        <v>2279</v>
      </c>
      <c r="D1594" s="1" t="s">
        <v>1998</v>
      </c>
      <c r="E1594" s="1"/>
      <c r="F1594" s="1" t="s">
        <v>11</v>
      </c>
      <c r="G1594">
        <v>1</v>
      </c>
      <c r="H1594">
        <v>1</v>
      </c>
      <c r="I1594" s="2">
        <v>45783</v>
      </c>
      <c r="J1594" s="2">
        <v>45730</v>
      </c>
      <c r="K1594" s="2">
        <v>45783</v>
      </c>
    </row>
    <row r="1595" spans="1:11" x14ac:dyDescent="0.25">
      <c r="A1595" s="1" t="s">
        <v>362</v>
      </c>
      <c r="B1595" s="1" t="s">
        <v>1308</v>
      </c>
      <c r="C1595" s="1" t="s">
        <v>2280</v>
      </c>
      <c r="D1595" s="1" t="s">
        <v>1998</v>
      </c>
      <c r="E1595" s="1"/>
      <c r="F1595" s="1" t="s">
        <v>11</v>
      </c>
      <c r="G1595">
        <v>1</v>
      </c>
      <c r="H1595">
        <v>1</v>
      </c>
      <c r="I1595" s="2">
        <v>45783</v>
      </c>
      <c r="J1595" s="2">
        <v>45730</v>
      </c>
      <c r="K1595" s="2">
        <v>45783</v>
      </c>
    </row>
    <row r="1596" spans="1:11" x14ac:dyDescent="0.25">
      <c r="A1596" s="1" t="s">
        <v>362</v>
      </c>
      <c r="B1596" s="1" t="s">
        <v>1309</v>
      </c>
      <c r="C1596" s="1" t="s">
        <v>2281</v>
      </c>
      <c r="D1596" s="1" t="s">
        <v>1998</v>
      </c>
      <c r="E1596" s="1"/>
      <c r="F1596" s="1" t="s">
        <v>11</v>
      </c>
      <c r="G1596">
        <v>545</v>
      </c>
      <c r="H1596">
        <v>545</v>
      </c>
      <c r="I1596" s="2">
        <v>45783</v>
      </c>
      <c r="J1596" s="2">
        <v>45730</v>
      </c>
      <c r="K1596" s="2">
        <v>45783</v>
      </c>
    </row>
    <row r="1597" spans="1:11" x14ac:dyDescent="0.25">
      <c r="A1597" s="1" t="s">
        <v>362</v>
      </c>
      <c r="B1597" s="1" t="s">
        <v>1310</v>
      </c>
      <c r="C1597" s="1" t="s">
        <v>2115</v>
      </c>
      <c r="D1597" s="1" t="s">
        <v>1998</v>
      </c>
      <c r="E1597" s="1"/>
      <c r="F1597" s="1" t="s">
        <v>11</v>
      </c>
      <c r="G1597">
        <v>665</v>
      </c>
      <c r="H1597">
        <v>665</v>
      </c>
      <c r="I1597" s="2">
        <v>45783</v>
      </c>
      <c r="J1597" s="2">
        <v>45730</v>
      </c>
      <c r="K1597" s="2">
        <v>45783</v>
      </c>
    </row>
    <row r="1598" spans="1:11" x14ac:dyDescent="0.25">
      <c r="A1598" s="1" t="s">
        <v>362</v>
      </c>
      <c r="B1598" s="1" t="s">
        <v>1311</v>
      </c>
      <c r="C1598" s="1" t="s">
        <v>2282</v>
      </c>
      <c r="D1598" s="1" t="s">
        <v>1998</v>
      </c>
      <c r="E1598" s="1"/>
      <c r="F1598" s="1" t="s">
        <v>11</v>
      </c>
      <c r="G1598">
        <v>215</v>
      </c>
      <c r="H1598">
        <v>215</v>
      </c>
      <c r="I1598" s="2">
        <v>45783</v>
      </c>
      <c r="J1598" s="2">
        <v>45730</v>
      </c>
      <c r="K1598" s="2">
        <v>45783</v>
      </c>
    </row>
    <row r="1599" spans="1:11" x14ac:dyDescent="0.25">
      <c r="A1599" s="1" t="s">
        <v>362</v>
      </c>
      <c r="B1599" s="1" t="s">
        <v>1323</v>
      </c>
      <c r="C1599" s="1" t="s">
        <v>2282</v>
      </c>
      <c r="D1599" s="1" t="s">
        <v>1998</v>
      </c>
      <c r="E1599" s="1"/>
      <c r="F1599" s="1" t="s">
        <v>11</v>
      </c>
      <c r="G1599">
        <v>200</v>
      </c>
      <c r="H1599">
        <v>200</v>
      </c>
      <c r="I1599" s="2">
        <v>45783</v>
      </c>
      <c r="J1599" s="2">
        <v>45730</v>
      </c>
      <c r="K1599" s="2">
        <v>45783</v>
      </c>
    </row>
    <row r="1600" spans="1:11" x14ac:dyDescent="0.25">
      <c r="A1600" s="1" t="s">
        <v>362</v>
      </c>
      <c r="B1600" s="1" t="s">
        <v>1312</v>
      </c>
      <c r="C1600" s="1" t="s">
        <v>2283</v>
      </c>
      <c r="D1600" s="1" t="s">
        <v>1998</v>
      </c>
      <c r="E1600" s="1"/>
      <c r="F1600" s="1" t="s">
        <v>11</v>
      </c>
      <c r="G1600">
        <v>85</v>
      </c>
      <c r="H1600">
        <v>85</v>
      </c>
      <c r="I1600" s="2">
        <v>45783</v>
      </c>
      <c r="J1600" s="2">
        <v>45730</v>
      </c>
      <c r="K1600" s="2">
        <v>45783</v>
      </c>
    </row>
    <row r="1601" spans="1:11" x14ac:dyDescent="0.25">
      <c r="A1601" s="1" t="s">
        <v>362</v>
      </c>
      <c r="B1601" s="1" t="s">
        <v>1313</v>
      </c>
      <c r="C1601" s="1" t="s">
        <v>2284</v>
      </c>
      <c r="D1601" s="1" t="s">
        <v>1998</v>
      </c>
      <c r="E1601" s="1"/>
      <c r="F1601" s="1" t="s">
        <v>11</v>
      </c>
      <c r="G1601">
        <v>100</v>
      </c>
      <c r="H1601">
        <v>100</v>
      </c>
      <c r="I1601" s="2">
        <v>45783</v>
      </c>
      <c r="J1601" s="2">
        <v>45730</v>
      </c>
      <c r="K1601" s="2">
        <v>45783</v>
      </c>
    </row>
    <row r="1602" spans="1:11" x14ac:dyDescent="0.25">
      <c r="A1602" s="1" t="s">
        <v>362</v>
      </c>
      <c r="B1602" s="1" t="s">
        <v>1314</v>
      </c>
      <c r="C1602" s="1" t="s">
        <v>2285</v>
      </c>
      <c r="D1602" s="1" t="s">
        <v>1998</v>
      </c>
      <c r="E1602" s="1"/>
      <c r="F1602" s="1" t="s">
        <v>11</v>
      </c>
      <c r="G1602">
        <v>50</v>
      </c>
      <c r="H1602">
        <v>50</v>
      </c>
      <c r="I1602" s="2">
        <v>45783</v>
      </c>
      <c r="J1602" s="2">
        <v>45730</v>
      </c>
      <c r="K1602" s="2">
        <v>45783</v>
      </c>
    </row>
    <row r="1603" spans="1:11" x14ac:dyDescent="0.25">
      <c r="A1603" s="1" t="s">
        <v>362</v>
      </c>
      <c r="B1603" s="1" t="s">
        <v>1315</v>
      </c>
      <c r="C1603" s="1" t="s">
        <v>2286</v>
      </c>
      <c r="D1603" s="1" t="s">
        <v>1998</v>
      </c>
      <c r="E1603" s="1"/>
      <c r="F1603" s="1" t="s">
        <v>11</v>
      </c>
      <c r="G1603">
        <v>95</v>
      </c>
      <c r="H1603">
        <v>95</v>
      </c>
      <c r="I1603" s="2">
        <v>45783</v>
      </c>
      <c r="J1603" s="2">
        <v>45730</v>
      </c>
      <c r="K1603" s="2">
        <v>45783</v>
      </c>
    </row>
    <row r="1604" spans="1:11" x14ac:dyDescent="0.25">
      <c r="A1604" s="1" t="s">
        <v>362</v>
      </c>
      <c r="B1604" s="1" t="s">
        <v>1316</v>
      </c>
      <c r="C1604" s="1" t="s">
        <v>2287</v>
      </c>
      <c r="D1604" s="1" t="s">
        <v>1998</v>
      </c>
      <c r="E1604" s="1"/>
      <c r="F1604" s="1" t="s">
        <v>11</v>
      </c>
      <c r="G1604">
        <v>30</v>
      </c>
      <c r="H1604">
        <v>30</v>
      </c>
      <c r="I1604" s="2">
        <v>45783</v>
      </c>
      <c r="J1604" s="2">
        <v>45730</v>
      </c>
      <c r="K1604" s="2">
        <v>45783</v>
      </c>
    </row>
    <row r="1605" spans="1:11" x14ac:dyDescent="0.25">
      <c r="A1605" s="1" t="s">
        <v>362</v>
      </c>
      <c r="B1605" s="1" t="s">
        <v>1317</v>
      </c>
      <c r="C1605" s="1" t="s">
        <v>2288</v>
      </c>
      <c r="D1605" s="1" t="s">
        <v>1998</v>
      </c>
      <c r="E1605" s="1"/>
      <c r="F1605" s="1" t="s">
        <v>11</v>
      </c>
      <c r="G1605">
        <v>5</v>
      </c>
      <c r="H1605">
        <v>5</v>
      </c>
      <c r="I1605" s="2">
        <v>45783</v>
      </c>
      <c r="J1605" s="2">
        <v>45730</v>
      </c>
      <c r="K1605" s="2">
        <v>45783</v>
      </c>
    </row>
    <row r="1606" spans="1:11" x14ac:dyDescent="0.25">
      <c r="A1606" s="1" t="s">
        <v>362</v>
      </c>
      <c r="B1606" s="1" t="s">
        <v>1318</v>
      </c>
      <c r="C1606" s="1" t="s">
        <v>2289</v>
      </c>
      <c r="D1606" s="1" t="s">
        <v>1998</v>
      </c>
      <c r="E1606" s="1"/>
      <c r="F1606" s="1" t="s">
        <v>11</v>
      </c>
      <c r="G1606">
        <v>15</v>
      </c>
      <c r="H1606">
        <v>15</v>
      </c>
      <c r="I1606" s="2">
        <v>45783</v>
      </c>
      <c r="J1606" s="2">
        <v>45730</v>
      </c>
      <c r="K1606" s="2">
        <v>45783</v>
      </c>
    </row>
    <row r="1607" spans="1:11" x14ac:dyDescent="0.25">
      <c r="A1607" s="1" t="s">
        <v>362</v>
      </c>
      <c r="B1607" s="1" t="s">
        <v>1068</v>
      </c>
      <c r="C1607" s="1" t="s">
        <v>2074</v>
      </c>
      <c r="D1607" s="1" t="s">
        <v>1998</v>
      </c>
      <c r="E1607" s="1"/>
      <c r="F1607" s="1" t="s">
        <v>11</v>
      </c>
      <c r="G1607">
        <v>5</v>
      </c>
      <c r="H1607">
        <v>5</v>
      </c>
      <c r="I1607" s="2">
        <v>45783</v>
      </c>
      <c r="J1607" s="2">
        <v>45730</v>
      </c>
      <c r="K1607" s="2">
        <v>45783</v>
      </c>
    </row>
    <row r="1608" spans="1:11" x14ac:dyDescent="0.25">
      <c r="A1608" s="1" t="s">
        <v>362</v>
      </c>
      <c r="B1608" s="1" t="s">
        <v>1319</v>
      </c>
      <c r="C1608" s="1" t="s">
        <v>2290</v>
      </c>
      <c r="D1608" s="1" t="s">
        <v>1998</v>
      </c>
      <c r="E1608" s="1"/>
      <c r="F1608" s="1" t="s">
        <v>11</v>
      </c>
      <c r="G1608">
        <v>1</v>
      </c>
      <c r="H1608">
        <v>1</v>
      </c>
      <c r="I1608" s="2">
        <v>45783</v>
      </c>
      <c r="J1608" s="2">
        <v>45730</v>
      </c>
      <c r="K1608" s="2">
        <v>45783</v>
      </c>
    </row>
    <row r="1609" spans="1:11" x14ac:dyDescent="0.25">
      <c r="A1609" s="1" t="s">
        <v>362</v>
      </c>
      <c r="B1609" s="1" t="s">
        <v>1324</v>
      </c>
      <c r="C1609" s="1" t="s">
        <v>2291</v>
      </c>
      <c r="D1609" s="1" t="s">
        <v>1998</v>
      </c>
      <c r="E1609" s="1"/>
      <c r="F1609" s="1" t="s">
        <v>11</v>
      </c>
      <c r="G1609">
        <v>1</v>
      </c>
      <c r="H1609">
        <v>1</v>
      </c>
      <c r="I1609" s="2">
        <v>45783</v>
      </c>
      <c r="J1609" s="2">
        <v>45730</v>
      </c>
      <c r="K1609" s="2">
        <v>45783</v>
      </c>
    </row>
    <row r="1610" spans="1:11" x14ac:dyDescent="0.25">
      <c r="A1610" s="1" t="s">
        <v>362</v>
      </c>
      <c r="B1610" s="1" t="s">
        <v>1325</v>
      </c>
      <c r="C1610" s="1" t="s">
        <v>2291</v>
      </c>
      <c r="D1610" s="1" t="s">
        <v>1998</v>
      </c>
      <c r="E1610" s="1"/>
      <c r="F1610" s="1" t="s">
        <v>11</v>
      </c>
      <c r="G1610">
        <v>1</v>
      </c>
      <c r="H1610">
        <v>1</v>
      </c>
      <c r="I1610" s="2">
        <v>45783</v>
      </c>
      <c r="J1610" s="2">
        <v>45730</v>
      </c>
      <c r="K1610" s="2">
        <v>45783</v>
      </c>
    </row>
    <row r="1611" spans="1:11" x14ac:dyDescent="0.25">
      <c r="A1611" s="1" t="s">
        <v>362</v>
      </c>
      <c r="B1611" s="1" t="s">
        <v>1322</v>
      </c>
      <c r="C1611" s="1" t="s">
        <v>2292</v>
      </c>
      <c r="D1611" s="1" t="s">
        <v>1998</v>
      </c>
      <c r="E1611" s="1"/>
      <c r="F1611" s="1" t="s">
        <v>11</v>
      </c>
      <c r="G1611">
        <v>10</v>
      </c>
      <c r="H1611">
        <v>10</v>
      </c>
      <c r="I1611" s="2">
        <v>45783</v>
      </c>
      <c r="J1611" s="2">
        <v>45730</v>
      </c>
      <c r="K1611" s="2">
        <v>45783</v>
      </c>
    </row>
    <row r="1612" spans="1:11" x14ac:dyDescent="0.25">
      <c r="A1612" s="1" t="s">
        <v>363</v>
      </c>
      <c r="B1612" s="1" t="s">
        <v>1305</v>
      </c>
      <c r="C1612" s="1" t="s">
        <v>2277</v>
      </c>
      <c r="D1612" s="1" t="s">
        <v>1998</v>
      </c>
      <c r="E1612" s="1"/>
      <c r="F1612" s="1" t="s">
        <v>11</v>
      </c>
      <c r="G1612">
        <v>25</v>
      </c>
      <c r="H1612">
        <v>25</v>
      </c>
      <c r="I1612" s="2">
        <v>45783</v>
      </c>
      <c r="J1612" s="2">
        <v>45730</v>
      </c>
      <c r="K1612" s="2">
        <v>45783</v>
      </c>
    </row>
    <row r="1613" spans="1:11" x14ac:dyDescent="0.25">
      <c r="A1613" s="1" t="s">
        <v>363</v>
      </c>
      <c r="B1613" s="1" t="s">
        <v>1306</v>
      </c>
      <c r="C1613" s="1" t="s">
        <v>2278</v>
      </c>
      <c r="D1613" s="1" t="s">
        <v>1998</v>
      </c>
      <c r="E1613" s="1"/>
      <c r="F1613" s="1" t="s">
        <v>11</v>
      </c>
      <c r="G1613">
        <v>25</v>
      </c>
      <c r="H1613">
        <v>25</v>
      </c>
      <c r="I1613" s="2">
        <v>45783</v>
      </c>
      <c r="J1613" s="2">
        <v>45730</v>
      </c>
      <c r="K1613" s="2">
        <v>45783</v>
      </c>
    </row>
    <row r="1614" spans="1:11" x14ac:dyDescent="0.25">
      <c r="A1614" s="1" t="s">
        <v>363</v>
      </c>
      <c r="B1614" s="1" t="s">
        <v>1307</v>
      </c>
      <c r="C1614" s="1" t="s">
        <v>2279</v>
      </c>
      <c r="D1614" s="1" t="s">
        <v>1998</v>
      </c>
      <c r="E1614" s="1"/>
      <c r="F1614" s="1" t="s">
        <v>11</v>
      </c>
      <c r="G1614">
        <v>1</v>
      </c>
      <c r="H1614">
        <v>1</v>
      </c>
      <c r="I1614" s="2">
        <v>45783</v>
      </c>
      <c r="J1614" s="2">
        <v>45730</v>
      </c>
      <c r="K1614" s="2">
        <v>45783</v>
      </c>
    </row>
    <row r="1615" spans="1:11" x14ac:dyDescent="0.25">
      <c r="A1615" s="1" t="s">
        <v>363</v>
      </c>
      <c r="B1615" s="1" t="s">
        <v>1308</v>
      </c>
      <c r="C1615" s="1" t="s">
        <v>2280</v>
      </c>
      <c r="D1615" s="1" t="s">
        <v>1998</v>
      </c>
      <c r="E1615" s="1"/>
      <c r="F1615" s="1" t="s">
        <v>11</v>
      </c>
      <c r="G1615">
        <v>1</v>
      </c>
      <c r="H1615">
        <v>1</v>
      </c>
      <c r="I1615" s="2">
        <v>45783</v>
      </c>
      <c r="J1615" s="2">
        <v>45730</v>
      </c>
      <c r="K1615" s="2">
        <v>45783</v>
      </c>
    </row>
    <row r="1616" spans="1:11" x14ac:dyDescent="0.25">
      <c r="A1616" s="1" t="s">
        <v>363</v>
      </c>
      <c r="B1616" s="1" t="s">
        <v>1309</v>
      </c>
      <c r="C1616" s="1" t="s">
        <v>2281</v>
      </c>
      <c r="D1616" s="1" t="s">
        <v>1998</v>
      </c>
      <c r="E1616" s="1"/>
      <c r="F1616" s="1" t="s">
        <v>11</v>
      </c>
      <c r="G1616">
        <v>725</v>
      </c>
      <c r="H1616">
        <v>725</v>
      </c>
      <c r="I1616" s="2">
        <v>45783</v>
      </c>
      <c r="J1616" s="2">
        <v>45730</v>
      </c>
      <c r="K1616" s="2">
        <v>45783</v>
      </c>
    </row>
    <row r="1617" spans="1:11" x14ac:dyDescent="0.25">
      <c r="A1617" s="1" t="s">
        <v>363</v>
      </c>
      <c r="B1617" s="1" t="s">
        <v>1310</v>
      </c>
      <c r="C1617" s="1" t="s">
        <v>2115</v>
      </c>
      <c r="D1617" s="1" t="s">
        <v>1998</v>
      </c>
      <c r="E1617" s="1"/>
      <c r="F1617" s="1" t="s">
        <v>11</v>
      </c>
      <c r="G1617">
        <v>775</v>
      </c>
      <c r="H1617">
        <v>775</v>
      </c>
      <c r="I1617" s="2">
        <v>45783</v>
      </c>
      <c r="J1617" s="2">
        <v>45730</v>
      </c>
      <c r="K1617" s="2">
        <v>45783</v>
      </c>
    </row>
    <row r="1618" spans="1:11" x14ac:dyDescent="0.25">
      <c r="A1618" s="1" t="s">
        <v>363</v>
      </c>
      <c r="B1618" s="1" t="s">
        <v>1311</v>
      </c>
      <c r="C1618" s="1" t="s">
        <v>2282</v>
      </c>
      <c r="D1618" s="1" t="s">
        <v>1998</v>
      </c>
      <c r="E1618" s="1"/>
      <c r="F1618" s="1" t="s">
        <v>11</v>
      </c>
      <c r="G1618">
        <v>215</v>
      </c>
      <c r="H1618">
        <v>215</v>
      </c>
      <c r="I1618" s="2">
        <v>45783</v>
      </c>
      <c r="J1618" s="2">
        <v>45730</v>
      </c>
      <c r="K1618" s="2">
        <v>45783</v>
      </c>
    </row>
    <row r="1619" spans="1:11" x14ac:dyDescent="0.25">
      <c r="A1619" s="1" t="s">
        <v>363</v>
      </c>
      <c r="B1619" s="1" t="s">
        <v>1312</v>
      </c>
      <c r="C1619" s="1" t="s">
        <v>2283</v>
      </c>
      <c r="D1619" s="1" t="s">
        <v>1998</v>
      </c>
      <c r="E1619" s="1"/>
      <c r="F1619" s="1" t="s">
        <v>11</v>
      </c>
      <c r="G1619">
        <v>85</v>
      </c>
      <c r="H1619">
        <v>85</v>
      </c>
      <c r="I1619" s="2">
        <v>45783</v>
      </c>
      <c r="J1619" s="2">
        <v>45730</v>
      </c>
      <c r="K1619" s="2">
        <v>45783</v>
      </c>
    </row>
    <row r="1620" spans="1:11" x14ac:dyDescent="0.25">
      <c r="A1620" s="1" t="s">
        <v>363</v>
      </c>
      <c r="B1620" s="1" t="s">
        <v>1313</v>
      </c>
      <c r="C1620" s="1" t="s">
        <v>2284</v>
      </c>
      <c r="D1620" s="1" t="s">
        <v>1998</v>
      </c>
      <c r="E1620" s="1"/>
      <c r="F1620" s="1" t="s">
        <v>11</v>
      </c>
      <c r="G1620">
        <v>115</v>
      </c>
      <c r="H1620">
        <v>115</v>
      </c>
      <c r="I1620" s="2">
        <v>45783</v>
      </c>
      <c r="J1620" s="2">
        <v>45730</v>
      </c>
      <c r="K1620" s="2">
        <v>45783</v>
      </c>
    </row>
    <row r="1621" spans="1:11" x14ac:dyDescent="0.25">
      <c r="A1621" s="1" t="s">
        <v>363</v>
      </c>
      <c r="B1621" s="1" t="s">
        <v>1314</v>
      </c>
      <c r="C1621" s="1" t="s">
        <v>2285</v>
      </c>
      <c r="D1621" s="1" t="s">
        <v>1998</v>
      </c>
      <c r="E1621" s="1"/>
      <c r="F1621" s="1" t="s">
        <v>11</v>
      </c>
      <c r="G1621">
        <v>60</v>
      </c>
      <c r="H1621">
        <v>60</v>
      </c>
      <c r="I1621" s="2">
        <v>45783</v>
      </c>
      <c r="J1621" s="2">
        <v>45730</v>
      </c>
      <c r="K1621" s="2">
        <v>45783</v>
      </c>
    </row>
    <row r="1622" spans="1:11" x14ac:dyDescent="0.25">
      <c r="A1622" s="1" t="s">
        <v>363</v>
      </c>
      <c r="B1622" s="1" t="s">
        <v>1315</v>
      </c>
      <c r="C1622" s="1" t="s">
        <v>2286</v>
      </c>
      <c r="D1622" s="1" t="s">
        <v>1998</v>
      </c>
      <c r="E1622" s="1"/>
      <c r="F1622" s="1" t="s">
        <v>11</v>
      </c>
      <c r="G1622">
        <v>115</v>
      </c>
      <c r="H1622">
        <v>115</v>
      </c>
      <c r="I1622" s="2">
        <v>45783</v>
      </c>
      <c r="J1622" s="2">
        <v>45730</v>
      </c>
      <c r="K1622" s="2">
        <v>45783</v>
      </c>
    </row>
    <row r="1623" spans="1:11" x14ac:dyDescent="0.25">
      <c r="A1623" s="1" t="s">
        <v>363</v>
      </c>
      <c r="B1623" s="1" t="s">
        <v>1316</v>
      </c>
      <c r="C1623" s="1" t="s">
        <v>2287</v>
      </c>
      <c r="D1623" s="1" t="s">
        <v>1998</v>
      </c>
      <c r="E1623" s="1"/>
      <c r="F1623" s="1" t="s">
        <v>11</v>
      </c>
      <c r="G1623">
        <v>35</v>
      </c>
      <c r="H1623">
        <v>35</v>
      </c>
      <c r="I1623" s="2">
        <v>45783</v>
      </c>
      <c r="J1623" s="2">
        <v>45730</v>
      </c>
      <c r="K1623" s="2">
        <v>45783</v>
      </c>
    </row>
    <row r="1624" spans="1:11" x14ac:dyDescent="0.25">
      <c r="A1624" s="1" t="s">
        <v>363</v>
      </c>
      <c r="B1624" s="1" t="s">
        <v>1317</v>
      </c>
      <c r="C1624" s="1" t="s">
        <v>2288</v>
      </c>
      <c r="D1624" s="1" t="s">
        <v>1998</v>
      </c>
      <c r="E1624" s="1"/>
      <c r="F1624" s="1" t="s">
        <v>11</v>
      </c>
      <c r="G1624">
        <v>5</v>
      </c>
      <c r="H1624">
        <v>5</v>
      </c>
      <c r="I1624" s="2">
        <v>45783</v>
      </c>
      <c r="J1624" s="2">
        <v>45730</v>
      </c>
      <c r="K1624" s="2">
        <v>45783</v>
      </c>
    </row>
    <row r="1625" spans="1:11" x14ac:dyDescent="0.25">
      <c r="A1625" s="1" t="s">
        <v>363</v>
      </c>
      <c r="B1625" s="1" t="s">
        <v>1318</v>
      </c>
      <c r="C1625" s="1" t="s">
        <v>2289</v>
      </c>
      <c r="D1625" s="1" t="s">
        <v>1998</v>
      </c>
      <c r="E1625" s="1"/>
      <c r="F1625" s="1" t="s">
        <v>11</v>
      </c>
      <c r="G1625">
        <v>15</v>
      </c>
      <c r="H1625">
        <v>15</v>
      </c>
      <c r="I1625" s="2">
        <v>45783</v>
      </c>
      <c r="J1625" s="2">
        <v>45730</v>
      </c>
      <c r="K1625" s="2">
        <v>45783</v>
      </c>
    </row>
    <row r="1626" spans="1:11" x14ac:dyDescent="0.25">
      <c r="A1626" s="1" t="s">
        <v>363</v>
      </c>
      <c r="B1626" s="1" t="s">
        <v>1068</v>
      </c>
      <c r="C1626" s="1" t="s">
        <v>2074</v>
      </c>
      <c r="D1626" s="1" t="s">
        <v>1998</v>
      </c>
      <c r="E1626" s="1"/>
      <c r="F1626" s="1" t="s">
        <v>11</v>
      </c>
      <c r="G1626">
        <v>5</v>
      </c>
      <c r="H1626">
        <v>5</v>
      </c>
      <c r="I1626" s="2">
        <v>45783</v>
      </c>
      <c r="J1626" s="2">
        <v>45730</v>
      </c>
      <c r="K1626" s="2">
        <v>45783</v>
      </c>
    </row>
    <row r="1627" spans="1:11" x14ac:dyDescent="0.25">
      <c r="A1627" s="1" t="s">
        <v>363</v>
      </c>
      <c r="B1627" s="1" t="s">
        <v>1319</v>
      </c>
      <c r="C1627" s="1" t="s">
        <v>2290</v>
      </c>
      <c r="D1627" s="1" t="s">
        <v>1998</v>
      </c>
      <c r="E1627" s="1"/>
      <c r="F1627" s="1" t="s">
        <v>11</v>
      </c>
      <c r="G1627">
        <v>1</v>
      </c>
      <c r="H1627">
        <v>1</v>
      </c>
      <c r="I1627" s="2">
        <v>45783</v>
      </c>
      <c r="J1627" s="2">
        <v>45730</v>
      </c>
      <c r="K1627" s="2">
        <v>45783</v>
      </c>
    </row>
    <row r="1628" spans="1:11" x14ac:dyDescent="0.25">
      <c r="A1628" s="1" t="s">
        <v>363</v>
      </c>
      <c r="B1628" s="1" t="s">
        <v>1326</v>
      </c>
      <c r="C1628" s="1" t="s">
        <v>2291</v>
      </c>
      <c r="D1628" s="1" t="s">
        <v>1998</v>
      </c>
      <c r="E1628" s="1"/>
      <c r="F1628" s="1" t="s">
        <v>11</v>
      </c>
      <c r="G1628">
        <v>1</v>
      </c>
      <c r="H1628">
        <v>1</v>
      </c>
      <c r="I1628" s="2">
        <v>45783</v>
      </c>
      <c r="J1628" s="2">
        <v>45730</v>
      </c>
      <c r="K1628" s="2">
        <v>45783</v>
      </c>
    </row>
    <row r="1629" spans="1:11" x14ac:dyDescent="0.25">
      <c r="A1629" s="1" t="s">
        <v>363</v>
      </c>
      <c r="B1629" s="1" t="s">
        <v>1327</v>
      </c>
      <c r="C1629" s="1" t="s">
        <v>2291</v>
      </c>
      <c r="D1629" s="1" t="s">
        <v>1998</v>
      </c>
      <c r="E1629" s="1"/>
      <c r="F1629" s="1" t="s">
        <v>11</v>
      </c>
      <c r="G1629">
        <v>1</v>
      </c>
      <c r="H1629">
        <v>1</v>
      </c>
      <c r="I1629" s="2">
        <v>45783</v>
      </c>
      <c r="J1629" s="2">
        <v>45730</v>
      </c>
      <c r="K1629" s="2">
        <v>45783</v>
      </c>
    </row>
    <row r="1630" spans="1:11" x14ac:dyDescent="0.25">
      <c r="A1630" s="1" t="s">
        <v>363</v>
      </c>
      <c r="B1630" s="1" t="s">
        <v>1322</v>
      </c>
      <c r="C1630" s="1" t="s">
        <v>2292</v>
      </c>
      <c r="D1630" s="1" t="s">
        <v>1998</v>
      </c>
      <c r="E1630" s="1"/>
      <c r="F1630" s="1" t="s">
        <v>11</v>
      </c>
      <c r="G1630">
        <v>10</v>
      </c>
      <c r="H1630">
        <v>10</v>
      </c>
      <c r="I1630" s="2">
        <v>45783</v>
      </c>
      <c r="J1630" s="2">
        <v>45730</v>
      </c>
      <c r="K1630" s="2">
        <v>45783</v>
      </c>
    </row>
    <row r="1631" spans="1:11" x14ac:dyDescent="0.25">
      <c r="A1631" s="1" t="s">
        <v>364</v>
      </c>
      <c r="B1631" s="1" t="s">
        <v>1305</v>
      </c>
      <c r="C1631" s="1" t="s">
        <v>2277</v>
      </c>
      <c r="D1631" s="1" t="s">
        <v>1998</v>
      </c>
      <c r="E1631" s="1"/>
      <c r="F1631" s="1" t="s">
        <v>11</v>
      </c>
      <c r="G1631">
        <v>145</v>
      </c>
      <c r="H1631">
        <v>145</v>
      </c>
      <c r="I1631" s="2">
        <v>45783</v>
      </c>
      <c r="J1631" s="2">
        <v>45730</v>
      </c>
      <c r="K1631" s="2">
        <v>45783</v>
      </c>
    </row>
    <row r="1632" spans="1:11" x14ac:dyDescent="0.25">
      <c r="A1632" s="1" t="s">
        <v>364</v>
      </c>
      <c r="B1632" s="1" t="s">
        <v>1306</v>
      </c>
      <c r="C1632" s="1" t="s">
        <v>2278</v>
      </c>
      <c r="D1632" s="1" t="s">
        <v>1998</v>
      </c>
      <c r="E1632" s="1"/>
      <c r="F1632" s="1" t="s">
        <v>11</v>
      </c>
      <c r="G1632">
        <v>135</v>
      </c>
      <c r="H1632">
        <v>135</v>
      </c>
      <c r="I1632" s="2">
        <v>45783</v>
      </c>
      <c r="J1632" s="2">
        <v>45730</v>
      </c>
      <c r="K1632" s="2">
        <v>45783</v>
      </c>
    </row>
    <row r="1633" spans="1:11" x14ac:dyDescent="0.25">
      <c r="A1633" s="1" t="s">
        <v>364</v>
      </c>
      <c r="B1633" s="1" t="s">
        <v>1307</v>
      </c>
      <c r="C1633" s="1" t="s">
        <v>2279</v>
      </c>
      <c r="D1633" s="1" t="s">
        <v>1998</v>
      </c>
      <c r="E1633" s="1"/>
      <c r="F1633" s="1" t="s">
        <v>11</v>
      </c>
      <c r="G1633">
        <v>1</v>
      </c>
      <c r="H1633">
        <v>1</v>
      </c>
      <c r="I1633" s="2">
        <v>45783</v>
      </c>
      <c r="J1633" s="2">
        <v>45730</v>
      </c>
      <c r="K1633" s="2">
        <v>45783</v>
      </c>
    </row>
    <row r="1634" spans="1:11" x14ac:dyDescent="0.25">
      <c r="A1634" s="1" t="s">
        <v>364</v>
      </c>
      <c r="B1634" s="1" t="s">
        <v>1308</v>
      </c>
      <c r="C1634" s="1" t="s">
        <v>2280</v>
      </c>
      <c r="D1634" s="1" t="s">
        <v>1998</v>
      </c>
      <c r="E1634" s="1"/>
      <c r="F1634" s="1" t="s">
        <v>11</v>
      </c>
      <c r="G1634">
        <v>1</v>
      </c>
      <c r="H1634">
        <v>1</v>
      </c>
      <c r="I1634" s="2">
        <v>45783</v>
      </c>
      <c r="J1634" s="2">
        <v>45730</v>
      </c>
      <c r="K1634" s="2">
        <v>45783</v>
      </c>
    </row>
    <row r="1635" spans="1:11" x14ac:dyDescent="0.25">
      <c r="A1635" s="1" t="s">
        <v>364</v>
      </c>
      <c r="B1635" s="1" t="s">
        <v>1330</v>
      </c>
      <c r="C1635" s="1" t="s">
        <v>2293</v>
      </c>
      <c r="D1635" s="1" t="s">
        <v>1998</v>
      </c>
      <c r="E1635" s="1"/>
      <c r="F1635" s="1" t="s">
        <v>11</v>
      </c>
      <c r="G1635">
        <v>5</v>
      </c>
      <c r="H1635">
        <v>5</v>
      </c>
      <c r="I1635" s="2">
        <v>45783</v>
      </c>
      <c r="J1635" s="2">
        <v>45730</v>
      </c>
      <c r="K1635" s="2">
        <v>45783</v>
      </c>
    </row>
    <row r="1636" spans="1:11" x14ac:dyDescent="0.25">
      <c r="A1636" s="1" t="s">
        <v>364</v>
      </c>
      <c r="B1636" s="1" t="s">
        <v>1331</v>
      </c>
      <c r="C1636" s="1" t="s">
        <v>2294</v>
      </c>
      <c r="D1636" s="1" t="s">
        <v>1998</v>
      </c>
      <c r="E1636" s="1"/>
      <c r="F1636" s="1" t="s">
        <v>11</v>
      </c>
      <c r="G1636">
        <v>275</v>
      </c>
      <c r="H1636">
        <v>275</v>
      </c>
      <c r="I1636" s="2">
        <v>45783</v>
      </c>
      <c r="J1636" s="2">
        <v>45730</v>
      </c>
      <c r="K1636" s="2">
        <v>45783</v>
      </c>
    </row>
    <row r="1637" spans="1:11" x14ac:dyDescent="0.25">
      <c r="A1637" s="1" t="s">
        <v>364</v>
      </c>
      <c r="B1637" s="1" t="s">
        <v>1332</v>
      </c>
      <c r="C1637" s="1" t="s">
        <v>2281</v>
      </c>
      <c r="D1637" s="1" t="s">
        <v>1998</v>
      </c>
      <c r="E1637" s="1"/>
      <c r="F1637" s="1" t="s">
        <v>11</v>
      </c>
      <c r="G1637">
        <v>1820</v>
      </c>
      <c r="H1637">
        <v>1820</v>
      </c>
      <c r="I1637" s="2">
        <v>45783</v>
      </c>
      <c r="J1637" s="2">
        <v>45730</v>
      </c>
      <c r="K1637" s="2">
        <v>45783</v>
      </c>
    </row>
    <row r="1638" spans="1:11" x14ac:dyDescent="0.25">
      <c r="A1638" s="1" t="s">
        <v>364</v>
      </c>
      <c r="B1638" s="1" t="s">
        <v>1333</v>
      </c>
      <c r="C1638" s="1" t="s">
        <v>2295</v>
      </c>
      <c r="D1638" s="1" t="s">
        <v>1998</v>
      </c>
      <c r="E1638" s="1"/>
      <c r="F1638" s="1" t="s">
        <v>11</v>
      </c>
      <c r="G1638">
        <v>3800</v>
      </c>
      <c r="H1638">
        <v>3800</v>
      </c>
      <c r="I1638" s="2">
        <v>45783</v>
      </c>
      <c r="J1638" s="2">
        <v>45730</v>
      </c>
      <c r="K1638" s="2">
        <v>45783</v>
      </c>
    </row>
    <row r="1639" spans="1:11" x14ac:dyDescent="0.25">
      <c r="A1639" s="1" t="s">
        <v>364</v>
      </c>
      <c r="B1639" s="1" t="s">
        <v>1334</v>
      </c>
      <c r="C1639" s="1" t="s">
        <v>2282</v>
      </c>
      <c r="D1639" s="1" t="s">
        <v>1998</v>
      </c>
      <c r="E1639" s="1"/>
      <c r="F1639" s="1" t="s">
        <v>11</v>
      </c>
      <c r="G1639">
        <v>365</v>
      </c>
      <c r="H1639">
        <v>365</v>
      </c>
      <c r="I1639" s="2">
        <v>45783</v>
      </c>
      <c r="J1639" s="2">
        <v>45730</v>
      </c>
      <c r="K1639" s="2">
        <v>45783</v>
      </c>
    </row>
    <row r="1640" spans="1:11" x14ac:dyDescent="0.25">
      <c r="A1640" s="1" t="s">
        <v>364</v>
      </c>
      <c r="B1640" s="1" t="s">
        <v>1335</v>
      </c>
      <c r="C1640" s="1" t="s">
        <v>2282</v>
      </c>
      <c r="D1640" s="1" t="s">
        <v>1998</v>
      </c>
      <c r="E1640" s="1"/>
      <c r="F1640" s="1" t="s">
        <v>11</v>
      </c>
      <c r="G1640">
        <v>390</v>
      </c>
      <c r="H1640">
        <v>390</v>
      </c>
      <c r="I1640" s="2">
        <v>45783</v>
      </c>
      <c r="J1640" s="2">
        <v>45730</v>
      </c>
      <c r="K1640" s="2">
        <v>45783</v>
      </c>
    </row>
    <row r="1641" spans="1:11" x14ac:dyDescent="0.25">
      <c r="A1641" s="1" t="s">
        <v>364</v>
      </c>
      <c r="B1641" s="1" t="s">
        <v>1313</v>
      </c>
      <c r="C1641" s="1" t="s">
        <v>2284</v>
      </c>
      <c r="D1641" s="1" t="s">
        <v>1998</v>
      </c>
      <c r="E1641" s="1"/>
      <c r="F1641" s="1" t="s">
        <v>11</v>
      </c>
      <c r="G1641">
        <v>590</v>
      </c>
      <c r="H1641">
        <v>590</v>
      </c>
      <c r="I1641" s="2">
        <v>45783</v>
      </c>
      <c r="J1641" s="2">
        <v>45730</v>
      </c>
      <c r="K1641" s="2">
        <v>45783</v>
      </c>
    </row>
    <row r="1642" spans="1:11" x14ac:dyDescent="0.25">
      <c r="A1642" s="1" t="s">
        <v>364</v>
      </c>
      <c r="B1642" s="1" t="s">
        <v>1314</v>
      </c>
      <c r="C1642" s="1" t="s">
        <v>2285</v>
      </c>
      <c r="D1642" s="1" t="s">
        <v>1998</v>
      </c>
      <c r="E1642" s="1"/>
      <c r="F1642" s="1" t="s">
        <v>11</v>
      </c>
      <c r="G1642">
        <v>310</v>
      </c>
      <c r="H1642">
        <v>310</v>
      </c>
      <c r="I1642" s="2">
        <v>45783</v>
      </c>
      <c r="J1642" s="2">
        <v>45730</v>
      </c>
      <c r="K1642" s="2">
        <v>45783</v>
      </c>
    </row>
    <row r="1643" spans="1:11" x14ac:dyDescent="0.25">
      <c r="A1643" s="1" t="s">
        <v>364</v>
      </c>
      <c r="B1643" s="1" t="s">
        <v>1315</v>
      </c>
      <c r="C1643" s="1" t="s">
        <v>2286</v>
      </c>
      <c r="D1643" s="1" t="s">
        <v>1998</v>
      </c>
      <c r="E1643" s="1"/>
      <c r="F1643" s="1" t="s">
        <v>11</v>
      </c>
      <c r="G1643">
        <v>580</v>
      </c>
      <c r="H1643">
        <v>580</v>
      </c>
      <c r="I1643" s="2">
        <v>45783</v>
      </c>
      <c r="J1643" s="2">
        <v>45730</v>
      </c>
      <c r="K1643" s="2">
        <v>45783</v>
      </c>
    </row>
    <row r="1644" spans="1:11" x14ac:dyDescent="0.25">
      <c r="A1644" s="1" t="s">
        <v>364</v>
      </c>
      <c r="B1644" s="1" t="s">
        <v>1316</v>
      </c>
      <c r="C1644" s="1" t="s">
        <v>2287</v>
      </c>
      <c r="D1644" s="1" t="s">
        <v>1998</v>
      </c>
      <c r="E1644" s="1"/>
      <c r="F1644" s="1" t="s">
        <v>11</v>
      </c>
      <c r="G1644">
        <v>170</v>
      </c>
      <c r="H1644">
        <v>170</v>
      </c>
      <c r="I1644" s="2">
        <v>45783</v>
      </c>
      <c r="J1644" s="2">
        <v>45730</v>
      </c>
      <c r="K1644" s="2">
        <v>45783</v>
      </c>
    </row>
    <row r="1645" spans="1:11" x14ac:dyDescent="0.25">
      <c r="A1645" s="1" t="s">
        <v>364</v>
      </c>
      <c r="B1645" s="1" t="s">
        <v>1317</v>
      </c>
      <c r="C1645" s="1" t="s">
        <v>2288</v>
      </c>
      <c r="D1645" s="1" t="s">
        <v>1998</v>
      </c>
      <c r="E1645" s="1"/>
      <c r="F1645" s="1" t="s">
        <v>11</v>
      </c>
      <c r="G1645">
        <v>15</v>
      </c>
      <c r="H1645">
        <v>15</v>
      </c>
      <c r="I1645" s="2">
        <v>45783</v>
      </c>
      <c r="J1645" s="2">
        <v>45730</v>
      </c>
      <c r="K1645" s="2">
        <v>45783</v>
      </c>
    </row>
    <row r="1646" spans="1:11" x14ac:dyDescent="0.25">
      <c r="A1646" s="1" t="s">
        <v>364</v>
      </c>
      <c r="B1646" s="1" t="s">
        <v>1318</v>
      </c>
      <c r="C1646" s="1" t="s">
        <v>2289</v>
      </c>
      <c r="D1646" s="1" t="s">
        <v>1998</v>
      </c>
      <c r="E1646" s="1"/>
      <c r="F1646" s="1" t="s">
        <v>11</v>
      </c>
      <c r="G1646">
        <v>55</v>
      </c>
      <c r="H1646">
        <v>55</v>
      </c>
      <c r="I1646" s="2">
        <v>45783</v>
      </c>
      <c r="J1646" s="2">
        <v>45730</v>
      </c>
      <c r="K1646" s="2">
        <v>45783</v>
      </c>
    </row>
    <row r="1647" spans="1:11" x14ac:dyDescent="0.25">
      <c r="A1647" s="1" t="s">
        <v>364</v>
      </c>
      <c r="B1647" s="1" t="s">
        <v>1068</v>
      </c>
      <c r="C1647" s="1" t="s">
        <v>2074</v>
      </c>
      <c r="D1647" s="1" t="s">
        <v>1998</v>
      </c>
      <c r="E1647" s="1"/>
      <c r="F1647" s="1" t="s">
        <v>11</v>
      </c>
      <c r="G1647">
        <v>5</v>
      </c>
      <c r="H1647">
        <v>5</v>
      </c>
      <c r="I1647" s="2">
        <v>45783</v>
      </c>
      <c r="J1647" s="2">
        <v>45730</v>
      </c>
      <c r="K1647" s="2">
        <v>45783</v>
      </c>
    </row>
    <row r="1648" spans="1:11" x14ac:dyDescent="0.25">
      <c r="A1648" s="1" t="s">
        <v>364</v>
      </c>
      <c r="B1648" s="1" t="s">
        <v>1336</v>
      </c>
      <c r="C1648" s="1" t="s">
        <v>2296</v>
      </c>
      <c r="D1648" s="1" t="s">
        <v>1998</v>
      </c>
      <c r="E1648" s="1"/>
      <c r="F1648" s="1" t="s">
        <v>11</v>
      </c>
      <c r="G1648">
        <v>1</v>
      </c>
      <c r="H1648">
        <v>1</v>
      </c>
      <c r="I1648" s="2">
        <v>45783</v>
      </c>
      <c r="J1648" s="2">
        <v>45730</v>
      </c>
      <c r="K1648" s="2">
        <v>45783</v>
      </c>
    </row>
    <row r="1649" spans="1:11" x14ac:dyDescent="0.25">
      <c r="A1649" s="1" t="s">
        <v>364</v>
      </c>
      <c r="B1649" s="1" t="s">
        <v>1337</v>
      </c>
      <c r="C1649" s="1" t="s">
        <v>2291</v>
      </c>
      <c r="D1649" s="1" t="s">
        <v>1998</v>
      </c>
      <c r="E1649" s="1"/>
      <c r="F1649" s="1" t="s">
        <v>11</v>
      </c>
      <c r="G1649">
        <v>1</v>
      </c>
      <c r="H1649">
        <v>1</v>
      </c>
      <c r="I1649" s="2">
        <v>45783</v>
      </c>
      <c r="J1649" s="2">
        <v>45730</v>
      </c>
      <c r="K1649" s="2">
        <v>45783</v>
      </c>
    </row>
    <row r="1650" spans="1:11" x14ac:dyDescent="0.25">
      <c r="A1650" s="1" t="s">
        <v>364</v>
      </c>
      <c r="B1650" s="1" t="s">
        <v>1338</v>
      </c>
      <c r="C1650" s="1" t="s">
        <v>2291</v>
      </c>
      <c r="D1650" s="1" t="s">
        <v>1998</v>
      </c>
      <c r="E1650" s="1"/>
      <c r="F1650" s="1" t="s">
        <v>11</v>
      </c>
      <c r="G1650">
        <v>1</v>
      </c>
      <c r="H1650">
        <v>1</v>
      </c>
      <c r="I1650" s="2">
        <v>45783</v>
      </c>
      <c r="J1650" s="2">
        <v>45730</v>
      </c>
      <c r="K1650" s="2">
        <v>45783</v>
      </c>
    </row>
    <row r="1651" spans="1:11" x14ac:dyDescent="0.25">
      <c r="A1651" s="1" t="s">
        <v>364</v>
      </c>
      <c r="B1651" s="1" t="s">
        <v>1339</v>
      </c>
      <c r="C1651" s="1" t="s">
        <v>2291</v>
      </c>
      <c r="D1651" s="1" t="s">
        <v>1998</v>
      </c>
      <c r="E1651" s="1"/>
      <c r="F1651" s="1" t="s">
        <v>11</v>
      </c>
      <c r="G1651">
        <v>1</v>
      </c>
      <c r="H1651">
        <v>1</v>
      </c>
      <c r="I1651" s="2">
        <v>45783</v>
      </c>
      <c r="J1651" s="2">
        <v>45730</v>
      </c>
      <c r="K1651" s="2">
        <v>45783</v>
      </c>
    </row>
    <row r="1652" spans="1:11" x14ac:dyDescent="0.25">
      <c r="A1652" s="1" t="s">
        <v>364</v>
      </c>
      <c r="B1652" s="1" t="s">
        <v>1340</v>
      </c>
      <c r="C1652" s="1" t="s">
        <v>2291</v>
      </c>
      <c r="D1652" s="1" t="s">
        <v>1998</v>
      </c>
      <c r="E1652" s="1"/>
      <c r="F1652" s="1" t="s">
        <v>11</v>
      </c>
      <c r="G1652">
        <v>1</v>
      </c>
      <c r="H1652">
        <v>1</v>
      </c>
      <c r="I1652" s="2">
        <v>45783</v>
      </c>
      <c r="J1652" s="2">
        <v>45730</v>
      </c>
      <c r="K1652" s="2">
        <v>45783</v>
      </c>
    </row>
    <row r="1653" spans="1:11" x14ac:dyDescent="0.25">
      <c r="A1653" s="1" t="s">
        <v>365</v>
      </c>
      <c r="B1653" s="1" t="s">
        <v>1444</v>
      </c>
      <c r="C1653" s="1" t="s">
        <v>2383</v>
      </c>
      <c r="D1653" s="1" t="s">
        <v>1998</v>
      </c>
      <c r="E1653" s="1"/>
      <c r="F1653" s="1" t="s">
        <v>11</v>
      </c>
      <c r="G1653">
        <v>10</v>
      </c>
      <c r="H1653">
        <v>1</v>
      </c>
      <c r="I1653" s="2"/>
      <c r="J1653" s="2">
        <v>45730</v>
      </c>
      <c r="K1653" s="2">
        <v>45758</v>
      </c>
    </row>
    <row r="1654" spans="1:11" x14ac:dyDescent="0.25">
      <c r="A1654" s="1" t="s">
        <v>365</v>
      </c>
      <c r="B1654" s="1" t="s">
        <v>1445</v>
      </c>
      <c r="C1654" s="1" t="s">
        <v>2384</v>
      </c>
      <c r="D1654" s="1" t="s">
        <v>1998</v>
      </c>
      <c r="E1654" s="1"/>
      <c r="F1654" s="1" t="s">
        <v>11</v>
      </c>
      <c r="G1654">
        <v>25</v>
      </c>
      <c r="H1654">
        <v>1</v>
      </c>
      <c r="I1654" s="2"/>
      <c r="J1654" s="2">
        <v>45730</v>
      </c>
      <c r="K1654" s="2">
        <v>45758</v>
      </c>
    </row>
    <row r="1655" spans="1:11" x14ac:dyDescent="0.25">
      <c r="A1655" s="1" t="s">
        <v>365</v>
      </c>
      <c r="B1655" s="1" t="s">
        <v>1446</v>
      </c>
      <c r="C1655" s="1" t="s">
        <v>2385</v>
      </c>
      <c r="D1655" s="1" t="s">
        <v>1998</v>
      </c>
      <c r="E1655" s="1"/>
      <c r="F1655" s="1" t="s">
        <v>11</v>
      </c>
      <c r="G1655">
        <v>35</v>
      </c>
      <c r="H1655">
        <v>1</v>
      </c>
      <c r="I1655" s="2"/>
      <c r="J1655" s="2">
        <v>45730</v>
      </c>
      <c r="K1655" s="2">
        <v>45758</v>
      </c>
    </row>
    <row r="1656" spans="1:11" x14ac:dyDescent="0.25">
      <c r="A1656" s="1" t="s">
        <v>365</v>
      </c>
      <c r="B1656" s="1" t="s">
        <v>1447</v>
      </c>
      <c r="C1656" s="1" t="s">
        <v>2161</v>
      </c>
      <c r="D1656" s="1" t="s">
        <v>1998</v>
      </c>
      <c r="E1656" s="1"/>
      <c r="F1656" s="1" t="s">
        <v>11</v>
      </c>
      <c r="G1656">
        <v>4260</v>
      </c>
      <c r="H1656">
        <v>4260</v>
      </c>
      <c r="I1656" s="2"/>
      <c r="J1656" s="2">
        <v>45730</v>
      </c>
      <c r="K1656" s="2">
        <v>45758</v>
      </c>
    </row>
    <row r="1657" spans="1:11" x14ac:dyDescent="0.25">
      <c r="A1657" s="1" t="s">
        <v>365</v>
      </c>
      <c r="B1657" s="1" t="s">
        <v>1448</v>
      </c>
      <c r="C1657" s="1" t="s">
        <v>2386</v>
      </c>
      <c r="D1657" s="1" t="s">
        <v>1998</v>
      </c>
      <c r="E1657" s="1"/>
      <c r="F1657" s="1" t="s">
        <v>11</v>
      </c>
      <c r="G1657">
        <v>5475</v>
      </c>
      <c r="H1657">
        <v>5475</v>
      </c>
      <c r="I1657" s="2"/>
      <c r="J1657" s="2">
        <v>45730</v>
      </c>
      <c r="K1657" s="2">
        <v>45758</v>
      </c>
    </row>
    <row r="1658" spans="1:11" x14ac:dyDescent="0.25">
      <c r="A1658" s="1" t="s">
        <v>365</v>
      </c>
      <c r="B1658" s="1" t="s">
        <v>1449</v>
      </c>
      <c r="C1658" s="1" t="s">
        <v>2387</v>
      </c>
      <c r="D1658" s="1" t="s">
        <v>1998</v>
      </c>
      <c r="E1658" s="1"/>
      <c r="F1658" s="1" t="s">
        <v>11</v>
      </c>
      <c r="G1658">
        <v>50</v>
      </c>
      <c r="H1658">
        <v>60</v>
      </c>
      <c r="I1658" s="2"/>
      <c r="J1658" s="2">
        <v>45730</v>
      </c>
      <c r="K1658" s="2">
        <v>45758</v>
      </c>
    </row>
    <row r="1659" spans="1:11" x14ac:dyDescent="0.25">
      <c r="A1659" s="1" t="s">
        <v>365</v>
      </c>
      <c r="B1659" s="1" t="s">
        <v>1450</v>
      </c>
      <c r="C1659" s="1" t="s">
        <v>2388</v>
      </c>
      <c r="D1659" s="1" t="s">
        <v>1998</v>
      </c>
      <c r="E1659" s="1"/>
      <c r="F1659" s="1" t="s">
        <v>11</v>
      </c>
      <c r="G1659">
        <v>1</v>
      </c>
      <c r="H1659">
        <v>1</v>
      </c>
      <c r="I1659" s="2"/>
      <c r="J1659" s="2">
        <v>45730</v>
      </c>
      <c r="K1659" s="2">
        <v>45758</v>
      </c>
    </row>
    <row r="1660" spans="1:11" x14ac:dyDescent="0.25">
      <c r="A1660" s="1" t="s">
        <v>366</v>
      </c>
      <c r="B1660" s="1" t="s">
        <v>995</v>
      </c>
      <c r="C1660" s="1" t="s">
        <v>2013</v>
      </c>
      <c r="D1660" s="1" t="s">
        <v>1998</v>
      </c>
      <c r="E1660" s="1"/>
      <c r="F1660" s="1" t="s">
        <v>11</v>
      </c>
      <c r="G1660">
        <v>20</v>
      </c>
      <c r="H1660">
        <v>5</v>
      </c>
      <c r="I1660" s="2"/>
      <c r="J1660" s="2">
        <v>45730</v>
      </c>
      <c r="K1660" s="2">
        <v>45761</v>
      </c>
    </row>
    <row r="1661" spans="1:11" x14ac:dyDescent="0.25">
      <c r="A1661" s="1" t="s">
        <v>366</v>
      </c>
      <c r="B1661" s="1" t="s">
        <v>1075</v>
      </c>
      <c r="C1661" s="1" t="s">
        <v>2078</v>
      </c>
      <c r="D1661" s="1" t="s">
        <v>1998</v>
      </c>
      <c r="E1661" s="1"/>
      <c r="F1661" s="1" t="s">
        <v>11</v>
      </c>
      <c r="G1661">
        <v>140</v>
      </c>
      <c r="H1661">
        <v>140</v>
      </c>
      <c r="I1661" s="2"/>
      <c r="J1661" s="2">
        <v>45730</v>
      </c>
      <c r="K1661" s="2">
        <v>45761</v>
      </c>
    </row>
    <row r="1662" spans="1:11" x14ac:dyDescent="0.25">
      <c r="A1662" s="1" t="s">
        <v>366</v>
      </c>
      <c r="B1662" s="1" t="s">
        <v>1052</v>
      </c>
      <c r="C1662" s="1" t="s">
        <v>2061</v>
      </c>
      <c r="D1662" s="1" t="s">
        <v>1998</v>
      </c>
      <c r="E1662" s="1"/>
      <c r="F1662" s="1" t="s">
        <v>11</v>
      </c>
      <c r="G1662">
        <v>1275</v>
      </c>
      <c r="H1662">
        <v>1275</v>
      </c>
      <c r="I1662" s="2"/>
      <c r="J1662" s="2">
        <v>45730</v>
      </c>
      <c r="K1662" s="2">
        <v>45761</v>
      </c>
    </row>
    <row r="1663" spans="1:11" x14ac:dyDescent="0.25">
      <c r="A1663" s="1" t="s">
        <v>366</v>
      </c>
      <c r="B1663" s="1" t="s">
        <v>1052</v>
      </c>
      <c r="C1663" s="1" t="s">
        <v>2061</v>
      </c>
      <c r="D1663" s="1" t="s">
        <v>1998</v>
      </c>
      <c r="E1663" s="1"/>
      <c r="F1663" s="1" t="s">
        <v>11</v>
      </c>
      <c r="G1663">
        <v>15</v>
      </c>
      <c r="H1663">
        <v>15</v>
      </c>
      <c r="I1663" s="2"/>
      <c r="J1663" s="2">
        <v>45730</v>
      </c>
      <c r="K1663" s="2">
        <v>45761</v>
      </c>
    </row>
    <row r="1664" spans="1:11" x14ac:dyDescent="0.25">
      <c r="A1664" s="1" t="s">
        <v>366</v>
      </c>
      <c r="B1664" s="1" t="s">
        <v>999</v>
      </c>
      <c r="C1664" s="1" t="s">
        <v>2017</v>
      </c>
      <c r="D1664" s="1" t="s">
        <v>1998</v>
      </c>
      <c r="E1664" s="1"/>
      <c r="F1664" s="1" t="s">
        <v>11</v>
      </c>
      <c r="G1664">
        <v>1</v>
      </c>
      <c r="H1664">
        <v>1</v>
      </c>
      <c r="I1664" s="2"/>
      <c r="J1664" s="2">
        <v>45730</v>
      </c>
      <c r="K1664" s="2">
        <v>45761</v>
      </c>
    </row>
    <row r="1665" spans="1:11" x14ac:dyDescent="0.25">
      <c r="A1665" s="1" t="s">
        <v>366</v>
      </c>
      <c r="B1665" s="1" t="s">
        <v>1000</v>
      </c>
      <c r="C1665" s="1" t="s">
        <v>2018</v>
      </c>
      <c r="D1665" s="1" t="s">
        <v>1998</v>
      </c>
      <c r="E1665" s="1"/>
      <c r="F1665" s="1" t="s">
        <v>11</v>
      </c>
      <c r="G1665">
        <v>5</v>
      </c>
      <c r="H1665">
        <v>5</v>
      </c>
      <c r="I1665" s="2"/>
      <c r="J1665" s="2">
        <v>45730</v>
      </c>
      <c r="K1665" s="2">
        <v>45761</v>
      </c>
    </row>
    <row r="1666" spans="1:11" x14ac:dyDescent="0.25">
      <c r="A1666" s="1" t="s">
        <v>366</v>
      </c>
      <c r="B1666" s="1" t="s">
        <v>1001</v>
      </c>
      <c r="C1666" s="1" t="s">
        <v>2019</v>
      </c>
      <c r="D1666" s="1" t="s">
        <v>1998</v>
      </c>
      <c r="E1666" s="1"/>
      <c r="F1666" s="1" t="s">
        <v>11</v>
      </c>
      <c r="G1666">
        <v>1</v>
      </c>
      <c r="H1666">
        <v>1</v>
      </c>
      <c r="I1666" s="2"/>
      <c r="J1666" s="2">
        <v>45730</v>
      </c>
      <c r="K1666" s="2">
        <v>45761</v>
      </c>
    </row>
    <row r="1667" spans="1:11" x14ac:dyDescent="0.25">
      <c r="A1667" s="1" t="s">
        <v>366</v>
      </c>
      <c r="B1667" s="1" t="s">
        <v>1076</v>
      </c>
      <c r="C1667" s="1" t="s">
        <v>2079</v>
      </c>
      <c r="D1667" s="1" t="s">
        <v>1998</v>
      </c>
      <c r="E1667" s="1"/>
      <c r="F1667" s="1" t="s">
        <v>11</v>
      </c>
      <c r="G1667">
        <v>3620</v>
      </c>
      <c r="H1667">
        <v>3620</v>
      </c>
      <c r="I1667" s="2"/>
      <c r="J1667" s="2">
        <v>45730</v>
      </c>
      <c r="K1667" s="2">
        <v>45761</v>
      </c>
    </row>
    <row r="1668" spans="1:11" x14ac:dyDescent="0.25">
      <c r="A1668" s="1" t="s">
        <v>366</v>
      </c>
      <c r="B1668" s="1" t="s">
        <v>1077</v>
      </c>
      <c r="C1668" s="1" t="s">
        <v>2080</v>
      </c>
      <c r="D1668" s="1" t="s">
        <v>1998</v>
      </c>
      <c r="E1668" s="1"/>
      <c r="F1668" s="1" t="s">
        <v>11</v>
      </c>
      <c r="G1668">
        <v>4195</v>
      </c>
      <c r="H1668">
        <v>4195</v>
      </c>
      <c r="I1668" s="2"/>
      <c r="J1668" s="2">
        <v>45730</v>
      </c>
      <c r="K1668" s="2">
        <v>45761</v>
      </c>
    </row>
    <row r="1669" spans="1:11" x14ac:dyDescent="0.25">
      <c r="A1669" s="1" t="s">
        <v>367</v>
      </c>
      <c r="B1669" s="1" t="s">
        <v>1451</v>
      </c>
      <c r="C1669" s="1" t="s">
        <v>2165</v>
      </c>
      <c r="D1669" s="1" t="s">
        <v>1998</v>
      </c>
      <c r="E1669" s="1"/>
      <c r="F1669" s="1" t="s">
        <v>11</v>
      </c>
      <c r="G1669">
        <v>3705</v>
      </c>
      <c r="H1669">
        <v>3705</v>
      </c>
      <c r="I1669" s="2"/>
      <c r="J1669" s="2">
        <v>45733</v>
      </c>
      <c r="K1669" s="2">
        <v>45784</v>
      </c>
    </row>
    <row r="1670" spans="1:11" x14ac:dyDescent="0.25">
      <c r="A1670" s="1" t="s">
        <v>367</v>
      </c>
      <c r="B1670" s="1" t="s">
        <v>1452</v>
      </c>
      <c r="C1670" s="1" t="s">
        <v>2389</v>
      </c>
      <c r="D1670" s="1" t="s">
        <v>1998</v>
      </c>
      <c r="E1670" s="1"/>
      <c r="F1670" s="1" t="s">
        <v>11</v>
      </c>
      <c r="G1670">
        <v>5065</v>
      </c>
      <c r="H1670">
        <v>5065</v>
      </c>
      <c r="I1670" s="2"/>
      <c r="J1670" s="2">
        <v>45733</v>
      </c>
      <c r="K1670" s="2">
        <v>45784</v>
      </c>
    </row>
    <row r="1671" spans="1:11" x14ac:dyDescent="0.25">
      <c r="A1671" s="1" t="s">
        <v>367</v>
      </c>
      <c r="B1671" s="1" t="s">
        <v>1453</v>
      </c>
      <c r="C1671" s="1" t="s">
        <v>2390</v>
      </c>
      <c r="D1671" s="1" t="s">
        <v>1998</v>
      </c>
      <c r="E1671" s="1"/>
      <c r="F1671" s="1" t="s">
        <v>11</v>
      </c>
      <c r="G1671">
        <v>540</v>
      </c>
      <c r="H1671">
        <v>605</v>
      </c>
      <c r="I1671" s="2"/>
      <c r="J1671" s="2">
        <v>45733</v>
      </c>
      <c r="K1671" s="2">
        <v>45784</v>
      </c>
    </row>
    <row r="1672" spans="1:11" x14ac:dyDescent="0.25">
      <c r="A1672" s="1" t="s">
        <v>367</v>
      </c>
      <c r="B1672" s="1" t="s">
        <v>1027</v>
      </c>
      <c r="C1672" s="1" t="s">
        <v>2040</v>
      </c>
      <c r="D1672" s="1" t="s">
        <v>1998</v>
      </c>
      <c r="E1672" s="1"/>
      <c r="F1672" s="1" t="s">
        <v>12</v>
      </c>
      <c r="G1672">
        <v>1</v>
      </c>
      <c r="H1672">
        <v>215</v>
      </c>
      <c r="I1672" s="2"/>
      <c r="J1672" s="2">
        <v>45733</v>
      </c>
      <c r="K1672" s="2">
        <v>45784</v>
      </c>
    </row>
    <row r="1673" spans="1:11" x14ac:dyDescent="0.25">
      <c r="A1673" s="1" t="s">
        <v>367</v>
      </c>
      <c r="B1673" s="1" t="s">
        <v>1013</v>
      </c>
      <c r="C1673" s="1" t="s">
        <v>2030</v>
      </c>
      <c r="D1673" s="1" t="s">
        <v>1998</v>
      </c>
      <c r="E1673" s="1"/>
      <c r="F1673" s="1" t="s">
        <v>12</v>
      </c>
      <c r="G1673">
        <v>1</v>
      </c>
      <c r="H1673">
        <v>90</v>
      </c>
      <c r="I1673" s="2"/>
      <c r="J1673" s="2">
        <v>45733</v>
      </c>
      <c r="K1673" s="2">
        <v>45784</v>
      </c>
    </row>
    <row r="1674" spans="1:11" x14ac:dyDescent="0.25">
      <c r="A1674" s="1" t="s">
        <v>367</v>
      </c>
      <c r="B1674" s="1" t="s">
        <v>993</v>
      </c>
      <c r="C1674" s="1" t="s">
        <v>2011</v>
      </c>
      <c r="D1674" s="1" t="s">
        <v>1998</v>
      </c>
      <c r="E1674" s="1"/>
      <c r="F1674" s="1" t="s">
        <v>12</v>
      </c>
      <c r="G1674">
        <v>1</v>
      </c>
      <c r="H1674">
        <v>315</v>
      </c>
      <c r="I1674" s="2"/>
      <c r="J1674" s="2">
        <v>45733</v>
      </c>
      <c r="K1674" s="2">
        <v>45784</v>
      </c>
    </row>
    <row r="1675" spans="1:11" x14ac:dyDescent="0.25">
      <c r="A1675" s="1" t="s">
        <v>368</v>
      </c>
      <c r="B1675" s="1" t="s">
        <v>1033</v>
      </c>
      <c r="C1675" s="1" t="s">
        <v>2046</v>
      </c>
      <c r="D1675" s="1" t="s">
        <v>1998</v>
      </c>
      <c r="E1675" s="1"/>
      <c r="F1675" s="1" t="s">
        <v>11</v>
      </c>
      <c r="G1675">
        <v>110</v>
      </c>
      <c r="H1675">
        <v>110</v>
      </c>
      <c r="I1675" s="2"/>
      <c r="J1675" s="2">
        <v>45730</v>
      </c>
      <c r="K1675" s="2">
        <v>45770</v>
      </c>
    </row>
    <row r="1676" spans="1:11" x14ac:dyDescent="0.25">
      <c r="A1676" s="1" t="s">
        <v>368</v>
      </c>
      <c r="B1676" s="1" t="s">
        <v>1034</v>
      </c>
      <c r="C1676" s="1" t="s">
        <v>2047</v>
      </c>
      <c r="D1676" s="1" t="s">
        <v>1998</v>
      </c>
      <c r="E1676" s="1"/>
      <c r="F1676" s="1" t="s">
        <v>11</v>
      </c>
      <c r="G1676">
        <v>260</v>
      </c>
      <c r="H1676">
        <v>260</v>
      </c>
      <c r="I1676" s="2"/>
      <c r="J1676" s="2">
        <v>45730</v>
      </c>
      <c r="K1676" s="2">
        <v>45770</v>
      </c>
    </row>
    <row r="1677" spans="1:11" x14ac:dyDescent="0.25">
      <c r="A1677" s="1" t="s">
        <v>368</v>
      </c>
      <c r="B1677" s="1" t="s">
        <v>1035</v>
      </c>
      <c r="C1677" s="1" t="s">
        <v>2048</v>
      </c>
      <c r="D1677" s="1" t="s">
        <v>1998</v>
      </c>
      <c r="E1677" s="1"/>
      <c r="F1677" s="1" t="s">
        <v>11</v>
      </c>
      <c r="G1677">
        <v>1280</v>
      </c>
      <c r="H1677">
        <v>1300</v>
      </c>
      <c r="I1677" s="2"/>
      <c r="J1677" s="2">
        <v>45730</v>
      </c>
      <c r="K1677" s="2">
        <v>45770</v>
      </c>
    </row>
    <row r="1678" spans="1:11" x14ac:dyDescent="0.25">
      <c r="A1678" s="1" t="s">
        <v>368</v>
      </c>
      <c r="B1678" s="1" t="s">
        <v>1023</v>
      </c>
      <c r="C1678" s="1" t="s">
        <v>2027</v>
      </c>
      <c r="D1678" s="1" t="s">
        <v>1998</v>
      </c>
      <c r="E1678" s="1"/>
      <c r="F1678" s="1" t="s">
        <v>11</v>
      </c>
      <c r="G1678">
        <v>360</v>
      </c>
      <c r="H1678">
        <v>360</v>
      </c>
      <c r="I1678" s="2"/>
      <c r="J1678" s="2">
        <v>45730</v>
      </c>
      <c r="K1678" s="2">
        <v>45770</v>
      </c>
    </row>
    <row r="1679" spans="1:11" x14ac:dyDescent="0.25">
      <c r="A1679" s="1" t="s">
        <v>368</v>
      </c>
      <c r="B1679" s="1" t="s">
        <v>1024</v>
      </c>
      <c r="C1679" s="1" t="s">
        <v>2027</v>
      </c>
      <c r="D1679" s="1" t="s">
        <v>1998</v>
      </c>
      <c r="E1679" s="1"/>
      <c r="F1679" s="1" t="s">
        <v>11</v>
      </c>
      <c r="G1679">
        <v>480</v>
      </c>
      <c r="H1679">
        <v>480</v>
      </c>
      <c r="I1679" s="2"/>
      <c r="J1679" s="2">
        <v>45730</v>
      </c>
      <c r="K1679" s="2">
        <v>45770</v>
      </c>
    </row>
    <row r="1680" spans="1:11" x14ac:dyDescent="0.25">
      <c r="A1680" s="1" t="s">
        <v>368</v>
      </c>
      <c r="B1680" s="1" t="s">
        <v>1025</v>
      </c>
      <c r="C1680" s="1" t="s">
        <v>2027</v>
      </c>
      <c r="D1680" s="1" t="s">
        <v>1998</v>
      </c>
      <c r="E1680" s="1"/>
      <c r="F1680" s="1" t="s">
        <v>11</v>
      </c>
      <c r="G1680">
        <v>460</v>
      </c>
      <c r="H1680">
        <v>460</v>
      </c>
      <c r="I1680" s="2"/>
      <c r="J1680" s="2">
        <v>45730</v>
      </c>
      <c r="K1680" s="2">
        <v>45770</v>
      </c>
    </row>
    <row r="1681" spans="1:11" x14ac:dyDescent="0.25">
      <c r="A1681" s="1" t="s">
        <v>368</v>
      </c>
      <c r="B1681" s="1" t="s">
        <v>1026</v>
      </c>
      <c r="C1681" s="1" t="s">
        <v>2027</v>
      </c>
      <c r="D1681" s="1" t="s">
        <v>1998</v>
      </c>
      <c r="E1681" s="1"/>
      <c r="F1681" s="1" t="s">
        <v>11</v>
      </c>
      <c r="G1681">
        <v>335</v>
      </c>
      <c r="H1681">
        <v>335</v>
      </c>
      <c r="I1681" s="2"/>
      <c r="J1681" s="2">
        <v>45730</v>
      </c>
      <c r="K1681" s="2">
        <v>45770</v>
      </c>
    </row>
    <row r="1682" spans="1:11" x14ac:dyDescent="0.25">
      <c r="A1682" s="1" t="s">
        <v>368</v>
      </c>
      <c r="B1682" s="1" t="s">
        <v>1302</v>
      </c>
      <c r="C1682" s="1" t="s">
        <v>2274</v>
      </c>
      <c r="D1682" s="1" t="s">
        <v>1998</v>
      </c>
      <c r="E1682" s="1"/>
      <c r="F1682" s="1" t="s">
        <v>11</v>
      </c>
      <c r="G1682">
        <v>1</v>
      </c>
      <c r="H1682">
        <v>1</v>
      </c>
      <c r="I1682" s="2"/>
      <c r="J1682" s="2">
        <v>45730</v>
      </c>
      <c r="K1682" s="2">
        <v>45770</v>
      </c>
    </row>
    <row r="1683" spans="1:11" x14ac:dyDescent="0.25">
      <c r="A1683" s="1" t="s">
        <v>368</v>
      </c>
      <c r="B1683" s="1" t="s">
        <v>1303</v>
      </c>
      <c r="C1683" s="1" t="s">
        <v>2275</v>
      </c>
      <c r="D1683" s="1" t="s">
        <v>1998</v>
      </c>
      <c r="E1683" s="1"/>
      <c r="F1683" s="1" t="s">
        <v>11</v>
      </c>
      <c r="G1683">
        <v>1</v>
      </c>
      <c r="H1683">
        <v>1</v>
      </c>
      <c r="I1683" s="2"/>
      <c r="J1683" s="2">
        <v>45730</v>
      </c>
      <c r="K1683" s="2">
        <v>45770</v>
      </c>
    </row>
    <row r="1684" spans="1:11" x14ac:dyDescent="0.25">
      <c r="A1684" s="1" t="s">
        <v>368</v>
      </c>
      <c r="B1684" s="1" t="s">
        <v>1304</v>
      </c>
      <c r="C1684" s="1" t="s">
        <v>2276</v>
      </c>
      <c r="D1684" s="1" t="s">
        <v>1998</v>
      </c>
      <c r="E1684" s="1"/>
      <c r="F1684" s="1" t="s">
        <v>11</v>
      </c>
      <c r="G1684">
        <v>1</v>
      </c>
      <c r="H1684">
        <v>1</v>
      </c>
      <c r="I1684" s="2"/>
      <c r="J1684" s="2">
        <v>45730</v>
      </c>
      <c r="K1684" s="2">
        <v>45770</v>
      </c>
    </row>
    <row r="1685" spans="1:11" x14ac:dyDescent="0.25">
      <c r="A1685" s="1" t="s">
        <v>368</v>
      </c>
      <c r="B1685" s="1" t="s">
        <v>1039</v>
      </c>
      <c r="C1685" s="1" t="s">
        <v>2049</v>
      </c>
      <c r="D1685" s="1" t="s">
        <v>1998</v>
      </c>
      <c r="E1685" s="1"/>
      <c r="F1685" s="1" t="s">
        <v>11</v>
      </c>
      <c r="G1685">
        <v>5</v>
      </c>
      <c r="H1685">
        <v>5</v>
      </c>
      <c r="I1685" s="2"/>
      <c r="J1685" s="2">
        <v>45730</v>
      </c>
      <c r="K1685" s="2">
        <v>45770</v>
      </c>
    </row>
    <row r="1686" spans="1:11" x14ac:dyDescent="0.25">
      <c r="A1686" s="1" t="s">
        <v>368</v>
      </c>
      <c r="B1686" s="1" t="s">
        <v>1040</v>
      </c>
      <c r="C1686" s="1" t="s">
        <v>2050</v>
      </c>
      <c r="D1686" s="1" t="s">
        <v>1998</v>
      </c>
      <c r="E1686" s="1"/>
      <c r="F1686" s="1" t="s">
        <v>11</v>
      </c>
      <c r="G1686">
        <v>5</v>
      </c>
      <c r="H1686">
        <v>5</v>
      </c>
      <c r="I1686" s="2"/>
      <c r="J1686" s="2">
        <v>45730</v>
      </c>
      <c r="K1686" s="2">
        <v>45770</v>
      </c>
    </row>
    <row r="1687" spans="1:11" x14ac:dyDescent="0.25">
      <c r="A1687" s="1" t="s">
        <v>368</v>
      </c>
      <c r="B1687" s="1" t="s">
        <v>1027</v>
      </c>
      <c r="C1687" s="1" t="s">
        <v>2040</v>
      </c>
      <c r="D1687" s="1" t="s">
        <v>1998</v>
      </c>
      <c r="E1687" s="1"/>
      <c r="F1687" s="1" t="s">
        <v>11</v>
      </c>
      <c r="G1687">
        <v>470</v>
      </c>
      <c r="H1687">
        <v>600</v>
      </c>
      <c r="I1687" s="2"/>
      <c r="J1687" s="2">
        <v>45730</v>
      </c>
      <c r="K1687" s="2">
        <v>45770</v>
      </c>
    </row>
    <row r="1688" spans="1:11" x14ac:dyDescent="0.25">
      <c r="A1688" s="1" t="s">
        <v>368</v>
      </c>
      <c r="B1688" s="1" t="s">
        <v>1013</v>
      </c>
      <c r="C1688" s="1" t="s">
        <v>2030</v>
      </c>
      <c r="D1688" s="1" t="s">
        <v>1998</v>
      </c>
      <c r="E1688" s="1"/>
      <c r="F1688" s="1" t="s">
        <v>11</v>
      </c>
      <c r="G1688">
        <v>80</v>
      </c>
      <c r="H1688">
        <v>140</v>
      </c>
      <c r="I1688" s="2"/>
      <c r="J1688" s="2">
        <v>45730</v>
      </c>
      <c r="K1688" s="2">
        <v>45770</v>
      </c>
    </row>
    <row r="1689" spans="1:11" x14ac:dyDescent="0.25">
      <c r="A1689" s="1" t="s">
        <v>368</v>
      </c>
      <c r="B1689" s="1" t="s">
        <v>993</v>
      </c>
      <c r="C1689" s="1" t="s">
        <v>2011</v>
      </c>
      <c r="D1689" s="1" t="s">
        <v>1998</v>
      </c>
      <c r="E1689" s="1"/>
      <c r="F1689" s="1" t="s">
        <v>11</v>
      </c>
      <c r="G1689">
        <v>30</v>
      </c>
      <c r="H1689">
        <v>30</v>
      </c>
      <c r="I1689" s="2"/>
      <c r="J1689" s="2">
        <v>45730</v>
      </c>
      <c r="K1689" s="2">
        <v>45770</v>
      </c>
    </row>
    <row r="1690" spans="1:11" x14ac:dyDescent="0.25">
      <c r="A1690" s="1" t="s">
        <v>368</v>
      </c>
      <c r="B1690" s="1" t="s">
        <v>993</v>
      </c>
      <c r="C1690" s="1" t="s">
        <v>2011</v>
      </c>
      <c r="D1690" s="1" t="s">
        <v>1998</v>
      </c>
      <c r="E1690" s="1"/>
      <c r="F1690" s="1" t="s">
        <v>11</v>
      </c>
      <c r="G1690">
        <v>80</v>
      </c>
      <c r="H1690">
        <v>80</v>
      </c>
      <c r="I1690" s="2"/>
      <c r="J1690" s="2">
        <v>45730</v>
      </c>
      <c r="K1690" s="2">
        <v>45770</v>
      </c>
    </row>
    <row r="1691" spans="1:11" x14ac:dyDescent="0.25">
      <c r="A1691" s="1" t="s">
        <v>369</v>
      </c>
      <c r="B1691" s="1" t="s">
        <v>1454</v>
      </c>
      <c r="C1691" s="1" t="s">
        <v>2391</v>
      </c>
      <c r="D1691" s="1" t="s">
        <v>1998</v>
      </c>
      <c r="E1691" s="1"/>
      <c r="F1691" s="1" t="s">
        <v>11</v>
      </c>
      <c r="G1691">
        <v>465</v>
      </c>
      <c r="H1691">
        <v>465</v>
      </c>
      <c r="I1691" s="2">
        <v>45782</v>
      </c>
      <c r="J1691" s="2">
        <v>45741</v>
      </c>
      <c r="K1691" s="2">
        <v>45782</v>
      </c>
    </row>
    <row r="1692" spans="1:11" x14ac:dyDescent="0.25">
      <c r="A1692" s="1" t="s">
        <v>369</v>
      </c>
      <c r="B1692" s="1" t="s">
        <v>1454</v>
      </c>
      <c r="C1692" s="1" t="s">
        <v>2391</v>
      </c>
      <c r="D1692" s="1" t="s">
        <v>1998</v>
      </c>
      <c r="E1692" s="1"/>
      <c r="F1692" s="1" t="s">
        <v>11</v>
      </c>
      <c r="G1692">
        <v>10</v>
      </c>
      <c r="H1692">
        <v>10</v>
      </c>
      <c r="I1692" s="2">
        <v>45782</v>
      </c>
      <c r="J1692" s="2">
        <v>45741</v>
      </c>
      <c r="K1692" s="2">
        <v>45782</v>
      </c>
    </row>
    <row r="1693" spans="1:11" x14ac:dyDescent="0.25">
      <c r="A1693" s="1" t="s">
        <v>369</v>
      </c>
      <c r="B1693" s="1" t="s">
        <v>1455</v>
      </c>
      <c r="C1693" s="1" t="s">
        <v>2392</v>
      </c>
      <c r="D1693" s="1" t="s">
        <v>1998</v>
      </c>
      <c r="E1693" s="1"/>
      <c r="F1693" s="1" t="s">
        <v>11</v>
      </c>
      <c r="G1693">
        <v>240</v>
      </c>
      <c r="H1693">
        <v>240</v>
      </c>
      <c r="I1693" s="2">
        <v>45782</v>
      </c>
      <c r="J1693" s="2">
        <v>45741</v>
      </c>
      <c r="K1693" s="2">
        <v>45782</v>
      </c>
    </row>
    <row r="1694" spans="1:11" x14ac:dyDescent="0.25">
      <c r="A1694" s="1" t="s">
        <v>369</v>
      </c>
      <c r="B1694" s="1" t="s">
        <v>1455</v>
      </c>
      <c r="C1694" s="1" t="s">
        <v>2392</v>
      </c>
      <c r="D1694" s="1" t="s">
        <v>1998</v>
      </c>
      <c r="E1694" s="1"/>
      <c r="F1694" s="1" t="s">
        <v>11</v>
      </c>
      <c r="G1694">
        <v>5</v>
      </c>
      <c r="H1694">
        <v>5</v>
      </c>
      <c r="I1694" s="2">
        <v>45782</v>
      </c>
      <c r="J1694" s="2">
        <v>45741</v>
      </c>
      <c r="K1694" s="2">
        <v>45782</v>
      </c>
    </row>
    <row r="1695" spans="1:11" x14ac:dyDescent="0.25">
      <c r="A1695" s="1" t="s">
        <v>369</v>
      </c>
      <c r="B1695" s="1" t="s">
        <v>1456</v>
      </c>
      <c r="C1695" s="1" t="s">
        <v>2393</v>
      </c>
      <c r="D1695" s="1" t="s">
        <v>1998</v>
      </c>
      <c r="E1695" s="1"/>
      <c r="F1695" s="1" t="s">
        <v>11</v>
      </c>
      <c r="G1695">
        <v>330</v>
      </c>
      <c r="H1695">
        <v>330</v>
      </c>
      <c r="I1695" s="2">
        <v>45782</v>
      </c>
      <c r="J1695" s="2">
        <v>45741</v>
      </c>
      <c r="K1695" s="2">
        <v>45782</v>
      </c>
    </row>
    <row r="1696" spans="1:11" x14ac:dyDescent="0.25">
      <c r="A1696" s="1" t="s">
        <v>369</v>
      </c>
      <c r="B1696" s="1" t="s">
        <v>1457</v>
      </c>
      <c r="C1696" s="1" t="s">
        <v>2394</v>
      </c>
      <c r="D1696" s="1" t="s">
        <v>1998</v>
      </c>
      <c r="E1696" s="1"/>
      <c r="F1696" s="1" t="s">
        <v>11</v>
      </c>
      <c r="G1696">
        <v>505</v>
      </c>
      <c r="H1696">
        <v>505</v>
      </c>
      <c r="I1696" s="2">
        <v>45782</v>
      </c>
      <c r="J1696" s="2">
        <v>45741</v>
      </c>
      <c r="K1696" s="2">
        <v>45782</v>
      </c>
    </row>
    <row r="1697" spans="1:11" x14ac:dyDescent="0.25">
      <c r="A1697" s="1" t="s">
        <v>369</v>
      </c>
      <c r="B1697" s="1" t="s">
        <v>1458</v>
      </c>
      <c r="C1697" s="1" t="s">
        <v>2395</v>
      </c>
      <c r="D1697" s="1" t="s">
        <v>1998</v>
      </c>
      <c r="E1697" s="1"/>
      <c r="F1697" s="1" t="s">
        <v>11</v>
      </c>
      <c r="G1697">
        <v>465</v>
      </c>
      <c r="H1697">
        <v>465</v>
      </c>
      <c r="I1697" s="2">
        <v>45782</v>
      </c>
      <c r="J1697" s="2">
        <v>45741</v>
      </c>
      <c r="K1697" s="2">
        <v>45782</v>
      </c>
    </row>
    <row r="1698" spans="1:11" x14ac:dyDescent="0.25">
      <c r="A1698" s="1" t="s">
        <v>370</v>
      </c>
      <c r="B1698" s="1" t="s">
        <v>1288</v>
      </c>
      <c r="C1698" s="1" t="s">
        <v>2265</v>
      </c>
      <c r="D1698" s="1" t="s">
        <v>1998</v>
      </c>
      <c r="E1698" s="1"/>
      <c r="F1698" s="1" t="s">
        <v>11</v>
      </c>
      <c r="G1698">
        <v>1510</v>
      </c>
      <c r="H1698">
        <v>735</v>
      </c>
      <c r="I1698" s="2"/>
      <c r="J1698" s="2">
        <v>45763</v>
      </c>
      <c r="K1698" s="2">
        <v>45784</v>
      </c>
    </row>
    <row r="1699" spans="1:11" x14ac:dyDescent="0.25">
      <c r="A1699" s="1" t="s">
        <v>371</v>
      </c>
      <c r="B1699" s="1" t="s">
        <v>1255</v>
      </c>
      <c r="C1699" s="1" t="s">
        <v>2235</v>
      </c>
      <c r="D1699" s="1" t="s">
        <v>1998</v>
      </c>
      <c r="E1699" s="1"/>
      <c r="F1699" s="1" t="s">
        <v>11</v>
      </c>
      <c r="G1699">
        <v>140</v>
      </c>
      <c r="H1699">
        <v>160</v>
      </c>
      <c r="I1699" s="2"/>
      <c r="J1699" s="2">
        <v>45736</v>
      </c>
      <c r="K1699" s="2">
        <v>45789</v>
      </c>
    </row>
    <row r="1700" spans="1:11" x14ac:dyDescent="0.25">
      <c r="A1700" s="1" t="s">
        <v>371</v>
      </c>
      <c r="B1700" s="1" t="s">
        <v>1027</v>
      </c>
      <c r="C1700" s="1" t="s">
        <v>2040</v>
      </c>
      <c r="D1700" s="1" t="s">
        <v>1998</v>
      </c>
      <c r="E1700" s="1"/>
      <c r="F1700" s="1" t="s">
        <v>11</v>
      </c>
      <c r="G1700">
        <v>15</v>
      </c>
      <c r="H1700">
        <v>15</v>
      </c>
      <c r="I1700" s="2"/>
      <c r="J1700" s="2">
        <v>45736</v>
      </c>
      <c r="K1700" s="2">
        <v>45789</v>
      </c>
    </row>
    <row r="1701" spans="1:11" x14ac:dyDescent="0.25">
      <c r="A1701" s="1" t="s">
        <v>371</v>
      </c>
      <c r="B1701" s="1" t="s">
        <v>1013</v>
      </c>
      <c r="C1701" s="1" t="s">
        <v>2030</v>
      </c>
      <c r="D1701" s="1" t="s">
        <v>1998</v>
      </c>
      <c r="E1701" s="1"/>
      <c r="F1701" s="1" t="s">
        <v>11</v>
      </c>
      <c r="G1701">
        <v>5</v>
      </c>
      <c r="H1701">
        <v>5</v>
      </c>
      <c r="I1701" s="2"/>
      <c r="J1701" s="2">
        <v>45736</v>
      </c>
      <c r="K1701" s="2">
        <v>45789</v>
      </c>
    </row>
    <row r="1702" spans="1:11" x14ac:dyDescent="0.25">
      <c r="A1702" s="1" t="s">
        <v>371</v>
      </c>
      <c r="B1702" s="1" t="s">
        <v>993</v>
      </c>
      <c r="C1702" s="1" t="s">
        <v>2011</v>
      </c>
      <c r="D1702" s="1" t="s">
        <v>1998</v>
      </c>
      <c r="E1702" s="1"/>
      <c r="F1702" s="1" t="s">
        <v>11</v>
      </c>
      <c r="G1702">
        <v>1</v>
      </c>
      <c r="H1702">
        <v>1</v>
      </c>
      <c r="I1702" s="2"/>
      <c r="J1702" s="2">
        <v>45736</v>
      </c>
      <c r="K1702" s="2">
        <v>45789</v>
      </c>
    </row>
    <row r="1703" spans="1:11" x14ac:dyDescent="0.25">
      <c r="A1703" s="1" t="s">
        <v>371</v>
      </c>
      <c r="B1703" s="1" t="s">
        <v>993</v>
      </c>
      <c r="C1703" s="1" t="s">
        <v>2011</v>
      </c>
      <c r="D1703" s="1" t="s">
        <v>1998</v>
      </c>
      <c r="E1703" s="1"/>
      <c r="F1703" s="1" t="s">
        <v>11</v>
      </c>
      <c r="G1703">
        <v>5</v>
      </c>
      <c r="H1703">
        <v>5</v>
      </c>
      <c r="I1703" s="2"/>
      <c r="J1703" s="2">
        <v>45736</v>
      </c>
      <c r="K1703" s="2">
        <v>45789</v>
      </c>
    </row>
    <row r="1704" spans="1:11" x14ac:dyDescent="0.25">
      <c r="A1704" s="1" t="s">
        <v>371</v>
      </c>
      <c r="B1704" s="1" t="s">
        <v>1239</v>
      </c>
      <c r="C1704" s="1" t="s">
        <v>2223</v>
      </c>
      <c r="D1704" s="1" t="s">
        <v>1998</v>
      </c>
      <c r="E1704" s="1"/>
      <c r="F1704" s="1" t="s">
        <v>11</v>
      </c>
      <c r="G1704">
        <v>1885</v>
      </c>
      <c r="H1704">
        <v>1885</v>
      </c>
      <c r="I1704" s="2"/>
      <c r="J1704" s="2">
        <v>45736</v>
      </c>
      <c r="K1704" s="2">
        <v>45789</v>
      </c>
    </row>
    <row r="1705" spans="1:11" x14ac:dyDescent="0.25">
      <c r="A1705" s="1" t="s">
        <v>372</v>
      </c>
      <c r="B1705" s="1" t="s">
        <v>1459</v>
      </c>
      <c r="C1705" s="1" t="s">
        <v>2396</v>
      </c>
      <c r="D1705" s="1" t="s">
        <v>1998</v>
      </c>
      <c r="E1705" s="1"/>
      <c r="F1705" s="1" t="s">
        <v>11</v>
      </c>
      <c r="G1705">
        <v>60</v>
      </c>
      <c r="H1705">
        <v>60</v>
      </c>
      <c r="I1705" s="2">
        <v>45782</v>
      </c>
      <c r="J1705" s="2">
        <v>45740</v>
      </c>
      <c r="K1705" s="2">
        <v>45778</v>
      </c>
    </row>
    <row r="1706" spans="1:11" x14ac:dyDescent="0.25">
      <c r="A1706" s="1" t="s">
        <v>372</v>
      </c>
      <c r="B1706" s="1" t="s">
        <v>1460</v>
      </c>
      <c r="C1706" s="1" t="s">
        <v>2397</v>
      </c>
      <c r="D1706" s="1" t="s">
        <v>1998</v>
      </c>
      <c r="E1706" s="1"/>
      <c r="F1706" s="1" t="s">
        <v>11</v>
      </c>
      <c r="G1706">
        <v>10</v>
      </c>
      <c r="H1706">
        <v>10</v>
      </c>
      <c r="I1706" s="2">
        <v>45782</v>
      </c>
      <c r="J1706" s="2">
        <v>45740</v>
      </c>
      <c r="K1706" s="2">
        <v>45778</v>
      </c>
    </row>
    <row r="1707" spans="1:11" x14ac:dyDescent="0.25">
      <c r="A1707" s="1" t="s">
        <v>373</v>
      </c>
      <c r="B1707" s="1" t="s">
        <v>1461</v>
      </c>
      <c r="C1707" s="1" t="s">
        <v>2398</v>
      </c>
      <c r="D1707" s="1" t="s">
        <v>1998</v>
      </c>
      <c r="E1707" s="1"/>
      <c r="F1707" s="1" t="s">
        <v>11</v>
      </c>
      <c r="G1707">
        <v>175</v>
      </c>
      <c r="H1707">
        <v>175</v>
      </c>
      <c r="I1707" s="2"/>
      <c r="J1707" s="2">
        <v>45742</v>
      </c>
      <c r="K1707" s="2">
        <v>45748</v>
      </c>
    </row>
    <row r="1708" spans="1:11" x14ac:dyDescent="0.25">
      <c r="A1708" s="1" t="s">
        <v>373</v>
      </c>
      <c r="B1708" s="1" t="s">
        <v>1228</v>
      </c>
      <c r="C1708" s="1" t="s">
        <v>2212</v>
      </c>
      <c r="D1708" s="1" t="s">
        <v>1998</v>
      </c>
      <c r="E1708" s="1"/>
      <c r="F1708" s="1" t="s">
        <v>11</v>
      </c>
      <c r="G1708">
        <v>1</v>
      </c>
      <c r="H1708">
        <v>1</v>
      </c>
      <c r="I1708" s="2"/>
      <c r="J1708" s="2">
        <v>45742</v>
      </c>
      <c r="K1708" s="2">
        <v>45748</v>
      </c>
    </row>
    <row r="1709" spans="1:11" x14ac:dyDescent="0.25">
      <c r="A1709" s="1" t="s">
        <v>373</v>
      </c>
      <c r="B1709" s="1" t="s">
        <v>1462</v>
      </c>
      <c r="C1709" s="1" t="s">
        <v>2399</v>
      </c>
      <c r="D1709" s="1" t="s">
        <v>1998</v>
      </c>
      <c r="E1709" s="1"/>
      <c r="F1709" s="1" t="s">
        <v>11</v>
      </c>
      <c r="G1709">
        <v>1</v>
      </c>
      <c r="H1709">
        <v>1</v>
      </c>
      <c r="I1709" s="2"/>
      <c r="J1709" s="2">
        <v>45742</v>
      </c>
      <c r="K1709" s="2">
        <v>45748</v>
      </c>
    </row>
    <row r="1710" spans="1:11" x14ac:dyDescent="0.25">
      <c r="A1710" s="1" t="s">
        <v>373</v>
      </c>
      <c r="B1710" s="1" t="s">
        <v>1232</v>
      </c>
      <c r="C1710" s="1" t="s">
        <v>2216</v>
      </c>
      <c r="D1710" s="1" t="s">
        <v>1998</v>
      </c>
      <c r="E1710" s="1"/>
      <c r="F1710" s="1" t="s">
        <v>11</v>
      </c>
      <c r="G1710">
        <v>1</v>
      </c>
      <c r="H1710">
        <v>1</v>
      </c>
      <c r="I1710" s="2"/>
      <c r="J1710" s="2">
        <v>45742</v>
      </c>
      <c r="K1710" s="2">
        <v>45748</v>
      </c>
    </row>
    <row r="1711" spans="1:11" x14ac:dyDescent="0.25">
      <c r="A1711" s="1" t="s">
        <v>373</v>
      </c>
      <c r="B1711" s="1" t="s">
        <v>1463</v>
      </c>
      <c r="C1711" s="1" t="s">
        <v>2400</v>
      </c>
      <c r="D1711" s="1" t="s">
        <v>1998</v>
      </c>
      <c r="E1711" s="1"/>
      <c r="F1711" s="1" t="s">
        <v>11</v>
      </c>
      <c r="G1711">
        <v>50</v>
      </c>
      <c r="H1711">
        <v>50</v>
      </c>
      <c r="I1711" s="2"/>
      <c r="J1711" s="2">
        <v>45742</v>
      </c>
      <c r="K1711" s="2">
        <v>45748</v>
      </c>
    </row>
    <row r="1712" spans="1:11" x14ac:dyDescent="0.25">
      <c r="A1712" s="1" t="s">
        <v>373</v>
      </c>
      <c r="B1712" s="1" t="s">
        <v>1235</v>
      </c>
      <c r="C1712" s="1" t="s">
        <v>2219</v>
      </c>
      <c r="D1712" s="1" t="s">
        <v>1998</v>
      </c>
      <c r="E1712" s="1"/>
      <c r="F1712" s="1" t="s">
        <v>11</v>
      </c>
      <c r="G1712">
        <v>5</v>
      </c>
      <c r="H1712">
        <v>5</v>
      </c>
      <c r="I1712" s="2"/>
      <c r="J1712" s="2">
        <v>45742</v>
      </c>
      <c r="K1712" s="2">
        <v>45748</v>
      </c>
    </row>
    <row r="1713" spans="1:11" x14ac:dyDescent="0.25">
      <c r="A1713" s="1" t="s">
        <v>373</v>
      </c>
      <c r="B1713" s="1" t="s">
        <v>1464</v>
      </c>
      <c r="C1713" s="1" t="s">
        <v>2401</v>
      </c>
      <c r="D1713" s="1" t="s">
        <v>1998</v>
      </c>
      <c r="E1713" s="1"/>
      <c r="F1713" s="1" t="s">
        <v>11</v>
      </c>
      <c r="G1713">
        <v>5</v>
      </c>
      <c r="H1713">
        <v>5</v>
      </c>
      <c r="I1713" s="2"/>
      <c r="J1713" s="2">
        <v>45742</v>
      </c>
      <c r="K1713" s="2">
        <v>45748</v>
      </c>
    </row>
    <row r="1714" spans="1:11" x14ac:dyDescent="0.25">
      <c r="A1714" s="1" t="s">
        <v>373</v>
      </c>
      <c r="B1714" s="1" t="s">
        <v>1465</v>
      </c>
      <c r="C1714" s="1" t="s">
        <v>2402</v>
      </c>
      <c r="D1714" s="1" t="s">
        <v>1998</v>
      </c>
      <c r="E1714" s="1"/>
      <c r="F1714" s="1" t="s">
        <v>11</v>
      </c>
      <c r="G1714">
        <v>10</v>
      </c>
      <c r="H1714">
        <v>10</v>
      </c>
      <c r="I1714" s="2"/>
      <c r="J1714" s="2">
        <v>45742</v>
      </c>
      <c r="K1714" s="2">
        <v>45748</v>
      </c>
    </row>
    <row r="1715" spans="1:11" x14ac:dyDescent="0.25">
      <c r="A1715" s="1" t="s">
        <v>373</v>
      </c>
      <c r="B1715" s="1" t="s">
        <v>1466</v>
      </c>
      <c r="C1715" s="1" t="s">
        <v>2403</v>
      </c>
      <c r="D1715" s="1" t="s">
        <v>1998</v>
      </c>
      <c r="E1715" s="1"/>
      <c r="F1715" s="1" t="s">
        <v>11</v>
      </c>
      <c r="G1715">
        <v>35</v>
      </c>
      <c r="H1715">
        <v>35</v>
      </c>
      <c r="I1715" s="2"/>
      <c r="J1715" s="2">
        <v>45742</v>
      </c>
      <c r="K1715" s="2">
        <v>45748</v>
      </c>
    </row>
    <row r="1716" spans="1:11" x14ac:dyDescent="0.25">
      <c r="A1716" s="1" t="s">
        <v>374</v>
      </c>
      <c r="B1716" s="1" t="s">
        <v>1297</v>
      </c>
      <c r="C1716" s="1" t="s">
        <v>2272</v>
      </c>
      <c r="D1716" s="1" t="s">
        <v>1998</v>
      </c>
      <c r="E1716" s="1"/>
      <c r="F1716" s="1" t="s">
        <v>11</v>
      </c>
      <c r="G1716">
        <v>150</v>
      </c>
      <c r="H1716">
        <v>150</v>
      </c>
      <c r="I1716" s="2"/>
      <c r="J1716" s="2">
        <v>45734</v>
      </c>
      <c r="K1716" s="2">
        <v>45737</v>
      </c>
    </row>
    <row r="1717" spans="1:11" x14ac:dyDescent="0.25">
      <c r="A1717" s="1" t="s">
        <v>374</v>
      </c>
      <c r="B1717" s="1" t="s">
        <v>1267</v>
      </c>
      <c r="C1717" s="1" t="s">
        <v>2244</v>
      </c>
      <c r="D1717" s="1" t="s">
        <v>1998</v>
      </c>
      <c r="E1717" s="1"/>
      <c r="F1717" s="1" t="s">
        <v>11</v>
      </c>
      <c r="G1717">
        <v>5</v>
      </c>
      <c r="H1717">
        <v>5</v>
      </c>
      <c r="I1717" s="2"/>
      <c r="J1717" s="2">
        <v>45734</v>
      </c>
      <c r="K1717" s="2">
        <v>45737</v>
      </c>
    </row>
    <row r="1718" spans="1:11" x14ac:dyDescent="0.25">
      <c r="A1718" s="1" t="s">
        <v>374</v>
      </c>
      <c r="B1718" s="1" t="s">
        <v>1206</v>
      </c>
      <c r="C1718" s="1" t="s">
        <v>2196</v>
      </c>
      <c r="D1718" s="1" t="s">
        <v>1998</v>
      </c>
      <c r="E1718" s="1"/>
      <c r="F1718" s="1" t="s">
        <v>11</v>
      </c>
      <c r="G1718">
        <v>1</v>
      </c>
      <c r="H1718">
        <v>1</v>
      </c>
      <c r="I1718" s="2"/>
      <c r="J1718" s="2">
        <v>45734</v>
      </c>
      <c r="K1718" s="2">
        <v>45737</v>
      </c>
    </row>
    <row r="1719" spans="1:11" x14ac:dyDescent="0.25">
      <c r="A1719" s="1" t="s">
        <v>374</v>
      </c>
      <c r="B1719" s="1" t="s">
        <v>1280</v>
      </c>
      <c r="C1719" s="1" t="s">
        <v>2257</v>
      </c>
      <c r="D1719" s="1" t="s">
        <v>1998</v>
      </c>
      <c r="E1719" s="1"/>
      <c r="F1719" s="1" t="s">
        <v>11</v>
      </c>
      <c r="G1719">
        <v>5</v>
      </c>
      <c r="H1719">
        <v>5</v>
      </c>
      <c r="I1719" s="2"/>
      <c r="J1719" s="2">
        <v>45734</v>
      </c>
      <c r="K1719" s="2">
        <v>45737</v>
      </c>
    </row>
    <row r="1720" spans="1:11" x14ac:dyDescent="0.25">
      <c r="A1720" s="1" t="s">
        <v>375</v>
      </c>
      <c r="B1720" s="1" t="s">
        <v>1467</v>
      </c>
      <c r="C1720" s="1" t="s">
        <v>2404</v>
      </c>
      <c r="D1720" s="1" t="s">
        <v>1998</v>
      </c>
      <c r="E1720" s="1"/>
      <c r="F1720" s="1" t="s">
        <v>11</v>
      </c>
      <c r="G1720">
        <v>50</v>
      </c>
      <c r="H1720">
        <v>240</v>
      </c>
      <c r="I1720" s="2"/>
      <c r="J1720" s="2">
        <v>45733</v>
      </c>
      <c r="K1720" s="2">
        <v>45737</v>
      </c>
    </row>
    <row r="1721" spans="1:11" x14ac:dyDescent="0.25">
      <c r="A1721" s="1" t="s">
        <v>375</v>
      </c>
      <c r="B1721" s="1" t="s">
        <v>1350</v>
      </c>
      <c r="C1721" s="1" t="s">
        <v>2303</v>
      </c>
      <c r="D1721" s="1" t="s">
        <v>1998</v>
      </c>
      <c r="E1721" s="1"/>
      <c r="F1721" s="1" t="s">
        <v>11</v>
      </c>
      <c r="G1721">
        <v>885</v>
      </c>
      <c r="H1721">
        <v>430</v>
      </c>
      <c r="I1721" s="2"/>
      <c r="J1721" s="2">
        <v>45733</v>
      </c>
      <c r="K1721" s="2">
        <v>45737</v>
      </c>
    </row>
    <row r="1722" spans="1:11" x14ac:dyDescent="0.25">
      <c r="A1722" s="1" t="s">
        <v>375</v>
      </c>
      <c r="B1722" s="1" t="s">
        <v>1206</v>
      </c>
      <c r="C1722" s="1" t="s">
        <v>2196</v>
      </c>
      <c r="D1722" s="1" t="s">
        <v>1998</v>
      </c>
      <c r="E1722" s="1"/>
      <c r="F1722" s="1" t="s">
        <v>11</v>
      </c>
      <c r="G1722">
        <v>5</v>
      </c>
      <c r="H1722">
        <v>5</v>
      </c>
      <c r="I1722" s="2"/>
      <c r="J1722" s="2">
        <v>45733</v>
      </c>
      <c r="K1722" s="2">
        <v>45737</v>
      </c>
    </row>
    <row r="1723" spans="1:11" x14ac:dyDescent="0.25">
      <c r="A1723" s="1" t="s">
        <v>375</v>
      </c>
      <c r="B1723" s="1" t="s">
        <v>1280</v>
      </c>
      <c r="C1723" s="1" t="s">
        <v>2257</v>
      </c>
      <c r="D1723" s="1" t="s">
        <v>1998</v>
      </c>
      <c r="E1723" s="1"/>
      <c r="F1723" s="1" t="s">
        <v>11</v>
      </c>
      <c r="G1723">
        <v>20</v>
      </c>
      <c r="H1723">
        <v>20</v>
      </c>
      <c r="I1723" s="2"/>
      <c r="J1723" s="2">
        <v>45733</v>
      </c>
      <c r="K1723" s="2">
        <v>45737</v>
      </c>
    </row>
    <row r="1724" spans="1:11" x14ac:dyDescent="0.25">
      <c r="A1724" s="1" t="s">
        <v>376</v>
      </c>
      <c r="B1724" s="1" t="s">
        <v>1467</v>
      </c>
      <c r="C1724" s="1" t="s">
        <v>2404</v>
      </c>
      <c r="D1724" s="1" t="s">
        <v>1998</v>
      </c>
      <c r="E1724" s="1"/>
      <c r="F1724" s="1" t="s">
        <v>11</v>
      </c>
      <c r="G1724">
        <v>50</v>
      </c>
      <c r="H1724">
        <v>240</v>
      </c>
      <c r="I1724" s="2"/>
      <c r="J1724" s="2">
        <v>45733</v>
      </c>
      <c r="K1724" s="2">
        <v>45737</v>
      </c>
    </row>
    <row r="1725" spans="1:11" x14ac:dyDescent="0.25">
      <c r="A1725" s="1" t="s">
        <v>376</v>
      </c>
      <c r="B1725" s="1" t="s">
        <v>1350</v>
      </c>
      <c r="C1725" s="1" t="s">
        <v>2303</v>
      </c>
      <c r="D1725" s="1" t="s">
        <v>1998</v>
      </c>
      <c r="E1725" s="1"/>
      <c r="F1725" s="1" t="s">
        <v>11</v>
      </c>
      <c r="G1725">
        <v>885</v>
      </c>
      <c r="H1725">
        <v>430</v>
      </c>
      <c r="I1725" s="2"/>
      <c r="J1725" s="2">
        <v>45733</v>
      </c>
      <c r="K1725" s="2">
        <v>45737</v>
      </c>
    </row>
    <row r="1726" spans="1:11" x14ac:dyDescent="0.25">
      <c r="A1726" s="1" t="s">
        <v>376</v>
      </c>
      <c r="B1726" s="1" t="s">
        <v>1206</v>
      </c>
      <c r="C1726" s="1" t="s">
        <v>2196</v>
      </c>
      <c r="D1726" s="1" t="s">
        <v>1998</v>
      </c>
      <c r="E1726" s="1"/>
      <c r="F1726" s="1" t="s">
        <v>11</v>
      </c>
      <c r="G1726">
        <v>5</v>
      </c>
      <c r="H1726">
        <v>5</v>
      </c>
      <c r="I1726" s="2"/>
      <c r="J1726" s="2">
        <v>45733</v>
      </c>
      <c r="K1726" s="2">
        <v>45737</v>
      </c>
    </row>
    <row r="1727" spans="1:11" x14ac:dyDescent="0.25">
      <c r="A1727" s="1" t="s">
        <v>376</v>
      </c>
      <c r="B1727" s="1" t="s">
        <v>1280</v>
      </c>
      <c r="C1727" s="1" t="s">
        <v>2257</v>
      </c>
      <c r="D1727" s="1" t="s">
        <v>1998</v>
      </c>
      <c r="E1727" s="1"/>
      <c r="F1727" s="1" t="s">
        <v>11</v>
      </c>
      <c r="G1727">
        <v>20</v>
      </c>
      <c r="H1727">
        <v>20</v>
      </c>
      <c r="I1727" s="2"/>
      <c r="J1727" s="2">
        <v>45733</v>
      </c>
      <c r="K1727" s="2">
        <v>45737</v>
      </c>
    </row>
    <row r="1728" spans="1:11" x14ac:dyDescent="0.25">
      <c r="A1728" s="1" t="s">
        <v>377</v>
      </c>
      <c r="B1728" s="1" t="s">
        <v>1281</v>
      </c>
      <c r="C1728" s="1" t="s">
        <v>2258</v>
      </c>
      <c r="D1728" s="1" t="s">
        <v>1998</v>
      </c>
      <c r="E1728" s="1"/>
      <c r="F1728" s="1" t="s">
        <v>11</v>
      </c>
      <c r="G1728">
        <v>10</v>
      </c>
      <c r="H1728">
        <v>10</v>
      </c>
      <c r="I1728" s="2"/>
      <c r="J1728" s="2">
        <v>45740</v>
      </c>
      <c r="K1728" s="2">
        <v>45747</v>
      </c>
    </row>
    <row r="1729" spans="1:11" x14ac:dyDescent="0.25">
      <c r="A1729" s="1" t="s">
        <v>377</v>
      </c>
      <c r="B1729" s="1" t="s">
        <v>1282</v>
      </c>
      <c r="C1729" s="1" t="s">
        <v>2259</v>
      </c>
      <c r="D1729" s="1" t="s">
        <v>1998</v>
      </c>
      <c r="E1729" s="1"/>
      <c r="F1729" s="1" t="s">
        <v>11</v>
      </c>
      <c r="G1729">
        <v>45</v>
      </c>
      <c r="H1729">
        <v>45</v>
      </c>
      <c r="I1729" s="2"/>
      <c r="J1729" s="2">
        <v>45740</v>
      </c>
      <c r="K1729" s="2">
        <v>45747</v>
      </c>
    </row>
    <row r="1730" spans="1:11" x14ac:dyDescent="0.25">
      <c r="A1730" s="1" t="s">
        <v>377</v>
      </c>
      <c r="B1730" s="1" t="s">
        <v>1283</v>
      </c>
      <c r="C1730" s="1" t="s">
        <v>2260</v>
      </c>
      <c r="D1730" s="1" t="s">
        <v>1998</v>
      </c>
      <c r="E1730" s="1"/>
      <c r="F1730" s="1" t="s">
        <v>11</v>
      </c>
      <c r="G1730">
        <v>9075</v>
      </c>
      <c r="H1730">
        <v>9075</v>
      </c>
      <c r="I1730" s="2"/>
      <c r="J1730" s="2">
        <v>45740</v>
      </c>
      <c r="K1730" s="2">
        <v>45747</v>
      </c>
    </row>
    <row r="1731" spans="1:11" x14ac:dyDescent="0.25">
      <c r="A1731" s="1" t="s">
        <v>377</v>
      </c>
      <c r="B1731" s="1" t="s">
        <v>1047</v>
      </c>
      <c r="C1731" s="1" t="s">
        <v>2056</v>
      </c>
      <c r="D1731" s="1" t="s">
        <v>1998</v>
      </c>
      <c r="E1731" s="1"/>
      <c r="F1731" s="1" t="s">
        <v>11</v>
      </c>
      <c r="G1731">
        <v>15</v>
      </c>
      <c r="H1731">
        <v>15</v>
      </c>
      <c r="I1731" s="2"/>
      <c r="J1731" s="2">
        <v>45740</v>
      </c>
      <c r="K1731" s="2">
        <v>45747</v>
      </c>
    </row>
    <row r="1732" spans="1:11" x14ac:dyDescent="0.25">
      <c r="A1732" s="1" t="s">
        <v>377</v>
      </c>
      <c r="B1732" s="1" t="s">
        <v>1284</v>
      </c>
      <c r="C1732" s="1" t="s">
        <v>2261</v>
      </c>
      <c r="D1732" s="1" t="s">
        <v>1998</v>
      </c>
      <c r="E1732" s="1"/>
      <c r="F1732" s="1" t="s">
        <v>11</v>
      </c>
      <c r="G1732">
        <v>130</v>
      </c>
      <c r="H1732">
        <v>130</v>
      </c>
      <c r="I1732" s="2"/>
      <c r="J1732" s="2">
        <v>45740</v>
      </c>
      <c r="K1732" s="2">
        <v>45747</v>
      </c>
    </row>
    <row r="1733" spans="1:11" x14ac:dyDescent="0.25">
      <c r="A1733" s="1" t="s">
        <v>377</v>
      </c>
      <c r="B1733" s="1" t="s">
        <v>1285</v>
      </c>
      <c r="C1733" s="1" t="s">
        <v>2262</v>
      </c>
      <c r="D1733" s="1" t="s">
        <v>1998</v>
      </c>
      <c r="E1733" s="1"/>
      <c r="F1733" s="1" t="s">
        <v>11</v>
      </c>
      <c r="G1733">
        <v>55</v>
      </c>
      <c r="H1733">
        <v>55</v>
      </c>
      <c r="I1733" s="2"/>
      <c r="J1733" s="2">
        <v>45740</v>
      </c>
      <c r="K1733" s="2">
        <v>45747</v>
      </c>
    </row>
    <row r="1734" spans="1:11" x14ac:dyDescent="0.25">
      <c r="A1734" s="1" t="s">
        <v>377</v>
      </c>
      <c r="B1734" s="1" t="s">
        <v>1286</v>
      </c>
      <c r="C1734" s="1" t="s">
        <v>2263</v>
      </c>
      <c r="D1734" s="1" t="s">
        <v>1998</v>
      </c>
      <c r="E1734" s="1"/>
      <c r="F1734" s="1" t="s">
        <v>11</v>
      </c>
      <c r="G1734">
        <v>25</v>
      </c>
      <c r="H1734">
        <v>25</v>
      </c>
      <c r="I1734" s="2"/>
      <c r="J1734" s="2">
        <v>45740</v>
      </c>
      <c r="K1734" s="2">
        <v>45747</v>
      </c>
    </row>
    <row r="1735" spans="1:11" x14ac:dyDescent="0.25">
      <c r="A1735" s="1" t="s">
        <v>377</v>
      </c>
      <c r="B1735" s="1" t="s">
        <v>1287</v>
      </c>
      <c r="C1735" s="1" t="s">
        <v>2264</v>
      </c>
      <c r="D1735" s="1" t="s">
        <v>1998</v>
      </c>
      <c r="E1735" s="1"/>
      <c r="F1735" s="1" t="s">
        <v>11</v>
      </c>
      <c r="G1735">
        <v>1</v>
      </c>
      <c r="H1735">
        <v>1</v>
      </c>
      <c r="I1735" s="2"/>
      <c r="J1735" s="2">
        <v>45740</v>
      </c>
      <c r="K1735" s="2">
        <v>45747</v>
      </c>
    </row>
    <row r="1736" spans="1:11" x14ac:dyDescent="0.25">
      <c r="A1736" s="1" t="s">
        <v>377</v>
      </c>
      <c r="B1736" s="1" t="s">
        <v>1096</v>
      </c>
      <c r="C1736" s="1" t="s">
        <v>2067</v>
      </c>
      <c r="D1736" s="1" t="s">
        <v>1998</v>
      </c>
      <c r="E1736" s="1"/>
      <c r="F1736" s="1" t="s">
        <v>11</v>
      </c>
      <c r="G1736">
        <v>3090</v>
      </c>
      <c r="H1736">
        <v>3090</v>
      </c>
      <c r="I1736" s="2"/>
      <c r="J1736" s="2">
        <v>45740</v>
      </c>
      <c r="K1736" s="2">
        <v>45747</v>
      </c>
    </row>
    <row r="1737" spans="1:11" x14ac:dyDescent="0.25">
      <c r="A1737" s="1" t="s">
        <v>378</v>
      </c>
      <c r="B1737" s="1" t="s">
        <v>1281</v>
      </c>
      <c r="C1737" s="1" t="s">
        <v>2258</v>
      </c>
      <c r="D1737" s="1" t="s">
        <v>1998</v>
      </c>
      <c r="E1737" s="1"/>
      <c r="F1737" s="1" t="s">
        <v>11</v>
      </c>
      <c r="G1737">
        <v>10</v>
      </c>
      <c r="H1737">
        <v>10</v>
      </c>
      <c r="I1737" s="2"/>
      <c r="J1737" s="2">
        <v>45740</v>
      </c>
      <c r="K1737" s="2">
        <v>45747</v>
      </c>
    </row>
    <row r="1738" spans="1:11" x14ac:dyDescent="0.25">
      <c r="A1738" s="1" t="s">
        <v>378</v>
      </c>
      <c r="B1738" s="1" t="s">
        <v>1282</v>
      </c>
      <c r="C1738" s="1" t="s">
        <v>2259</v>
      </c>
      <c r="D1738" s="1" t="s">
        <v>1998</v>
      </c>
      <c r="E1738" s="1"/>
      <c r="F1738" s="1" t="s">
        <v>11</v>
      </c>
      <c r="G1738">
        <v>45</v>
      </c>
      <c r="H1738">
        <v>45</v>
      </c>
      <c r="I1738" s="2"/>
      <c r="J1738" s="2">
        <v>45740</v>
      </c>
      <c r="K1738" s="2">
        <v>45747</v>
      </c>
    </row>
    <row r="1739" spans="1:11" x14ac:dyDescent="0.25">
      <c r="A1739" s="1" t="s">
        <v>378</v>
      </c>
      <c r="B1739" s="1" t="s">
        <v>1283</v>
      </c>
      <c r="C1739" s="1" t="s">
        <v>2260</v>
      </c>
      <c r="D1739" s="1" t="s">
        <v>1998</v>
      </c>
      <c r="E1739" s="1"/>
      <c r="F1739" s="1" t="s">
        <v>11</v>
      </c>
      <c r="G1739">
        <v>9075</v>
      </c>
      <c r="H1739">
        <v>9075</v>
      </c>
      <c r="I1739" s="2"/>
      <c r="J1739" s="2">
        <v>45740</v>
      </c>
      <c r="K1739" s="2">
        <v>45747</v>
      </c>
    </row>
    <row r="1740" spans="1:11" x14ac:dyDescent="0.25">
      <c r="A1740" s="1" t="s">
        <v>378</v>
      </c>
      <c r="B1740" s="1" t="s">
        <v>1047</v>
      </c>
      <c r="C1740" s="1" t="s">
        <v>2056</v>
      </c>
      <c r="D1740" s="1" t="s">
        <v>1998</v>
      </c>
      <c r="E1740" s="1"/>
      <c r="F1740" s="1" t="s">
        <v>11</v>
      </c>
      <c r="G1740">
        <v>15</v>
      </c>
      <c r="H1740">
        <v>15</v>
      </c>
      <c r="I1740" s="2"/>
      <c r="J1740" s="2">
        <v>45740</v>
      </c>
      <c r="K1740" s="2">
        <v>45747</v>
      </c>
    </row>
    <row r="1741" spans="1:11" x14ac:dyDescent="0.25">
      <c r="A1741" s="1" t="s">
        <v>378</v>
      </c>
      <c r="B1741" s="1" t="s">
        <v>1284</v>
      </c>
      <c r="C1741" s="1" t="s">
        <v>2261</v>
      </c>
      <c r="D1741" s="1" t="s">
        <v>1998</v>
      </c>
      <c r="E1741" s="1"/>
      <c r="F1741" s="1" t="s">
        <v>11</v>
      </c>
      <c r="G1741">
        <v>130</v>
      </c>
      <c r="H1741">
        <v>130</v>
      </c>
      <c r="I1741" s="2"/>
      <c r="J1741" s="2">
        <v>45740</v>
      </c>
      <c r="K1741" s="2">
        <v>45747</v>
      </c>
    </row>
    <row r="1742" spans="1:11" x14ac:dyDescent="0.25">
      <c r="A1742" s="1" t="s">
        <v>378</v>
      </c>
      <c r="B1742" s="1" t="s">
        <v>1285</v>
      </c>
      <c r="C1742" s="1" t="s">
        <v>2262</v>
      </c>
      <c r="D1742" s="1" t="s">
        <v>1998</v>
      </c>
      <c r="E1742" s="1"/>
      <c r="F1742" s="1" t="s">
        <v>11</v>
      </c>
      <c r="G1742">
        <v>55</v>
      </c>
      <c r="H1742">
        <v>55</v>
      </c>
      <c r="I1742" s="2"/>
      <c r="J1742" s="2">
        <v>45740</v>
      </c>
      <c r="K1742" s="2">
        <v>45747</v>
      </c>
    </row>
    <row r="1743" spans="1:11" x14ac:dyDescent="0.25">
      <c r="A1743" s="1" t="s">
        <v>378</v>
      </c>
      <c r="B1743" s="1" t="s">
        <v>1286</v>
      </c>
      <c r="C1743" s="1" t="s">
        <v>2263</v>
      </c>
      <c r="D1743" s="1" t="s">
        <v>1998</v>
      </c>
      <c r="E1743" s="1"/>
      <c r="F1743" s="1" t="s">
        <v>11</v>
      </c>
      <c r="G1743">
        <v>25</v>
      </c>
      <c r="H1743">
        <v>25</v>
      </c>
      <c r="I1743" s="2"/>
      <c r="J1743" s="2">
        <v>45740</v>
      </c>
      <c r="K1743" s="2">
        <v>45747</v>
      </c>
    </row>
    <row r="1744" spans="1:11" x14ac:dyDescent="0.25">
      <c r="A1744" s="1" t="s">
        <v>378</v>
      </c>
      <c r="B1744" s="1" t="s">
        <v>1287</v>
      </c>
      <c r="C1744" s="1" t="s">
        <v>2264</v>
      </c>
      <c r="D1744" s="1" t="s">
        <v>1998</v>
      </c>
      <c r="E1744" s="1"/>
      <c r="F1744" s="1" t="s">
        <v>11</v>
      </c>
      <c r="G1744">
        <v>1</v>
      </c>
      <c r="H1744">
        <v>1</v>
      </c>
      <c r="I1744" s="2"/>
      <c r="J1744" s="2">
        <v>45740</v>
      </c>
      <c r="K1744" s="2">
        <v>45747</v>
      </c>
    </row>
    <row r="1745" spans="1:11" x14ac:dyDescent="0.25">
      <c r="A1745" s="1" t="s">
        <v>378</v>
      </c>
      <c r="B1745" s="1" t="s">
        <v>1096</v>
      </c>
      <c r="C1745" s="1" t="s">
        <v>2067</v>
      </c>
      <c r="D1745" s="1" t="s">
        <v>1998</v>
      </c>
      <c r="E1745" s="1"/>
      <c r="F1745" s="1" t="s">
        <v>11</v>
      </c>
      <c r="G1745">
        <v>3090</v>
      </c>
      <c r="H1745">
        <v>3090</v>
      </c>
      <c r="I1745" s="2"/>
      <c r="J1745" s="2">
        <v>45740</v>
      </c>
      <c r="K1745" s="2">
        <v>45747</v>
      </c>
    </row>
    <row r="1746" spans="1:11" x14ac:dyDescent="0.25">
      <c r="A1746" s="1" t="s">
        <v>379</v>
      </c>
      <c r="B1746" s="1" t="s">
        <v>1281</v>
      </c>
      <c r="C1746" s="1" t="s">
        <v>2258</v>
      </c>
      <c r="D1746" s="1" t="s">
        <v>1998</v>
      </c>
      <c r="E1746" s="1"/>
      <c r="F1746" s="1" t="s">
        <v>11</v>
      </c>
      <c r="G1746">
        <v>10</v>
      </c>
      <c r="H1746">
        <v>10</v>
      </c>
      <c r="I1746" s="2"/>
      <c r="J1746" s="2">
        <v>45740</v>
      </c>
      <c r="K1746" s="2">
        <v>45742</v>
      </c>
    </row>
    <row r="1747" spans="1:11" x14ac:dyDescent="0.25">
      <c r="A1747" s="1" t="s">
        <v>379</v>
      </c>
      <c r="B1747" s="1" t="s">
        <v>1282</v>
      </c>
      <c r="C1747" s="1" t="s">
        <v>2259</v>
      </c>
      <c r="D1747" s="1" t="s">
        <v>1998</v>
      </c>
      <c r="E1747" s="1"/>
      <c r="F1747" s="1" t="s">
        <v>11</v>
      </c>
      <c r="G1747">
        <v>45</v>
      </c>
      <c r="H1747">
        <v>45</v>
      </c>
      <c r="I1747" s="2"/>
      <c r="J1747" s="2">
        <v>45740</v>
      </c>
      <c r="K1747" s="2">
        <v>45742</v>
      </c>
    </row>
    <row r="1748" spans="1:11" x14ac:dyDescent="0.25">
      <c r="A1748" s="1" t="s">
        <v>379</v>
      </c>
      <c r="B1748" s="1" t="s">
        <v>1283</v>
      </c>
      <c r="C1748" s="1" t="s">
        <v>2260</v>
      </c>
      <c r="D1748" s="1" t="s">
        <v>1998</v>
      </c>
      <c r="E1748" s="1"/>
      <c r="F1748" s="1" t="s">
        <v>11</v>
      </c>
      <c r="G1748">
        <v>9075</v>
      </c>
      <c r="H1748">
        <v>9075</v>
      </c>
      <c r="I1748" s="2"/>
      <c r="J1748" s="2">
        <v>45740</v>
      </c>
      <c r="K1748" s="2">
        <v>45742</v>
      </c>
    </row>
    <row r="1749" spans="1:11" x14ac:dyDescent="0.25">
      <c r="A1749" s="1" t="s">
        <v>379</v>
      </c>
      <c r="B1749" s="1" t="s">
        <v>1047</v>
      </c>
      <c r="C1749" s="1" t="s">
        <v>2056</v>
      </c>
      <c r="D1749" s="1" t="s">
        <v>1998</v>
      </c>
      <c r="E1749" s="1"/>
      <c r="F1749" s="1" t="s">
        <v>11</v>
      </c>
      <c r="G1749">
        <v>15</v>
      </c>
      <c r="H1749">
        <v>15</v>
      </c>
      <c r="I1749" s="2"/>
      <c r="J1749" s="2">
        <v>45740</v>
      </c>
      <c r="K1749" s="2">
        <v>45742</v>
      </c>
    </row>
    <row r="1750" spans="1:11" x14ac:dyDescent="0.25">
      <c r="A1750" s="1" t="s">
        <v>379</v>
      </c>
      <c r="B1750" s="1" t="s">
        <v>1284</v>
      </c>
      <c r="C1750" s="1" t="s">
        <v>2261</v>
      </c>
      <c r="D1750" s="1" t="s">
        <v>1998</v>
      </c>
      <c r="E1750" s="1"/>
      <c r="F1750" s="1" t="s">
        <v>11</v>
      </c>
      <c r="G1750">
        <v>130</v>
      </c>
      <c r="H1750">
        <v>1</v>
      </c>
      <c r="I1750" s="2"/>
      <c r="J1750" s="2">
        <v>45740</v>
      </c>
      <c r="K1750" s="2">
        <v>45742</v>
      </c>
    </row>
    <row r="1751" spans="1:11" x14ac:dyDescent="0.25">
      <c r="A1751" s="1" t="s">
        <v>379</v>
      </c>
      <c r="B1751" s="1" t="s">
        <v>1285</v>
      </c>
      <c r="C1751" s="1" t="s">
        <v>2262</v>
      </c>
      <c r="D1751" s="1" t="s">
        <v>1998</v>
      </c>
      <c r="E1751" s="1"/>
      <c r="F1751" s="1" t="s">
        <v>11</v>
      </c>
      <c r="G1751">
        <v>55</v>
      </c>
      <c r="H1751">
        <v>1</v>
      </c>
      <c r="I1751" s="2"/>
      <c r="J1751" s="2">
        <v>45740</v>
      </c>
      <c r="K1751" s="2">
        <v>45742</v>
      </c>
    </row>
    <row r="1752" spans="1:11" x14ac:dyDescent="0.25">
      <c r="A1752" s="1" t="s">
        <v>379</v>
      </c>
      <c r="B1752" s="1" t="s">
        <v>1286</v>
      </c>
      <c r="C1752" s="1" t="s">
        <v>2263</v>
      </c>
      <c r="D1752" s="1" t="s">
        <v>1998</v>
      </c>
      <c r="E1752" s="1"/>
      <c r="F1752" s="1" t="s">
        <v>11</v>
      </c>
      <c r="G1752">
        <v>25</v>
      </c>
      <c r="H1752">
        <v>25</v>
      </c>
      <c r="I1752" s="2"/>
      <c r="J1752" s="2">
        <v>45740</v>
      </c>
      <c r="K1752" s="2">
        <v>45742</v>
      </c>
    </row>
    <row r="1753" spans="1:11" x14ac:dyDescent="0.25">
      <c r="A1753" s="1" t="s">
        <v>379</v>
      </c>
      <c r="B1753" s="1" t="s">
        <v>1287</v>
      </c>
      <c r="C1753" s="1" t="s">
        <v>2264</v>
      </c>
      <c r="D1753" s="1" t="s">
        <v>1998</v>
      </c>
      <c r="E1753" s="1"/>
      <c r="F1753" s="1" t="s">
        <v>11</v>
      </c>
      <c r="G1753">
        <v>1</v>
      </c>
      <c r="H1753">
        <v>1</v>
      </c>
      <c r="I1753" s="2"/>
      <c r="J1753" s="2">
        <v>45740</v>
      </c>
      <c r="K1753" s="2">
        <v>45742</v>
      </c>
    </row>
    <row r="1754" spans="1:11" x14ac:dyDescent="0.25">
      <c r="A1754" s="1" t="s">
        <v>379</v>
      </c>
      <c r="B1754" s="1" t="s">
        <v>1096</v>
      </c>
      <c r="C1754" s="1" t="s">
        <v>2067</v>
      </c>
      <c r="D1754" s="1" t="s">
        <v>1998</v>
      </c>
      <c r="E1754" s="1"/>
      <c r="F1754" s="1" t="s">
        <v>11</v>
      </c>
      <c r="G1754">
        <v>3090</v>
      </c>
      <c r="H1754">
        <v>3090</v>
      </c>
      <c r="I1754" s="2"/>
      <c r="J1754" s="2">
        <v>45740</v>
      </c>
      <c r="K1754" s="2">
        <v>45742</v>
      </c>
    </row>
    <row r="1755" spans="1:11" x14ac:dyDescent="0.25">
      <c r="A1755" s="1" t="s">
        <v>380</v>
      </c>
      <c r="B1755" s="1" t="s">
        <v>1281</v>
      </c>
      <c r="C1755" s="1" t="s">
        <v>2258</v>
      </c>
      <c r="D1755" s="1" t="s">
        <v>1998</v>
      </c>
      <c r="E1755" s="1"/>
      <c r="F1755" s="1" t="s">
        <v>11</v>
      </c>
      <c r="G1755">
        <v>10</v>
      </c>
      <c r="H1755">
        <v>10</v>
      </c>
      <c r="I1755" s="2"/>
      <c r="J1755" s="2">
        <v>45740</v>
      </c>
      <c r="K1755" s="2">
        <v>45789</v>
      </c>
    </row>
    <row r="1756" spans="1:11" x14ac:dyDescent="0.25">
      <c r="A1756" s="1" t="s">
        <v>380</v>
      </c>
      <c r="B1756" s="1" t="s">
        <v>1282</v>
      </c>
      <c r="C1756" s="1" t="s">
        <v>2259</v>
      </c>
      <c r="D1756" s="1" t="s">
        <v>1998</v>
      </c>
      <c r="E1756" s="1"/>
      <c r="F1756" s="1" t="s">
        <v>11</v>
      </c>
      <c r="G1756">
        <v>45</v>
      </c>
      <c r="H1756">
        <v>45</v>
      </c>
      <c r="I1756" s="2"/>
      <c r="J1756" s="2">
        <v>45740</v>
      </c>
      <c r="K1756" s="2">
        <v>45789</v>
      </c>
    </row>
    <row r="1757" spans="1:11" x14ac:dyDescent="0.25">
      <c r="A1757" s="1" t="s">
        <v>380</v>
      </c>
      <c r="B1757" s="1" t="s">
        <v>1283</v>
      </c>
      <c r="C1757" s="1" t="s">
        <v>2260</v>
      </c>
      <c r="D1757" s="1" t="s">
        <v>1998</v>
      </c>
      <c r="E1757" s="1"/>
      <c r="F1757" s="1" t="s">
        <v>11</v>
      </c>
      <c r="G1757">
        <v>9075</v>
      </c>
      <c r="H1757">
        <v>9075</v>
      </c>
      <c r="I1757" s="2"/>
      <c r="J1757" s="2">
        <v>45740</v>
      </c>
      <c r="K1757" s="2">
        <v>45789</v>
      </c>
    </row>
    <row r="1758" spans="1:11" x14ac:dyDescent="0.25">
      <c r="A1758" s="1" t="s">
        <v>380</v>
      </c>
      <c r="B1758" s="1" t="s">
        <v>1047</v>
      </c>
      <c r="C1758" s="1" t="s">
        <v>2056</v>
      </c>
      <c r="D1758" s="1" t="s">
        <v>1998</v>
      </c>
      <c r="E1758" s="1"/>
      <c r="F1758" s="1" t="s">
        <v>11</v>
      </c>
      <c r="G1758">
        <v>15</v>
      </c>
      <c r="H1758">
        <v>15</v>
      </c>
      <c r="I1758" s="2"/>
      <c r="J1758" s="2">
        <v>45740</v>
      </c>
      <c r="K1758" s="2">
        <v>45789</v>
      </c>
    </row>
    <row r="1759" spans="1:11" x14ac:dyDescent="0.25">
      <c r="A1759" s="1" t="s">
        <v>380</v>
      </c>
      <c r="B1759" s="1" t="s">
        <v>1284</v>
      </c>
      <c r="C1759" s="1" t="s">
        <v>2261</v>
      </c>
      <c r="D1759" s="1" t="s">
        <v>1998</v>
      </c>
      <c r="E1759" s="1"/>
      <c r="F1759" s="1" t="s">
        <v>11</v>
      </c>
      <c r="G1759">
        <v>130</v>
      </c>
      <c r="H1759">
        <v>1</v>
      </c>
      <c r="I1759" s="2"/>
      <c r="J1759" s="2">
        <v>45740</v>
      </c>
      <c r="K1759" s="2">
        <v>45789</v>
      </c>
    </row>
    <row r="1760" spans="1:11" x14ac:dyDescent="0.25">
      <c r="A1760" s="1" t="s">
        <v>380</v>
      </c>
      <c r="B1760" s="1" t="s">
        <v>1285</v>
      </c>
      <c r="C1760" s="1" t="s">
        <v>2262</v>
      </c>
      <c r="D1760" s="1" t="s">
        <v>1998</v>
      </c>
      <c r="E1760" s="1"/>
      <c r="F1760" s="1" t="s">
        <v>11</v>
      </c>
      <c r="G1760">
        <v>55</v>
      </c>
      <c r="H1760">
        <v>1</v>
      </c>
      <c r="I1760" s="2"/>
      <c r="J1760" s="2">
        <v>45740</v>
      </c>
      <c r="K1760" s="2">
        <v>45789</v>
      </c>
    </row>
    <row r="1761" spans="1:11" x14ac:dyDescent="0.25">
      <c r="A1761" s="1" t="s">
        <v>380</v>
      </c>
      <c r="B1761" s="1" t="s">
        <v>1286</v>
      </c>
      <c r="C1761" s="1" t="s">
        <v>2263</v>
      </c>
      <c r="D1761" s="1" t="s">
        <v>1998</v>
      </c>
      <c r="E1761" s="1"/>
      <c r="F1761" s="1" t="s">
        <v>11</v>
      </c>
      <c r="G1761">
        <v>25</v>
      </c>
      <c r="H1761">
        <v>25</v>
      </c>
      <c r="I1761" s="2"/>
      <c r="J1761" s="2">
        <v>45740</v>
      </c>
      <c r="K1761" s="2">
        <v>45789</v>
      </c>
    </row>
    <row r="1762" spans="1:11" x14ac:dyDescent="0.25">
      <c r="A1762" s="1" t="s">
        <v>380</v>
      </c>
      <c r="B1762" s="1" t="s">
        <v>1287</v>
      </c>
      <c r="C1762" s="1" t="s">
        <v>2264</v>
      </c>
      <c r="D1762" s="1" t="s">
        <v>1998</v>
      </c>
      <c r="E1762" s="1"/>
      <c r="F1762" s="1" t="s">
        <v>11</v>
      </c>
      <c r="G1762">
        <v>1</v>
      </c>
      <c r="H1762">
        <v>1</v>
      </c>
      <c r="I1762" s="2"/>
      <c r="J1762" s="2">
        <v>45740</v>
      </c>
      <c r="K1762" s="2">
        <v>45789</v>
      </c>
    </row>
    <row r="1763" spans="1:11" x14ac:dyDescent="0.25">
      <c r="A1763" s="1" t="s">
        <v>380</v>
      </c>
      <c r="B1763" s="1" t="s">
        <v>1096</v>
      </c>
      <c r="C1763" s="1" t="s">
        <v>2067</v>
      </c>
      <c r="D1763" s="1" t="s">
        <v>1998</v>
      </c>
      <c r="E1763" s="1"/>
      <c r="F1763" s="1" t="s">
        <v>11</v>
      </c>
      <c r="G1763">
        <v>3090</v>
      </c>
      <c r="H1763">
        <v>3090</v>
      </c>
      <c r="I1763" s="2"/>
      <c r="J1763" s="2">
        <v>45740</v>
      </c>
      <c r="K1763" s="2">
        <v>45789</v>
      </c>
    </row>
    <row r="1764" spans="1:11" x14ac:dyDescent="0.25">
      <c r="A1764" s="1" t="s">
        <v>381</v>
      </c>
      <c r="B1764" s="1" t="s">
        <v>1281</v>
      </c>
      <c r="C1764" s="1" t="s">
        <v>2258</v>
      </c>
      <c r="D1764" s="1" t="s">
        <v>1998</v>
      </c>
      <c r="E1764" s="1"/>
      <c r="F1764" s="1" t="s">
        <v>11</v>
      </c>
      <c r="G1764">
        <v>10</v>
      </c>
      <c r="H1764">
        <v>10</v>
      </c>
      <c r="I1764" s="2"/>
      <c r="J1764" s="2">
        <v>45740</v>
      </c>
      <c r="K1764" s="2">
        <v>45747</v>
      </c>
    </row>
    <row r="1765" spans="1:11" x14ac:dyDescent="0.25">
      <c r="A1765" s="1" t="s">
        <v>381</v>
      </c>
      <c r="B1765" s="1" t="s">
        <v>1282</v>
      </c>
      <c r="C1765" s="1" t="s">
        <v>2259</v>
      </c>
      <c r="D1765" s="1" t="s">
        <v>1998</v>
      </c>
      <c r="E1765" s="1"/>
      <c r="F1765" s="1" t="s">
        <v>11</v>
      </c>
      <c r="G1765">
        <v>45</v>
      </c>
      <c r="H1765">
        <v>45</v>
      </c>
      <c r="I1765" s="2"/>
      <c r="J1765" s="2">
        <v>45740</v>
      </c>
      <c r="K1765" s="2">
        <v>45747</v>
      </c>
    </row>
    <row r="1766" spans="1:11" x14ac:dyDescent="0.25">
      <c r="A1766" s="1" t="s">
        <v>381</v>
      </c>
      <c r="B1766" s="1" t="s">
        <v>1283</v>
      </c>
      <c r="C1766" s="1" t="s">
        <v>2260</v>
      </c>
      <c r="D1766" s="1" t="s">
        <v>1998</v>
      </c>
      <c r="E1766" s="1"/>
      <c r="F1766" s="1" t="s">
        <v>11</v>
      </c>
      <c r="G1766">
        <v>9075</v>
      </c>
      <c r="H1766">
        <v>9075</v>
      </c>
      <c r="I1766" s="2"/>
      <c r="J1766" s="2">
        <v>45740</v>
      </c>
      <c r="K1766" s="2">
        <v>45747</v>
      </c>
    </row>
    <row r="1767" spans="1:11" x14ac:dyDescent="0.25">
      <c r="A1767" s="1" t="s">
        <v>381</v>
      </c>
      <c r="B1767" s="1" t="s">
        <v>1047</v>
      </c>
      <c r="C1767" s="1" t="s">
        <v>2056</v>
      </c>
      <c r="D1767" s="1" t="s">
        <v>1998</v>
      </c>
      <c r="E1767" s="1"/>
      <c r="F1767" s="1" t="s">
        <v>11</v>
      </c>
      <c r="G1767">
        <v>15</v>
      </c>
      <c r="H1767">
        <v>15</v>
      </c>
      <c r="I1767" s="2"/>
      <c r="J1767" s="2">
        <v>45740</v>
      </c>
      <c r="K1767" s="2">
        <v>45747</v>
      </c>
    </row>
    <row r="1768" spans="1:11" x14ac:dyDescent="0.25">
      <c r="A1768" s="1" t="s">
        <v>381</v>
      </c>
      <c r="B1768" s="1" t="s">
        <v>1284</v>
      </c>
      <c r="C1768" s="1" t="s">
        <v>2261</v>
      </c>
      <c r="D1768" s="1" t="s">
        <v>1998</v>
      </c>
      <c r="E1768" s="1"/>
      <c r="F1768" s="1" t="s">
        <v>11</v>
      </c>
      <c r="G1768">
        <v>130</v>
      </c>
      <c r="H1768">
        <v>130</v>
      </c>
      <c r="I1768" s="2"/>
      <c r="J1768" s="2">
        <v>45740</v>
      </c>
      <c r="K1768" s="2">
        <v>45747</v>
      </c>
    </row>
    <row r="1769" spans="1:11" x14ac:dyDescent="0.25">
      <c r="A1769" s="1" t="s">
        <v>381</v>
      </c>
      <c r="B1769" s="1" t="s">
        <v>1285</v>
      </c>
      <c r="C1769" s="1" t="s">
        <v>2262</v>
      </c>
      <c r="D1769" s="1" t="s">
        <v>1998</v>
      </c>
      <c r="E1769" s="1"/>
      <c r="F1769" s="1" t="s">
        <v>11</v>
      </c>
      <c r="G1769">
        <v>55</v>
      </c>
      <c r="H1769">
        <v>55</v>
      </c>
      <c r="I1769" s="2"/>
      <c r="J1769" s="2">
        <v>45740</v>
      </c>
      <c r="K1769" s="2">
        <v>45747</v>
      </c>
    </row>
    <row r="1770" spans="1:11" x14ac:dyDescent="0.25">
      <c r="A1770" s="1" t="s">
        <v>381</v>
      </c>
      <c r="B1770" s="1" t="s">
        <v>1286</v>
      </c>
      <c r="C1770" s="1" t="s">
        <v>2263</v>
      </c>
      <c r="D1770" s="1" t="s">
        <v>1998</v>
      </c>
      <c r="E1770" s="1"/>
      <c r="F1770" s="1" t="s">
        <v>11</v>
      </c>
      <c r="G1770">
        <v>25</v>
      </c>
      <c r="H1770">
        <v>25</v>
      </c>
      <c r="I1770" s="2"/>
      <c r="J1770" s="2">
        <v>45740</v>
      </c>
      <c r="K1770" s="2">
        <v>45747</v>
      </c>
    </row>
    <row r="1771" spans="1:11" x14ac:dyDescent="0.25">
      <c r="A1771" s="1" t="s">
        <v>381</v>
      </c>
      <c r="B1771" s="1" t="s">
        <v>1287</v>
      </c>
      <c r="C1771" s="1" t="s">
        <v>2264</v>
      </c>
      <c r="D1771" s="1" t="s">
        <v>1998</v>
      </c>
      <c r="E1771" s="1"/>
      <c r="F1771" s="1" t="s">
        <v>11</v>
      </c>
      <c r="G1771">
        <v>1</v>
      </c>
      <c r="H1771">
        <v>1</v>
      </c>
      <c r="I1771" s="2"/>
      <c r="J1771" s="2">
        <v>45740</v>
      </c>
      <c r="K1771" s="2">
        <v>45747</v>
      </c>
    </row>
    <row r="1772" spans="1:11" x14ac:dyDescent="0.25">
      <c r="A1772" s="1" t="s">
        <v>381</v>
      </c>
      <c r="B1772" s="1" t="s">
        <v>1096</v>
      </c>
      <c r="C1772" s="1" t="s">
        <v>2067</v>
      </c>
      <c r="D1772" s="1" t="s">
        <v>1998</v>
      </c>
      <c r="E1772" s="1"/>
      <c r="F1772" s="1" t="s">
        <v>11</v>
      </c>
      <c r="G1772">
        <v>3090</v>
      </c>
      <c r="H1772">
        <v>3090</v>
      </c>
      <c r="I1772" s="2"/>
      <c r="J1772" s="2">
        <v>45740</v>
      </c>
      <c r="K1772" s="2">
        <v>45747</v>
      </c>
    </row>
    <row r="1773" spans="1:11" x14ac:dyDescent="0.25">
      <c r="A1773" s="1" t="s">
        <v>382</v>
      </c>
      <c r="B1773" s="1" t="s">
        <v>1281</v>
      </c>
      <c r="C1773" s="1" t="s">
        <v>2258</v>
      </c>
      <c r="D1773" s="1" t="s">
        <v>1998</v>
      </c>
      <c r="E1773" s="1"/>
      <c r="F1773" s="1" t="s">
        <v>11</v>
      </c>
      <c r="G1773">
        <v>10</v>
      </c>
      <c r="H1773">
        <v>10</v>
      </c>
      <c r="I1773" s="2"/>
      <c r="J1773" s="2">
        <v>45740</v>
      </c>
      <c r="K1773" s="2">
        <v>45764</v>
      </c>
    </row>
    <row r="1774" spans="1:11" x14ac:dyDescent="0.25">
      <c r="A1774" s="1" t="s">
        <v>382</v>
      </c>
      <c r="B1774" s="1" t="s">
        <v>1282</v>
      </c>
      <c r="C1774" s="1" t="s">
        <v>2259</v>
      </c>
      <c r="D1774" s="1" t="s">
        <v>1998</v>
      </c>
      <c r="E1774" s="1"/>
      <c r="F1774" s="1" t="s">
        <v>11</v>
      </c>
      <c r="G1774">
        <v>45</v>
      </c>
      <c r="H1774">
        <v>45</v>
      </c>
      <c r="I1774" s="2"/>
      <c r="J1774" s="2">
        <v>45740</v>
      </c>
      <c r="K1774" s="2">
        <v>45764</v>
      </c>
    </row>
    <row r="1775" spans="1:11" x14ac:dyDescent="0.25">
      <c r="A1775" s="1" t="s">
        <v>382</v>
      </c>
      <c r="B1775" s="1" t="s">
        <v>1283</v>
      </c>
      <c r="C1775" s="1" t="s">
        <v>2260</v>
      </c>
      <c r="D1775" s="1" t="s">
        <v>1998</v>
      </c>
      <c r="E1775" s="1"/>
      <c r="F1775" s="1" t="s">
        <v>11</v>
      </c>
      <c r="G1775">
        <v>9075</v>
      </c>
      <c r="H1775">
        <v>9075</v>
      </c>
      <c r="I1775" s="2"/>
      <c r="J1775" s="2">
        <v>45740</v>
      </c>
      <c r="K1775" s="2">
        <v>45764</v>
      </c>
    </row>
    <row r="1776" spans="1:11" x14ac:dyDescent="0.25">
      <c r="A1776" s="1" t="s">
        <v>382</v>
      </c>
      <c r="B1776" s="1" t="s">
        <v>1047</v>
      </c>
      <c r="C1776" s="1" t="s">
        <v>2056</v>
      </c>
      <c r="D1776" s="1" t="s">
        <v>1998</v>
      </c>
      <c r="E1776" s="1"/>
      <c r="F1776" s="1" t="s">
        <v>11</v>
      </c>
      <c r="G1776">
        <v>15</v>
      </c>
      <c r="H1776">
        <v>15</v>
      </c>
      <c r="I1776" s="2"/>
      <c r="J1776" s="2">
        <v>45740</v>
      </c>
      <c r="K1776" s="2">
        <v>45764</v>
      </c>
    </row>
    <row r="1777" spans="1:11" x14ac:dyDescent="0.25">
      <c r="A1777" s="1" t="s">
        <v>382</v>
      </c>
      <c r="B1777" s="1" t="s">
        <v>1284</v>
      </c>
      <c r="C1777" s="1" t="s">
        <v>2261</v>
      </c>
      <c r="D1777" s="1" t="s">
        <v>1998</v>
      </c>
      <c r="E1777" s="1"/>
      <c r="F1777" s="1" t="s">
        <v>11</v>
      </c>
      <c r="G1777">
        <v>130</v>
      </c>
      <c r="H1777">
        <v>130</v>
      </c>
      <c r="I1777" s="2"/>
      <c r="J1777" s="2">
        <v>45740</v>
      </c>
      <c r="K1777" s="2">
        <v>45764</v>
      </c>
    </row>
    <row r="1778" spans="1:11" x14ac:dyDescent="0.25">
      <c r="A1778" s="1" t="s">
        <v>382</v>
      </c>
      <c r="B1778" s="1" t="s">
        <v>1285</v>
      </c>
      <c r="C1778" s="1" t="s">
        <v>2262</v>
      </c>
      <c r="D1778" s="1" t="s">
        <v>1998</v>
      </c>
      <c r="E1778" s="1"/>
      <c r="F1778" s="1" t="s">
        <v>11</v>
      </c>
      <c r="G1778">
        <v>55</v>
      </c>
      <c r="H1778">
        <v>55</v>
      </c>
      <c r="I1778" s="2"/>
      <c r="J1778" s="2">
        <v>45740</v>
      </c>
      <c r="K1778" s="2">
        <v>45764</v>
      </c>
    </row>
    <row r="1779" spans="1:11" x14ac:dyDescent="0.25">
      <c r="A1779" s="1" t="s">
        <v>382</v>
      </c>
      <c r="B1779" s="1" t="s">
        <v>1286</v>
      </c>
      <c r="C1779" s="1" t="s">
        <v>2263</v>
      </c>
      <c r="D1779" s="1" t="s">
        <v>1998</v>
      </c>
      <c r="E1779" s="1"/>
      <c r="F1779" s="1" t="s">
        <v>11</v>
      </c>
      <c r="G1779">
        <v>25</v>
      </c>
      <c r="H1779">
        <v>1</v>
      </c>
      <c r="I1779" s="2"/>
      <c r="J1779" s="2">
        <v>45740</v>
      </c>
      <c r="K1779" s="2">
        <v>45764</v>
      </c>
    </row>
    <row r="1780" spans="1:11" x14ac:dyDescent="0.25">
      <c r="A1780" s="1" t="s">
        <v>382</v>
      </c>
      <c r="B1780" s="1" t="s">
        <v>1287</v>
      </c>
      <c r="C1780" s="1" t="s">
        <v>2264</v>
      </c>
      <c r="D1780" s="1" t="s">
        <v>1998</v>
      </c>
      <c r="E1780" s="1"/>
      <c r="F1780" s="1" t="s">
        <v>11</v>
      </c>
      <c r="G1780">
        <v>1</v>
      </c>
      <c r="H1780">
        <v>1</v>
      </c>
      <c r="I1780" s="2"/>
      <c r="J1780" s="2">
        <v>45740</v>
      </c>
      <c r="K1780" s="2">
        <v>45764</v>
      </c>
    </row>
    <row r="1781" spans="1:11" x14ac:dyDescent="0.25">
      <c r="A1781" s="1" t="s">
        <v>382</v>
      </c>
      <c r="B1781" s="1" t="s">
        <v>1096</v>
      </c>
      <c r="C1781" s="1" t="s">
        <v>2067</v>
      </c>
      <c r="D1781" s="1" t="s">
        <v>1998</v>
      </c>
      <c r="E1781" s="1"/>
      <c r="F1781" s="1" t="s">
        <v>11</v>
      </c>
      <c r="G1781">
        <v>3090</v>
      </c>
      <c r="H1781">
        <v>3090</v>
      </c>
      <c r="I1781" s="2"/>
      <c r="J1781" s="2">
        <v>45740</v>
      </c>
      <c r="K1781" s="2">
        <v>45764</v>
      </c>
    </row>
    <row r="1782" spans="1:11" x14ac:dyDescent="0.25">
      <c r="A1782" s="1" t="s">
        <v>383</v>
      </c>
      <c r="B1782" s="1" t="s">
        <v>1281</v>
      </c>
      <c r="C1782" s="1" t="s">
        <v>2258</v>
      </c>
      <c r="D1782" s="1" t="s">
        <v>1998</v>
      </c>
      <c r="E1782" s="1"/>
      <c r="F1782" s="1" t="s">
        <v>11</v>
      </c>
      <c r="G1782">
        <v>10</v>
      </c>
      <c r="H1782">
        <v>10</v>
      </c>
      <c r="I1782" s="2"/>
      <c r="J1782" s="2">
        <v>45740</v>
      </c>
      <c r="K1782" s="2">
        <v>45742</v>
      </c>
    </row>
    <row r="1783" spans="1:11" x14ac:dyDescent="0.25">
      <c r="A1783" s="1" t="s">
        <v>383</v>
      </c>
      <c r="B1783" s="1" t="s">
        <v>1282</v>
      </c>
      <c r="C1783" s="1" t="s">
        <v>2259</v>
      </c>
      <c r="D1783" s="1" t="s">
        <v>1998</v>
      </c>
      <c r="E1783" s="1"/>
      <c r="F1783" s="1" t="s">
        <v>11</v>
      </c>
      <c r="G1783">
        <v>45</v>
      </c>
      <c r="H1783">
        <v>45</v>
      </c>
      <c r="I1783" s="2"/>
      <c r="J1783" s="2">
        <v>45740</v>
      </c>
      <c r="K1783" s="2">
        <v>45742</v>
      </c>
    </row>
    <row r="1784" spans="1:11" x14ac:dyDescent="0.25">
      <c r="A1784" s="1" t="s">
        <v>383</v>
      </c>
      <c r="B1784" s="1" t="s">
        <v>1283</v>
      </c>
      <c r="C1784" s="1" t="s">
        <v>2260</v>
      </c>
      <c r="D1784" s="1" t="s">
        <v>1998</v>
      </c>
      <c r="E1784" s="1"/>
      <c r="F1784" s="1" t="s">
        <v>11</v>
      </c>
      <c r="G1784">
        <v>9075</v>
      </c>
      <c r="H1784">
        <v>9075</v>
      </c>
      <c r="I1784" s="2"/>
      <c r="J1784" s="2">
        <v>45740</v>
      </c>
      <c r="K1784" s="2">
        <v>45742</v>
      </c>
    </row>
    <row r="1785" spans="1:11" x14ac:dyDescent="0.25">
      <c r="A1785" s="1" t="s">
        <v>383</v>
      </c>
      <c r="B1785" s="1" t="s">
        <v>1047</v>
      </c>
      <c r="C1785" s="1" t="s">
        <v>2056</v>
      </c>
      <c r="D1785" s="1" t="s">
        <v>1998</v>
      </c>
      <c r="E1785" s="1"/>
      <c r="F1785" s="1" t="s">
        <v>11</v>
      </c>
      <c r="G1785">
        <v>15</v>
      </c>
      <c r="H1785">
        <v>15</v>
      </c>
      <c r="I1785" s="2"/>
      <c r="J1785" s="2">
        <v>45740</v>
      </c>
      <c r="K1785" s="2">
        <v>45742</v>
      </c>
    </row>
    <row r="1786" spans="1:11" x14ac:dyDescent="0.25">
      <c r="A1786" s="1" t="s">
        <v>383</v>
      </c>
      <c r="B1786" s="1" t="s">
        <v>1284</v>
      </c>
      <c r="C1786" s="1" t="s">
        <v>2261</v>
      </c>
      <c r="D1786" s="1" t="s">
        <v>1998</v>
      </c>
      <c r="E1786" s="1"/>
      <c r="F1786" s="1" t="s">
        <v>11</v>
      </c>
      <c r="G1786">
        <v>130</v>
      </c>
      <c r="H1786">
        <v>1</v>
      </c>
      <c r="I1786" s="2"/>
      <c r="J1786" s="2">
        <v>45740</v>
      </c>
      <c r="K1786" s="2">
        <v>45742</v>
      </c>
    </row>
    <row r="1787" spans="1:11" x14ac:dyDescent="0.25">
      <c r="A1787" s="1" t="s">
        <v>383</v>
      </c>
      <c r="B1787" s="1" t="s">
        <v>1285</v>
      </c>
      <c r="C1787" s="1" t="s">
        <v>2262</v>
      </c>
      <c r="D1787" s="1" t="s">
        <v>1998</v>
      </c>
      <c r="E1787" s="1"/>
      <c r="F1787" s="1" t="s">
        <v>11</v>
      </c>
      <c r="G1787">
        <v>55</v>
      </c>
      <c r="H1787">
        <v>1</v>
      </c>
      <c r="I1787" s="2"/>
      <c r="J1787" s="2">
        <v>45740</v>
      </c>
      <c r="K1787" s="2">
        <v>45742</v>
      </c>
    </row>
    <row r="1788" spans="1:11" x14ac:dyDescent="0.25">
      <c r="A1788" s="1" t="s">
        <v>383</v>
      </c>
      <c r="B1788" s="1" t="s">
        <v>1286</v>
      </c>
      <c r="C1788" s="1" t="s">
        <v>2263</v>
      </c>
      <c r="D1788" s="1" t="s">
        <v>1998</v>
      </c>
      <c r="E1788" s="1"/>
      <c r="F1788" s="1" t="s">
        <v>11</v>
      </c>
      <c r="G1788">
        <v>25</v>
      </c>
      <c r="H1788">
        <v>25</v>
      </c>
      <c r="I1788" s="2"/>
      <c r="J1788" s="2">
        <v>45740</v>
      </c>
      <c r="K1788" s="2">
        <v>45742</v>
      </c>
    </row>
    <row r="1789" spans="1:11" x14ac:dyDescent="0.25">
      <c r="A1789" s="1" t="s">
        <v>383</v>
      </c>
      <c r="B1789" s="1" t="s">
        <v>1287</v>
      </c>
      <c r="C1789" s="1" t="s">
        <v>2264</v>
      </c>
      <c r="D1789" s="1" t="s">
        <v>1998</v>
      </c>
      <c r="E1789" s="1"/>
      <c r="F1789" s="1" t="s">
        <v>11</v>
      </c>
      <c r="G1789">
        <v>1</v>
      </c>
      <c r="H1789">
        <v>1</v>
      </c>
      <c r="I1789" s="2"/>
      <c r="J1789" s="2">
        <v>45740</v>
      </c>
      <c r="K1789" s="2">
        <v>45742</v>
      </c>
    </row>
    <row r="1790" spans="1:11" x14ac:dyDescent="0.25">
      <c r="A1790" s="1" t="s">
        <v>383</v>
      </c>
      <c r="B1790" s="1" t="s">
        <v>1096</v>
      </c>
      <c r="C1790" s="1" t="s">
        <v>2067</v>
      </c>
      <c r="D1790" s="1" t="s">
        <v>1998</v>
      </c>
      <c r="E1790" s="1"/>
      <c r="F1790" s="1" t="s">
        <v>11</v>
      </c>
      <c r="G1790">
        <v>3090</v>
      </c>
      <c r="H1790">
        <v>3090</v>
      </c>
      <c r="I1790" s="2"/>
      <c r="J1790" s="2">
        <v>45740</v>
      </c>
      <c r="K1790" s="2">
        <v>45742</v>
      </c>
    </row>
    <row r="1791" spans="1:11" x14ac:dyDescent="0.25">
      <c r="A1791" s="1" t="s">
        <v>384</v>
      </c>
      <c r="B1791" s="1" t="s">
        <v>1281</v>
      </c>
      <c r="C1791" s="1" t="s">
        <v>2258</v>
      </c>
      <c r="D1791" s="1" t="s">
        <v>1998</v>
      </c>
      <c r="E1791" s="1"/>
      <c r="F1791" s="1" t="s">
        <v>11</v>
      </c>
      <c r="G1791">
        <v>10</v>
      </c>
      <c r="H1791">
        <v>10</v>
      </c>
      <c r="I1791" s="2"/>
      <c r="J1791" s="2">
        <v>45740</v>
      </c>
      <c r="K1791" s="2">
        <v>45747</v>
      </c>
    </row>
    <row r="1792" spans="1:11" x14ac:dyDescent="0.25">
      <c r="A1792" s="1" t="s">
        <v>384</v>
      </c>
      <c r="B1792" s="1" t="s">
        <v>1282</v>
      </c>
      <c r="C1792" s="1" t="s">
        <v>2259</v>
      </c>
      <c r="D1792" s="1" t="s">
        <v>1998</v>
      </c>
      <c r="E1792" s="1"/>
      <c r="F1792" s="1" t="s">
        <v>11</v>
      </c>
      <c r="G1792">
        <v>45</v>
      </c>
      <c r="H1792">
        <v>45</v>
      </c>
      <c r="I1792" s="2"/>
      <c r="J1792" s="2">
        <v>45740</v>
      </c>
      <c r="K1792" s="2">
        <v>45747</v>
      </c>
    </row>
    <row r="1793" spans="1:11" x14ac:dyDescent="0.25">
      <c r="A1793" s="1" t="s">
        <v>384</v>
      </c>
      <c r="B1793" s="1" t="s">
        <v>1283</v>
      </c>
      <c r="C1793" s="1" t="s">
        <v>2260</v>
      </c>
      <c r="D1793" s="1" t="s">
        <v>1998</v>
      </c>
      <c r="E1793" s="1"/>
      <c r="F1793" s="1" t="s">
        <v>11</v>
      </c>
      <c r="G1793">
        <v>9075</v>
      </c>
      <c r="H1793">
        <v>9075</v>
      </c>
      <c r="I1793" s="2"/>
      <c r="J1793" s="2">
        <v>45740</v>
      </c>
      <c r="K1793" s="2">
        <v>45747</v>
      </c>
    </row>
    <row r="1794" spans="1:11" x14ac:dyDescent="0.25">
      <c r="A1794" s="1" t="s">
        <v>384</v>
      </c>
      <c r="B1794" s="1" t="s">
        <v>1047</v>
      </c>
      <c r="C1794" s="1" t="s">
        <v>2056</v>
      </c>
      <c r="D1794" s="1" t="s">
        <v>1998</v>
      </c>
      <c r="E1794" s="1"/>
      <c r="F1794" s="1" t="s">
        <v>11</v>
      </c>
      <c r="G1794">
        <v>15</v>
      </c>
      <c r="H1794">
        <v>20</v>
      </c>
      <c r="I1794" s="2"/>
      <c r="J1794" s="2">
        <v>45740</v>
      </c>
      <c r="K1794" s="2">
        <v>45747</v>
      </c>
    </row>
    <row r="1795" spans="1:11" x14ac:dyDescent="0.25">
      <c r="A1795" s="1" t="s">
        <v>384</v>
      </c>
      <c r="B1795" s="1" t="s">
        <v>1284</v>
      </c>
      <c r="C1795" s="1" t="s">
        <v>2261</v>
      </c>
      <c r="D1795" s="1" t="s">
        <v>1998</v>
      </c>
      <c r="E1795" s="1"/>
      <c r="F1795" s="1" t="s">
        <v>11</v>
      </c>
      <c r="G1795">
        <v>130</v>
      </c>
      <c r="H1795">
        <v>130</v>
      </c>
      <c r="I1795" s="2"/>
      <c r="J1795" s="2">
        <v>45740</v>
      </c>
      <c r="K1795" s="2">
        <v>45747</v>
      </c>
    </row>
    <row r="1796" spans="1:11" x14ac:dyDescent="0.25">
      <c r="A1796" s="1" t="s">
        <v>384</v>
      </c>
      <c r="B1796" s="1" t="s">
        <v>1285</v>
      </c>
      <c r="C1796" s="1" t="s">
        <v>2262</v>
      </c>
      <c r="D1796" s="1" t="s">
        <v>1998</v>
      </c>
      <c r="E1796" s="1"/>
      <c r="F1796" s="1" t="s">
        <v>11</v>
      </c>
      <c r="G1796">
        <v>55</v>
      </c>
      <c r="H1796">
        <v>55</v>
      </c>
      <c r="I1796" s="2"/>
      <c r="J1796" s="2">
        <v>45740</v>
      </c>
      <c r="K1796" s="2">
        <v>45747</v>
      </c>
    </row>
    <row r="1797" spans="1:11" x14ac:dyDescent="0.25">
      <c r="A1797" s="1" t="s">
        <v>384</v>
      </c>
      <c r="B1797" s="1" t="s">
        <v>1286</v>
      </c>
      <c r="C1797" s="1" t="s">
        <v>2263</v>
      </c>
      <c r="D1797" s="1" t="s">
        <v>1998</v>
      </c>
      <c r="E1797" s="1"/>
      <c r="F1797" s="1" t="s">
        <v>11</v>
      </c>
      <c r="G1797">
        <v>25</v>
      </c>
      <c r="H1797">
        <v>25</v>
      </c>
      <c r="I1797" s="2"/>
      <c r="J1797" s="2">
        <v>45740</v>
      </c>
      <c r="K1797" s="2">
        <v>45747</v>
      </c>
    </row>
    <row r="1798" spans="1:11" x14ac:dyDescent="0.25">
      <c r="A1798" s="1" t="s">
        <v>384</v>
      </c>
      <c r="B1798" s="1" t="s">
        <v>1287</v>
      </c>
      <c r="C1798" s="1" t="s">
        <v>2264</v>
      </c>
      <c r="D1798" s="1" t="s">
        <v>1998</v>
      </c>
      <c r="E1798" s="1"/>
      <c r="F1798" s="1" t="s">
        <v>11</v>
      </c>
      <c r="G1798">
        <v>1</v>
      </c>
      <c r="H1798">
        <v>1</v>
      </c>
      <c r="I1798" s="2"/>
      <c r="J1798" s="2">
        <v>45740</v>
      </c>
      <c r="K1798" s="2">
        <v>45747</v>
      </c>
    </row>
    <row r="1799" spans="1:11" x14ac:dyDescent="0.25">
      <c r="A1799" s="1" t="s">
        <v>384</v>
      </c>
      <c r="B1799" s="1" t="s">
        <v>1096</v>
      </c>
      <c r="C1799" s="1" t="s">
        <v>2067</v>
      </c>
      <c r="D1799" s="1" t="s">
        <v>1998</v>
      </c>
      <c r="E1799" s="1"/>
      <c r="F1799" s="1" t="s">
        <v>11</v>
      </c>
      <c r="G1799">
        <v>3090</v>
      </c>
      <c r="H1799">
        <v>3090</v>
      </c>
      <c r="I1799" s="2"/>
      <c r="J1799" s="2">
        <v>45740</v>
      </c>
      <c r="K1799" s="2">
        <v>45747</v>
      </c>
    </row>
    <row r="1800" spans="1:11" x14ac:dyDescent="0.25">
      <c r="A1800" s="1" t="s">
        <v>385</v>
      </c>
      <c r="B1800" s="1" t="s">
        <v>1281</v>
      </c>
      <c r="C1800" s="1" t="s">
        <v>2258</v>
      </c>
      <c r="D1800" s="1" t="s">
        <v>1998</v>
      </c>
      <c r="E1800" s="1"/>
      <c r="F1800" s="1" t="s">
        <v>11</v>
      </c>
      <c r="G1800">
        <v>10</v>
      </c>
      <c r="H1800">
        <v>10</v>
      </c>
      <c r="I1800" s="2"/>
      <c r="J1800" s="2">
        <v>45748</v>
      </c>
      <c r="K1800" s="2">
        <v>45777</v>
      </c>
    </row>
    <row r="1801" spans="1:11" x14ac:dyDescent="0.25">
      <c r="A1801" s="1" t="s">
        <v>385</v>
      </c>
      <c r="B1801" s="1" t="s">
        <v>1282</v>
      </c>
      <c r="C1801" s="1" t="s">
        <v>2259</v>
      </c>
      <c r="D1801" s="1" t="s">
        <v>1998</v>
      </c>
      <c r="E1801" s="1"/>
      <c r="F1801" s="1" t="s">
        <v>11</v>
      </c>
      <c r="G1801">
        <v>45</v>
      </c>
      <c r="H1801">
        <v>45</v>
      </c>
      <c r="I1801" s="2"/>
      <c r="J1801" s="2">
        <v>45748</v>
      </c>
      <c r="K1801" s="2">
        <v>45777</v>
      </c>
    </row>
    <row r="1802" spans="1:11" x14ac:dyDescent="0.25">
      <c r="A1802" s="1" t="s">
        <v>385</v>
      </c>
      <c r="B1802" s="1" t="s">
        <v>1283</v>
      </c>
      <c r="C1802" s="1" t="s">
        <v>2260</v>
      </c>
      <c r="D1802" s="1" t="s">
        <v>1998</v>
      </c>
      <c r="E1802" s="1"/>
      <c r="F1802" s="1" t="s">
        <v>11</v>
      </c>
      <c r="G1802">
        <v>9075</v>
      </c>
      <c r="H1802">
        <v>9075</v>
      </c>
      <c r="I1802" s="2"/>
      <c r="J1802" s="2">
        <v>45748</v>
      </c>
      <c r="K1802" s="2">
        <v>45777</v>
      </c>
    </row>
    <row r="1803" spans="1:11" x14ac:dyDescent="0.25">
      <c r="A1803" s="1" t="s">
        <v>385</v>
      </c>
      <c r="B1803" s="1" t="s">
        <v>1047</v>
      </c>
      <c r="C1803" s="1" t="s">
        <v>2056</v>
      </c>
      <c r="D1803" s="1" t="s">
        <v>1998</v>
      </c>
      <c r="E1803" s="1"/>
      <c r="F1803" s="1" t="s">
        <v>11</v>
      </c>
      <c r="G1803">
        <v>15</v>
      </c>
      <c r="H1803">
        <v>15</v>
      </c>
      <c r="I1803" s="2"/>
      <c r="J1803" s="2">
        <v>45748</v>
      </c>
      <c r="K1803" s="2">
        <v>45777</v>
      </c>
    </row>
    <row r="1804" spans="1:11" x14ac:dyDescent="0.25">
      <c r="A1804" s="1" t="s">
        <v>385</v>
      </c>
      <c r="B1804" s="1" t="s">
        <v>1284</v>
      </c>
      <c r="C1804" s="1" t="s">
        <v>2261</v>
      </c>
      <c r="D1804" s="1" t="s">
        <v>1998</v>
      </c>
      <c r="E1804" s="1"/>
      <c r="F1804" s="1" t="s">
        <v>11</v>
      </c>
      <c r="G1804">
        <v>130</v>
      </c>
      <c r="H1804">
        <v>130</v>
      </c>
      <c r="I1804" s="2"/>
      <c r="J1804" s="2">
        <v>45748</v>
      </c>
      <c r="K1804" s="2">
        <v>45777</v>
      </c>
    </row>
    <row r="1805" spans="1:11" x14ac:dyDescent="0.25">
      <c r="A1805" s="1" t="s">
        <v>385</v>
      </c>
      <c r="B1805" s="1" t="s">
        <v>1285</v>
      </c>
      <c r="C1805" s="1" t="s">
        <v>2262</v>
      </c>
      <c r="D1805" s="1" t="s">
        <v>1998</v>
      </c>
      <c r="E1805" s="1"/>
      <c r="F1805" s="1" t="s">
        <v>11</v>
      </c>
      <c r="G1805">
        <v>55</v>
      </c>
      <c r="H1805">
        <v>55</v>
      </c>
      <c r="I1805" s="2"/>
      <c r="J1805" s="2">
        <v>45748</v>
      </c>
      <c r="K1805" s="2">
        <v>45777</v>
      </c>
    </row>
    <row r="1806" spans="1:11" x14ac:dyDescent="0.25">
      <c r="A1806" s="1" t="s">
        <v>385</v>
      </c>
      <c r="B1806" s="1" t="s">
        <v>1286</v>
      </c>
      <c r="C1806" s="1" t="s">
        <v>2263</v>
      </c>
      <c r="D1806" s="1" t="s">
        <v>1998</v>
      </c>
      <c r="E1806" s="1"/>
      <c r="F1806" s="1" t="s">
        <v>11</v>
      </c>
      <c r="G1806">
        <v>25</v>
      </c>
      <c r="H1806">
        <v>25</v>
      </c>
      <c r="I1806" s="2"/>
      <c r="J1806" s="2">
        <v>45748</v>
      </c>
      <c r="K1806" s="2">
        <v>45777</v>
      </c>
    </row>
    <row r="1807" spans="1:11" x14ac:dyDescent="0.25">
      <c r="A1807" s="1" t="s">
        <v>385</v>
      </c>
      <c r="B1807" s="1" t="s">
        <v>1287</v>
      </c>
      <c r="C1807" s="1" t="s">
        <v>2264</v>
      </c>
      <c r="D1807" s="1" t="s">
        <v>1998</v>
      </c>
      <c r="E1807" s="1"/>
      <c r="F1807" s="1" t="s">
        <v>11</v>
      </c>
      <c r="G1807">
        <v>1</v>
      </c>
      <c r="H1807">
        <v>1</v>
      </c>
      <c r="I1807" s="2"/>
      <c r="J1807" s="2">
        <v>45748</v>
      </c>
      <c r="K1807" s="2">
        <v>45777</v>
      </c>
    </row>
    <row r="1808" spans="1:11" x14ac:dyDescent="0.25">
      <c r="A1808" s="1" t="s">
        <v>385</v>
      </c>
      <c r="B1808" s="1" t="s">
        <v>1096</v>
      </c>
      <c r="C1808" s="1" t="s">
        <v>2067</v>
      </c>
      <c r="D1808" s="1" t="s">
        <v>1998</v>
      </c>
      <c r="E1808" s="1"/>
      <c r="F1808" s="1" t="s">
        <v>11</v>
      </c>
      <c r="G1808">
        <v>3090</v>
      </c>
      <c r="H1808">
        <v>3090</v>
      </c>
      <c r="I1808" s="2"/>
      <c r="J1808" s="2">
        <v>45748</v>
      </c>
      <c r="K1808" s="2">
        <v>45777</v>
      </c>
    </row>
    <row r="1809" spans="1:11" x14ac:dyDescent="0.25">
      <c r="A1809" s="1" t="s">
        <v>386</v>
      </c>
      <c r="B1809" s="1" t="s">
        <v>1281</v>
      </c>
      <c r="C1809" s="1" t="s">
        <v>2258</v>
      </c>
      <c r="D1809" s="1" t="s">
        <v>1998</v>
      </c>
      <c r="E1809" s="1"/>
      <c r="F1809" s="1" t="s">
        <v>11</v>
      </c>
      <c r="G1809">
        <v>10</v>
      </c>
      <c r="H1809">
        <v>10</v>
      </c>
      <c r="I1809" s="2"/>
      <c r="J1809" s="2">
        <v>45751</v>
      </c>
      <c r="K1809" s="2">
        <v>45777</v>
      </c>
    </row>
    <row r="1810" spans="1:11" x14ac:dyDescent="0.25">
      <c r="A1810" s="1" t="s">
        <v>386</v>
      </c>
      <c r="B1810" s="1" t="s">
        <v>1282</v>
      </c>
      <c r="C1810" s="1" t="s">
        <v>2259</v>
      </c>
      <c r="D1810" s="1" t="s">
        <v>1998</v>
      </c>
      <c r="E1810" s="1"/>
      <c r="F1810" s="1" t="s">
        <v>11</v>
      </c>
      <c r="G1810">
        <v>45</v>
      </c>
      <c r="H1810">
        <v>45</v>
      </c>
      <c r="I1810" s="2"/>
      <c r="J1810" s="2">
        <v>45751</v>
      </c>
      <c r="K1810" s="2">
        <v>45777</v>
      </c>
    </row>
    <row r="1811" spans="1:11" x14ac:dyDescent="0.25">
      <c r="A1811" s="1" t="s">
        <v>386</v>
      </c>
      <c r="B1811" s="1" t="s">
        <v>1283</v>
      </c>
      <c r="C1811" s="1" t="s">
        <v>2260</v>
      </c>
      <c r="D1811" s="1" t="s">
        <v>1998</v>
      </c>
      <c r="E1811" s="1"/>
      <c r="F1811" s="1" t="s">
        <v>11</v>
      </c>
      <c r="G1811">
        <v>9075</v>
      </c>
      <c r="H1811">
        <v>9075</v>
      </c>
      <c r="I1811" s="2"/>
      <c r="J1811" s="2">
        <v>45751</v>
      </c>
      <c r="K1811" s="2">
        <v>45777</v>
      </c>
    </row>
    <row r="1812" spans="1:11" x14ac:dyDescent="0.25">
      <c r="A1812" s="1" t="s">
        <v>386</v>
      </c>
      <c r="B1812" s="1" t="s">
        <v>1047</v>
      </c>
      <c r="C1812" s="1" t="s">
        <v>2056</v>
      </c>
      <c r="D1812" s="1" t="s">
        <v>1998</v>
      </c>
      <c r="E1812" s="1"/>
      <c r="F1812" s="1" t="s">
        <v>11</v>
      </c>
      <c r="G1812">
        <v>15</v>
      </c>
      <c r="H1812">
        <v>15</v>
      </c>
      <c r="I1812" s="2"/>
      <c r="J1812" s="2">
        <v>45751</v>
      </c>
      <c r="K1812" s="2">
        <v>45777</v>
      </c>
    </row>
    <row r="1813" spans="1:11" x14ac:dyDescent="0.25">
      <c r="A1813" s="1" t="s">
        <v>386</v>
      </c>
      <c r="B1813" s="1" t="s">
        <v>1284</v>
      </c>
      <c r="C1813" s="1" t="s">
        <v>2261</v>
      </c>
      <c r="D1813" s="1" t="s">
        <v>1998</v>
      </c>
      <c r="E1813" s="1"/>
      <c r="F1813" s="1" t="s">
        <v>11</v>
      </c>
      <c r="G1813">
        <v>130</v>
      </c>
      <c r="H1813">
        <v>130</v>
      </c>
      <c r="I1813" s="2"/>
      <c r="J1813" s="2">
        <v>45751</v>
      </c>
      <c r="K1813" s="2">
        <v>45777</v>
      </c>
    </row>
    <row r="1814" spans="1:11" x14ac:dyDescent="0.25">
      <c r="A1814" s="1" t="s">
        <v>386</v>
      </c>
      <c r="B1814" s="1" t="s">
        <v>1285</v>
      </c>
      <c r="C1814" s="1" t="s">
        <v>2262</v>
      </c>
      <c r="D1814" s="1" t="s">
        <v>1998</v>
      </c>
      <c r="E1814" s="1"/>
      <c r="F1814" s="1" t="s">
        <v>11</v>
      </c>
      <c r="G1814">
        <v>55</v>
      </c>
      <c r="H1814">
        <v>55</v>
      </c>
      <c r="I1814" s="2"/>
      <c r="J1814" s="2">
        <v>45751</v>
      </c>
      <c r="K1814" s="2">
        <v>45777</v>
      </c>
    </row>
    <row r="1815" spans="1:11" x14ac:dyDescent="0.25">
      <c r="A1815" s="1" t="s">
        <v>386</v>
      </c>
      <c r="B1815" s="1" t="s">
        <v>1286</v>
      </c>
      <c r="C1815" s="1" t="s">
        <v>2263</v>
      </c>
      <c r="D1815" s="1" t="s">
        <v>1998</v>
      </c>
      <c r="E1815" s="1"/>
      <c r="F1815" s="1" t="s">
        <v>11</v>
      </c>
      <c r="G1815">
        <v>25</v>
      </c>
      <c r="H1815">
        <v>25</v>
      </c>
      <c r="I1815" s="2"/>
      <c r="J1815" s="2">
        <v>45751</v>
      </c>
      <c r="K1815" s="2">
        <v>45777</v>
      </c>
    </row>
    <row r="1816" spans="1:11" x14ac:dyDescent="0.25">
      <c r="A1816" s="1" t="s">
        <v>386</v>
      </c>
      <c r="B1816" s="1" t="s">
        <v>1287</v>
      </c>
      <c r="C1816" s="1" t="s">
        <v>2264</v>
      </c>
      <c r="D1816" s="1" t="s">
        <v>1998</v>
      </c>
      <c r="E1816" s="1"/>
      <c r="F1816" s="1" t="s">
        <v>11</v>
      </c>
      <c r="G1816">
        <v>1</v>
      </c>
      <c r="H1816">
        <v>1</v>
      </c>
      <c r="I1816" s="2"/>
      <c r="J1816" s="2">
        <v>45751</v>
      </c>
      <c r="K1816" s="2">
        <v>45777</v>
      </c>
    </row>
    <row r="1817" spans="1:11" x14ac:dyDescent="0.25">
      <c r="A1817" s="1" t="s">
        <v>386</v>
      </c>
      <c r="B1817" s="1" t="s">
        <v>1096</v>
      </c>
      <c r="C1817" s="1" t="s">
        <v>2067</v>
      </c>
      <c r="D1817" s="1" t="s">
        <v>1998</v>
      </c>
      <c r="E1817" s="1"/>
      <c r="F1817" s="1" t="s">
        <v>11</v>
      </c>
      <c r="G1817">
        <v>3090</v>
      </c>
      <c r="H1817">
        <v>3090</v>
      </c>
      <c r="I1817" s="2"/>
      <c r="J1817" s="2">
        <v>45751</v>
      </c>
      <c r="K1817" s="2">
        <v>45777</v>
      </c>
    </row>
    <row r="1818" spans="1:11" x14ac:dyDescent="0.25">
      <c r="A1818" s="1" t="s">
        <v>387</v>
      </c>
      <c r="B1818" s="1" t="s">
        <v>1281</v>
      </c>
      <c r="C1818" s="1" t="s">
        <v>2258</v>
      </c>
      <c r="D1818" s="1" t="s">
        <v>1998</v>
      </c>
      <c r="E1818" s="1"/>
      <c r="F1818" s="1" t="s">
        <v>11</v>
      </c>
      <c r="G1818">
        <v>10</v>
      </c>
      <c r="H1818">
        <v>10</v>
      </c>
      <c r="I1818" s="2"/>
      <c r="J1818" s="2">
        <v>45751</v>
      </c>
      <c r="K1818" s="2">
        <v>45777</v>
      </c>
    </row>
    <row r="1819" spans="1:11" x14ac:dyDescent="0.25">
      <c r="A1819" s="1" t="s">
        <v>387</v>
      </c>
      <c r="B1819" s="1" t="s">
        <v>1282</v>
      </c>
      <c r="C1819" s="1" t="s">
        <v>2259</v>
      </c>
      <c r="D1819" s="1" t="s">
        <v>1998</v>
      </c>
      <c r="E1819" s="1"/>
      <c r="F1819" s="1" t="s">
        <v>11</v>
      </c>
      <c r="G1819">
        <v>45</v>
      </c>
      <c r="H1819">
        <v>45</v>
      </c>
      <c r="I1819" s="2"/>
      <c r="J1819" s="2">
        <v>45751</v>
      </c>
      <c r="K1819" s="2">
        <v>45777</v>
      </c>
    </row>
    <row r="1820" spans="1:11" x14ac:dyDescent="0.25">
      <c r="A1820" s="1" t="s">
        <v>387</v>
      </c>
      <c r="B1820" s="1" t="s">
        <v>1283</v>
      </c>
      <c r="C1820" s="1" t="s">
        <v>2260</v>
      </c>
      <c r="D1820" s="1" t="s">
        <v>1998</v>
      </c>
      <c r="E1820" s="1"/>
      <c r="F1820" s="1" t="s">
        <v>11</v>
      </c>
      <c r="G1820">
        <v>9075</v>
      </c>
      <c r="H1820">
        <v>9075</v>
      </c>
      <c r="I1820" s="2"/>
      <c r="J1820" s="2">
        <v>45751</v>
      </c>
      <c r="K1820" s="2">
        <v>45777</v>
      </c>
    </row>
    <row r="1821" spans="1:11" x14ac:dyDescent="0.25">
      <c r="A1821" s="1" t="s">
        <v>387</v>
      </c>
      <c r="B1821" s="1" t="s">
        <v>1047</v>
      </c>
      <c r="C1821" s="1" t="s">
        <v>2056</v>
      </c>
      <c r="D1821" s="1" t="s">
        <v>1998</v>
      </c>
      <c r="E1821" s="1"/>
      <c r="F1821" s="1" t="s">
        <v>11</v>
      </c>
      <c r="G1821">
        <v>15</v>
      </c>
      <c r="H1821">
        <v>30</v>
      </c>
      <c r="I1821" s="2"/>
      <c r="J1821" s="2">
        <v>45751</v>
      </c>
      <c r="K1821" s="2">
        <v>45777</v>
      </c>
    </row>
    <row r="1822" spans="1:11" x14ac:dyDescent="0.25">
      <c r="A1822" s="1" t="s">
        <v>387</v>
      </c>
      <c r="B1822" s="1" t="s">
        <v>1284</v>
      </c>
      <c r="C1822" s="1" t="s">
        <v>2261</v>
      </c>
      <c r="D1822" s="1" t="s">
        <v>1998</v>
      </c>
      <c r="E1822" s="1"/>
      <c r="F1822" s="1" t="s">
        <v>11</v>
      </c>
      <c r="G1822">
        <v>130</v>
      </c>
      <c r="H1822">
        <v>130</v>
      </c>
      <c r="I1822" s="2"/>
      <c r="J1822" s="2">
        <v>45751</v>
      </c>
      <c r="K1822" s="2">
        <v>45777</v>
      </c>
    </row>
    <row r="1823" spans="1:11" x14ac:dyDescent="0.25">
      <c r="A1823" s="1" t="s">
        <v>387</v>
      </c>
      <c r="B1823" s="1" t="s">
        <v>1285</v>
      </c>
      <c r="C1823" s="1" t="s">
        <v>2262</v>
      </c>
      <c r="D1823" s="1" t="s">
        <v>1998</v>
      </c>
      <c r="E1823" s="1"/>
      <c r="F1823" s="1" t="s">
        <v>11</v>
      </c>
      <c r="G1823">
        <v>55</v>
      </c>
      <c r="H1823">
        <v>55</v>
      </c>
      <c r="I1823" s="2"/>
      <c r="J1823" s="2">
        <v>45751</v>
      </c>
      <c r="K1823" s="2">
        <v>45777</v>
      </c>
    </row>
    <row r="1824" spans="1:11" x14ac:dyDescent="0.25">
      <c r="A1824" s="1" t="s">
        <v>387</v>
      </c>
      <c r="B1824" s="1" t="s">
        <v>1286</v>
      </c>
      <c r="C1824" s="1" t="s">
        <v>2263</v>
      </c>
      <c r="D1824" s="1" t="s">
        <v>1998</v>
      </c>
      <c r="E1824" s="1"/>
      <c r="F1824" s="1" t="s">
        <v>11</v>
      </c>
      <c r="G1824">
        <v>25</v>
      </c>
      <c r="H1824">
        <v>25</v>
      </c>
      <c r="I1824" s="2"/>
      <c r="J1824" s="2">
        <v>45751</v>
      </c>
      <c r="K1824" s="2">
        <v>45777</v>
      </c>
    </row>
    <row r="1825" spans="1:11" x14ac:dyDescent="0.25">
      <c r="A1825" s="1" t="s">
        <v>387</v>
      </c>
      <c r="B1825" s="1" t="s">
        <v>1287</v>
      </c>
      <c r="C1825" s="1" t="s">
        <v>2264</v>
      </c>
      <c r="D1825" s="1" t="s">
        <v>1998</v>
      </c>
      <c r="E1825" s="1"/>
      <c r="F1825" s="1" t="s">
        <v>11</v>
      </c>
      <c r="G1825">
        <v>1</v>
      </c>
      <c r="H1825">
        <v>1</v>
      </c>
      <c r="I1825" s="2"/>
      <c r="J1825" s="2">
        <v>45751</v>
      </c>
      <c r="K1825" s="2">
        <v>45777</v>
      </c>
    </row>
    <row r="1826" spans="1:11" x14ac:dyDescent="0.25">
      <c r="A1826" s="1" t="s">
        <v>387</v>
      </c>
      <c r="B1826" s="1" t="s">
        <v>1096</v>
      </c>
      <c r="C1826" s="1" t="s">
        <v>2067</v>
      </c>
      <c r="D1826" s="1" t="s">
        <v>1998</v>
      </c>
      <c r="E1826" s="1"/>
      <c r="F1826" s="1" t="s">
        <v>11</v>
      </c>
      <c r="G1826">
        <v>3090</v>
      </c>
      <c r="H1826">
        <v>3090</v>
      </c>
      <c r="I1826" s="2"/>
      <c r="J1826" s="2">
        <v>45751</v>
      </c>
      <c r="K1826" s="2">
        <v>45777</v>
      </c>
    </row>
    <row r="1827" spans="1:11" x14ac:dyDescent="0.25">
      <c r="A1827" s="1" t="s">
        <v>388</v>
      </c>
      <c r="B1827" s="1" t="s">
        <v>1281</v>
      </c>
      <c r="C1827" s="1" t="s">
        <v>2258</v>
      </c>
      <c r="D1827" s="1" t="s">
        <v>1998</v>
      </c>
      <c r="E1827" s="1"/>
      <c r="F1827" s="1" t="s">
        <v>11</v>
      </c>
      <c r="G1827">
        <v>10</v>
      </c>
      <c r="H1827">
        <v>10</v>
      </c>
      <c r="I1827" s="2"/>
      <c r="J1827" s="2">
        <v>45751</v>
      </c>
      <c r="K1827" s="2">
        <v>45777</v>
      </c>
    </row>
    <row r="1828" spans="1:11" x14ac:dyDescent="0.25">
      <c r="A1828" s="1" t="s">
        <v>388</v>
      </c>
      <c r="B1828" s="1" t="s">
        <v>1282</v>
      </c>
      <c r="C1828" s="1" t="s">
        <v>2259</v>
      </c>
      <c r="D1828" s="1" t="s">
        <v>1998</v>
      </c>
      <c r="E1828" s="1"/>
      <c r="F1828" s="1" t="s">
        <v>11</v>
      </c>
      <c r="G1828">
        <v>45</v>
      </c>
      <c r="H1828">
        <v>45</v>
      </c>
      <c r="I1828" s="2"/>
      <c r="J1828" s="2">
        <v>45751</v>
      </c>
      <c r="K1828" s="2">
        <v>45777</v>
      </c>
    </row>
    <row r="1829" spans="1:11" x14ac:dyDescent="0.25">
      <c r="A1829" s="1" t="s">
        <v>388</v>
      </c>
      <c r="B1829" s="1" t="s">
        <v>1283</v>
      </c>
      <c r="C1829" s="1" t="s">
        <v>2260</v>
      </c>
      <c r="D1829" s="1" t="s">
        <v>1998</v>
      </c>
      <c r="E1829" s="1"/>
      <c r="F1829" s="1" t="s">
        <v>11</v>
      </c>
      <c r="G1829">
        <v>9075</v>
      </c>
      <c r="H1829">
        <v>9075</v>
      </c>
      <c r="I1829" s="2"/>
      <c r="J1829" s="2">
        <v>45751</v>
      </c>
      <c r="K1829" s="2">
        <v>45777</v>
      </c>
    </row>
    <row r="1830" spans="1:11" x14ac:dyDescent="0.25">
      <c r="A1830" s="1" t="s">
        <v>388</v>
      </c>
      <c r="B1830" s="1" t="s">
        <v>1047</v>
      </c>
      <c r="C1830" s="1" t="s">
        <v>2056</v>
      </c>
      <c r="D1830" s="1" t="s">
        <v>1998</v>
      </c>
      <c r="E1830" s="1"/>
      <c r="F1830" s="1" t="s">
        <v>11</v>
      </c>
      <c r="G1830">
        <v>15</v>
      </c>
      <c r="H1830">
        <v>15</v>
      </c>
      <c r="I1830" s="2"/>
      <c r="J1830" s="2">
        <v>45751</v>
      </c>
      <c r="K1830" s="2">
        <v>45777</v>
      </c>
    </row>
    <row r="1831" spans="1:11" x14ac:dyDescent="0.25">
      <c r="A1831" s="1" t="s">
        <v>388</v>
      </c>
      <c r="B1831" s="1" t="s">
        <v>1284</v>
      </c>
      <c r="C1831" s="1" t="s">
        <v>2261</v>
      </c>
      <c r="D1831" s="1" t="s">
        <v>1998</v>
      </c>
      <c r="E1831" s="1"/>
      <c r="F1831" s="1" t="s">
        <v>11</v>
      </c>
      <c r="G1831">
        <v>130</v>
      </c>
      <c r="H1831">
        <v>130</v>
      </c>
      <c r="I1831" s="2"/>
      <c r="J1831" s="2">
        <v>45751</v>
      </c>
      <c r="K1831" s="2">
        <v>45777</v>
      </c>
    </row>
    <row r="1832" spans="1:11" x14ac:dyDescent="0.25">
      <c r="A1832" s="1" t="s">
        <v>388</v>
      </c>
      <c r="B1832" s="1" t="s">
        <v>1285</v>
      </c>
      <c r="C1832" s="1" t="s">
        <v>2262</v>
      </c>
      <c r="D1832" s="1" t="s">
        <v>1998</v>
      </c>
      <c r="E1832" s="1"/>
      <c r="F1832" s="1" t="s">
        <v>11</v>
      </c>
      <c r="G1832">
        <v>55</v>
      </c>
      <c r="H1832">
        <v>55</v>
      </c>
      <c r="I1832" s="2"/>
      <c r="J1832" s="2">
        <v>45751</v>
      </c>
      <c r="K1832" s="2">
        <v>45777</v>
      </c>
    </row>
    <row r="1833" spans="1:11" x14ac:dyDescent="0.25">
      <c r="A1833" s="1" t="s">
        <v>388</v>
      </c>
      <c r="B1833" s="1" t="s">
        <v>1286</v>
      </c>
      <c r="C1833" s="1" t="s">
        <v>2263</v>
      </c>
      <c r="D1833" s="1" t="s">
        <v>1998</v>
      </c>
      <c r="E1833" s="1"/>
      <c r="F1833" s="1" t="s">
        <v>11</v>
      </c>
      <c r="G1833">
        <v>25</v>
      </c>
      <c r="H1833">
        <v>25</v>
      </c>
      <c r="I1833" s="2"/>
      <c r="J1833" s="2">
        <v>45751</v>
      </c>
      <c r="K1833" s="2">
        <v>45777</v>
      </c>
    </row>
    <row r="1834" spans="1:11" x14ac:dyDescent="0.25">
      <c r="A1834" s="1" t="s">
        <v>388</v>
      </c>
      <c r="B1834" s="1" t="s">
        <v>1287</v>
      </c>
      <c r="C1834" s="1" t="s">
        <v>2264</v>
      </c>
      <c r="D1834" s="1" t="s">
        <v>1998</v>
      </c>
      <c r="E1834" s="1"/>
      <c r="F1834" s="1" t="s">
        <v>11</v>
      </c>
      <c r="G1834">
        <v>1</v>
      </c>
      <c r="H1834">
        <v>1</v>
      </c>
      <c r="I1834" s="2"/>
      <c r="J1834" s="2">
        <v>45751</v>
      </c>
      <c r="K1834" s="2">
        <v>45777</v>
      </c>
    </row>
    <row r="1835" spans="1:11" x14ac:dyDescent="0.25">
      <c r="A1835" s="1" t="s">
        <v>388</v>
      </c>
      <c r="B1835" s="1" t="s">
        <v>1096</v>
      </c>
      <c r="C1835" s="1" t="s">
        <v>2067</v>
      </c>
      <c r="D1835" s="1" t="s">
        <v>1998</v>
      </c>
      <c r="E1835" s="1"/>
      <c r="F1835" s="1" t="s">
        <v>11</v>
      </c>
      <c r="G1835">
        <v>3090</v>
      </c>
      <c r="H1835">
        <v>3090</v>
      </c>
      <c r="I1835" s="2"/>
      <c r="J1835" s="2">
        <v>45751</v>
      </c>
      <c r="K1835" s="2">
        <v>45777</v>
      </c>
    </row>
    <row r="1836" spans="1:11" x14ac:dyDescent="0.25">
      <c r="A1836" s="1" t="s">
        <v>389</v>
      </c>
      <c r="B1836" s="1" t="s">
        <v>1048</v>
      </c>
      <c r="C1836" s="1" t="s">
        <v>2057</v>
      </c>
      <c r="D1836" s="1" t="s">
        <v>1998</v>
      </c>
      <c r="E1836" s="1"/>
      <c r="F1836" s="1" t="s">
        <v>11</v>
      </c>
      <c r="G1836">
        <v>1</v>
      </c>
      <c r="H1836">
        <v>1</v>
      </c>
      <c r="I1836" s="2"/>
      <c r="J1836" s="2">
        <v>45741</v>
      </c>
      <c r="K1836" s="2">
        <v>45784</v>
      </c>
    </row>
    <row r="1837" spans="1:11" x14ac:dyDescent="0.25">
      <c r="A1837" s="1" t="s">
        <v>389</v>
      </c>
      <c r="B1837" s="1" t="s">
        <v>1047</v>
      </c>
      <c r="C1837" s="1" t="s">
        <v>2056</v>
      </c>
      <c r="D1837" s="1" t="s">
        <v>1998</v>
      </c>
      <c r="E1837" s="1"/>
      <c r="F1837" s="1" t="s">
        <v>11</v>
      </c>
      <c r="G1837">
        <v>15</v>
      </c>
      <c r="H1837">
        <v>15</v>
      </c>
      <c r="I1837" s="2"/>
      <c r="J1837" s="2">
        <v>45741</v>
      </c>
      <c r="K1837" s="2">
        <v>45784</v>
      </c>
    </row>
    <row r="1838" spans="1:11" x14ac:dyDescent="0.25">
      <c r="A1838" s="1" t="s">
        <v>389</v>
      </c>
      <c r="B1838" s="1" t="s">
        <v>1049</v>
      </c>
      <c r="C1838" s="1" t="s">
        <v>2058</v>
      </c>
      <c r="D1838" s="1" t="s">
        <v>1998</v>
      </c>
      <c r="E1838" s="1"/>
      <c r="F1838" s="1" t="s">
        <v>11</v>
      </c>
      <c r="G1838">
        <v>1</v>
      </c>
      <c r="H1838">
        <v>1</v>
      </c>
      <c r="I1838" s="2"/>
      <c r="J1838" s="2">
        <v>45741</v>
      </c>
      <c r="K1838" s="2">
        <v>45784</v>
      </c>
    </row>
    <row r="1839" spans="1:11" x14ac:dyDescent="0.25">
      <c r="A1839" s="1" t="s">
        <v>390</v>
      </c>
      <c r="B1839" s="1" t="s">
        <v>1048</v>
      </c>
      <c r="C1839" s="1" t="s">
        <v>2057</v>
      </c>
      <c r="D1839" s="1" t="s">
        <v>1998</v>
      </c>
      <c r="E1839" s="1"/>
      <c r="F1839" s="1" t="s">
        <v>11</v>
      </c>
      <c r="G1839">
        <v>1</v>
      </c>
      <c r="H1839">
        <v>1</v>
      </c>
      <c r="I1839" s="2"/>
      <c r="J1839" s="2">
        <v>45741</v>
      </c>
      <c r="K1839" s="2">
        <v>45784</v>
      </c>
    </row>
    <row r="1840" spans="1:11" x14ac:dyDescent="0.25">
      <c r="A1840" s="1" t="s">
        <v>390</v>
      </c>
      <c r="B1840" s="1" t="s">
        <v>1047</v>
      </c>
      <c r="C1840" s="1" t="s">
        <v>2056</v>
      </c>
      <c r="D1840" s="1" t="s">
        <v>1998</v>
      </c>
      <c r="E1840" s="1"/>
      <c r="F1840" s="1" t="s">
        <v>11</v>
      </c>
      <c r="G1840">
        <v>15</v>
      </c>
      <c r="H1840">
        <v>15</v>
      </c>
      <c r="I1840" s="2"/>
      <c r="J1840" s="2">
        <v>45741</v>
      </c>
      <c r="K1840" s="2">
        <v>45784</v>
      </c>
    </row>
    <row r="1841" spans="1:11" x14ac:dyDescent="0.25">
      <c r="A1841" s="1" t="s">
        <v>390</v>
      </c>
      <c r="B1841" s="1" t="s">
        <v>1049</v>
      </c>
      <c r="C1841" s="1" t="s">
        <v>2058</v>
      </c>
      <c r="D1841" s="1" t="s">
        <v>1998</v>
      </c>
      <c r="E1841" s="1"/>
      <c r="F1841" s="1" t="s">
        <v>11</v>
      </c>
      <c r="G1841">
        <v>1</v>
      </c>
      <c r="H1841">
        <v>1</v>
      </c>
      <c r="I1841" s="2"/>
      <c r="J1841" s="2">
        <v>45741</v>
      </c>
      <c r="K1841" s="2">
        <v>45784</v>
      </c>
    </row>
    <row r="1842" spans="1:11" x14ac:dyDescent="0.25">
      <c r="A1842" s="1" t="s">
        <v>391</v>
      </c>
      <c r="B1842" s="1" t="s">
        <v>1048</v>
      </c>
      <c r="C1842" s="1" t="s">
        <v>2057</v>
      </c>
      <c r="D1842" s="1" t="s">
        <v>1998</v>
      </c>
      <c r="E1842" s="1"/>
      <c r="F1842" s="1" t="s">
        <v>11</v>
      </c>
      <c r="G1842">
        <v>1</v>
      </c>
      <c r="H1842">
        <v>1</v>
      </c>
      <c r="I1842" s="2"/>
      <c r="J1842" s="2">
        <v>45741</v>
      </c>
      <c r="K1842" s="2">
        <v>45777</v>
      </c>
    </row>
    <row r="1843" spans="1:11" x14ac:dyDescent="0.25">
      <c r="A1843" s="1" t="s">
        <v>391</v>
      </c>
      <c r="B1843" s="1" t="s">
        <v>1047</v>
      </c>
      <c r="C1843" s="1" t="s">
        <v>2056</v>
      </c>
      <c r="D1843" s="1" t="s">
        <v>1998</v>
      </c>
      <c r="E1843" s="1"/>
      <c r="F1843" s="1" t="s">
        <v>11</v>
      </c>
      <c r="G1843">
        <v>15</v>
      </c>
      <c r="H1843">
        <v>15</v>
      </c>
      <c r="I1843" s="2"/>
      <c r="J1843" s="2">
        <v>45741</v>
      </c>
      <c r="K1843" s="2">
        <v>45777</v>
      </c>
    </row>
    <row r="1844" spans="1:11" x14ac:dyDescent="0.25">
      <c r="A1844" s="1" t="s">
        <v>391</v>
      </c>
      <c r="B1844" s="1" t="s">
        <v>1049</v>
      </c>
      <c r="C1844" s="1" t="s">
        <v>2058</v>
      </c>
      <c r="D1844" s="1" t="s">
        <v>1998</v>
      </c>
      <c r="E1844" s="1"/>
      <c r="F1844" s="1" t="s">
        <v>11</v>
      </c>
      <c r="G1844">
        <v>1</v>
      </c>
      <c r="H1844">
        <v>1</v>
      </c>
      <c r="I1844" s="2"/>
      <c r="J1844" s="2">
        <v>45741</v>
      </c>
      <c r="K1844" s="2">
        <v>45777</v>
      </c>
    </row>
    <row r="1845" spans="1:11" x14ac:dyDescent="0.25">
      <c r="A1845" s="1" t="s">
        <v>392</v>
      </c>
      <c r="B1845" s="1" t="s">
        <v>1289</v>
      </c>
      <c r="C1845" s="1" t="s">
        <v>2266</v>
      </c>
      <c r="D1845" s="1" t="s">
        <v>1998</v>
      </c>
      <c r="E1845" s="1"/>
      <c r="F1845" s="1" t="s">
        <v>11</v>
      </c>
      <c r="G1845">
        <v>29930</v>
      </c>
      <c r="H1845">
        <v>29930</v>
      </c>
      <c r="I1845" s="2"/>
      <c r="J1845" s="2">
        <v>45735</v>
      </c>
      <c r="K1845" s="2">
        <v>45735</v>
      </c>
    </row>
    <row r="1846" spans="1:11" x14ac:dyDescent="0.25">
      <c r="A1846" s="1" t="s">
        <v>393</v>
      </c>
      <c r="B1846" s="1" t="s">
        <v>1468</v>
      </c>
      <c r="C1846" s="1" t="s">
        <v>2405</v>
      </c>
      <c r="D1846" s="1" t="s">
        <v>1998</v>
      </c>
      <c r="E1846" s="1"/>
      <c r="F1846" s="1" t="s">
        <v>11</v>
      </c>
      <c r="G1846">
        <v>20</v>
      </c>
      <c r="H1846">
        <v>20</v>
      </c>
      <c r="I1846" s="2"/>
      <c r="J1846" s="2">
        <v>45735</v>
      </c>
      <c r="K1846" s="2">
        <v>45776</v>
      </c>
    </row>
    <row r="1847" spans="1:11" x14ac:dyDescent="0.25">
      <c r="A1847" s="1" t="s">
        <v>393</v>
      </c>
      <c r="B1847" s="1" t="s">
        <v>1469</v>
      </c>
      <c r="C1847" s="1" t="s">
        <v>2406</v>
      </c>
      <c r="D1847" s="1" t="s">
        <v>1998</v>
      </c>
      <c r="E1847" s="1"/>
      <c r="F1847" s="1" t="s">
        <v>11</v>
      </c>
      <c r="G1847">
        <v>780</v>
      </c>
      <c r="H1847">
        <v>1150</v>
      </c>
      <c r="I1847" s="2"/>
      <c r="J1847" s="2">
        <v>45735</v>
      </c>
      <c r="K1847" s="2">
        <v>45776</v>
      </c>
    </row>
    <row r="1848" spans="1:11" x14ac:dyDescent="0.25">
      <c r="A1848" s="1" t="s">
        <v>393</v>
      </c>
      <c r="B1848" s="1" t="s">
        <v>1470</v>
      </c>
      <c r="C1848" s="1" t="s">
        <v>2407</v>
      </c>
      <c r="D1848" s="1" t="s">
        <v>1998</v>
      </c>
      <c r="E1848" s="1"/>
      <c r="F1848" s="1" t="s">
        <v>11</v>
      </c>
      <c r="G1848">
        <v>20</v>
      </c>
      <c r="H1848">
        <v>20</v>
      </c>
      <c r="I1848" s="2"/>
      <c r="J1848" s="2">
        <v>45735</v>
      </c>
      <c r="K1848" s="2">
        <v>45776</v>
      </c>
    </row>
    <row r="1849" spans="1:11" x14ac:dyDescent="0.25">
      <c r="A1849" s="1" t="s">
        <v>393</v>
      </c>
      <c r="B1849" s="1" t="s">
        <v>987</v>
      </c>
      <c r="C1849" s="1" t="s">
        <v>2005</v>
      </c>
      <c r="D1849" s="1" t="s">
        <v>1998</v>
      </c>
      <c r="E1849" s="1"/>
      <c r="F1849" s="1" t="s">
        <v>13</v>
      </c>
      <c r="G1849">
        <v>6010</v>
      </c>
      <c r="H1849">
        <v>6010</v>
      </c>
      <c r="I1849" s="2"/>
      <c r="J1849" s="2">
        <v>45735</v>
      </c>
      <c r="K1849" s="2">
        <v>45776</v>
      </c>
    </row>
    <row r="1850" spans="1:11" x14ac:dyDescent="0.25">
      <c r="A1850" s="1" t="s">
        <v>393</v>
      </c>
      <c r="B1850" s="1" t="s">
        <v>1471</v>
      </c>
      <c r="C1850" s="1" t="s">
        <v>2408</v>
      </c>
      <c r="D1850" s="1" t="s">
        <v>1998</v>
      </c>
      <c r="E1850" s="1"/>
      <c r="F1850" s="1" t="s">
        <v>13</v>
      </c>
      <c r="G1850">
        <v>5720</v>
      </c>
      <c r="H1850">
        <v>5780</v>
      </c>
      <c r="I1850" s="2"/>
      <c r="J1850" s="2">
        <v>45735</v>
      </c>
      <c r="K1850" s="2">
        <v>45776</v>
      </c>
    </row>
    <row r="1851" spans="1:11" x14ac:dyDescent="0.25">
      <c r="A1851" s="1" t="s">
        <v>393</v>
      </c>
      <c r="B1851" s="1" t="s">
        <v>1472</v>
      </c>
      <c r="C1851" s="1" t="s">
        <v>2409</v>
      </c>
      <c r="D1851" s="1" t="s">
        <v>1998</v>
      </c>
      <c r="E1851" s="1"/>
      <c r="F1851" s="1" t="s">
        <v>11</v>
      </c>
      <c r="G1851">
        <v>1</v>
      </c>
      <c r="H1851">
        <v>1</v>
      </c>
      <c r="I1851" s="2"/>
      <c r="J1851" s="2">
        <v>45735</v>
      </c>
      <c r="K1851" s="2">
        <v>45776</v>
      </c>
    </row>
    <row r="1852" spans="1:11" x14ac:dyDescent="0.25">
      <c r="A1852" s="1" t="s">
        <v>393</v>
      </c>
      <c r="B1852" s="1" t="s">
        <v>1027</v>
      </c>
      <c r="C1852" s="1" t="s">
        <v>2040</v>
      </c>
      <c r="D1852" s="1" t="s">
        <v>1998</v>
      </c>
      <c r="E1852" s="1"/>
      <c r="F1852" s="1" t="s">
        <v>11</v>
      </c>
      <c r="G1852">
        <v>50</v>
      </c>
      <c r="H1852">
        <v>35</v>
      </c>
      <c r="I1852" s="2"/>
      <c r="J1852" s="2">
        <v>45735</v>
      </c>
      <c r="K1852" s="2">
        <v>45776</v>
      </c>
    </row>
    <row r="1853" spans="1:11" x14ac:dyDescent="0.25">
      <c r="A1853" s="1" t="s">
        <v>393</v>
      </c>
      <c r="B1853" s="1" t="s">
        <v>1013</v>
      </c>
      <c r="C1853" s="1" t="s">
        <v>2030</v>
      </c>
      <c r="D1853" s="1" t="s">
        <v>1998</v>
      </c>
      <c r="E1853" s="1"/>
      <c r="F1853" s="1" t="s">
        <v>11</v>
      </c>
      <c r="G1853">
        <v>20</v>
      </c>
      <c r="H1853">
        <v>15</v>
      </c>
      <c r="I1853" s="2"/>
      <c r="J1853" s="2">
        <v>45735</v>
      </c>
      <c r="K1853" s="2">
        <v>45776</v>
      </c>
    </row>
    <row r="1854" spans="1:11" x14ac:dyDescent="0.25">
      <c r="A1854" s="1" t="s">
        <v>393</v>
      </c>
      <c r="B1854" s="1" t="s">
        <v>993</v>
      </c>
      <c r="C1854" s="1" t="s">
        <v>2011</v>
      </c>
      <c r="D1854" s="1" t="s">
        <v>1998</v>
      </c>
      <c r="E1854" s="1"/>
      <c r="F1854" s="1" t="s">
        <v>11</v>
      </c>
      <c r="G1854">
        <v>10</v>
      </c>
      <c r="H1854">
        <v>5</v>
      </c>
      <c r="I1854" s="2"/>
      <c r="J1854" s="2">
        <v>45735</v>
      </c>
      <c r="K1854" s="2">
        <v>45776</v>
      </c>
    </row>
    <row r="1855" spans="1:11" x14ac:dyDescent="0.25">
      <c r="A1855" s="1" t="s">
        <v>393</v>
      </c>
      <c r="B1855" s="1" t="s">
        <v>993</v>
      </c>
      <c r="C1855" s="1" t="s">
        <v>2011</v>
      </c>
      <c r="D1855" s="1" t="s">
        <v>1998</v>
      </c>
      <c r="E1855" s="1"/>
      <c r="F1855" s="1" t="s">
        <v>11</v>
      </c>
      <c r="G1855">
        <v>10</v>
      </c>
      <c r="H1855">
        <v>10</v>
      </c>
      <c r="I1855" s="2"/>
      <c r="J1855" s="2">
        <v>45735</v>
      </c>
      <c r="K1855" s="2">
        <v>45776</v>
      </c>
    </row>
    <row r="1856" spans="1:11" x14ac:dyDescent="0.25">
      <c r="A1856" s="1" t="s">
        <v>393</v>
      </c>
      <c r="B1856" s="1" t="s">
        <v>1473</v>
      </c>
      <c r="C1856" s="1" t="s">
        <v>2410</v>
      </c>
      <c r="D1856" s="1" t="s">
        <v>1998</v>
      </c>
      <c r="E1856" s="1"/>
      <c r="F1856" s="1" t="s">
        <v>11</v>
      </c>
      <c r="G1856">
        <v>1</v>
      </c>
      <c r="H1856">
        <v>1</v>
      </c>
      <c r="I1856" s="2"/>
      <c r="J1856" s="2">
        <v>45735</v>
      </c>
      <c r="K1856" s="2">
        <v>45776</v>
      </c>
    </row>
    <row r="1857" spans="1:11" x14ac:dyDescent="0.25">
      <c r="A1857" s="1" t="s">
        <v>393</v>
      </c>
      <c r="B1857" s="1" t="s">
        <v>1474</v>
      </c>
      <c r="C1857" s="1" t="s">
        <v>2411</v>
      </c>
      <c r="D1857" s="1" t="s">
        <v>1998</v>
      </c>
      <c r="E1857" s="1"/>
      <c r="F1857" s="1" t="s">
        <v>11</v>
      </c>
      <c r="G1857">
        <v>1</v>
      </c>
      <c r="H1857">
        <v>1</v>
      </c>
      <c r="I1857" s="2"/>
      <c r="J1857" s="2">
        <v>45735</v>
      </c>
      <c r="K1857" s="2">
        <v>45776</v>
      </c>
    </row>
    <row r="1858" spans="1:11" x14ac:dyDescent="0.25">
      <c r="A1858" s="1" t="s">
        <v>393</v>
      </c>
      <c r="B1858" s="1" t="s">
        <v>1475</v>
      </c>
      <c r="C1858" s="1" t="s">
        <v>2412</v>
      </c>
      <c r="D1858" s="1" t="s">
        <v>1998</v>
      </c>
      <c r="E1858" s="1"/>
      <c r="F1858" s="1" t="s">
        <v>11</v>
      </c>
      <c r="G1858">
        <v>1</v>
      </c>
      <c r="H1858">
        <v>1</v>
      </c>
      <c r="I1858" s="2"/>
      <c r="J1858" s="2">
        <v>45735</v>
      </c>
      <c r="K1858" s="2">
        <v>45776</v>
      </c>
    </row>
    <row r="1859" spans="1:11" x14ac:dyDescent="0.25">
      <c r="A1859" s="1" t="s">
        <v>394</v>
      </c>
      <c r="B1859" s="1" t="s">
        <v>1348</v>
      </c>
      <c r="C1859" s="1" t="s">
        <v>2301</v>
      </c>
      <c r="D1859" s="1" t="s">
        <v>1998</v>
      </c>
      <c r="E1859" s="1"/>
      <c r="F1859" s="1" t="s">
        <v>11</v>
      </c>
      <c r="G1859">
        <v>10</v>
      </c>
      <c r="H1859">
        <v>15</v>
      </c>
      <c r="I1859" s="2"/>
      <c r="J1859" s="2">
        <v>45736</v>
      </c>
      <c r="K1859" s="2">
        <v>45743</v>
      </c>
    </row>
    <row r="1860" spans="1:11" x14ac:dyDescent="0.25">
      <c r="A1860" s="1" t="s">
        <v>394</v>
      </c>
      <c r="B1860" s="1" t="s">
        <v>1194</v>
      </c>
      <c r="C1860" s="1" t="s">
        <v>2185</v>
      </c>
      <c r="D1860" s="1" t="s">
        <v>1998</v>
      </c>
      <c r="E1860" s="1"/>
      <c r="F1860" s="1" t="s">
        <v>11</v>
      </c>
      <c r="G1860">
        <v>205</v>
      </c>
      <c r="H1860">
        <v>205</v>
      </c>
      <c r="I1860" s="2"/>
      <c r="J1860" s="2">
        <v>45736</v>
      </c>
      <c r="K1860" s="2">
        <v>45743</v>
      </c>
    </row>
    <row r="1861" spans="1:11" x14ac:dyDescent="0.25">
      <c r="A1861" s="1" t="s">
        <v>394</v>
      </c>
      <c r="B1861" s="1" t="s">
        <v>991</v>
      </c>
      <c r="C1861" s="1" t="s">
        <v>2009</v>
      </c>
      <c r="D1861" s="1" t="s">
        <v>1998</v>
      </c>
      <c r="E1861" s="1"/>
      <c r="F1861" s="1" t="s">
        <v>12</v>
      </c>
      <c r="G1861">
        <v>1</v>
      </c>
      <c r="H1861">
        <v>20</v>
      </c>
      <c r="I1861" s="2"/>
      <c r="J1861" s="2">
        <v>45736</v>
      </c>
      <c r="K1861" s="2">
        <v>45743</v>
      </c>
    </row>
    <row r="1862" spans="1:11" x14ac:dyDescent="0.25">
      <c r="A1862" s="1" t="s">
        <v>394</v>
      </c>
      <c r="B1862" s="1" t="s">
        <v>992</v>
      </c>
      <c r="C1862" s="1" t="s">
        <v>2010</v>
      </c>
      <c r="D1862" s="1" t="s">
        <v>1998</v>
      </c>
      <c r="E1862" s="1"/>
      <c r="F1862" s="1" t="s">
        <v>12</v>
      </c>
      <c r="G1862">
        <v>1</v>
      </c>
      <c r="H1862">
        <v>30</v>
      </c>
      <c r="I1862" s="2"/>
      <c r="J1862" s="2">
        <v>45736</v>
      </c>
      <c r="K1862" s="2">
        <v>45743</v>
      </c>
    </row>
    <row r="1863" spans="1:11" x14ac:dyDescent="0.25">
      <c r="A1863" s="1" t="s">
        <v>394</v>
      </c>
      <c r="B1863" s="1" t="s">
        <v>993</v>
      </c>
      <c r="C1863" s="1" t="s">
        <v>2011</v>
      </c>
      <c r="D1863" s="1" t="s">
        <v>1998</v>
      </c>
      <c r="E1863" s="1"/>
      <c r="F1863" s="1" t="s">
        <v>12</v>
      </c>
      <c r="G1863">
        <v>1</v>
      </c>
      <c r="H1863">
        <v>95</v>
      </c>
      <c r="I1863" s="2"/>
      <c r="J1863" s="2">
        <v>45736</v>
      </c>
      <c r="K1863" s="2">
        <v>45743</v>
      </c>
    </row>
    <row r="1864" spans="1:11" x14ac:dyDescent="0.25">
      <c r="A1864" s="1" t="s">
        <v>395</v>
      </c>
      <c r="B1864" s="1" t="s">
        <v>1204</v>
      </c>
      <c r="C1864" s="1" t="s">
        <v>2194</v>
      </c>
      <c r="D1864" s="1" t="s">
        <v>1998</v>
      </c>
      <c r="E1864" s="1"/>
      <c r="F1864" s="1" t="s">
        <v>11</v>
      </c>
      <c r="G1864">
        <v>175</v>
      </c>
      <c r="H1864">
        <v>805</v>
      </c>
      <c r="I1864" s="2"/>
      <c r="J1864" s="2">
        <v>45735</v>
      </c>
      <c r="K1864" s="2">
        <v>45743</v>
      </c>
    </row>
    <row r="1865" spans="1:11" x14ac:dyDescent="0.25">
      <c r="A1865" s="1" t="s">
        <v>395</v>
      </c>
      <c r="B1865" s="1" t="s">
        <v>1205</v>
      </c>
      <c r="C1865" s="1" t="s">
        <v>2195</v>
      </c>
      <c r="D1865" s="1" t="s">
        <v>1998</v>
      </c>
      <c r="E1865" s="1"/>
      <c r="F1865" s="1" t="s">
        <v>11</v>
      </c>
      <c r="G1865">
        <v>770</v>
      </c>
      <c r="H1865">
        <v>60</v>
      </c>
      <c r="I1865" s="2"/>
      <c r="J1865" s="2">
        <v>45735</v>
      </c>
      <c r="K1865" s="2">
        <v>45743</v>
      </c>
    </row>
    <row r="1866" spans="1:11" x14ac:dyDescent="0.25">
      <c r="A1866" s="1" t="s">
        <v>395</v>
      </c>
      <c r="B1866" s="1" t="s">
        <v>1267</v>
      </c>
      <c r="C1866" s="1" t="s">
        <v>2244</v>
      </c>
      <c r="D1866" s="1" t="s">
        <v>1998</v>
      </c>
      <c r="E1866" s="1"/>
      <c r="F1866" s="1" t="s">
        <v>12</v>
      </c>
      <c r="G1866">
        <v>1</v>
      </c>
      <c r="H1866">
        <v>10</v>
      </c>
      <c r="I1866" s="2"/>
      <c r="J1866" s="2">
        <v>45735</v>
      </c>
      <c r="K1866" s="2">
        <v>45743</v>
      </c>
    </row>
    <row r="1867" spans="1:11" x14ac:dyDescent="0.25">
      <c r="A1867" s="1" t="s">
        <v>395</v>
      </c>
      <c r="B1867" s="1" t="s">
        <v>1206</v>
      </c>
      <c r="C1867" s="1" t="s">
        <v>2196</v>
      </c>
      <c r="D1867" s="1" t="s">
        <v>1998</v>
      </c>
      <c r="E1867" s="1"/>
      <c r="F1867" s="1" t="s">
        <v>11</v>
      </c>
      <c r="G1867">
        <v>1</v>
      </c>
      <c r="H1867">
        <v>1</v>
      </c>
      <c r="I1867" s="2"/>
      <c r="J1867" s="2">
        <v>45735</v>
      </c>
      <c r="K1867" s="2">
        <v>45743</v>
      </c>
    </row>
    <row r="1868" spans="1:11" x14ac:dyDescent="0.25">
      <c r="A1868" s="1" t="s">
        <v>395</v>
      </c>
      <c r="B1868" s="1" t="s">
        <v>1280</v>
      </c>
      <c r="C1868" s="1" t="s">
        <v>2257</v>
      </c>
      <c r="D1868" s="1" t="s">
        <v>1998</v>
      </c>
      <c r="E1868" s="1"/>
      <c r="F1868" s="1" t="s">
        <v>11</v>
      </c>
      <c r="G1868">
        <v>15</v>
      </c>
      <c r="H1868">
        <v>15</v>
      </c>
      <c r="I1868" s="2"/>
      <c r="J1868" s="2">
        <v>45735</v>
      </c>
      <c r="K1868" s="2">
        <v>45743</v>
      </c>
    </row>
    <row r="1869" spans="1:11" x14ac:dyDescent="0.25">
      <c r="A1869" s="1" t="s">
        <v>396</v>
      </c>
      <c r="B1869" s="1" t="s">
        <v>1385</v>
      </c>
      <c r="C1869" s="1" t="s">
        <v>2334</v>
      </c>
      <c r="D1869" s="1" t="s">
        <v>1998</v>
      </c>
      <c r="E1869" s="1"/>
      <c r="F1869" s="1" t="s">
        <v>11</v>
      </c>
      <c r="G1869">
        <v>25</v>
      </c>
      <c r="H1869">
        <v>25</v>
      </c>
      <c r="I1869" s="2"/>
      <c r="J1869" s="2">
        <v>45744</v>
      </c>
      <c r="K1869" s="2">
        <v>45758</v>
      </c>
    </row>
    <row r="1870" spans="1:11" x14ac:dyDescent="0.25">
      <c r="A1870" s="1" t="s">
        <v>396</v>
      </c>
      <c r="B1870" s="1" t="s">
        <v>1228</v>
      </c>
      <c r="C1870" s="1" t="s">
        <v>2212</v>
      </c>
      <c r="D1870" s="1" t="s">
        <v>1998</v>
      </c>
      <c r="E1870" s="1"/>
      <c r="F1870" s="1" t="s">
        <v>11</v>
      </c>
      <c r="G1870">
        <v>1</v>
      </c>
      <c r="H1870">
        <v>1</v>
      </c>
      <c r="I1870" s="2"/>
      <c r="J1870" s="2">
        <v>45744</v>
      </c>
      <c r="K1870" s="2">
        <v>45758</v>
      </c>
    </row>
    <row r="1871" spans="1:11" x14ac:dyDescent="0.25">
      <c r="A1871" s="1" t="s">
        <v>396</v>
      </c>
      <c r="B1871" s="1" t="s">
        <v>1386</v>
      </c>
      <c r="C1871" s="1" t="s">
        <v>2335</v>
      </c>
      <c r="D1871" s="1" t="s">
        <v>1998</v>
      </c>
      <c r="E1871" s="1"/>
      <c r="F1871" s="1" t="s">
        <v>11</v>
      </c>
      <c r="G1871">
        <v>1</v>
      </c>
      <c r="H1871">
        <v>1</v>
      </c>
      <c r="I1871" s="2"/>
      <c r="J1871" s="2">
        <v>45744</v>
      </c>
      <c r="K1871" s="2">
        <v>45758</v>
      </c>
    </row>
    <row r="1872" spans="1:11" x14ac:dyDescent="0.25">
      <c r="A1872" s="1" t="s">
        <v>396</v>
      </c>
      <c r="B1872" s="1" t="s">
        <v>1229</v>
      </c>
      <c r="C1872" s="1" t="s">
        <v>2213</v>
      </c>
      <c r="D1872" s="1" t="s">
        <v>1998</v>
      </c>
      <c r="E1872" s="1"/>
      <c r="F1872" s="1" t="s">
        <v>11</v>
      </c>
      <c r="G1872">
        <v>5</v>
      </c>
      <c r="H1872">
        <v>5</v>
      </c>
      <c r="I1872" s="2"/>
      <c r="J1872" s="2">
        <v>45744</v>
      </c>
      <c r="K1872" s="2">
        <v>45758</v>
      </c>
    </row>
    <row r="1873" spans="1:11" x14ac:dyDescent="0.25">
      <c r="A1873" s="1" t="s">
        <v>396</v>
      </c>
      <c r="B1873" s="1" t="s">
        <v>1363</v>
      </c>
      <c r="C1873" s="1" t="s">
        <v>2313</v>
      </c>
      <c r="D1873" s="1" t="s">
        <v>1998</v>
      </c>
      <c r="E1873" s="1"/>
      <c r="F1873" s="1" t="s">
        <v>11</v>
      </c>
      <c r="G1873">
        <v>1</v>
      </c>
      <c r="H1873">
        <v>1</v>
      </c>
      <c r="I1873" s="2"/>
      <c r="J1873" s="2">
        <v>45744</v>
      </c>
      <c r="K1873" s="2">
        <v>45758</v>
      </c>
    </row>
    <row r="1874" spans="1:11" x14ac:dyDescent="0.25">
      <c r="A1874" s="1" t="s">
        <v>396</v>
      </c>
      <c r="B1874" s="1" t="s">
        <v>1367</v>
      </c>
      <c r="C1874" s="1" t="s">
        <v>2317</v>
      </c>
      <c r="D1874" s="1" t="s">
        <v>1998</v>
      </c>
      <c r="E1874" s="1"/>
      <c r="F1874" s="1" t="s">
        <v>11</v>
      </c>
      <c r="G1874">
        <v>1</v>
      </c>
      <c r="H1874">
        <v>1</v>
      </c>
      <c r="I1874" s="2"/>
      <c r="J1874" s="2">
        <v>45744</v>
      </c>
      <c r="K1874" s="2">
        <v>45758</v>
      </c>
    </row>
    <row r="1875" spans="1:11" x14ac:dyDescent="0.25">
      <c r="A1875" s="1" t="s">
        <v>396</v>
      </c>
      <c r="B1875" s="1" t="s">
        <v>1387</v>
      </c>
      <c r="C1875" s="1" t="s">
        <v>2336</v>
      </c>
      <c r="D1875" s="1" t="s">
        <v>1998</v>
      </c>
      <c r="E1875" s="1"/>
      <c r="F1875" s="1" t="s">
        <v>11</v>
      </c>
      <c r="G1875">
        <v>1</v>
      </c>
      <c r="H1875">
        <v>1</v>
      </c>
      <c r="I1875" s="2"/>
      <c r="J1875" s="2">
        <v>45744</v>
      </c>
      <c r="K1875" s="2">
        <v>45758</v>
      </c>
    </row>
    <row r="1876" spans="1:11" x14ac:dyDescent="0.25">
      <c r="A1876" s="1" t="s">
        <v>396</v>
      </c>
      <c r="B1876" s="1" t="s">
        <v>1234</v>
      </c>
      <c r="C1876" s="1" t="s">
        <v>2218</v>
      </c>
      <c r="D1876" s="1" t="s">
        <v>1998</v>
      </c>
      <c r="E1876" s="1"/>
      <c r="F1876" s="1" t="s">
        <v>11</v>
      </c>
      <c r="G1876">
        <v>1</v>
      </c>
      <c r="H1876">
        <v>1</v>
      </c>
      <c r="I1876" s="2"/>
      <c r="J1876" s="2">
        <v>45744</v>
      </c>
      <c r="K1876" s="2">
        <v>45758</v>
      </c>
    </row>
    <row r="1877" spans="1:11" x14ac:dyDescent="0.25">
      <c r="A1877" s="1" t="s">
        <v>396</v>
      </c>
      <c r="B1877" s="1" t="s">
        <v>1388</v>
      </c>
      <c r="C1877" s="1" t="s">
        <v>2337</v>
      </c>
      <c r="D1877" s="1" t="s">
        <v>1998</v>
      </c>
      <c r="E1877" s="1"/>
      <c r="F1877" s="1" t="s">
        <v>11</v>
      </c>
      <c r="G1877">
        <v>1</v>
      </c>
      <c r="H1877">
        <v>1</v>
      </c>
      <c r="I1877" s="2"/>
      <c r="J1877" s="2">
        <v>45744</v>
      </c>
      <c r="K1877" s="2">
        <v>45758</v>
      </c>
    </row>
    <row r="1878" spans="1:11" x14ac:dyDescent="0.25">
      <c r="A1878" s="1" t="s">
        <v>396</v>
      </c>
      <c r="B1878" s="1" t="s">
        <v>1389</v>
      </c>
      <c r="C1878" s="1" t="s">
        <v>2338</v>
      </c>
      <c r="D1878" s="1" t="s">
        <v>1998</v>
      </c>
      <c r="E1878" s="1"/>
      <c r="F1878" s="1" t="s">
        <v>11</v>
      </c>
      <c r="G1878">
        <v>1</v>
      </c>
      <c r="H1878">
        <v>1</v>
      </c>
      <c r="I1878" s="2"/>
      <c r="J1878" s="2">
        <v>45744</v>
      </c>
      <c r="K1878" s="2">
        <v>45758</v>
      </c>
    </row>
    <row r="1879" spans="1:11" x14ac:dyDescent="0.25">
      <c r="A1879" s="1" t="s">
        <v>396</v>
      </c>
      <c r="B1879" s="1" t="s">
        <v>1390</v>
      </c>
      <c r="C1879" s="1" t="s">
        <v>2339</v>
      </c>
      <c r="D1879" s="1" t="s">
        <v>1998</v>
      </c>
      <c r="E1879" s="1"/>
      <c r="F1879" s="1" t="s">
        <v>11</v>
      </c>
      <c r="G1879">
        <v>1</v>
      </c>
      <c r="H1879">
        <v>1</v>
      </c>
      <c r="I1879" s="2"/>
      <c r="J1879" s="2">
        <v>45744</v>
      </c>
      <c r="K1879" s="2">
        <v>45758</v>
      </c>
    </row>
    <row r="1880" spans="1:11" x14ac:dyDescent="0.25">
      <c r="A1880" s="1" t="s">
        <v>396</v>
      </c>
      <c r="B1880" s="1" t="s">
        <v>1391</v>
      </c>
      <c r="C1880" s="1" t="s">
        <v>2340</v>
      </c>
      <c r="D1880" s="1" t="s">
        <v>1998</v>
      </c>
      <c r="E1880" s="1"/>
      <c r="F1880" s="1" t="s">
        <v>11</v>
      </c>
      <c r="G1880">
        <v>10</v>
      </c>
      <c r="H1880">
        <v>10</v>
      </c>
      <c r="I1880" s="2"/>
      <c r="J1880" s="2">
        <v>45744</v>
      </c>
      <c r="K1880" s="2">
        <v>45758</v>
      </c>
    </row>
    <row r="1881" spans="1:11" x14ac:dyDescent="0.25">
      <c r="A1881" s="1" t="s">
        <v>396</v>
      </c>
      <c r="B1881" s="1" t="s">
        <v>1392</v>
      </c>
      <c r="C1881" s="1" t="s">
        <v>2341</v>
      </c>
      <c r="D1881" s="1" t="s">
        <v>1998</v>
      </c>
      <c r="E1881" s="1"/>
      <c r="F1881" s="1" t="s">
        <v>11</v>
      </c>
      <c r="G1881">
        <v>5</v>
      </c>
      <c r="H1881">
        <v>5</v>
      </c>
      <c r="I1881" s="2"/>
      <c r="J1881" s="2">
        <v>45744</v>
      </c>
      <c r="K1881" s="2">
        <v>45758</v>
      </c>
    </row>
    <row r="1882" spans="1:11" x14ac:dyDescent="0.25">
      <c r="A1882" s="1" t="s">
        <v>396</v>
      </c>
      <c r="B1882" s="1" t="s">
        <v>1393</v>
      </c>
      <c r="C1882" s="1" t="s">
        <v>2342</v>
      </c>
      <c r="D1882" s="1" t="s">
        <v>1998</v>
      </c>
      <c r="E1882" s="1"/>
      <c r="F1882" s="1" t="s">
        <v>11</v>
      </c>
      <c r="G1882">
        <v>40</v>
      </c>
      <c r="H1882">
        <v>40</v>
      </c>
      <c r="I1882" s="2"/>
      <c r="J1882" s="2">
        <v>45744</v>
      </c>
      <c r="K1882" s="2">
        <v>45758</v>
      </c>
    </row>
    <row r="1883" spans="1:11" x14ac:dyDescent="0.25">
      <c r="A1883" s="1" t="s">
        <v>396</v>
      </c>
      <c r="B1883" s="1" t="s">
        <v>1393</v>
      </c>
      <c r="C1883" s="1" t="s">
        <v>2342</v>
      </c>
      <c r="D1883" s="1" t="s">
        <v>1998</v>
      </c>
      <c r="E1883" s="1"/>
      <c r="F1883" s="1" t="s">
        <v>12</v>
      </c>
      <c r="G1883">
        <v>1</v>
      </c>
      <c r="H1883">
        <v>25</v>
      </c>
      <c r="I1883" s="2"/>
      <c r="J1883" s="2">
        <v>45744</v>
      </c>
      <c r="K1883" s="2">
        <v>45758</v>
      </c>
    </row>
    <row r="1884" spans="1:11" x14ac:dyDescent="0.25">
      <c r="A1884" s="1" t="s">
        <v>396</v>
      </c>
      <c r="B1884" s="1" t="s">
        <v>1393</v>
      </c>
      <c r="C1884" s="1" t="s">
        <v>2342</v>
      </c>
      <c r="D1884" s="1" t="s">
        <v>1998</v>
      </c>
      <c r="E1884" s="1"/>
      <c r="F1884" s="1" t="s">
        <v>12</v>
      </c>
      <c r="G1884">
        <v>1</v>
      </c>
      <c r="H1884">
        <v>20</v>
      </c>
      <c r="I1884" s="2"/>
      <c r="J1884" s="2">
        <v>45744</v>
      </c>
      <c r="K1884" s="2">
        <v>45758</v>
      </c>
    </row>
    <row r="1885" spans="1:11" x14ac:dyDescent="0.25">
      <c r="A1885" s="1" t="s">
        <v>397</v>
      </c>
      <c r="B1885" s="1" t="s">
        <v>1021</v>
      </c>
      <c r="C1885" s="1" t="s">
        <v>2038</v>
      </c>
      <c r="D1885" s="1" t="s">
        <v>1998</v>
      </c>
      <c r="E1885" s="1"/>
      <c r="F1885" s="1" t="s">
        <v>11</v>
      </c>
      <c r="G1885">
        <v>4440</v>
      </c>
      <c r="H1885">
        <v>4440</v>
      </c>
      <c r="I1885" s="2"/>
      <c r="J1885" s="2">
        <v>45736</v>
      </c>
      <c r="K1885" s="2">
        <v>45745</v>
      </c>
    </row>
    <row r="1886" spans="1:11" x14ac:dyDescent="0.25">
      <c r="A1886" s="1" t="s">
        <v>397</v>
      </c>
      <c r="B1886" s="1" t="s">
        <v>1022</v>
      </c>
      <c r="C1886" s="1" t="s">
        <v>2039</v>
      </c>
      <c r="D1886" s="1" t="s">
        <v>1998</v>
      </c>
      <c r="E1886" s="1"/>
      <c r="F1886" s="1" t="s">
        <v>11</v>
      </c>
      <c r="G1886">
        <v>4085</v>
      </c>
      <c r="H1886">
        <v>4085</v>
      </c>
      <c r="I1886" s="2"/>
      <c r="J1886" s="2">
        <v>45736</v>
      </c>
      <c r="K1886" s="2">
        <v>45745</v>
      </c>
    </row>
    <row r="1887" spans="1:11" x14ac:dyDescent="0.25">
      <c r="A1887" s="1" t="s">
        <v>397</v>
      </c>
      <c r="B1887" s="1" t="s">
        <v>1173</v>
      </c>
      <c r="C1887" s="1" t="s">
        <v>2167</v>
      </c>
      <c r="D1887" s="1" t="s">
        <v>1998</v>
      </c>
      <c r="E1887" s="1"/>
      <c r="F1887" s="1" t="s">
        <v>11</v>
      </c>
      <c r="G1887">
        <v>105</v>
      </c>
      <c r="H1887">
        <v>105</v>
      </c>
      <c r="I1887" s="2"/>
      <c r="J1887" s="2">
        <v>45736</v>
      </c>
      <c r="K1887" s="2">
        <v>45745</v>
      </c>
    </row>
    <row r="1888" spans="1:11" x14ac:dyDescent="0.25">
      <c r="A1888" s="1" t="s">
        <v>397</v>
      </c>
      <c r="B1888" s="1" t="s">
        <v>1173</v>
      </c>
      <c r="C1888" s="1" t="s">
        <v>2167</v>
      </c>
      <c r="D1888" s="1" t="s">
        <v>1998</v>
      </c>
      <c r="E1888" s="1"/>
      <c r="F1888" s="1" t="s">
        <v>11</v>
      </c>
      <c r="G1888">
        <v>15</v>
      </c>
      <c r="H1888">
        <v>15</v>
      </c>
      <c r="I1888" s="2"/>
      <c r="J1888" s="2">
        <v>45736</v>
      </c>
      <c r="K1888" s="2">
        <v>45745</v>
      </c>
    </row>
    <row r="1889" spans="1:11" x14ac:dyDescent="0.25">
      <c r="A1889" s="1" t="s">
        <v>397</v>
      </c>
      <c r="B1889" s="1" t="s">
        <v>999</v>
      </c>
      <c r="C1889" s="1" t="s">
        <v>2017</v>
      </c>
      <c r="D1889" s="1" t="s">
        <v>1998</v>
      </c>
      <c r="E1889" s="1"/>
      <c r="F1889" s="1" t="s">
        <v>11</v>
      </c>
      <c r="G1889">
        <v>1</v>
      </c>
      <c r="H1889">
        <v>1</v>
      </c>
      <c r="I1889" s="2"/>
      <c r="J1889" s="2">
        <v>45736</v>
      </c>
      <c r="K1889" s="2">
        <v>45745</v>
      </c>
    </row>
    <row r="1890" spans="1:11" x14ac:dyDescent="0.25">
      <c r="A1890" s="1" t="s">
        <v>397</v>
      </c>
      <c r="B1890" s="1" t="s">
        <v>1000</v>
      </c>
      <c r="C1890" s="1" t="s">
        <v>2018</v>
      </c>
      <c r="D1890" s="1" t="s">
        <v>1998</v>
      </c>
      <c r="E1890" s="1"/>
      <c r="F1890" s="1" t="s">
        <v>11</v>
      </c>
      <c r="G1890">
        <v>1</v>
      </c>
      <c r="H1890">
        <v>1</v>
      </c>
      <c r="I1890" s="2"/>
      <c r="J1890" s="2">
        <v>45736</v>
      </c>
      <c r="K1890" s="2">
        <v>45745</v>
      </c>
    </row>
    <row r="1891" spans="1:11" x14ac:dyDescent="0.25">
      <c r="A1891" s="1" t="s">
        <v>397</v>
      </c>
      <c r="B1891" s="1" t="s">
        <v>1001</v>
      </c>
      <c r="C1891" s="1" t="s">
        <v>2019</v>
      </c>
      <c r="D1891" s="1" t="s">
        <v>1998</v>
      </c>
      <c r="E1891" s="1"/>
      <c r="F1891" s="1" t="s">
        <v>11</v>
      </c>
      <c r="G1891">
        <v>1</v>
      </c>
      <c r="H1891">
        <v>1</v>
      </c>
      <c r="I1891" s="2"/>
      <c r="J1891" s="2">
        <v>45736</v>
      </c>
      <c r="K1891" s="2">
        <v>45745</v>
      </c>
    </row>
    <row r="1892" spans="1:11" x14ac:dyDescent="0.25">
      <c r="A1892" s="1" t="s">
        <v>398</v>
      </c>
      <c r="B1892" s="1" t="s">
        <v>1209</v>
      </c>
      <c r="C1892" s="1" t="s">
        <v>2199</v>
      </c>
      <c r="D1892" s="1" t="s">
        <v>1998</v>
      </c>
      <c r="E1892" s="1"/>
      <c r="F1892" s="1" t="s">
        <v>11</v>
      </c>
      <c r="G1892">
        <v>280</v>
      </c>
      <c r="H1892">
        <v>340</v>
      </c>
      <c r="I1892" s="2"/>
      <c r="J1892" s="2">
        <v>45736</v>
      </c>
      <c r="K1892" s="2">
        <v>45747</v>
      </c>
    </row>
    <row r="1893" spans="1:11" x14ac:dyDescent="0.25">
      <c r="A1893" s="1" t="s">
        <v>398</v>
      </c>
      <c r="B1893" s="1" t="s">
        <v>1210</v>
      </c>
      <c r="C1893" s="1" t="s">
        <v>2115</v>
      </c>
      <c r="D1893" s="1" t="s">
        <v>1998</v>
      </c>
      <c r="E1893" s="1"/>
      <c r="F1893" s="1" t="s">
        <v>11</v>
      </c>
      <c r="G1893">
        <v>5775</v>
      </c>
      <c r="H1893">
        <v>5775</v>
      </c>
      <c r="I1893" s="2"/>
      <c r="J1893" s="2">
        <v>45736</v>
      </c>
      <c r="K1893" s="2">
        <v>45747</v>
      </c>
    </row>
    <row r="1894" spans="1:11" x14ac:dyDescent="0.25">
      <c r="A1894" s="1" t="s">
        <v>398</v>
      </c>
      <c r="B1894" s="1" t="s">
        <v>1211</v>
      </c>
      <c r="C1894" s="1" t="s">
        <v>2200</v>
      </c>
      <c r="D1894" s="1" t="s">
        <v>1998</v>
      </c>
      <c r="E1894" s="1"/>
      <c r="F1894" s="1" t="s">
        <v>11</v>
      </c>
      <c r="G1894">
        <v>2545</v>
      </c>
      <c r="H1894">
        <v>2545</v>
      </c>
      <c r="I1894" s="2"/>
      <c r="J1894" s="2">
        <v>45736</v>
      </c>
      <c r="K1894" s="2">
        <v>45747</v>
      </c>
    </row>
    <row r="1895" spans="1:11" x14ac:dyDescent="0.25">
      <c r="A1895" s="1" t="s">
        <v>398</v>
      </c>
      <c r="B1895" s="1" t="s">
        <v>1212</v>
      </c>
      <c r="C1895" s="1" t="s">
        <v>2201</v>
      </c>
      <c r="D1895" s="1" t="s">
        <v>1998</v>
      </c>
      <c r="E1895" s="1"/>
      <c r="F1895" s="1" t="s">
        <v>11</v>
      </c>
      <c r="G1895">
        <v>1675</v>
      </c>
      <c r="H1895">
        <v>1675</v>
      </c>
      <c r="I1895" s="2"/>
      <c r="J1895" s="2">
        <v>45736</v>
      </c>
      <c r="K1895" s="2">
        <v>45747</v>
      </c>
    </row>
    <row r="1896" spans="1:11" x14ac:dyDescent="0.25">
      <c r="A1896" s="1" t="s">
        <v>399</v>
      </c>
      <c r="B1896" s="1" t="s">
        <v>1476</v>
      </c>
      <c r="C1896" s="1" t="s">
        <v>2413</v>
      </c>
      <c r="D1896" s="1" t="s">
        <v>1998</v>
      </c>
      <c r="E1896" s="1"/>
      <c r="F1896" s="1" t="s">
        <v>11</v>
      </c>
      <c r="G1896">
        <v>1110</v>
      </c>
      <c r="H1896">
        <v>1150</v>
      </c>
      <c r="I1896" s="2"/>
      <c r="J1896" s="2">
        <v>45736</v>
      </c>
      <c r="K1896" s="2">
        <v>45783</v>
      </c>
    </row>
    <row r="1897" spans="1:11" x14ac:dyDescent="0.25">
      <c r="A1897" s="1" t="s">
        <v>399</v>
      </c>
      <c r="B1897" s="1" t="s">
        <v>991</v>
      </c>
      <c r="C1897" s="1" t="s">
        <v>2009</v>
      </c>
      <c r="D1897" s="1" t="s">
        <v>1998</v>
      </c>
      <c r="E1897" s="1"/>
      <c r="F1897" s="1" t="s">
        <v>11</v>
      </c>
      <c r="G1897">
        <v>60</v>
      </c>
      <c r="H1897">
        <v>60</v>
      </c>
      <c r="I1897" s="2"/>
      <c r="J1897" s="2">
        <v>45736</v>
      </c>
      <c r="K1897" s="2">
        <v>45783</v>
      </c>
    </row>
    <row r="1898" spans="1:11" x14ac:dyDescent="0.25">
      <c r="A1898" s="1" t="s">
        <v>399</v>
      </c>
      <c r="B1898" s="1" t="s">
        <v>1477</v>
      </c>
      <c r="C1898" s="1" t="s">
        <v>2414</v>
      </c>
      <c r="D1898" s="1" t="s">
        <v>1998</v>
      </c>
      <c r="E1898" s="1"/>
      <c r="F1898" s="1" t="s">
        <v>11</v>
      </c>
      <c r="G1898">
        <v>130</v>
      </c>
      <c r="H1898">
        <v>130</v>
      </c>
      <c r="I1898" s="2"/>
      <c r="J1898" s="2">
        <v>45736</v>
      </c>
      <c r="K1898" s="2">
        <v>45783</v>
      </c>
    </row>
    <row r="1899" spans="1:11" x14ac:dyDescent="0.25">
      <c r="A1899" s="1" t="s">
        <v>399</v>
      </c>
      <c r="B1899" s="1" t="s">
        <v>993</v>
      </c>
      <c r="C1899" s="1" t="s">
        <v>2011</v>
      </c>
      <c r="D1899" s="1" t="s">
        <v>1998</v>
      </c>
      <c r="E1899" s="1"/>
      <c r="F1899" s="1" t="s">
        <v>11</v>
      </c>
      <c r="G1899">
        <v>20</v>
      </c>
      <c r="H1899">
        <v>20</v>
      </c>
      <c r="I1899" s="2"/>
      <c r="J1899" s="2">
        <v>45736</v>
      </c>
      <c r="K1899" s="2">
        <v>45783</v>
      </c>
    </row>
    <row r="1900" spans="1:11" x14ac:dyDescent="0.25">
      <c r="A1900" s="1" t="s">
        <v>399</v>
      </c>
      <c r="B1900" s="1" t="s">
        <v>993</v>
      </c>
      <c r="C1900" s="1" t="s">
        <v>2011</v>
      </c>
      <c r="D1900" s="1" t="s">
        <v>1998</v>
      </c>
      <c r="E1900" s="1"/>
      <c r="F1900" s="1" t="s">
        <v>11</v>
      </c>
      <c r="G1900">
        <v>45</v>
      </c>
      <c r="H1900">
        <v>45</v>
      </c>
      <c r="I1900" s="2"/>
      <c r="J1900" s="2">
        <v>45736</v>
      </c>
      <c r="K1900" s="2">
        <v>45783</v>
      </c>
    </row>
    <row r="1901" spans="1:11" x14ac:dyDescent="0.25">
      <c r="A1901" s="1" t="s">
        <v>399</v>
      </c>
      <c r="B1901" s="1" t="s">
        <v>1478</v>
      </c>
      <c r="C1901" s="1" t="s">
        <v>2415</v>
      </c>
      <c r="D1901" s="1" t="s">
        <v>1998</v>
      </c>
      <c r="E1901" s="1"/>
      <c r="F1901" s="1" t="s">
        <v>11</v>
      </c>
      <c r="G1901">
        <v>1660</v>
      </c>
      <c r="H1901">
        <v>1660</v>
      </c>
      <c r="I1901" s="2"/>
      <c r="J1901" s="2">
        <v>45736</v>
      </c>
      <c r="K1901" s="2">
        <v>45783</v>
      </c>
    </row>
    <row r="1902" spans="1:11" x14ac:dyDescent="0.25">
      <c r="A1902" s="1" t="s">
        <v>399</v>
      </c>
      <c r="B1902" s="1" t="s">
        <v>1479</v>
      </c>
      <c r="C1902" s="1" t="s">
        <v>2416</v>
      </c>
      <c r="D1902" s="1" t="s">
        <v>1998</v>
      </c>
      <c r="E1902" s="1"/>
      <c r="F1902" s="1" t="s">
        <v>11</v>
      </c>
      <c r="G1902">
        <v>1860</v>
      </c>
      <c r="H1902">
        <v>1860</v>
      </c>
      <c r="I1902" s="2"/>
      <c r="J1902" s="2">
        <v>45736</v>
      </c>
      <c r="K1902" s="2">
        <v>45783</v>
      </c>
    </row>
    <row r="1903" spans="1:11" x14ac:dyDescent="0.25">
      <c r="A1903" s="1" t="s">
        <v>400</v>
      </c>
      <c r="B1903" s="1" t="s">
        <v>1480</v>
      </c>
      <c r="C1903" s="1" t="s">
        <v>2417</v>
      </c>
      <c r="D1903" s="1" t="s">
        <v>1998</v>
      </c>
      <c r="E1903" s="1"/>
      <c r="F1903" s="1" t="s">
        <v>11</v>
      </c>
      <c r="G1903">
        <v>450</v>
      </c>
      <c r="H1903">
        <v>470</v>
      </c>
      <c r="I1903" s="2"/>
      <c r="J1903" s="2">
        <v>45748</v>
      </c>
      <c r="K1903" s="2">
        <v>45762</v>
      </c>
    </row>
    <row r="1904" spans="1:11" x14ac:dyDescent="0.25">
      <c r="A1904" s="1" t="s">
        <v>401</v>
      </c>
      <c r="B1904" s="1" t="s">
        <v>1255</v>
      </c>
      <c r="C1904" s="1" t="s">
        <v>2235</v>
      </c>
      <c r="D1904" s="1" t="s">
        <v>1998</v>
      </c>
      <c r="E1904" s="1"/>
      <c r="F1904" s="1" t="s">
        <v>11</v>
      </c>
      <c r="G1904">
        <v>140</v>
      </c>
      <c r="H1904">
        <v>155</v>
      </c>
      <c r="I1904" s="2"/>
      <c r="J1904" s="2">
        <v>45749</v>
      </c>
      <c r="K1904" s="2">
        <v>45776</v>
      </c>
    </row>
    <row r="1905" spans="1:11" x14ac:dyDescent="0.25">
      <c r="A1905" s="1" t="s">
        <v>401</v>
      </c>
      <c r="B1905" s="1" t="s">
        <v>1027</v>
      </c>
      <c r="C1905" s="1" t="s">
        <v>2040</v>
      </c>
      <c r="D1905" s="1" t="s">
        <v>1998</v>
      </c>
      <c r="E1905" s="1"/>
      <c r="F1905" s="1" t="s">
        <v>11</v>
      </c>
      <c r="G1905">
        <v>15</v>
      </c>
      <c r="H1905">
        <v>15</v>
      </c>
      <c r="I1905" s="2"/>
      <c r="J1905" s="2">
        <v>45749</v>
      </c>
      <c r="K1905" s="2">
        <v>45776</v>
      </c>
    </row>
    <row r="1906" spans="1:11" x14ac:dyDescent="0.25">
      <c r="A1906" s="1" t="s">
        <v>401</v>
      </c>
      <c r="B1906" s="1" t="s">
        <v>1013</v>
      </c>
      <c r="C1906" s="1" t="s">
        <v>2030</v>
      </c>
      <c r="D1906" s="1" t="s">
        <v>1998</v>
      </c>
      <c r="E1906" s="1"/>
      <c r="F1906" s="1" t="s">
        <v>11</v>
      </c>
      <c r="G1906">
        <v>5</v>
      </c>
      <c r="H1906">
        <v>5</v>
      </c>
      <c r="I1906" s="2"/>
      <c r="J1906" s="2">
        <v>45749</v>
      </c>
      <c r="K1906" s="2">
        <v>45776</v>
      </c>
    </row>
    <row r="1907" spans="1:11" x14ac:dyDescent="0.25">
      <c r="A1907" s="1" t="s">
        <v>401</v>
      </c>
      <c r="B1907" s="1" t="s">
        <v>993</v>
      </c>
      <c r="C1907" s="1" t="s">
        <v>2011</v>
      </c>
      <c r="D1907" s="1" t="s">
        <v>1998</v>
      </c>
      <c r="E1907" s="1"/>
      <c r="F1907" s="1" t="s">
        <v>11</v>
      </c>
      <c r="G1907">
        <v>1</v>
      </c>
      <c r="H1907">
        <v>1</v>
      </c>
      <c r="I1907" s="2"/>
      <c r="J1907" s="2">
        <v>45749</v>
      </c>
      <c r="K1907" s="2">
        <v>45776</v>
      </c>
    </row>
    <row r="1908" spans="1:11" x14ac:dyDescent="0.25">
      <c r="A1908" s="1" t="s">
        <v>401</v>
      </c>
      <c r="B1908" s="1" t="s">
        <v>993</v>
      </c>
      <c r="C1908" s="1" t="s">
        <v>2011</v>
      </c>
      <c r="D1908" s="1" t="s">
        <v>1998</v>
      </c>
      <c r="E1908" s="1"/>
      <c r="F1908" s="1" t="s">
        <v>11</v>
      </c>
      <c r="G1908">
        <v>5</v>
      </c>
      <c r="H1908">
        <v>5</v>
      </c>
      <c r="I1908" s="2"/>
      <c r="J1908" s="2">
        <v>45749</v>
      </c>
      <c r="K1908" s="2">
        <v>45776</v>
      </c>
    </row>
    <row r="1909" spans="1:11" x14ac:dyDescent="0.25">
      <c r="A1909" s="1" t="s">
        <v>401</v>
      </c>
      <c r="B1909" s="1" t="s">
        <v>1239</v>
      </c>
      <c r="C1909" s="1" t="s">
        <v>2223</v>
      </c>
      <c r="D1909" s="1" t="s">
        <v>1998</v>
      </c>
      <c r="E1909" s="1"/>
      <c r="F1909" s="1" t="s">
        <v>11</v>
      </c>
      <c r="G1909">
        <v>1885</v>
      </c>
      <c r="H1909">
        <v>1885</v>
      </c>
      <c r="I1909" s="2"/>
      <c r="J1909" s="2">
        <v>45749</v>
      </c>
      <c r="K1909" s="2">
        <v>45776</v>
      </c>
    </row>
    <row r="1910" spans="1:11" x14ac:dyDescent="0.25">
      <c r="A1910" s="1" t="s">
        <v>402</v>
      </c>
      <c r="B1910" s="1" t="s">
        <v>1255</v>
      </c>
      <c r="C1910" s="1" t="s">
        <v>2235</v>
      </c>
      <c r="D1910" s="1" t="s">
        <v>1998</v>
      </c>
      <c r="E1910" s="1"/>
      <c r="F1910" s="1" t="s">
        <v>11</v>
      </c>
      <c r="G1910">
        <v>140</v>
      </c>
      <c r="H1910">
        <v>155</v>
      </c>
      <c r="I1910" s="2"/>
      <c r="J1910" s="2">
        <v>45784</v>
      </c>
      <c r="K1910" s="2">
        <v>45789</v>
      </c>
    </row>
    <row r="1911" spans="1:11" x14ac:dyDescent="0.25">
      <c r="A1911" s="1" t="s">
        <v>402</v>
      </c>
      <c r="B1911" s="1" t="s">
        <v>1027</v>
      </c>
      <c r="C1911" s="1" t="s">
        <v>2040</v>
      </c>
      <c r="D1911" s="1" t="s">
        <v>1998</v>
      </c>
      <c r="E1911" s="1"/>
      <c r="F1911" s="1" t="s">
        <v>11</v>
      </c>
      <c r="G1911">
        <v>15</v>
      </c>
      <c r="H1911">
        <v>1</v>
      </c>
      <c r="I1911" s="2"/>
      <c r="J1911" s="2">
        <v>45784</v>
      </c>
      <c r="K1911" s="2">
        <v>45789</v>
      </c>
    </row>
    <row r="1912" spans="1:11" x14ac:dyDescent="0.25">
      <c r="A1912" s="1" t="s">
        <v>402</v>
      </c>
      <c r="B1912" s="1" t="s">
        <v>1013</v>
      </c>
      <c r="C1912" s="1" t="s">
        <v>2030</v>
      </c>
      <c r="D1912" s="1" t="s">
        <v>1998</v>
      </c>
      <c r="E1912" s="1"/>
      <c r="F1912" s="1" t="s">
        <v>11</v>
      </c>
      <c r="G1912">
        <v>5</v>
      </c>
      <c r="H1912">
        <v>5</v>
      </c>
      <c r="I1912" s="2"/>
      <c r="J1912" s="2">
        <v>45784</v>
      </c>
      <c r="K1912" s="2">
        <v>45789</v>
      </c>
    </row>
    <row r="1913" spans="1:11" x14ac:dyDescent="0.25">
      <c r="A1913" s="1" t="s">
        <v>402</v>
      </c>
      <c r="B1913" s="1" t="s">
        <v>993</v>
      </c>
      <c r="C1913" s="1" t="s">
        <v>2011</v>
      </c>
      <c r="D1913" s="1" t="s">
        <v>1998</v>
      </c>
      <c r="E1913" s="1"/>
      <c r="F1913" s="1" t="s">
        <v>11</v>
      </c>
      <c r="G1913">
        <v>1</v>
      </c>
      <c r="H1913">
        <v>1</v>
      </c>
      <c r="I1913" s="2"/>
      <c r="J1913" s="2">
        <v>45784</v>
      </c>
      <c r="K1913" s="2">
        <v>45789</v>
      </c>
    </row>
    <row r="1914" spans="1:11" x14ac:dyDescent="0.25">
      <c r="A1914" s="1" t="s">
        <v>402</v>
      </c>
      <c r="B1914" s="1" t="s">
        <v>993</v>
      </c>
      <c r="C1914" s="1" t="s">
        <v>2011</v>
      </c>
      <c r="D1914" s="1" t="s">
        <v>1998</v>
      </c>
      <c r="E1914" s="1"/>
      <c r="F1914" s="1" t="s">
        <v>11</v>
      </c>
      <c r="G1914">
        <v>5</v>
      </c>
      <c r="H1914">
        <v>1</v>
      </c>
      <c r="I1914" s="2"/>
      <c r="J1914" s="2">
        <v>45784</v>
      </c>
      <c r="K1914" s="2">
        <v>45789</v>
      </c>
    </row>
    <row r="1915" spans="1:11" x14ac:dyDescent="0.25">
      <c r="A1915" s="1" t="s">
        <v>402</v>
      </c>
      <c r="B1915" s="1" t="s">
        <v>1239</v>
      </c>
      <c r="C1915" s="1" t="s">
        <v>2223</v>
      </c>
      <c r="D1915" s="1" t="s">
        <v>1998</v>
      </c>
      <c r="E1915" s="1"/>
      <c r="F1915" s="1" t="s">
        <v>11</v>
      </c>
      <c r="G1915">
        <v>1885</v>
      </c>
      <c r="H1915">
        <v>1885</v>
      </c>
      <c r="I1915" s="2"/>
      <c r="J1915" s="2">
        <v>45784</v>
      </c>
      <c r="K1915" s="2">
        <v>45789</v>
      </c>
    </row>
    <row r="1916" spans="1:11" x14ac:dyDescent="0.25">
      <c r="A1916" s="1" t="s">
        <v>403</v>
      </c>
      <c r="B1916" s="1" t="s">
        <v>1028</v>
      </c>
      <c r="C1916" s="1" t="s">
        <v>2041</v>
      </c>
      <c r="D1916" s="1" t="s">
        <v>1998</v>
      </c>
      <c r="E1916" s="1"/>
      <c r="F1916" s="1" t="s">
        <v>11</v>
      </c>
      <c r="G1916">
        <v>140</v>
      </c>
      <c r="H1916">
        <v>150</v>
      </c>
      <c r="I1916" s="2"/>
      <c r="J1916" s="2">
        <v>45754</v>
      </c>
      <c r="K1916" s="2">
        <v>45778</v>
      </c>
    </row>
    <row r="1917" spans="1:11" x14ac:dyDescent="0.25">
      <c r="A1917" s="1" t="s">
        <v>403</v>
      </c>
      <c r="B1917" s="1" t="s">
        <v>1027</v>
      </c>
      <c r="C1917" s="1" t="s">
        <v>2040</v>
      </c>
      <c r="D1917" s="1" t="s">
        <v>1998</v>
      </c>
      <c r="E1917" s="1"/>
      <c r="F1917" s="1" t="s">
        <v>11</v>
      </c>
      <c r="G1917">
        <v>5</v>
      </c>
      <c r="H1917">
        <v>5</v>
      </c>
      <c r="I1917" s="2"/>
      <c r="J1917" s="2">
        <v>45754</v>
      </c>
      <c r="K1917" s="2">
        <v>45778</v>
      </c>
    </row>
    <row r="1918" spans="1:11" x14ac:dyDescent="0.25">
      <c r="A1918" s="1" t="s">
        <v>403</v>
      </c>
      <c r="B1918" s="1" t="s">
        <v>1013</v>
      </c>
      <c r="C1918" s="1" t="s">
        <v>2030</v>
      </c>
      <c r="D1918" s="1" t="s">
        <v>1998</v>
      </c>
      <c r="E1918" s="1"/>
      <c r="F1918" s="1" t="s">
        <v>11</v>
      </c>
      <c r="G1918">
        <v>1</v>
      </c>
      <c r="H1918">
        <v>1</v>
      </c>
      <c r="I1918" s="2"/>
      <c r="J1918" s="2">
        <v>45754</v>
      </c>
      <c r="K1918" s="2">
        <v>45778</v>
      </c>
    </row>
    <row r="1919" spans="1:11" x14ac:dyDescent="0.25">
      <c r="A1919" s="1" t="s">
        <v>403</v>
      </c>
      <c r="B1919" s="1" t="s">
        <v>993</v>
      </c>
      <c r="C1919" s="1" t="s">
        <v>2011</v>
      </c>
      <c r="D1919" s="1" t="s">
        <v>1998</v>
      </c>
      <c r="E1919" s="1"/>
      <c r="F1919" s="1" t="s">
        <v>11</v>
      </c>
      <c r="G1919">
        <v>1</v>
      </c>
      <c r="H1919">
        <v>1</v>
      </c>
      <c r="I1919" s="2"/>
      <c r="J1919" s="2">
        <v>45754</v>
      </c>
      <c r="K1919" s="2">
        <v>45778</v>
      </c>
    </row>
    <row r="1920" spans="1:11" x14ac:dyDescent="0.25">
      <c r="A1920" s="1" t="s">
        <v>403</v>
      </c>
      <c r="B1920" s="1" t="s">
        <v>993</v>
      </c>
      <c r="C1920" s="1" t="s">
        <v>2011</v>
      </c>
      <c r="D1920" s="1" t="s">
        <v>1998</v>
      </c>
      <c r="E1920" s="1"/>
      <c r="F1920" s="1" t="s">
        <v>11</v>
      </c>
      <c r="G1920">
        <v>1</v>
      </c>
      <c r="H1920">
        <v>1</v>
      </c>
      <c r="I1920" s="2"/>
      <c r="J1920" s="2">
        <v>45754</v>
      </c>
      <c r="K1920" s="2">
        <v>45778</v>
      </c>
    </row>
    <row r="1921" spans="1:11" x14ac:dyDescent="0.25">
      <c r="A1921" s="1" t="s">
        <v>403</v>
      </c>
      <c r="B1921" s="1" t="s">
        <v>1346</v>
      </c>
      <c r="C1921" s="1" t="s">
        <v>2300</v>
      </c>
      <c r="D1921" s="1" t="s">
        <v>1998</v>
      </c>
      <c r="E1921" s="1"/>
      <c r="F1921" s="1" t="s">
        <v>11</v>
      </c>
      <c r="G1921">
        <v>1250</v>
      </c>
      <c r="H1921">
        <v>1250</v>
      </c>
      <c r="I1921" s="2"/>
      <c r="J1921" s="2">
        <v>45754</v>
      </c>
      <c r="K1921" s="2">
        <v>45778</v>
      </c>
    </row>
    <row r="1922" spans="1:11" x14ac:dyDescent="0.25">
      <c r="A1922" s="1" t="s">
        <v>403</v>
      </c>
      <c r="B1922" s="1" t="s">
        <v>1347</v>
      </c>
      <c r="C1922" s="1" t="s">
        <v>2067</v>
      </c>
      <c r="D1922" s="1" t="s">
        <v>1998</v>
      </c>
      <c r="E1922" s="1"/>
      <c r="F1922" s="1" t="s">
        <v>11</v>
      </c>
      <c r="G1922">
        <v>1600</v>
      </c>
      <c r="H1922">
        <v>1600</v>
      </c>
      <c r="I1922" s="2"/>
      <c r="J1922" s="2">
        <v>45754</v>
      </c>
      <c r="K1922" s="2">
        <v>45778</v>
      </c>
    </row>
    <row r="1923" spans="1:11" x14ac:dyDescent="0.25">
      <c r="A1923" s="1" t="s">
        <v>404</v>
      </c>
      <c r="B1923" s="1" t="s">
        <v>1216</v>
      </c>
      <c r="C1923" s="1" t="s">
        <v>2204</v>
      </c>
      <c r="D1923" s="1" t="s">
        <v>1998</v>
      </c>
      <c r="E1923" s="1"/>
      <c r="F1923" s="1" t="s">
        <v>11</v>
      </c>
      <c r="G1923">
        <v>285</v>
      </c>
      <c r="H1923">
        <v>275</v>
      </c>
      <c r="I1923" s="2"/>
      <c r="J1923" s="2">
        <v>45737</v>
      </c>
      <c r="K1923" s="2">
        <v>45757</v>
      </c>
    </row>
    <row r="1924" spans="1:11" x14ac:dyDescent="0.25">
      <c r="A1924" s="1" t="s">
        <v>404</v>
      </c>
      <c r="B1924" s="1" t="s">
        <v>1217</v>
      </c>
      <c r="C1924" s="1" t="s">
        <v>2205</v>
      </c>
      <c r="D1924" s="1" t="s">
        <v>1998</v>
      </c>
      <c r="E1924" s="1"/>
      <c r="F1924" s="1" t="s">
        <v>11</v>
      </c>
      <c r="G1924">
        <v>500</v>
      </c>
      <c r="H1924">
        <v>500</v>
      </c>
      <c r="I1924" s="2"/>
      <c r="J1924" s="2">
        <v>45737</v>
      </c>
      <c r="K1924" s="2">
        <v>45757</v>
      </c>
    </row>
    <row r="1925" spans="1:11" x14ac:dyDescent="0.25">
      <c r="A1925" s="1" t="s">
        <v>404</v>
      </c>
      <c r="B1925" s="1" t="s">
        <v>1218</v>
      </c>
      <c r="C1925" s="1" t="s">
        <v>2163</v>
      </c>
      <c r="D1925" s="1" t="s">
        <v>1998</v>
      </c>
      <c r="E1925" s="1"/>
      <c r="F1925" s="1" t="s">
        <v>11</v>
      </c>
      <c r="G1925">
        <v>3255</v>
      </c>
      <c r="H1925">
        <v>3255</v>
      </c>
      <c r="I1925" s="2"/>
      <c r="J1925" s="2">
        <v>45737</v>
      </c>
      <c r="K1925" s="2">
        <v>45757</v>
      </c>
    </row>
    <row r="1926" spans="1:11" x14ac:dyDescent="0.25">
      <c r="A1926" s="1" t="s">
        <v>404</v>
      </c>
      <c r="B1926" s="1" t="s">
        <v>1027</v>
      </c>
      <c r="C1926" s="1" t="s">
        <v>2040</v>
      </c>
      <c r="D1926" s="1" t="s">
        <v>1998</v>
      </c>
      <c r="E1926" s="1"/>
      <c r="F1926" s="1" t="s">
        <v>11</v>
      </c>
      <c r="G1926">
        <v>165</v>
      </c>
      <c r="H1926">
        <v>165</v>
      </c>
      <c r="I1926" s="2"/>
      <c r="J1926" s="2">
        <v>45737</v>
      </c>
      <c r="K1926" s="2">
        <v>45757</v>
      </c>
    </row>
    <row r="1927" spans="1:11" x14ac:dyDescent="0.25">
      <c r="A1927" s="1" t="s">
        <v>404</v>
      </c>
      <c r="B1927" s="1" t="s">
        <v>1013</v>
      </c>
      <c r="C1927" s="1" t="s">
        <v>2030</v>
      </c>
      <c r="D1927" s="1" t="s">
        <v>1998</v>
      </c>
      <c r="E1927" s="1"/>
      <c r="F1927" s="1" t="s">
        <v>11</v>
      </c>
      <c r="G1927">
        <v>40</v>
      </c>
      <c r="H1927">
        <v>40</v>
      </c>
      <c r="I1927" s="2"/>
      <c r="J1927" s="2">
        <v>45737</v>
      </c>
      <c r="K1927" s="2">
        <v>45757</v>
      </c>
    </row>
    <row r="1928" spans="1:11" x14ac:dyDescent="0.25">
      <c r="A1928" s="1" t="s">
        <v>404</v>
      </c>
      <c r="B1928" s="1" t="s">
        <v>993</v>
      </c>
      <c r="C1928" s="1" t="s">
        <v>2011</v>
      </c>
      <c r="D1928" s="1" t="s">
        <v>1998</v>
      </c>
      <c r="E1928" s="1"/>
      <c r="F1928" s="1" t="s">
        <v>11</v>
      </c>
      <c r="G1928">
        <v>15</v>
      </c>
      <c r="H1928">
        <v>15</v>
      </c>
      <c r="I1928" s="2"/>
      <c r="J1928" s="2">
        <v>45737</v>
      </c>
      <c r="K1928" s="2">
        <v>45757</v>
      </c>
    </row>
    <row r="1929" spans="1:11" x14ac:dyDescent="0.25">
      <c r="A1929" s="1" t="s">
        <v>404</v>
      </c>
      <c r="B1929" s="1" t="s">
        <v>993</v>
      </c>
      <c r="C1929" s="1" t="s">
        <v>2011</v>
      </c>
      <c r="D1929" s="1" t="s">
        <v>1998</v>
      </c>
      <c r="E1929" s="1"/>
      <c r="F1929" s="1" t="s">
        <v>11</v>
      </c>
      <c r="G1929">
        <v>25</v>
      </c>
      <c r="H1929">
        <v>25</v>
      </c>
      <c r="I1929" s="2"/>
      <c r="J1929" s="2">
        <v>45737</v>
      </c>
      <c r="K1929" s="2">
        <v>45757</v>
      </c>
    </row>
    <row r="1930" spans="1:11" x14ac:dyDescent="0.25">
      <c r="A1930" s="1" t="s">
        <v>404</v>
      </c>
      <c r="B1930" s="1" t="s">
        <v>1219</v>
      </c>
      <c r="C1930" s="1" t="s">
        <v>2042</v>
      </c>
      <c r="D1930" s="1" t="s">
        <v>1998</v>
      </c>
      <c r="E1930" s="1"/>
      <c r="F1930" s="1" t="s">
        <v>11</v>
      </c>
      <c r="G1930">
        <v>2145</v>
      </c>
      <c r="H1930">
        <v>2145</v>
      </c>
      <c r="I1930" s="2"/>
      <c r="J1930" s="2">
        <v>45737</v>
      </c>
      <c r="K1930" s="2">
        <v>45757</v>
      </c>
    </row>
    <row r="1931" spans="1:11" x14ac:dyDescent="0.25">
      <c r="A1931" s="1" t="s">
        <v>404</v>
      </c>
      <c r="B1931" s="1" t="s">
        <v>1220</v>
      </c>
      <c r="C1931" s="1" t="s">
        <v>2164</v>
      </c>
      <c r="D1931" s="1" t="s">
        <v>1998</v>
      </c>
      <c r="E1931" s="1"/>
      <c r="F1931" s="1" t="s">
        <v>11</v>
      </c>
      <c r="G1931">
        <v>425</v>
      </c>
      <c r="H1931">
        <v>425</v>
      </c>
      <c r="I1931" s="2"/>
      <c r="J1931" s="2">
        <v>45737</v>
      </c>
      <c r="K1931" s="2">
        <v>45757</v>
      </c>
    </row>
    <row r="1932" spans="1:11" x14ac:dyDescent="0.25">
      <c r="A1932" s="1" t="s">
        <v>404</v>
      </c>
      <c r="B1932" s="1" t="s">
        <v>1221</v>
      </c>
      <c r="C1932" s="1" t="s">
        <v>2206</v>
      </c>
      <c r="D1932" s="1" t="s">
        <v>1998</v>
      </c>
      <c r="E1932" s="1"/>
      <c r="F1932" s="1" t="s">
        <v>11</v>
      </c>
      <c r="G1932">
        <v>675</v>
      </c>
      <c r="H1932">
        <v>675</v>
      </c>
      <c r="I1932" s="2"/>
      <c r="J1932" s="2">
        <v>45737</v>
      </c>
      <c r="K1932" s="2">
        <v>45757</v>
      </c>
    </row>
    <row r="1933" spans="1:11" x14ac:dyDescent="0.25">
      <c r="A1933" s="1" t="s">
        <v>405</v>
      </c>
      <c r="B1933" s="1" t="s">
        <v>1481</v>
      </c>
      <c r="C1933" s="1" t="s">
        <v>2418</v>
      </c>
      <c r="D1933" s="1" t="s">
        <v>1998</v>
      </c>
      <c r="E1933" s="1"/>
      <c r="F1933" s="1" t="s">
        <v>11</v>
      </c>
      <c r="G1933">
        <v>385</v>
      </c>
      <c r="H1933">
        <v>775</v>
      </c>
      <c r="I1933" s="2"/>
      <c r="J1933" s="2">
        <v>45736</v>
      </c>
      <c r="K1933" s="2">
        <v>45789</v>
      </c>
    </row>
    <row r="1934" spans="1:11" x14ac:dyDescent="0.25">
      <c r="A1934" s="1" t="s">
        <v>405</v>
      </c>
      <c r="B1934" s="1" t="s">
        <v>1296</v>
      </c>
      <c r="C1934" s="1" t="s">
        <v>2224</v>
      </c>
      <c r="D1934" s="1" t="s">
        <v>1998</v>
      </c>
      <c r="E1934" s="1"/>
      <c r="F1934" s="1" t="s">
        <v>11</v>
      </c>
      <c r="G1934">
        <v>1075</v>
      </c>
      <c r="H1934">
        <v>1075</v>
      </c>
      <c r="I1934" s="2"/>
      <c r="J1934" s="2">
        <v>45736</v>
      </c>
      <c r="K1934" s="2">
        <v>45789</v>
      </c>
    </row>
    <row r="1935" spans="1:11" x14ac:dyDescent="0.25">
      <c r="A1935" s="1" t="s">
        <v>405</v>
      </c>
      <c r="B1935" s="1" t="s">
        <v>1296</v>
      </c>
      <c r="C1935" s="1" t="s">
        <v>2224</v>
      </c>
      <c r="D1935" s="1" t="s">
        <v>1998</v>
      </c>
      <c r="E1935" s="1"/>
      <c r="F1935" s="1" t="s">
        <v>11</v>
      </c>
      <c r="G1935">
        <v>45</v>
      </c>
      <c r="H1935">
        <v>45</v>
      </c>
      <c r="I1935" s="2"/>
      <c r="J1935" s="2">
        <v>45736</v>
      </c>
      <c r="K1935" s="2">
        <v>45789</v>
      </c>
    </row>
    <row r="1936" spans="1:11" x14ac:dyDescent="0.25">
      <c r="A1936" s="1" t="s">
        <v>405</v>
      </c>
      <c r="B1936" s="1" t="s">
        <v>991</v>
      </c>
      <c r="C1936" s="1" t="s">
        <v>2009</v>
      </c>
      <c r="D1936" s="1" t="s">
        <v>1998</v>
      </c>
      <c r="E1936" s="1"/>
      <c r="F1936" s="1" t="s">
        <v>12</v>
      </c>
      <c r="G1936">
        <v>1</v>
      </c>
      <c r="H1936">
        <v>20</v>
      </c>
      <c r="I1936" s="2"/>
      <c r="J1936" s="2">
        <v>45736</v>
      </c>
      <c r="K1936" s="2">
        <v>45789</v>
      </c>
    </row>
    <row r="1937" spans="1:11" x14ac:dyDescent="0.25">
      <c r="A1937" s="1" t="s">
        <v>405</v>
      </c>
      <c r="B1937" s="1" t="s">
        <v>992</v>
      </c>
      <c r="C1937" s="1" t="s">
        <v>2010</v>
      </c>
      <c r="D1937" s="1" t="s">
        <v>1998</v>
      </c>
      <c r="E1937" s="1"/>
      <c r="F1937" s="1" t="s">
        <v>12</v>
      </c>
      <c r="G1937">
        <v>1</v>
      </c>
      <c r="H1937">
        <v>30</v>
      </c>
      <c r="I1937" s="2"/>
      <c r="J1937" s="2">
        <v>45736</v>
      </c>
      <c r="K1937" s="2">
        <v>45789</v>
      </c>
    </row>
    <row r="1938" spans="1:11" x14ac:dyDescent="0.25">
      <c r="A1938" s="1" t="s">
        <v>405</v>
      </c>
      <c r="B1938" s="1" t="s">
        <v>993</v>
      </c>
      <c r="C1938" s="1" t="s">
        <v>2011</v>
      </c>
      <c r="D1938" s="1" t="s">
        <v>1998</v>
      </c>
      <c r="E1938" s="1"/>
      <c r="F1938" s="1" t="s">
        <v>12</v>
      </c>
      <c r="G1938">
        <v>1</v>
      </c>
      <c r="H1938">
        <v>95</v>
      </c>
      <c r="I1938" s="2"/>
      <c r="J1938" s="2">
        <v>45736</v>
      </c>
      <c r="K1938" s="2">
        <v>45789</v>
      </c>
    </row>
    <row r="1939" spans="1:11" x14ac:dyDescent="0.25">
      <c r="A1939" s="1" t="s">
        <v>406</v>
      </c>
      <c r="B1939" s="1" t="s">
        <v>1147</v>
      </c>
      <c r="C1939" s="1" t="s">
        <v>2143</v>
      </c>
      <c r="D1939" s="1" t="s">
        <v>1998</v>
      </c>
      <c r="E1939" s="1"/>
      <c r="F1939" s="1" t="s">
        <v>11</v>
      </c>
      <c r="G1939">
        <v>685</v>
      </c>
      <c r="H1939">
        <v>720</v>
      </c>
      <c r="I1939" s="2"/>
      <c r="J1939" s="2">
        <v>45737</v>
      </c>
      <c r="K1939" s="2">
        <v>45765</v>
      </c>
    </row>
    <row r="1940" spans="1:11" x14ac:dyDescent="0.25">
      <c r="A1940" s="1" t="s">
        <v>406</v>
      </c>
      <c r="B1940" s="1" t="s">
        <v>1148</v>
      </c>
      <c r="C1940" s="1" t="s">
        <v>2027</v>
      </c>
      <c r="D1940" s="1" t="s">
        <v>1998</v>
      </c>
      <c r="E1940" s="1"/>
      <c r="F1940" s="1" t="s">
        <v>11</v>
      </c>
      <c r="G1940">
        <v>475</v>
      </c>
      <c r="H1940">
        <v>325</v>
      </c>
      <c r="I1940" s="2"/>
      <c r="J1940" s="2">
        <v>45737</v>
      </c>
      <c r="K1940" s="2">
        <v>45765</v>
      </c>
    </row>
    <row r="1941" spans="1:11" x14ac:dyDescent="0.25">
      <c r="A1941" s="1" t="s">
        <v>406</v>
      </c>
      <c r="B1941" s="1" t="s">
        <v>1149</v>
      </c>
      <c r="C1941" s="1" t="s">
        <v>2144</v>
      </c>
      <c r="D1941" s="1" t="s">
        <v>1998</v>
      </c>
      <c r="E1941" s="1"/>
      <c r="F1941" s="1" t="s">
        <v>11</v>
      </c>
      <c r="G1941">
        <v>730</v>
      </c>
      <c r="H1941">
        <v>275</v>
      </c>
      <c r="I1941" s="2"/>
      <c r="J1941" s="2">
        <v>45737</v>
      </c>
      <c r="K1941" s="2">
        <v>45765</v>
      </c>
    </row>
    <row r="1942" spans="1:11" x14ac:dyDescent="0.25">
      <c r="A1942" s="1" t="s">
        <v>406</v>
      </c>
      <c r="B1942" s="1" t="s">
        <v>1150</v>
      </c>
      <c r="C1942" s="1" t="s">
        <v>2145</v>
      </c>
      <c r="D1942" s="1" t="s">
        <v>1998</v>
      </c>
      <c r="E1942" s="1"/>
      <c r="F1942" s="1" t="s">
        <v>11</v>
      </c>
      <c r="G1942">
        <v>720</v>
      </c>
      <c r="H1942">
        <v>720</v>
      </c>
      <c r="I1942" s="2"/>
      <c r="J1942" s="2">
        <v>45737</v>
      </c>
      <c r="K1942" s="2">
        <v>45765</v>
      </c>
    </row>
    <row r="1943" spans="1:11" x14ac:dyDescent="0.25">
      <c r="A1943" s="1" t="s">
        <v>406</v>
      </c>
      <c r="B1943" s="1" t="s">
        <v>1012</v>
      </c>
      <c r="C1943" s="1" t="s">
        <v>2029</v>
      </c>
      <c r="D1943" s="1" t="s">
        <v>1998</v>
      </c>
      <c r="E1943" s="1"/>
      <c r="F1943" s="1" t="s">
        <v>11</v>
      </c>
      <c r="G1943">
        <v>140</v>
      </c>
      <c r="H1943">
        <v>140</v>
      </c>
      <c r="I1943" s="2"/>
      <c r="J1943" s="2">
        <v>45737</v>
      </c>
      <c r="K1943" s="2">
        <v>45765</v>
      </c>
    </row>
    <row r="1944" spans="1:11" x14ac:dyDescent="0.25">
      <c r="A1944" s="1" t="s">
        <v>406</v>
      </c>
      <c r="B1944" s="1" t="s">
        <v>1013</v>
      </c>
      <c r="C1944" s="1" t="s">
        <v>2030</v>
      </c>
      <c r="D1944" s="1" t="s">
        <v>1998</v>
      </c>
      <c r="E1944" s="1"/>
      <c r="F1944" s="1" t="s">
        <v>11</v>
      </c>
      <c r="G1944">
        <v>30</v>
      </c>
      <c r="H1944">
        <v>85</v>
      </c>
      <c r="I1944" s="2"/>
      <c r="J1944" s="2">
        <v>45737</v>
      </c>
      <c r="K1944" s="2">
        <v>45765</v>
      </c>
    </row>
    <row r="1945" spans="1:11" x14ac:dyDescent="0.25">
      <c r="A1945" s="1" t="s">
        <v>406</v>
      </c>
      <c r="B1945" s="1" t="s">
        <v>993</v>
      </c>
      <c r="C1945" s="1" t="s">
        <v>2011</v>
      </c>
      <c r="D1945" s="1" t="s">
        <v>1998</v>
      </c>
      <c r="E1945" s="1"/>
      <c r="F1945" s="1" t="s">
        <v>11</v>
      </c>
      <c r="G1945">
        <v>10</v>
      </c>
      <c r="H1945">
        <v>10</v>
      </c>
      <c r="I1945" s="2"/>
      <c r="J1945" s="2">
        <v>45737</v>
      </c>
      <c r="K1945" s="2">
        <v>45765</v>
      </c>
    </row>
    <row r="1946" spans="1:11" x14ac:dyDescent="0.25">
      <c r="A1946" s="1" t="s">
        <v>407</v>
      </c>
      <c r="B1946" s="1" t="s">
        <v>1201</v>
      </c>
      <c r="C1946" s="1" t="s">
        <v>2192</v>
      </c>
      <c r="D1946" s="1" t="s">
        <v>1998</v>
      </c>
      <c r="E1946" s="1"/>
      <c r="F1946" s="1" t="s">
        <v>11</v>
      </c>
      <c r="G1946">
        <v>780</v>
      </c>
      <c r="H1946">
        <v>810</v>
      </c>
      <c r="I1946" s="2"/>
      <c r="J1946" s="2">
        <v>45740</v>
      </c>
      <c r="K1946" s="2">
        <v>45763</v>
      </c>
    </row>
    <row r="1947" spans="1:11" x14ac:dyDescent="0.25">
      <c r="A1947" s="1" t="s">
        <v>407</v>
      </c>
      <c r="B1947" s="1" t="s">
        <v>1027</v>
      </c>
      <c r="C1947" s="1" t="s">
        <v>2040</v>
      </c>
      <c r="D1947" s="1" t="s">
        <v>1998</v>
      </c>
      <c r="E1947" s="1"/>
      <c r="F1947" s="1" t="s">
        <v>11</v>
      </c>
      <c r="G1947">
        <v>270</v>
      </c>
      <c r="H1947">
        <v>270</v>
      </c>
      <c r="I1947" s="2"/>
      <c r="J1947" s="2">
        <v>45740</v>
      </c>
      <c r="K1947" s="2">
        <v>45763</v>
      </c>
    </row>
    <row r="1948" spans="1:11" x14ac:dyDescent="0.25">
      <c r="A1948" s="1" t="s">
        <v>407</v>
      </c>
      <c r="B1948" s="1" t="s">
        <v>1013</v>
      </c>
      <c r="C1948" s="1" t="s">
        <v>2030</v>
      </c>
      <c r="D1948" s="1" t="s">
        <v>1998</v>
      </c>
      <c r="E1948" s="1"/>
      <c r="F1948" s="1" t="s">
        <v>11</v>
      </c>
      <c r="G1948">
        <v>45</v>
      </c>
      <c r="H1948">
        <v>45</v>
      </c>
      <c r="I1948" s="2"/>
      <c r="J1948" s="2">
        <v>45740</v>
      </c>
      <c r="K1948" s="2">
        <v>45763</v>
      </c>
    </row>
    <row r="1949" spans="1:11" x14ac:dyDescent="0.25">
      <c r="A1949" s="1" t="s">
        <v>407</v>
      </c>
      <c r="B1949" s="1" t="s">
        <v>993</v>
      </c>
      <c r="C1949" s="1" t="s">
        <v>2011</v>
      </c>
      <c r="D1949" s="1" t="s">
        <v>1998</v>
      </c>
      <c r="E1949" s="1"/>
      <c r="F1949" s="1" t="s">
        <v>11</v>
      </c>
      <c r="G1949">
        <v>15</v>
      </c>
      <c r="H1949">
        <v>15</v>
      </c>
      <c r="I1949" s="2"/>
      <c r="J1949" s="2">
        <v>45740</v>
      </c>
      <c r="K1949" s="2">
        <v>45763</v>
      </c>
    </row>
    <row r="1950" spans="1:11" x14ac:dyDescent="0.25">
      <c r="A1950" s="1" t="s">
        <v>407</v>
      </c>
      <c r="B1950" s="1" t="s">
        <v>993</v>
      </c>
      <c r="C1950" s="1" t="s">
        <v>2011</v>
      </c>
      <c r="D1950" s="1" t="s">
        <v>1998</v>
      </c>
      <c r="E1950" s="1"/>
      <c r="F1950" s="1" t="s">
        <v>11</v>
      </c>
      <c r="G1950">
        <v>45</v>
      </c>
      <c r="H1950">
        <v>45</v>
      </c>
      <c r="I1950" s="2"/>
      <c r="J1950" s="2">
        <v>45740</v>
      </c>
      <c r="K1950" s="2">
        <v>45763</v>
      </c>
    </row>
    <row r="1951" spans="1:11" x14ac:dyDescent="0.25">
      <c r="A1951" s="1" t="s">
        <v>407</v>
      </c>
      <c r="B1951" s="1" t="s">
        <v>1202</v>
      </c>
      <c r="C1951" s="1" t="s">
        <v>2165</v>
      </c>
      <c r="D1951" s="1" t="s">
        <v>1998</v>
      </c>
      <c r="E1951" s="1"/>
      <c r="F1951" s="1" t="s">
        <v>11</v>
      </c>
      <c r="G1951">
        <v>1450</v>
      </c>
      <c r="H1951">
        <v>1450</v>
      </c>
      <c r="I1951" s="2"/>
      <c r="J1951" s="2">
        <v>45740</v>
      </c>
      <c r="K1951" s="2">
        <v>45763</v>
      </c>
    </row>
    <row r="1952" spans="1:11" x14ac:dyDescent="0.25">
      <c r="A1952" s="1" t="s">
        <v>407</v>
      </c>
      <c r="B1952" s="1" t="s">
        <v>1203</v>
      </c>
      <c r="C1952" s="1" t="s">
        <v>2193</v>
      </c>
      <c r="D1952" s="1" t="s">
        <v>1998</v>
      </c>
      <c r="E1952" s="1"/>
      <c r="F1952" s="1" t="s">
        <v>11</v>
      </c>
      <c r="G1952">
        <v>1500</v>
      </c>
      <c r="H1952">
        <v>1500</v>
      </c>
      <c r="I1952" s="2"/>
      <c r="J1952" s="2">
        <v>45740</v>
      </c>
      <c r="K1952" s="2">
        <v>45763</v>
      </c>
    </row>
    <row r="1953" spans="1:11" x14ac:dyDescent="0.25">
      <c r="A1953" s="1" t="s">
        <v>408</v>
      </c>
      <c r="B1953" s="1" t="s">
        <v>1482</v>
      </c>
      <c r="C1953" s="1" t="s">
        <v>2419</v>
      </c>
      <c r="D1953" s="1" t="s">
        <v>1998</v>
      </c>
      <c r="E1953" s="1"/>
      <c r="F1953" s="1" t="s">
        <v>11</v>
      </c>
      <c r="G1953">
        <v>1</v>
      </c>
      <c r="H1953">
        <v>1</v>
      </c>
      <c r="I1953" s="2">
        <v>45787</v>
      </c>
      <c r="J1953" s="2">
        <v>45747</v>
      </c>
      <c r="K1953" s="2">
        <v>45787</v>
      </c>
    </row>
    <row r="1954" spans="1:11" x14ac:dyDescent="0.25">
      <c r="A1954" s="1" t="s">
        <v>408</v>
      </c>
      <c r="B1954" s="1" t="s">
        <v>1483</v>
      </c>
      <c r="C1954" s="1" t="s">
        <v>2420</v>
      </c>
      <c r="D1954" s="1" t="s">
        <v>1998</v>
      </c>
      <c r="E1954" s="1"/>
      <c r="F1954" s="1" t="s">
        <v>11</v>
      </c>
      <c r="G1954">
        <v>2100</v>
      </c>
      <c r="H1954">
        <v>2100</v>
      </c>
      <c r="I1954" s="2">
        <v>45787</v>
      </c>
      <c r="J1954" s="2">
        <v>45747</v>
      </c>
      <c r="K1954" s="2">
        <v>45787</v>
      </c>
    </row>
    <row r="1955" spans="1:11" x14ac:dyDescent="0.25">
      <c r="A1955" s="1" t="s">
        <v>408</v>
      </c>
      <c r="B1955" s="1" t="s">
        <v>1484</v>
      </c>
      <c r="C1955" s="1" t="s">
        <v>2421</v>
      </c>
      <c r="D1955" s="1" t="s">
        <v>1998</v>
      </c>
      <c r="E1955" s="1"/>
      <c r="F1955" s="1" t="s">
        <v>11</v>
      </c>
      <c r="G1955">
        <v>5380</v>
      </c>
      <c r="H1955">
        <v>5380</v>
      </c>
      <c r="I1955" s="2">
        <v>45787</v>
      </c>
      <c r="J1955" s="2">
        <v>45747</v>
      </c>
      <c r="K1955" s="2">
        <v>45787</v>
      </c>
    </row>
    <row r="1956" spans="1:11" x14ac:dyDescent="0.25">
      <c r="A1956" s="1" t="s">
        <v>408</v>
      </c>
      <c r="B1956" s="1" t="s">
        <v>1485</v>
      </c>
      <c r="C1956" s="1" t="s">
        <v>2422</v>
      </c>
      <c r="D1956" s="1" t="s">
        <v>1998</v>
      </c>
      <c r="E1956" s="1"/>
      <c r="F1956" s="1" t="s">
        <v>11</v>
      </c>
      <c r="G1956">
        <v>30</v>
      </c>
      <c r="H1956">
        <v>30</v>
      </c>
      <c r="I1956" s="2">
        <v>45787</v>
      </c>
      <c r="J1956" s="2">
        <v>45747</v>
      </c>
      <c r="K1956" s="2">
        <v>45787</v>
      </c>
    </row>
    <row r="1957" spans="1:11" x14ac:dyDescent="0.25">
      <c r="A1957" s="1" t="s">
        <v>408</v>
      </c>
      <c r="B1957" s="1" t="s">
        <v>1486</v>
      </c>
      <c r="C1957" s="1" t="s">
        <v>2423</v>
      </c>
      <c r="D1957" s="1" t="s">
        <v>1998</v>
      </c>
      <c r="E1957" s="1"/>
      <c r="F1957" s="1" t="s">
        <v>11</v>
      </c>
      <c r="G1957">
        <v>2915</v>
      </c>
      <c r="H1957">
        <v>2915</v>
      </c>
      <c r="I1957" s="2">
        <v>45787</v>
      </c>
      <c r="J1957" s="2">
        <v>45747</v>
      </c>
      <c r="K1957" s="2">
        <v>45787</v>
      </c>
    </row>
    <row r="1958" spans="1:11" x14ac:dyDescent="0.25">
      <c r="A1958" s="1" t="s">
        <v>408</v>
      </c>
      <c r="B1958" s="1" t="s">
        <v>1487</v>
      </c>
      <c r="C1958" s="1" t="s">
        <v>2424</v>
      </c>
      <c r="D1958" s="1" t="s">
        <v>1998</v>
      </c>
      <c r="E1958" s="1"/>
      <c r="F1958" s="1" t="s">
        <v>11</v>
      </c>
      <c r="G1958">
        <v>210</v>
      </c>
      <c r="H1958">
        <v>210</v>
      </c>
      <c r="I1958" s="2">
        <v>45787</v>
      </c>
      <c r="J1958" s="2">
        <v>45747</v>
      </c>
      <c r="K1958" s="2">
        <v>45787</v>
      </c>
    </row>
    <row r="1959" spans="1:11" x14ac:dyDescent="0.25">
      <c r="A1959" s="1" t="s">
        <v>408</v>
      </c>
      <c r="B1959" s="1" t="s">
        <v>1470</v>
      </c>
      <c r="C1959" s="1" t="s">
        <v>2407</v>
      </c>
      <c r="D1959" s="1" t="s">
        <v>1998</v>
      </c>
      <c r="E1959" s="1"/>
      <c r="F1959" s="1" t="s">
        <v>11</v>
      </c>
      <c r="G1959">
        <v>20</v>
      </c>
      <c r="H1959">
        <v>20</v>
      </c>
      <c r="I1959" s="2">
        <v>45787</v>
      </c>
      <c r="J1959" s="2">
        <v>45747</v>
      </c>
      <c r="K1959" s="2">
        <v>45787</v>
      </c>
    </row>
    <row r="1960" spans="1:11" x14ac:dyDescent="0.25">
      <c r="A1960" s="1" t="s">
        <v>408</v>
      </c>
      <c r="B1960" s="1" t="s">
        <v>1488</v>
      </c>
      <c r="C1960" s="1" t="s">
        <v>2425</v>
      </c>
      <c r="D1960" s="1" t="s">
        <v>1998</v>
      </c>
      <c r="E1960" s="1"/>
      <c r="F1960" s="1" t="s">
        <v>11</v>
      </c>
      <c r="G1960">
        <v>120</v>
      </c>
      <c r="H1960">
        <v>120</v>
      </c>
      <c r="I1960" s="2">
        <v>45787</v>
      </c>
      <c r="J1960" s="2">
        <v>45747</v>
      </c>
      <c r="K1960" s="2">
        <v>45787</v>
      </c>
    </row>
    <row r="1961" spans="1:11" x14ac:dyDescent="0.25">
      <c r="A1961" s="1" t="s">
        <v>408</v>
      </c>
      <c r="B1961" s="1" t="s">
        <v>1472</v>
      </c>
      <c r="C1961" s="1" t="s">
        <v>2409</v>
      </c>
      <c r="D1961" s="1" t="s">
        <v>1998</v>
      </c>
      <c r="E1961" s="1"/>
      <c r="F1961" s="1" t="s">
        <v>11</v>
      </c>
      <c r="G1961">
        <v>5</v>
      </c>
      <c r="H1961">
        <v>5</v>
      </c>
      <c r="I1961" s="2">
        <v>45787</v>
      </c>
      <c r="J1961" s="2">
        <v>45747</v>
      </c>
      <c r="K1961" s="2">
        <v>45787</v>
      </c>
    </row>
    <row r="1962" spans="1:11" x14ac:dyDescent="0.25">
      <c r="A1962" s="1" t="s">
        <v>408</v>
      </c>
      <c r="B1962" s="1" t="s">
        <v>1489</v>
      </c>
      <c r="C1962" s="1" t="s">
        <v>2426</v>
      </c>
      <c r="D1962" s="1" t="s">
        <v>1998</v>
      </c>
      <c r="E1962" s="1"/>
      <c r="F1962" s="1" t="s">
        <v>11</v>
      </c>
      <c r="G1962">
        <v>1</v>
      </c>
      <c r="H1962">
        <v>1</v>
      </c>
      <c r="I1962" s="2">
        <v>45787</v>
      </c>
      <c r="J1962" s="2">
        <v>45747</v>
      </c>
      <c r="K1962" s="2">
        <v>45787</v>
      </c>
    </row>
    <row r="1963" spans="1:11" x14ac:dyDescent="0.25">
      <c r="A1963" s="1" t="s">
        <v>408</v>
      </c>
      <c r="B1963" s="1" t="s">
        <v>1490</v>
      </c>
      <c r="C1963" s="1" t="s">
        <v>2427</v>
      </c>
      <c r="D1963" s="1" t="s">
        <v>1998</v>
      </c>
      <c r="E1963" s="1"/>
      <c r="F1963" s="1" t="s">
        <v>11</v>
      </c>
      <c r="G1963">
        <v>1</v>
      </c>
      <c r="H1963">
        <v>1</v>
      </c>
      <c r="I1963" s="2">
        <v>45787</v>
      </c>
      <c r="J1963" s="2">
        <v>45747</v>
      </c>
      <c r="K1963" s="2">
        <v>45787</v>
      </c>
    </row>
    <row r="1964" spans="1:11" x14ac:dyDescent="0.25">
      <c r="A1964" s="1" t="s">
        <v>408</v>
      </c>
      <c r="B1964" s="1" t="s">
        <v>1491</v>
      </c>
      <c r="C1964" s="1" t="s">
        <v>2428</v>
      </c>
      <c r="D1964" s="1" t="s">
        <v>1998</v>
      </c>
      <c r="E1964" s="1"/>
      <c r="F1964" s="1" t="s">
        <v>11</v>
      </c>
      <c r="G1964">
        <v>35</v>
      </c>
      <c r="H1964">
        <v>35</v>
      </c>
      <c r="I1964" s="2">
        <v>45787</v>
      </c>
      <c r="J1964" s="2">
        <v>45747</v>
      </c>
      <c r="K1964" s="2">
        <v>45787</v>
      </c>
    </row>
    <row r="1965" spans="1:11" x14ac:dyDescent="0.25">
      <c r="A1965" s="1" t="s">
        <v>408</v>
      </c>
      <c r="B1965" s="1" t="s">
        <v>1492</v>
      </c>
      <c r="C1965" s="1" t="s">
        <v>2429</v>
      </c>
      <c r="D1965" s="1" t="s">
        <v>1998</v>
      </c>
      <c r="E1965" s="1"/>
      <c r="F1965" s="1" t="s">
        <v>11</v>
      </c>
      <c r="G1965">
        <v>5</v>
      </c>
      <c r="H1965">
        <v>5</v>
      </c>
      <c r="I1965" s="2">
        <v>45787</v>
      </c>
      <c r="J1965" s="2">
        <v>45747</v>
      </c>
      <c r="K1965" s="2">
        <v>45787</v>
      </c>
    </row>
    <row r="1966" spans="1:11" x14ac:dyDescent="0.25">
      <c r="A1966" s="1" t="s">
        <v>408</v>
      </c>
      <c r="B1966" s="1" t="s">
        <v>1493</v>
      </c>
      <c r="C1966" s="1" t="s">
        <v>2429</v>
      </c>
      <c r="D1966" s="1" t="s">
        <v>1998</v>
      </c>
      <c r="E1966" s="1"/>
      <c r="F1966" s="1" t="s">
        <v>11</v>
      </c>
      <c r="G1966">
        <v>5</v>
      </c>
      <c r="H1966">
        <v>5</v>
      </c>
      <c r="I1966" s="2">
        <v>45787</v>
      </c>
      <c r="J1966" s="2">
        <v>45747</v>
      </c>
      <c r="K1966" s="2">
        <v>45787</v>
      </c>
    </row>
    <row r="1967" spans="1:11" x14ac:dyDescent="0.25">
      <c r="A1967" s="1" t="s">
        <v>408</v>
      </c>
      <c r="B1967" s="1" t="s">
        <v>1494</v>
      </c>
      <c r="C1967" s="1" t="s">
        <v>2430</v>
      </c>
      <c r="D1967" s="1" t="s">
        <v>1998</v>
      </c>
      <c r="E1967" s="1"/>
      <c r="F1967" s="1" t="s">
        <v>11</v>
      </c>
      <c r="G1967">
        <v>1</v>
      </c>
      <c r="H1967">
        <v>1</v>
      </c>
      <c r="I1967" s="2">
        <v>45787</v>
      </c>
      <c r="J1967" s="2">
        <v>45747</v>
      </c>
      <c r="K1967" s="2">
        <v>45787</v>
      </c>
    </row>
    <row r="1968" spans="1:11" x14ac:dyDescent="0.25">
      <c r="A1968" s="1" t="s">
        <v>408</v>
      </c>
      <c r="B1968" s="1" t="s">
        <v>1495</v>
      </c>
      <c r="C1968" s="1" t="s">
        <v>2431</v>
      </c>
      <c r="D1968" s="1" t="s">
        <v>1998</v>
      </c>
      <c r="E1968" s="1"/>
      <c r="F1968" s="1" t="s">
        <v>11</v>
      </c>
      <c r="G1968">
        <v>1</v>
      </c>
      <c r="H1968">
        <v>1</v>
      </c>
      <c r="I1968" s="2">
        <v>45787</v>
      </c>
      <c r="J1968" s="2">
        <v>45747</v>
      </c>
      <c r="K1968" s="2">
        <v>45787</v>
      </c>
    </row>
    <row r="1969" spans="1:11" x14ac:dyDescent="0.25">
      <c r="A1969" s="1" t="s">
        <v>408</v>
      </c>
      <c r="B1969" s="1" t="s">
        <v>1496</v>
      </c>
      <c r="C1969" s="1" t="s">
        <v>2432</v>
      </c>
      <c r="D1969" s="1" t="s">
        <v>1998</v>
      </c>
      <c r="E1969" s="1"/>
      <c r="F1969" s="1" t="s">
        <v>11</v>
      </c>
      <c r="G1969">
        <v>1</v>
      </c>
      <c r="H1969">
        <v>1</v>
      </c>
      <c r="I1969" s="2">
        <v>45787</v>
      </c>
      <c r="J1969" s="2">
        <v>45747</v>
      </c>
      <c r="K1969" s="2">
        <v>45787</v>
      </c>
    </row>
    <row r="1970" spans="1:11" x14ac:dyDescent="0.25">
      <c r="A1970" s="1" t="s">
        <v>408</v>
      </c>
      <c r="B1970" s="1" t="s">
        <v>1497</v>
      </c>
      <c r="C1970" s="1" t="s">
        <v>2432</v>
      </c>
      <c r="D1970" s="1" t="s">
        <v>1998</v>
      </c>
      <c r="E1970" s="1"/>
      <c r="F1970" s="1" t="s">
        <v>11</v>
      </c>
      <c r="G1970">
        <v>1</v>
      </c>
      <c r="H1970">
        <v>1</v>
      </c>
      <c r="I1970" s="2">
        <v>45787</v>
      </c>
      <c r="J1970" s="2">
        <v>45747</v>
      </c>
      <c r="K1970" s="2">
        <v>45787</v>
      </c>
    </row>
    <row r="1971" spans="1:11" x14ac:dyDescent="0.25">
      <c r="A1971" s="1" t="s">
        <v>408</v>
      </c>
      <c r="B1971" s="1" t="s">
        <v>1027</v>
      </c>
      <c r="C1971" s="1" t="s">
        <v>2040</v>
      </c>
      <c r="D1971" s="1" t="s">
        <v>1998</v>
      </c>
      <c r="E1971" s="1"/>
      <c r="F1971" s="1" t="s">
        <v>11</v>
      </c>
      <c r="G1971">
        <v>30</v>
      </c>
      <c r="H1971">
        <v>30</v>
      </c>
      <c r="I1971" s="2">
        <v>45787</v>
      </c>
      <c r="J1971" s="2">
        <v>45747</v>
      </c>
      <c r="K1971" s="2">
        <v>45787</v>
      </c>
    </row>
    <row r="1972" spans="1:11" x14ac:dyDescent="0.25">
      <c r="A1972" s="1" t="s">
        <v>408</v>
      </c>
      <c r="B1972" s="1" t="s">
        <v>1013</v>
      </c>
      <c r="C1972" s="1" t="s">
        <v>2030</v>
      </c>
      <c r="D1972" s="1" t="s">
        <v>1998</v>
      </c>
      <c r="E1972" s="1"/>
      <c r="F1972" s="1" t="s">
        <v>11</v>
      </c>
      <c r="G1972">
        <v>5</v>
      </c>
      <c r="H1972">
        <v>5</v>
      </c>
      <c r="I1972" s="2">
        <v>45787</v>
      </c>
      <c r="J1972" s="2">
        <v>45747</v>
      </c>
      <c r="K1972" s="2">
        <v>45787</v>
      </c>
    </row>
    <row r="1973" spans="1:11" x14ac:dyDescent="0.25">
      <c r="A1973" s="1" t="s">
        <v>408</v>
      </c>
      <c r="B1973" s="1" t="s">
        <v>1498</v>
      </c>
      <c r="C1973" s="1" t="s">
        <v>2433</v>
      </c>
      <c r="D1973" s="1" t="s">
        <v>1998</v>
      </c>
      <c r="E1973" s="1"/>
      <c r="F1973" s="1" t="s">
        <v>11</v>
      </c>
      <c r="G1973">
        <v>1</v>
      </c>
      <c r="H1973">
        <v>1</v>
      </c>
      <c r="I1973" s="2">
        <v>45787</v>
      </c>
      <c r="J1973" s="2">
        <v>45747</v>
      </c>
      <c r="K1973" s="2">
        <v>45787</v>
      </c>
    </row>
    <row r="1974" spans="1:11" x14ac:dyDescent="0.25">
      <c r="A1974" s="1" t="s">
        <v>408</v>
      </c>
      <c r="B1974" s="1" t="s">
        <v>1499</v>
      </c>
      <c r="C1974" s="1" t="s">
        <v>2433</v>
      </c>
      <c r="D1974" s="1" t="s">
        <v>1998</v>
      </c>
      <c r="E1974" s="1"/>
      <c r="F1974" s="1" t="s">
        <v>11</v>
      </c>
      <c r="G1974">
        <v>1</v>
      </c>
      <c r="H1974">
        <v>1</v>
      </c>
      <c r="I1974" s="2">
        <v>45787</v>
      </c>
      <c r="J1974" s="2">
        <v>45747</v>
      </c>
      <c r="K1974" s="2">
        <v>45787</v>
      </c>
    </row>
    <row r="1975" spans="1:11" x14ac:dyDescent="0.25">
      <c r="A1975" s="1" t="s">
        <v>408</v>
      </c>
      <c r="B1975" s="1" t="s">
        <v>993</v>
      </c>
      <c r="C1975" s="1" t="s">
        <v>2011</v>
      </c>
      <c r="D1975" s="1" t="s">
        <v>1998</v>
      </c>
      <c r="E1975" s="1"/>
      <c r="F1975" s="1" t="s">
        <v>11</v>
      </c>
      <c r="G1975">
        <v>1</v>
      </c>
      <c r="H1975">
        <v>1</v>
      </c>
      <c r="I1975" s="2">
        <v>45787</v>
      </c>
      <c r="J1975" s="2">
        <v>45747</v>
      </c>
      <c r="K1975" s="2">
        <v>45787</v>
      </c>
    </row>
    <row r="1976" spans="1:11" x14ac:dyDescent="0.25">
      <c r="A1976" s="1" t="s">
        <v>408</v>
      </c>
      <c r="B1976" s="1" t="s">
        <v>993</v>
      </c>
      <c r="C1976" s="1" t="s">
        <v>2011</v>
      </c>
      <c r="D1976" s="1" t="s">
        <v>1998</v>
      </c>
      <c r="E1976" s="1"/>
      <c r="F1976" s="1" t="s">
        <v>11</v>
      </c>
      <c r="G1976">
        <v>5</v>
      </c>
      <c r="H1976">
        <v>5</v>
      </c>
      <c r="I1976" s="2">
        <v>45787</v>
      </c>
      <c r="J1976" s="2">
        <v>45747</v>
      </c>
      <c r="K1976" s="2">
        <v>45787</v>
      </c>
    </row>
    <row r="1977" spans="1:11" x14ac:dyDescent="0.25">
      <c r="A1977" s="1" t="s">
        <v>408</v>
      </c>
      <c r="B1977" s="1" t="s">
        <v>993</v>
      </c>
      <c r="C1977" s="1" t="s">
        <v>2011</v>
      </c>
      <c r="D1977" s="1" t="s">
        <v>1998</v>
      </c>
      <c r="E1977" s="1"/>
      <c r="F1977" s="1" t="s">
        <v>11</v>
      </c>
      <c r="G1977">
        <v>1</v>
      </c>
      <c r="H1977">
        <v>1</v>
      </c>
      <c r="I1977" s="2">
        <v>45787</v>
      </c>
      <c r="J1977" s="2">
        <v>45747</v>
      </c>
      <c r="K1977" s="2">
        <v>45787</v>
      </c>
    </row>
    <row r="1978" spans="1:11" x14ac:dyDescent="0.25">
      <c r="A1978" s="1" t="s">
        <v>408</v>
      </c>
      <c r="B1978" s="1" t="s">
        <v>1473</v>
      </c>
      <c r="C1978" s="1" t="s">
        <v>2410</v>
      </c>
      <c r="D1978" s="1" t="s">
        <v>1998</v>
      </c>
      <c r="E1978" s="1"/>
      <c r="F1978" s="1" t="s">
        <v>11</v>
      </c>
      <c r="G1978">
        <v>1</v>
      </c>
      <c r="H1978">
        <v>1</v>
      </c>
      <c r="I1978" s="2">
        <v>45787</v>
      </c>
      <c r="J1978" s="2">
        <v>45747</v>
      </c>
      <c r="K1978" s="2">
        <v>45787</v>
      </c>
    </row>
    <row r="1979" spans="1:11" x14ac:dyDescent="0.25">
      <c r="A1979" s="1" t="s">
        <v>408</v>
      </c>
      <c r="B1979" s="1" t="s">
        <v>1275</v>
      </c>
      <c r="C1979" s="1" t="s">
        <v>2252</v>
      </c>
      <c r="D1979" s="1" t="s">
        <v>1998</v>
      </c>
      <c r="E1979" s="1"/>
      <c r="F1979" s="1" t="s">
        <v>11</v>
      </c>
      <c r="G1979">
        <v>15</v>
      </c>
      <c r="H1979">
        <v>15</v>
      </c>
      <c r="I1979" s="2">
        <v>45787</v>
      </c>
      <c r="J1979" s="2">
        <v>45747</v>
      </c>
      <c r="K1979" s="2">
        <v>45787</v>
      </c>
    </row>
    <row r="1980" spans="1:11" x14ac:dyDescent="0.25">
      <c r="A1980" s="1" t="s">
        <v>408</v>
      </c>
      <c r="B1980" s="1" t="s">
        <v>1474</v>
      </c>
      <c r="C1980" s="1" t="s">
        <v>2411</v>
      </c>
      <c r="D1980" s="1" t="s">
        <v>1998</v>
      </c>
      <c r="E1980" s="1"/>
      <c r="F1980" s="1" t="s">
        <v>11</v>
      </c>
      <c r="G1980">
        <v>1</v>
      </c>
      <c r="H1980">
        <v>1</v>
      </c>
      <c r="I1980" s="2">
        <v>45787</v>
      </c>
      <c r="J1980" s="2">
        <v>45747</v>
      </c>
      <c r="K1980" s="2">
        <v>45787</v>
      </c>
    </row>
    <row r="1981" spans="1:11" x14ac:dyDescent="0.25">
      <c r="A1981" s="1" t="s">
        <v>408</v>
      </c>
      <c r="B1981" s="1" t="s">
        <v>1475</v>
      </c>
      <c r="C1981" s="1" t="s">
        <v>2412</v>
      </c>
      <c r="D1981" s="1" t="s">
        <v>1998</v>
      </c>
      <c r="E1981" s="1"/>
      <c r="F1981" s="1" t="s">
        <v>11</v>
      </c>
      <c r="G1981">
        <v>1</v>
      </c>
      <c r="H1981">
        <v>1</v>
      </c>
      <c r="I1981" s="2">
        <v>45787</v>
      </c>
      <c r="J1981" s="2">
        <v>45747</v>
      </c>
      <c r="K1981" s="2">
        <v>45787</v>
      </c>
    </row>
    <row r="1982" spans="1:11" x14ac:dyDescent="0.25">
      <c r="A1982" s="1" t="s">
        <v>408</v>
      </c>
      <c r="B1982" s="1" t="s">
        <v>1500</v>
      </c>
      <c r="C1982" s="1" t="s">
        <v>2434</v>
      </c>
      <c r="D1982" s="1" t="s">
        <v>1998</v>
      </c>
      <c r="E1982" s="1"/>
      <c r="F1982" s="1" t="s">
        <v>11</v>
      </c>
      <c r="G1982">
        <v>80</v>
      </c>
      <c r="H1982">
        <v>80</v>
      </c>
      <c r="I1982" s="2">
        <v>45787</v>
      </c>
      <c r="J1982" s="2">
        <v>45747</v>
      </c>
      <c r="K1982" s="2">
        <v>45787</v>
      </c>
    </row>
    <row r="1983" spans="1:11" x14ac:dyDescent="0.25">
      <c r="A1983" s="1" t="s">
        <v>409</v>
      </c>
      <c r="B1983" s="1" t="s">
        <v>1482</v>
      </c>
      <c r="C1983" s="1" t="s">
        <v>2419</v>
      </c>
      <c r="D1983" s="1" t="s">
        <v>1998</v>
      </c>
      <c r="E1983" s="1"/>
      <c r="F1983" s="1" t="s">
        <v>11</v>
      </c>
      <c r="G1983">
        <v>1</v>
      </c>
      <c r="H1983">
        <v>1</v>
      </c>
      <c r="I1983" s="2">
        <v>45787</v>
      </c>
      <c r="J1983" s="2">
        <v>45754</v>
      </c>
      <c r="K1983" s="2">
        <v>45787</v>
      </c>
    </row>
    <row r="1984" spans="1:11" x14ac:dyDescent="0.25">
      <c r="A1984" s="1" t="s">
        <v>409</v>
      </c>
      <c r="B1984" s="1" t="s">
        <v>1483</v>
      </c>
      <c r="C1984" s="1" t="s">
        <v>2420</v>
      </c>
      <c r="D1984" s="1" t="s">
        <v>1998</v>
      </c>
      <c r="E1984" s="1"/>
      <c r="F1984" s="1" t="s">
        <v>11</v>
      </c>
      <c r="G1984">
        <v>2100</v>
      </c>
      <c r="H1984">
        <v>2100</v>
      </c>
      <c r="I1984" s="2">
        <v>45787</v>
      </c>
      <c r="J1984" s="2">
        <v>45754</v>
      </c>
      <c r="K1984" s="2">
        <v>45787</v>
      </c>
    </row>
    <row r="1985" spans="1:11" x14ac:dyDescent="0.25">
      <c r="A1985" s="1" t="s">
        <v>409</v>
      </c>
      <c r="B1985" s="1" t="s">
        <v>1484</v>
      </c>
      <c r="C1985" s="1" t="s">
        <v>2421</v>
      </c>
      <c r="D1985" s="1" t="s">
        <v>1998</v>
      </c>
      <c r="E1985" s="1"/>
      <c r="F1985" s="1" t="s">
        <v>11</v>
      </c>
      <c r="G1985">
        <v>5380</v>
      </c>
      <c r="H1985">
        <v>5380</v>
      </c>
      <c r="I1985" s="2">
        <v>45787</v>
      </c>
      <c r="J1985" s="2">
        <v>45754</v>
      </c>
      <c r="K1985" s="2">
        <v>45787</v>
      </c>
    </row>
    <row r="1986" spans="1:11" x14ac:dyDescent="0.25">
      <c r="A1986" s="1" t="s">
        <v>409</v>
      </c>
      <c r="B1986" s="1" t="s">
        <v>1485</v>
      </c>
      <c r="C1986" s="1" t="s">
        <v>2422</v>
      </c>
      <c r="D1986" s="1" t="s">
        <v>1998</v>
      </c>
      <c r="E1986" s="1"/>
      <c r="F1986" s="1" t="s">
        <v>11</v>
      </c>
      <c r="G1986">
        <v>30</v>
      </c>
      <c r="H1986">
        <v>30</v>
      </c>
      <c r="I1986" s="2">
        <v>45787</v>
      </c>
      <c r="J1986" s="2">
        <v>45754</v>
      </c>
      <c r="K1986" s="2">
        <v>45787</v>
      </c>
    </row>
    <row r="1987" spans="1:11" x14ac:dyDescent="0.25">
      <c r="A1987" s="1" t="s">
        <v>409</v>
      </c>
      <c r="B1987" s="1" t="s">
        <v>1486</v>
      </c>
      <c r="C1987" s="1" t="s">
        <v>2423</v>
      </c>
      <c r="D1987" s="1" t="s">
        <v>1998</v>
      </c>
      <c r="E1987" s="1"/>
      <c r="F1987" s="1" t="s">
        <v>11</v>
      </c>
      <c r="G1987">
        <v>2915</v>
      </c>
      <c r="H1987">
        <v>2915</v>
      </c>
      <c r="I1987" s="2">
        <v>45787</v>
      </c>
      <c r="J1987" s="2">
        <v>45754</v>
      </c>
      <c r="K1987" s="2">
        <v>45787</v>
      </c>
    </row>
    <row r="1988" spans="1:11" x14ac:dyDescent="0.25">
      <c r="A1988" s="1" t="s">
        <v>409</v>
      </c>
      <c r="B1988" s="1" t="s">
        <v>1487</v>
      </c>
      <c r="C1988" s="1" t="s">
        <v>2424</v>
      </c>
      <c r="D1988" s="1" t="s">
        <v>1998</v>
      </c>
      <c r="E1988" s="1"/>
      <c r="F1988" s="1" t="s">
        <v>11</v>
      </c>
      <c r="G1988">
        <v>210</v>
      </c>
      <c r="H1988">
        <v>210</v>
      </c>
      <c r="I1988" s="2">
        <v>45787</v>
      </c>
      <c r="J1988" s="2">
        <v>45754</v>
      </c>
      <c r="K1988" s="2">
        <v>45787</v>
      </c>
    </row>
    <row r="1989" spans="1:11" x14ac:dyDescent="0.25">
      <c r="A1989" s="1" t="s">
        <v>409</v>
      </c>
      <c r="B1989" s="1" t="s">
        <v>1470</v>
      </c>
      <c r="C1989" s="1" t="s">
        <v>2407</v>
      </c>
      <c r="D1989" s="1" t="s">
        <v>1998</v>
      </c>
      <c r="E1989" s="1"/>
      <c r="F1989" s="1" t="s">
        <v>11</v>
      </c>
      <c r="G1989">
        <v>20</v>
      </c>
      <c r="H1989">
        <v>20</v>
      </c>
      <c r="I1989" s="2">
        <v>45787</v>
      </c>
      <c r="J1989" s="2">
        <v>45754</v>
      </c>
      <c r="K1989" s="2">
        <v>45787</v>
      </c>
    </row>
    <row r="1990" spans="1:11" x14ac:dyDescent="0.25">
      <c r="A1990" s="1" t="s">
        <v>409</v>
      </c>
      <c r="B1990" s="1" t="s">
        <v>1488</v>
      </c>
      <c r="C1990" s="1" t="s">
        <v>2425</v>
      </c>
      <c r="D1990" s="1" t="s">
        <v>1998</v>
      </c>
      <c r="E1990" s="1"/>
      <c r="F1990" s="1" t="s">
        <v>11</v>
      </c>
      <c r="G1990">
        <v>120</v>
      </c>
      <c r="H1990">
        <v>120</v>
      </c>
      <c r="I1990" s="2">
        <v>45787</v>
      </c>
      <c r="J1990" s="2">
        <v>45754</v>
      </c>
      <c r="K1990" s="2">
        <v>45787</v>
      </c>
    </row>
    <row r="1991" spans="1:11" x14ac:dyDescent="0.25">
      <c r="A1991" s="1" t="s">
        <v>409</v>
      </c>
      <c r="B1991" s="1" t="s">
        <v>1472</v>
      </c>
      <c r="C1991" s="1" t="s">
        <v>2409</v>
      </c>
      <c r="D1991" s="1" t="s">
        <v>1998</v>
      </c>
      <c r="E1991" s="1"/>
      <c r="F1991" s="1" t="s">
        <v>11</v>
      </c>
      <c r="G1991">
        <v>5</v>
      </c>
      <c r="H1991">
        <v>5</v>
      </c>
      <c r="I1991" s="2">
        <v>45787</v>
      </c>
      <c r="J1991" s="2">
        <v>45754</v>
      </c>
      <c r="K1991" s="2">
        <v>45787</v>
      </c>
    </row>
    <row r="1992" spans="1:11" x14ac:dyDescent="0.25">
      <c r="A1992" s="1" t="s">
        <v>409</v>
      </c>
      <c r="B1992" s="1" t="s">
        <v>1489</v>
      </c>
      <c r="C1992" s="1" t="s">
        <v>2426</v>
      </c>
      <c r="D1992" s="1" t="s">
        <v>1998</v>
      </c>
      <c r="E1992" s="1"/>
      <c r="F1992" s="1" t="s">
        <v>11</v>
      </c>
      <c r="G1992">
        <v>1</v>
      </c>
      <c r="H1992">
        <v>1</v>
      </c>
      <c r="I1992" s="2">
        <v>45787</v>
      </c>
      <c r="J1992" s="2">
        <v>45754</v>
      </c>
      <c r="K1992" s="2">
        <v>45787</v>
      </c>
    </row>
    <row r="1993" spans="1:11" x14ac:dyDescent="0.25">
      <c r="A1993" s="1" t="s">
        <v>409</v>
      </c>
      <c r="B1993" s="1" t="s">
        <v>1490</v>
      </c>
      <c r="C1993" s="1" t="s">
        <v>2427</v>
      </c>
      <c r="D1993" s="1" t="s">
        <v>1998</v>
      </c>
      <c r="E1993" s="1"/>
      <c r="F1993" s="1" t="s">
        <v>11</v>
      </c>
      <c r="G1993">
        <v>1</v>
      </c>
      <c r="H1993">
        <v>1</v>
      </c>
      <c r="I1993" s="2">
        <v>45787</v>
      </c>
      <c r="J1993" s="2">
        <v>45754</v>
      </c>
      <c r="K1993" s="2">
        <v>45787</v>
      </c>
    </row>
    <row r="1994" spans="1:11" x14ac:dyDescent="0.25">
      <c r="A1994" s="1" t="s">
        <v>409</v>
      </c>
      <c r="B1994" s="1" t="s">
        <v>1491</v>
      </c>
      <c r="C1994" s="1" t="s">
        <v>2428</v>
      </c>
      <c r="D1994" s="1" t="s">
        <v>1998</v>
      </c>
      <c r="E1994" s="1"/>
      <c r="F1994" s="1" t="s">
        <v>11</v>
      </c>
      <c r="G1994">
        <v>35</v>
      </c>
      <c r="H1994">
        <v>35</v>
      </c>
      <c r="I1994" s="2">
        <v>45787</v>
      </c>
      <c r="J1994" s="2">
        <v>45754</v>
      </c>
      <c r="K1994" s="2">
        <v>45787</v>
      </c>
    </row>
    <row r="1995" spans="1:11" x14ac:dyDescent="0.25">
      <c r="A1995" s="1" t="s">
        <v>409</v>
      </c>
      <c r="B1995" s="1" t="s">
        <v>1492</v>
      </c>
      <c r="C1995" s="1" t="s">
        <v>2429</v>
      </c>
      <c r="D1995" s="1" t="s">
        <v>1998</v>
      </c>
      <c r="E1995" s="1"/>
      <c r="F1995" s="1" t="s">
        <v>11</v>
      </c>
      <c r="G1995">
        <v>5</v>
      </c>
      <c r="H1995">
        <v>5</v>
      </c>
      <c r="I1995" s="2">
        <v>45787</v>
      </c>
      <c r="J1995" s="2">
        <v>45754</v>
      </c>
      <c r="K1995" s="2">
        <v>45787</v>
      </c>
    </row>
    <row r="1996" spans="1:11" x14ac:dyDescent="0.25">
      <c r="A1996" s="1" t="s">
        <v>409</v>
      </c>
      <c r="B1996" s="1" t="s">
        <v>1493</v>
      </c>
      <c r="C1996" s="1" t="s">
        <v>2429</v>
      </c>
      <c r="D1996" s="1" t="s">
        <v>1998</v>
      </c>
      <c r="E1996" s="1"/>
      <c r="F1996" s="1" t="s">
        <v>11</v>
      </c>
      <c r="G1996">
        <v>5</v>
      </c>
      <c r="H1996">
        <v>5</v>
      </c>
      <c r="I1996" s="2">
        <v>45787</v>
      </c>
      <c r="J1996" s="2">
        <v>45754</v>
      </c>
      <c r="K1996" s="2">
        <v>45787</v>
      </c>
    </row>
    <row r="1997" spans="1:11" x14ac:dyDescent="0.25">
      <c r="A1997" s="1" t="s">
        <v>409</v>
      </c>
      <c r="B1997" s="1" t="s">
        <v>1494</v>
      </c>
      <c r="C1997" s="1" t="s">
        <v>2430</v>
      </c>
      <c r="D1997" s="1" t="s">
        <v>1998</v>
      </c>
      <c r="E1997" s="1"/>
      <c r="F1997" s="1" t="s">
        <v>11</v>
      </c>
      <c r="G1997">
        <v>1</v>
      </c>
      <c r="H1997">
        <v>1</v>
      </c>
      <c r="I1997" s="2">
        <v>45787</v>
      </c>
      <c r="J1997" s="2">
        <v>45754</v>
      </c>
      <c r="K1997" s="2">
        <v>45787</v>
      </c>
    </row>
    <row r="1998" spans="1:11" x14ac:dyDescent="0.25">
      <c r="A1998" s="1" t="s">
        <v>409</v>
      </c>
      <c r="B1998" s="1" t="s">
        <v>1495</v>
      </c>
      <c r="C1998" s="1" t="s">
        <v>2431</v>
      </c>
      <c r="D1998" s="1" t="s">
        <v>1998</v>
      </c>
      <c r="E1998" s="1"/>
      <c r="F1998" s="1" t="s">
        <v>11</v>
      </c>
      <c r="G1998">
        <v>1</v>
      </c>
      <c r="H1998">
        <v>1</v>
      </c>
      <c r="I1998" s="2">
        <v>45787</v>
      </c>
      <c r="J1998" s="2">
        <v>45754</v>
      </c>
      <c r="K1998" s="2">
        <v>45787</v>
      </c>
    </row>
    <row r="1999" spans="1:11" x14ac:dyDescent="0.25">
      <c r="A1999" s="1" t="s">
        <v>409</v>
      </c>
      <c r="B1999" s="1" t="s">
        <v>1496</v>
      </c>
      <c r="C1999" s="1" t="s">
        <v>2432</v>
      </c>
      <c r="D1999" s="1" t="s">
        <v>1998</v>
      </c>
      <c r="E1999" s="1"/>
      <c r="F1999" s="1" t="s">
        <v>11</v>
      </c>
      <c r="G1999">
        <v>1</v>
      </c>
      <c r="H1999">
        <v>1</v>
      </c>
      <c r="I1999" s="2">
        <v>45787</v>
      </c>
      <c r="J1999" s="2">
        <v>45754</v>
      </c>
      <c r="K1999" s="2">
        <v>45787</v>
      </c>
    </row>
    <row r="2000" spans="1:11" x14ac:dyDescent="0.25">
      <c r="A2000" s="1" t="s">
        <v>409</v>
      </c>
      <c r="B2000" s="1" t="s">
        <v>1497</v>
      </c>
      <c r="C2000" s="1" t="s">
        <v>2432</v>
      </c>
      <c r="D2000" s="1" t="s">
        <v>1998</v>
      </c>
      <c r="E2000" s="1"/>
      <c r="F2000" s="1" t="s">
        <v>11</v>
      </c>
      <c r="G2000">
        <v>1</v>
      </c>
      <c r="H2000">
        <v>1</v>
      </c>
      <c r="I2000" s="2">
        <v>45787</v>
      </c>
      <c r="J2000" s="2">
        <v>45754</v>
      </c>
      <c r="K2000" s="2">
        <v>45787</v>
      </c>
    </row>
    <row r="2001" spans="1:11" x14ac:dyDescent="0.25">
      <c r="A2001" s="1" t="s">
        <v>409</v>
      </c>
      <c r="B2001" s="1" t="s">
        <v>1027</v>
      </c>
      <c r="C2001" s="1" t="s">
        <v>2040</v>
      </c>
      <c r="D2001" s="1" t="s">
        <v>1998</v>
      </c>
      <c r="E2001" s="1"/>
      <c r="F2001" s="1" t="s">
        <v>11</v>
      </c>
      <c r="G2001">
        <v>30</v>
      </c>
      <c r="H2001">
        <v>30</v>
      </c>
      <c r="I2001" s="2">
        <v>45787</v>
      </c>
      <c r="J2001" s="2">
        <v>45754</v>
      </c>
      <c r="K2001" s="2">
        <v>45787</v>
      </c>
    </row>
    <row r="2002" spans="1:11" x14ac:dyDescent="0.25">
      <c r="A2002" s="1" t="s">
        <v>409</v>
      </c>
      <c r="B2002" s="1" t="s">
        <v>1013</v>
      </c>
      <c r="C2002" s="1" t="s">
        <v>2030</v>
      </c>
      <c r="D2002" s="1" t="s">
        <v>1998</v>
      </c>
      <c r="E2002" s="1"/>
      <c r="F2002" s="1" t="s">
        <v>11</v>
      </c>
      <c r="G2002">
        <v>5</v>
      </c>
      <c r="H2002">
        <v>5</v>
      </c>
      <c r="I2002" s="2">
        <v>45787</v>
      </c>
      <c r="J2002" s="2">
        <v>45754</v>
      </c>
      <c r="K2002" s="2">
        <v>45787</v>
      </c>
    </row>
    <row r="2003" spans="1:11" x14ac:dyDescent="0.25">
      <c r="A2003" s="1" t="s">
        <v>409</v>
      </c>
      <c r="B2003" s="1" t="s">
        <v>1498</v>
      </c>
      <c r="C2003" s="1" t="s">
        <v>2433</v>
      </c>
      <c r="D2003" s="1" t="s">
        <v>1998</v>
      </c>
      <c r="E2003" s="1"/>
      <c r="F2003" s="1" t="s">
        <v>11</v>
      </c>
      <c r="G2003">
        <v>1</v>
      </c>
      <c r="H2003">
        <v>1</v>
      </c>
      <c r="I2003" s="2">
        <v>45787</v>
      </c>
      <c r="J2003" s="2">
        <v>45754</v>
      </c>
      <c r="K2003" s="2">
        <v>45787</v>
      </c>
    </row>
    <row r="2004" spans="1:11" x14ac:dyDescent="0.25">
      <c r="A2004" s="1" t="s">
        <v>409</v>
      </c>
      <c r="B2004" s="1" t="s">
        <v>1499</v>
      </c>
      <c r="C2004" s="1" t="s">
        <v>2433</v>
      </c>
      <c r="D2004" s="1" t="s">
        <v>1998</v>
      </c>
      <c r="E2004" s="1"/>
      <c r="F2004" s="1" t="s">
        <v>11</v>
      </c>
      <c r="G2004">
        <v>1</v>
      </c>
      <c r="H2004">
        <v>1</v>
      </c>
      <c r="I2004" s="2">
        <v>45787</v>
      </c>
      <c r="J2004" s="2">
        <v>45754</v>
      </c>
      <c r="K2004" s="2">
        <v>45787</v>
      </c>
    </row>
    <row r="2005" spans="1:11" x14ac:dyDescent="0.25">
      <c r="A2005" s="1" t="s">
        <v>409</v>
      </c>
      <c r="B2005" s="1" t="s">
        <v>993</v>
      </c>
      <c r="C2005" s="1" t="s">
        <v>2011</v>
      </c>
      <c r="D2005" s="1" t="s">
        <v>1998</v>
      </c>
      <c r="E2005" s="1"/>
      <c r="F2005" s="1" t="s">
        <v>11</v>
      </c>
      <c r="G2005">
        <v>1</v>
      </c>
      <c r="H2005">
        <v>1</v>
      </c>
      <c r="I2005" s="2">
        <v>45787</v>
      </c>
      <c r="J2005" s="2">
        <v>45754</v>
      </c>
      <c r="K2005" s="2">
        <v>45787</v>
      </c>
    </row>
    <row r="2006" spans="1:11" x14ac:dyDescent="0.25">
      <c r="A2006" s="1" t="s">
        <v>409</v>
      </c>
      <c r="B2006" s="1" t="s">
        <v>993</v>
      </c>
      <c r="C2006" s="1" t="s">
        <v>2011</v>
      </c>
      <c r="D2006" s="1" t="s">
        <v>1998</v>
      </c>
      <c r="E2006" s="1"/>
      <c r="F2006" s="1" t="s">
        <v>11</v>
      </c>
      <c r="G2006">
        <v>5</v>
      </c>
      <c r="H2006">
        <v>5</v>
      </c>
      <c r="I2006" s="2">
        <v>45787</v>
      </c>
      <c r="J2006" s="2">
        <v>45754</v>
      </c>
      <c r="K2006" s="2">
        <v>45787</v>
      </c>
    </row>
    <row r="2007" spans="1:11" x14ac:dyDescent="0.25">
      <c r="A2007" s="1" t="s">
        <v>409</v>
      </c>
      <c r="B2007" s="1" t="s">
        <v>993</v>
      </c>
      <c r="C2007" s="1" t="s">
        <v>2011</v>
      </c>
      <c r="D2007" s="1" t="s">
        <v>1998</v>
      </c>
      <c r="E2007" s="1"/>
      <c r="F2007" s="1" t="s">
        <v>11</v>
      </c>
      <c r="G2007">
        <v>1</v>
      </c>
      <c r="H2007">
        <v>1</v>
      </c>
      <c r="I2007" s="2">
        <v>45787</v>
      </c>
      <c r="J2007" s="2">
        <v>45754</v>
      </c>
      <c r="K2007" s="2">
        <v>45787</v>
      </c>
    </row>
    <row r="2008" spans="1:11" x14ac:dyDescent="0.25">
      <c r="A2008" s="1" t="s">
        <v>409</v>
      </c>
      <c r="B2008" s="1" t="s">
        <v>1473</v>
      </c>
      <c r="C2008" s="1" t="s">
        <v>2410</v>
      </c>
      <c r="D2008" s="1" t="s">
        <v>1998</v>
      </c>
      <c r="E2008" s="1"/>
      <c r="F2008" s="1" t="s">
        <v>11</v>
      </c>
      <c r="G2008">
        <v>1</v>
      </c>
      <c r="H2008">
        <v>1</v>
      </c>
      <c r="I2008" s="2">
        <v>45787</v>
      </c>
      <c r="J2008" s="2">
        <v>45754</v>
      </c>
      <c r="K2008" s="2">
        <v>45787</v>
      </c>
    </row>
    <row r="2009" spans="1:11" x14ac:dyDescent="0.25">
      <c r="A2009" s="1" t="s">
        <v>409</v>
      </c>
      <c r="B2009" s="1" t="s">
        <v>1275</v>
      </c>
      <c r="C2009" s="1" t="s">
        <v>2252</v>
      </c>
      <c r="D2009" s="1" t="s">
        <v>1998</v>
      </c>
      <c r="E2009" s="1"/>
      <c r="F2009" s="1" t="s">
        <v>11</v>
      </c>
      <c r="G2009">
        <v>15</v>
      </c>
      <c r="H2009">
        <v>15</v>
      </c>
      <c r="I2009" s="2">
        <v>45787</v>
      </c>
      <c r="J2009" s="2">
        <v>45754</v>
      </c>
      <c r="K2009" s="2">
        <v>45787</v>
      </c>
    </row>
    <row r="2010" spans="1:11" x14ac:dyDescent="0.25">
      <c r="A2010" s="1" t="s">
        <v>409</v>
      </c>
      <c r="B2010" s="1" t="s">
        <v>1474</v>
      </c>
      <c r="C2010" s="1" t="s">
        <v>2411</v>
      </c>
      <c r="D2010" s="1" t="s">
        <v>1998</v>
      </c>
      <c r="E2010" s="1"/>
      <c r="F2010" s="1" t="s">
        <v>11</v>
      </c>
      <c r="G2010">
        <v>1</v>
      </c>
      <c r="H2010">
        <v>1</v>
      </c>
      <c r="I2010" s="2">
        <v>45787</v>
      </c>
      <c r="J2010" s="2">
        <v>45754</v>
      </c>
      <c r="K2010" s="2">
        <v>45787</v>
      </c>
    </row>
    <row r="2011" spans="1:11" x14ac:dyDescent="0.25">
      <c r="A2011" s="1" t="s">
        <v>409</v>
      </c>
      <c r="B2011" s="1" t="s">
        <v>1475</v>
      </c>
      <c r="C2011" s="1" t="s">
        <v>2412</v>
      </c>
      <c r="D2011" s="1" t="s">
        <v>1998</v>
      </c>
      <c r="E2011" s="1"/>
      <c r="F2011" s="1" t="s">
        <v>11</v>
      </c>
      <c r="G2011">
        <v>1</v>
      </c>
      <c r="H2011">
        <v>1</v>
      </c>
      <c r="I2011" s="2">
        <v>45787</v>
      </c>
      <c r="J2011" s="2">
        <v>45754</v>
      </c>
      <c r="K2011" s="2">
        <v>45787</v>
      </c>
    </row>
    <row r="2012" spans="1:11" x14ac:dyDescent="0.25">
      <c r="A2012" s="1" t="s">
        <v>409</v>
      </c>
      <c r="B2012" s="1" t="s">
        <v>1500</v>
      </c>
      <c r="C2012" s="1" t="s">
        <v>2434</v>
      </c>
      <c r="D2012" s="1" t="s">
        <v>1998</v>
      </c>
      <c r="E2012" s="1"/>
      <c r="F2012" s="1" t="s">
        <v>11</v>
      </c>
      <c r="G2012">
        <v>80</v>
      </c>
      <c r="H2012">
        <v>80</v>
      </c>
      <c r="I2012" s="2">
        <v>45787</v>
      </c>
      <c r="J2012" s="2">
        <v>45754</v>
      </c>
      <c r="K2012" s="2">
        <v>45787</v>
      </c>
    </row>
    <row r="2013" spans="1:11" x14ac:dyDescent="0.25">
      <c r="A2013" s="1" t="s">
        <v>410</v>
      </c>
      <c r="B2013" s="1" t="s">
        <v>1482</v>
      </c>
      <c r="C2013" s="1" t="s">
        <v>2419</v>
      </c>
      <c r="D2013" s="1" t="s">
        <v>1998</v>
      </c>
      <c r="E2013" s="1"/>
      <c r="F2013" s="1" t="s">
        <v>11</v>
      </c>
      <c r="G2013">
        <v>1</v>
      </c>
      <c r="H2013">
        <v>1</v>
      </c>
      <c r="I2013" s="2">
        <v>45772</v>
      </c>
      <c r="J2013" s="2">
        <v>45754</v>
      </c>
      <c r="K2013" s="2">
        <v>45772</v>
      </c>
    </row>
    <row r="2014" spans="1:11" x14ac:dyDescent="0.25">
      <c r="A2014" s="1" t="s">
        <v>410</v>
      </c>
      <c r="B2014" s="1" t="s">
        <v>1483</v>
      </c>
      <c r="C2014" s="1" t="s">
        <v>2420</v>
      </c>
      <c r="D2014" s="1" t="s">
        <v>1998</v>
      </c>
      <c r="E2014" s="1"/>
      <c r="F2014" s="1" t="s">
        <v>11</v>
      </c>
      <c r="G2014">
        <v>2100</v>
      </c>
      <c r="H2014">
        <v>2100</v>
      </c>
      <c r="I2014" s="2">
        <v>45772</v>
      </c>
      <c r="J2014" s="2">
        <v>45754</v>
      </c>
      <c r="K2014" s="2">
        <v>45772</v>
      </c>
    </row>
    <row r="2015" spans="1:11" x14ac:dyDescent="0.25">
      <c r="A2015" s="1" t="s">
        <v>410</v>
      </c>
      <c r="B2015" s="1" t="s">
        <v>1484</v>
      </c>
      <c r="C2015" s="1" t="s">
        <v>2421</v>
      </c>
      <c r="D2015" s="1" t="s">
        <v>1998</v>
      </c>
      <c r="E2015" s="1"/>
      <c r="F2015" s="1" t="s">
        <v>11</v>
      </c>
      <c r="G2015">
        <v>5380</v>
      </c>
      <c r="H2015">
        <v>5380</v>
      </c>
      <c r="I2015" s="2">
        <v>45772</v>
      </c>
      <c r="J2015" s="2">
        <v>45754</v>
      </c>
      <c r="K2015" s="2">
        <v>45772</v>
      </c>
    </row>
    <row r="2016" spans="1:11" x14ac:dyDescent="0.25">
      <c r="A2016" s="1" t="s">
        <v>410</v>
      </c>
      <c r="B2016" s="1" t="s">
        <v>1485</v>
      </c>
      <c r="C2016" s="1" t="s">
        <v>2422</v>
      </c>
      <c r="D2016" s="1" t="s">
        <v>1998</v>
      </c>
      <c r="E2016" s="1"/>
      <c r="F2016" s="1" t="s">
        <v>11</v>
      </c>
      <c r="G2016">
        <v>30</v>
      </c>
      <c r="H2016">
        <v>30</v>
      </c>
      <c r="I2016" s="2">
        <v>45772</v>
      </c>
      <c r="J2016" s="2">
        <v>45754</v>
      </c>
      <c r="K2016" s="2">
        <v>45772</v>
      </c>
    </row>
    <row r="2017" spans="1:11" x14ac:dyDescent="0.25">
      <c r="A2017" s="1" t="s">
        <v>410</v>
      </c>
      <c r="B2017" s="1" t="s">
        <v>1486</v>
      </c>
      <c r="C2017" s="1" t="s">
        <v>2423</v>
      </c>
      <c r="D2017" s="1" t="s">
        <v>1998</v>
      </c>
      <c r="E2017" s="1"/>
      <c r="F2017" s="1" t="s">
        <v>11</v>
      </c>
      <c r="G2017">
        <v>2915</v>
      </c>
      <c r="H2017">
        <v>2915</v>
      </c>
      <c r="I2017" s="2">
        <v>45772</v>
      </c>
      <c r="J2017" s="2">
        <v>45754</v>
      </c>
      <c r="K2017" s="2">
        <v>45772</v>
      </c>
    </row>
    <row r="2018" spans="1:11" x14ac:dyDescent="0.25">
      <c r="A2018" s="1" t="s">
        <v>410</v>
      </c>
      <c r="B2018" s="1" t="s">
        <v>1487</v>
      </c>
      <c r="C2018" s="1" t="s">
        <v>2424</v>
      </c>
      <c r="D2018" s="1" t="s">
        <v>1998</v>
      </c>
      <c r="E2018" s="1"/>
      <c r="F2018" s="1" t="s">
        <v>11</v>
      </c>
      <c r="G2018">
        <v>210</v>
      </c>
      <c r="H2018">
        <v>210</v>
      </c>
      <c r="I2018" s="2">
        <v>45772</v>
      </c>
      <c r="J2018" s="2">
        <v>45754</v>
      </c>
      <c r="K2018" s="2">
        <v>45772</v>
      </c>
    </row>
    <row r="2019" spans="1:11" x14ac:dyDescent="0.25">
      <c r="A2019" s="1" t="s">
        <v>410</v>
      </c>
      <c r="B2019" s="1" t="s">
        <v>1470</v>
      </c>
      <c r="C2019" s="1" t="s">
        <v>2407</v>
      </c>
      <c r="D2019" s="1" t="s">
        <v>1998</v>
      </c>
      <c r="E2019" s="1"/>
      <c r="F2019" s="1" t="s">
        <v>11</v>
      </c>
      <c r="G2019">
        <v>20</v>
      </c>
      <c r="H2019">
        <v>20</v>
      </c>
      <c r="I2019" s="2">
        <v>45772</v>
      </c>
      <c r="J2019" s="2">
        <v>45754</v>
      </c>
      <c r="K2019" s="2">
        <v>45772</v>
      </c>
    </row>
    <row r="2020" spans="1:11" x14ac:dyDescent="0.25">
      <c r="A2020" s="1" t="s">
        <v>410</v>
      </c>
      <c r="B2020" s="1" t="s">
        <v>1488</v>
      </c>
      <c r="C2020" s="1" t="s">
        <v>2425</v>
      </c>
      <c r="D2020" s="1" t="s">
        <v>1998</v>
      </c>
      <c r="E2020" s="1"/>
      <c r="F2020" s="1" t="s">
        <v>11</v>
      </c>
      <c r="G2020">
        <v>120</v>
      </c>
      <c r="H2020">
        <v>120</v>
      </c>
      <c r="I2020" s="2">
        <v>45772</v>
      </c>
      <c r="J2020" s="2">
        <v>45754</v>
      </c>
      <c r="K2020" s="2">
        <v>45772</v>
      </c>
    </row>
    <row r="2021" spans="1:11" x14ac:dyDescent="0.25">
      <c r="A2021" s="1" t="s">
        <v>410</v>
      </c>
      <c r="B2021" s="1" t="s">
        <v>1472</v>
      </c>
      <c r="C2021" s="1" t="s">
        <v>2409</v>
      </c>
      <c r="D2021" s="1" t="s">
        <v>1998</v>
      </c>
      <c r="E2021" s="1"/>
      <c r="F2021" s="1" t="s">
        <v>11</v>
      </c>
      <c r="G2021">
        <v>5</v>
      </c>
      <c r="H2021">
        <v>5</v>
      </c>
      <c r="I2021" s="2">
        <v>45772</v>
      </c>
      <c r="J2021" s="2">
        <v>45754</v>
      </c>
      <c r="K2021" s="2">
        <v>45772</v>
      </c>
    </row>
    <row r="2022" spans="1:11" x14ac:dyDescent="0.25">
      <c r="A2022" s="1" t="s">
        <v>410</v>
      </c>
      <c r="B2022" s="1" t="s">
        <v>1489</v>
      </c>
      <c r="C2022" s="1" t="s">
        <v>2426</v>
      </c>
      <c r="D2022" s="1" t="s">
        <v>1998</v>
      </c>
      <c r="E2022" s="1"/>
      <c r="F2022" s="1" t="s">
        <v>11</v>
      </c>
      <c r="G2022">
        <v>1</v>
      </c>
      <c r="H2022">
        <v>1</v>
      </c>
      <c r="I2022" s="2">
        <v>45772</v>
      </c>
      <c r="J2022" s="2">
        <v>45754</v>
      </c>
      <c r="K2022" s="2">
        <v>45772</v>
      </c>
    </row>
    <row r="2023" spans="1:11" x14ac:dyDescent="0.25">
      <c r="A2023" s="1" t="s">
        <v>410</v>
      </c>
      <c r="B2023" s="1" t="s">
        <v>1490</v>
      </c>
      <c r="C2023" s="1" t="s">
        <v>2427</v>
      </c>
      <c r="D2023" s="1" t="s">
        <v>1998</v>
      </c>
      <c r="E2023" s="1"/>
      <c r="F2023" s="1" t="s">
        <v>11</v>
      </c>
      <c r="G2023">
        <v>1</v>
      </c>
      <c r="H2023">
        <v>1</v>
      </c>
      <c r="I2023" s="2">
        <v>45772</v>
      </c>
      <c r="J2023" s="2">
        <v>45754</v>
      </c>
      <c r="K2023" s="2">
        <v>45772</v>
      </c>
    </row>
    <row r="2024" spans="1:11" x14ac:dyDescent="0.25">
      <c r="A2024" s="1" t="s">
        <v>410</v>
      </c>
      <c r="B2024" s="1" t="s">
        <v>1491</v>
      </c>
      <c r="C2024" s="1" t="s">
        <v>2428</v>
      </c>
      <c r="D2024" s="1" t="s">
        <v>1998</v>
      </c>
      <c r="E2024" s="1"/>
      <c r="F2024" s="1" t="s">
        <v>11</v>
      </c>
      <c r="G2024">
        <v>35</v>
      </c>
      <c r="H2024">
        <v>35</v>
      </c>
      <c r="I2024" s="2">
        <v>45772</v>
      </c>
      <c r="J2024" s="2">
        <v>45754</v>
      </c>
      <c r="K2024" s="2">
        <v>45772</v>
      </c>
    </row>
    <row r="2025" spans="1:11" x14ac:dyDescent="0.25">
      <c r="A2025" s="1" t="s">
        <v>410</v>
      </c>
      <c r="B2025" s="1" t="s">
        <v>1492</v>
      </c>
      <c r="C2025" s="1" t="s">
        <v>2429</v>
      </c>
      <c r="D2025" s="1" t="s">
        <v>1998</v>
      </c>
      <c r="E2025" s="1"/>
      <c r="F2025" s="1" t="s">
        <v>11</v>
      </c>
      <c r="G2025">
        <v>5</v>
      </c>
      <c r="H2025">
        <v>5</v>
      </c>
      <c r="I2025" s="2">
        <v>45772</v>
      </c>
      <c r="J2025" s="2">
        <v>45754</v>
      </c>
      <c r="K2025" s="2">
        <v>45772</v>
      </c>
    </row>
    <row r="2026" spans="1:11" x14ac:dyDescent="0.25">
      <c r="A2026" s="1" t="s">
        <v>410</v>
      </c>
      <c r="B2026" s="1" t="s">
        <v>1493</v>
      </c>
      <c r="C2026" s="1" t="s">
        <v>2429</v>
      </c>
      <c r="D2026" s="1" t="s">
        <v>1998</v>
      </c>
      <c r="E2026" s="1"/>
      <c r="F2026" s="1" t="s">
        <v>11</v>
      </c>
      <c r="G2026">
        <v>5</v>
      </c>
      <c r="H2026">
        <v>5</v>
      </c>
      <c r="I2026" s="2">
        <v>45772</v>
      </c>
      <c r="J2026" s="2">
        <v>45754</v>
      </c>
      <c r="K2026" s="2">
        <v>45772</v>
      </c>
    </row>
    <row r="2027" spans="1:11" x14ac:dyDescent="0.25">
      <c r="A2027" s="1" t="s">
        <v>410</v>
      </c>
      <c r="B2027" s="1" t="s">
        <v>1494</v>
      </c>
      <c r="C2027" s="1" t="s">
        <v>2430</v>
      </c>
      <c r="D2027" s="1" t="s">
        <v>1998</v>
      </c>
      <c r="E2027" s="1"/>
      <c r="F2027" s="1" t="s">
        <v>11</v>
      </c>
      <c r="G2027">
        <v>1</v>
      </c>
      <c r="H2027">
        <v>1</v>
      </c>
      <c r="I2027" s="2">
        <v>45772</v>
      </c>
      <c r="J2027" s="2">
        <v>45754</v>
      </c>
      <c r="K2027" s="2">
        <v>45772</v>
      </c>
    </row>
    <row r="2028" spans="1:11" x14ac:dyDescent="0.25">
      <c r="A2028" s="1" t="s">
        <v>410</v>
      </c>
      <c r="B2028" s="1" t="s">
        <v>1495</v>
      </c>
      <c r="C2028" s="1" t="s">
        <v>2431</v>
      </c>
      <c r="D2028" s="1" t="s">
        <v>1998</v>
      </c>
      <c r="E2028" s="1"/>
      <c r="F2028" s="1" t="s">
        <v>11</v>
      </c>
      <c r="G2028">
        <v>1</v>
      </c>
      <c r="H2028">
        <v>1</v>
      </c>
      <c r="I2028" s="2">
        <v>45772</v>
      </c>
      <c r="J2028" s="2">
        <v>45754</v>
      </c>
      <c r="K2028" s="2">
        <v>45772</v>
      </c>
    </row>
    <row r="2029" spans="1:11" x14ac:dyDescent="0.25">
      <c r="A2029" s="1" t="s">
        <v>410</v>
      </c>
      <c r="B2029" s="1" t="s">
        <v>1496</v>
      </c>
      <c r="C2029" s="1" t="s">
        <v>2432</v>
      </c>
      <c r="D2029" s="1" t="s">
        <v>1998</v>
      </c>
      <c r="E2029" s="1"/>
      <c r="F2029" s="1" t="s">
        <v>11</v>
      </c>
      <c r="G2029">
        <v>1</v>
      </c>
      <c r="H2029">
        <v>1</v>
      </c>
      <c r="I2029" s="2">
        <v>45772</v>
      </c>
      <c r="J2029" s="2">
        <v>45754</v>
      </c>
      <c r="K2029" s="2">
        <v>45772</v>
      </c>
    </row>
    <row r="2030" spans="1:11" x14ac:dyDescent="0.25">
      <c r="A2030" s="1" t="s">
        <v>410</v>
      </c>
      <c r="B2030" s="1" t="s">
        <v>1497</v>
      </c>
      <c r="C2030" s="1" t="s">
        <v>2432</v>
      </c>
      <c r="D2030" s="1" t="s">
        <v>1998</v>
      </c>
      <c r="E2030" s="1"/>
      <c r="F2030" s="1" t="s">
        <v>11</v>
      </c>
      <c r="G2030">
        <v>1</v>
      </c>
      <c r="H2030">
        <v>1</v>
      </c>
      <c r="I2030" s="2">
        <v>45772</v>
      </c>
      <c r="J2030" s="2">
        <v>45754</v>
      </c>
      <c r="K2030" s="2">
        <v>45772</v>
      </c>
    </row>
    <row r="2031" spans="1:11" x14ac:dyDescent="0.25">
      <c r="A2031" s="1" t="s">
        <v>410</v>
      </c>
      <c r="B2031" s="1" t="s">
        <v>1027</v>
      </c>
      <c r="C2031" s="1" t="s">
        <v>2040</v>
      </c>
      <c r="D2031" s="1" t="s">
        <v>1998</v>
      </c>
      <c r="E2031" s="1"/>
      <c r="F2031" s="1" t="s">
        <v>11</v>
      </c>
      <c r="G2031">
        <v>30</v>
      </c>
      <c r="H2031">
        <v>30</v>
      </c>
      <c r="I2031" s="2">
        <v>45772</v>
      </c>
      <c r="J2031" s="2">
        <v>45754</v>
      </c>
      <c r="K2031" s="2">
        <v>45772</v>
      </c>
    </row>
    <row r="2032" spans="1:11" x14ac:dyDescent="0.25">
      <c r="A2032" s="1" t="s">
        <v>410</v>
      </c>
      <c r="B2032" s="1" t="s">
        <v>1013</v>
      </c>
      <c r="C2032" s="1" t="s">
        <v>2030</v>
      </c>
      <c r="D2032" s="1" t="s">
        <v>1998</v>
      </c>
      <c r="E2032" s="1"/>
      <c r="F2032" s="1" t="s">
        <v>11</v>
      </c>
      <c r="G2032">
        <v>5</v>
      </c>
      <c r="H2032">
        <v>5</v>
      </c>
      <c r="I2032" s="2">
        <v>45772</v>
      </c>
      <c r="J2032" s="2">
        <v>45754</v>
      </c>
      <c r="K2032" s="2">
        <v>45772</v>
      </c>
    </row>
    <row r="2033" spans="1:11" x14ac:dyDescent="0.25">
      <c r="A2033" s="1" t="s">
        <v>410</v>
      </c>
      <c r="B2033" s="1" t="s">
        <v>1498</v>
      </c>
      <c r="C2033" s="1" t="s">
        <v>2433</v>
      </c>
      <c r="D2033" s="1" t="s">
        <v>1998</v>
      </c>
      <c r="E2033" s="1"/>
      <c r="F2033" s="1" t="s">
        <v>11</v>
      </c>
      <c r="G2033">
        <v>1</v>
      </c>
      <c r="H2033">
        <v>1</v>
      </c>
      <c r="I2033" s="2">
        <v>45772</v>
      </c>
      <c r="J2033" s="2">
        <v>45754</v>
      </c>
      <c r="K2033" s="2">
        <v>45772</v>
      </c>
    </row>
    <row r="2034" spans="1:11" x14ac:dyDescent="0.25">
      <c r="A2034" s="1" t="s">
        <v>410</v>
      </c>
      <c r="B2034" s="1" t="s">
        <v>1499</v>
      </c>
      <c r="C2034" s="1" t="s">
        <v>2433</v>
      </c>
      <c r="D2034" s="1" t="s">
        <v>1998</v>
      </c>
      <c r="E2034" s="1"/>
      <c r="F2034" s="1" t="s">
        <v>11</v>
      </c>
      <c r="G2034">
        <v>1</v>
      </c>
      <c r="H2034">
        <v>1</v>
      </c>
      <c r="I2034" s="2">
        <v>45772</v>
      </c>
      <c r="J2034" s="2">
        <v>45754</v>
      </c>
      <c r="K2034" s="2">
        <v>45772</v>
      </c>
    </row>
    <row r="2035" spans="1:11" x14ac:dyDescent="0.25">
      <c r="A2035" s="1" t="s">
        <v>410</v>
      </c>
      <c r="B2035" s="1" t="s">
        <v>993</v>
      </c>
      <c r="C2035" s="1" t="s">
        <v>2011</v>
      </c>
      <c r="D2035" s="1" t="s">
        <v>1998</v>
      </c>
      <c r="E2035" s="1"/>
      <c r="F2035" s="1" t="s">
        <v>11</v>
      </c>
      <c r="G2035">
        <v>1</v>
      </c>
      <c r="H2035">
        <v>1</v>
      </c>
      <c r="I2035" s="2">
        <v>45772</v>
      </c>
      <c r="J2035" s="2">
        <v>45754</v>
      </c>
      <c r="K2035" s="2">
        <v>45772</v>
      </c>
    </row>
    <row r="2036" spans="1:11" x14ac:dyDescent="0.25">
      <c r="A2036" s="1" t="s">
        <v>410</v>
      </c>
      <c r="B2036" s="1" t="s">
        <v>993</v>
      </c>
      <c r="C2036" s="1" t="s">
        <v>2011</v>
      </c>
      <c r="D2036" s="1" t="s">
        <v>1998</v>
      </c>
      <c r="E2036" s="1"/>
      <c r="F2036" s="1" t="s">
        <v>11</v>
      </c>
      <c r="G2036">
        <v>5</v>
      </c>
      <c r="H2036">
        <v>5</v>
      </c>
      <c r="I2036" s="2">
        <v>45772</v>
      </c>
      <c r="J2036" s="2">
        <v>45754</v>
      </c>
      <c r="K2036" s="2">
        <v>45772</v>
      </c>
    </row>
    <row r="2037" spans="1:11" x14ac:dyDescent="0.25">
      <c r="A2037" s="1" t="s">
        <v>410</v>
      </c>
      <c r="B2037" s="1" t="s">
        <v>993</v>
      </c>
      <c r="C2037" s="1" t="s">
        <v>2011</v>
      </c>
      <c r="D2037" s="1" t="s">
        <v>1998</v>
      </c>
      <c r="E2037" s="1"/>
      <c r="F2037" s="1" t="s">
        <v>11</v>
      </c>
      <c r="G2037">
        <v>1</v>
      </c>
      <c r="H2037">
        <v>1</v>
      </c>
      <c r="I2037" s="2">
        <v>45772</v>
      </c>
      <c r="J2037" s="2">
        <v>45754</v>
      </c>
      <c r="K2037" s="2">
        <v>45772</v>
      </c>
    </row>
    <row r="2038" spans="1:11" x14ac:dyDescent="0.25">
      <c r="A2038" s="1" t="s">
        <v>410</v>
      </c>
      <c r="B2038" s="1" t="s">
        <v>1473</v>
      </c>
      <c r="C2038" s="1" t="s">
        <v>2410</v>
      </c>
      <c r="D2038" s="1" t="s">
        <v>1998</v>
      </c>
      <c r="E2038" s="1"/>
      <c r="F2038" s="1" t="s">
        <v>11</v>
      </c>
      <c r="G2038">
        <v>1</v>
      </c>
      <c r="H2038">
        <v>1</v>
      </c>
      <c r="I2038" s="2">
        <v>45772</v>
      </c>
      <c r="J2038" s="2">
        <v>45754</v>
      </c>
      <c r="K2038" s="2">
        <v>45772</v>
      </c>
    </row>
    <row r="2039" spans="1:11" x14ac:dyDescent="0.25">
      <c r="A2039" s="1" t="s">
        <v>410</v>
      </c>
      <c r="B2039" s="1" t="s">
        <v>1275</v>
      </c>
      <c r="C2039" s="1" t="s">
        <v>2252</v>
      </c>
      <c r="D2039" s="1" t="s">
        <v>1998</v>
      </c>
      <c r="E2039" s="1"/>
      <c r="F2039" s="1" t="s">
        <v>11</v>
      </c>
      <c r="G2039">
        <v>15</v>
      </c>
      <c r="H2039">
        <v>15</v>
      </c>
      <c r="I2039" s="2">
        <v>45772</v>
      </c>
      <c r="J2039" s="2">
        <v>45754</v>
      </c>
      <c r="K2039" s="2">
        <v>45772</v>
      </c>
    </row>
    <row r="2040" spans="1:11" x14ac:dyDescent="0.25">
      <c r="A2040" s="1" t="s">
        <v>410</v>
      </c>
      <c r="B2040" s="1" t="s">
        <v>1474</v>
      </c>
      <c r="C2040" s="1" t="s">
        <v>2411</v>
      </c>
      <c r="D2040" s="1" t="s">
        <v>1998</v>
      </c>
      <c r="E2040" s="1"/>
      <c r="F2040" s="1" t="s">
        <v>11</v>
      </c>
      <c r="G2040">
        <v>1</v>
      </c>
      <c r="H2040">
        <v>1</v>
      </c>
      <c r="I2040" s="2">
        <v>45772</v>
      </c>
      <c r="J2040" s="2">
        <v>45754</v>
      </c>
      <c r="K2040" s="2">
        <v>45772</v>
      </c>
    </row>
    <row r="2041" spans="1:11" x14ac:dyDescent="0.25">
      <c r="A2041" s="1" t="s">
        <v>410</v>
      </c>
      <c r="B2041" s="1" t="s">
        <v>1475</v>
      </c>
      <c r="C2041" s="1" t="s">
        <v>2412</v>
      </c>
      <c r="D2041" s="1" t="s">
        <v>1998</v>
      </c>
      <c r="E2041" s="1"/>
      <c r="F2041" s="1" t="s">
        <v>11</v>
      </c>
      <c r="G2041">
        <v>1</v>
      </c>
      <c r="H2041">
        <v>1</v>
      </c>
      <c r="I2041" s="2">
        <v>45772</v>
      </c>
      <c r="J2041" s="2">
        <v>45754</v>
      </c>
      <c r="K2041" s="2">
        <v>45772</v>
      </c>
    </row>
    <row r="2042" spans="1:11" x14ac:dyDescent="0.25">
      <c r="A2042" s="1" t="s">
        <v>410</v>
      </c>
      <c r="B2042" s="1" t="s">
        <v>1500</v>
      </c>
      <c r="C2042" s="1" t="s">
        <v>2434</v>
      </c>
      <c r="D2042" s="1" t="s">
        <v>1998</v>
      </c>
      <c r="E2042" s="1"/>
      <c r="F2042" s="1" t="s">
        <v>11</v>
      </c>
      <c r="G2042">
        <v>80</v>
      </c>
      <c r="H2042">
        <v>80</v>
      </c>
      <c r="I2042" s="2">
        <v>45772</v>
      </c>
      <c r="J2042" s="2">
        <v>45754</v>
      </c>
      <c r="K2042" s="2">
        <v>45772</v>
      </c>
    </row>
    <row r="2043" spans="1:11" x14ac:dyDescent="0.25">
      <c r="A2043" s="1" t="s">
        <v>411</v>
      </c>
      <c r="B2043" s="1" t="s">
        <v>1482</v>
      </c>
      <c r="C2043" s="1" t="s">
        <v>2419</v>
      </c>
      <c r="D2043" s="1" t="s">
        <v>1998</v>
      </c>
      <c r="E2043" s="1"/>
      <c r="F2043" s="1" t="s">
        <v>11</v>
      </c>
      <c r="G2043">
        <v>1</v>
      </c>
      <c r="H2043">
        <v>1</v>
      </c>
      <c r="I2043" s="2"/>
      <c r="J2043" s="2">
        <v>45755</v>
      </c>
      <c r="K2043" s="2">
        <v>45789</v>
      </c>
    </row>
    <row r="2044" spans="1:11" x14ac:dyDescent="0.25">
      <c r="A2044" s="1" t="s">
        <v>411</v>
      </c>
      <c r="B2044" s="1" t="s">
        <v>1483</v>
      </c>
      <c r="C2044" s="1" t="s">
        <v>2420</v>
      </c>
      <c r="D2044" s="1" t="s">
        <v>1998</v>
      </c>
      <c r="E2044" s="1"/>
      <c r="F2044" s="1" t="s">
        <v>11</v>
      </c>
      <c r="G2044">
        <v>2100</v>
      </c>
      <c r="H2044">
        <v>2100</v>
      </c>
      <c r="I2044" s="2"/>
      <c r="J2044" s="2">
        <v>45755</v>
      </c>
      <c r="K2044" s="2">
        <v>45789</v>
      </c>
    </row>
    <row r="2045" spans="1:11" x14ac:dyDescent="0.25">
      <c r="A2045" s="1" t="s">
        <v>411</v>
      </c>
      <c r="B2045" s="1" t="s">
        <v>1484</v>
      </c>
      <c r="C2045" s="1" t="s">
        <v>2421</v>
      </c>
      <c r="D2045" s="1" t="s">
        <v>1998</v>
      </c>
      <c r="E2045" s="1"/>
      <c r="F2045" s="1" t="s">
        <v>11</v>
      </c>
      <c r="G2045">
        <v>5380</v>
      </c>
      <c r="H2045">
        <v>5380</v>
      </c>
      <c r="I2045" s="2"/>
      <c r="J2045" s="2">
        <v>45755</v>
      </c>
      <c r="K2045" s="2">
        <v>45789</v>
      </c>
    </row>
    <row r="2046" spans="1:11" x14ac:dyDescent="0.25">
      <c r="A2046" s="1" t="s">
        <v>411</v>
      </c>
      <c r="B2046" s="1" t="s">
        <v>1485</v>
      </c>
      <c r="C2046" s="1" t="s">
        <v>2422</v>
      </c>
      <c r="D2046" s="1" t="s">
        <v>1998</v>
      </c>
      <c r="E2046" s="1"/>
      <c r="F2046" s="1" t="s">
        <v>11</v>
      </c>
      <c r="G2046">
        <v>30</v>
      </c>
      <c r="H2046">
        <v>90</v>
      </c>
      <c r="I2046" s="2"/>
      <c r="J2046" s="2">
        <v>45755</v>
      </c>
      <c r="K2046" s="2">
        <v>45789</v>
      </c>
    </row>
    <row r="2047" spans="1:11" x14ac:dyDescent="0.25">
      <c r="A2047" s="1" t="s">
        <v>411</v>
      </c>
      <c r="B2047" s="1" t="s">
        <v>1486</v>
      </c>
      <c r="C2047" s="1" t="s">
        <v>2423</v>
      </c>
      <c r="D2047" s="1" t="s">
        <v>1998</v>
      </c>
      <c r="E2047" s="1"/>
      <c r="F2047" s="1" t="s">
        <v>11</v>
      </c>
      <c r="G2047">
        <v>2915</v>
      </c>
      <c r="H2047">
        <v>2915</v>
      </c>
      <c r="I2047" s="2"/>
      <c r="J2047" s="2">
        <v>45755</v>
      </c>
      <c r="K2047" s="2">
        <v>45789</v>
      </c>
    </row>
    <row r="2048" spans="1:11" x14ac:dyDescent="0.25">
      <c r="A2048" s="1" t="s">
        <v>411</v>
      </c>
      <c r="B2048" s="1" t="s">
        <v>1487</v>
      </c>
      <c r="C2048" s="1" t="s">
        <v>2424</v>
      </c>
      <c r="D2048" s="1" t="s">
        <v>1998</v>
      </c>
      <c r="E2048" s="1"/>
      <c r="F2048" s="1" t="s">
        <v>11</v>
      </c>
      <c r="G2048">
        <v>210</v>
      </c>
      <c r="H2048">
        <v>425</v>
      </c>
      <c r="I2048" s="2"/>
      <c r="J2048" s="2">
        <v>45755</v>
      </c>
      <c r="K2048" s="2">
        <v>45789</v>
      </c>
    </row>
    <row r="2049" spans="1:11" x14ac:dyDescent="0.25">
      <c r="A2049" s="1" t="s">
        <v>411</v>
      </c>
      <c r="B2049" s="1" t="s">
        <v>1470</v>
      </c>
      <c r="C2049" s="1" t="s">
        <v>2407</v>
      </c>
      <c r="D2049" s="1" t="s">
        <v>1998</v>
      </c>
      <c r="E2049" s="1"/>
      <c r="F2049" s="1" t="s">
        <v>11</v>
      </c>
      <c r="G2049">
        <v>20</v>
      </c>
      <c r="H2049">
        <v>1</v>
      </c>
      <c r="I2049" s="2"/>
      <c r="J2049" s="2">
        <v>45755</v>
      </c>
      <c r="K2049" s="2">
        <v>45789</v>
      </c>
    </row>
    <row r="2050" spans="1:11" x14ac:dyDescent="0.25">
      <c r="A2050" s="1" t="s">
        <v>411</v>
      </c>
      <c r="B2050" s="1" t="s">
        <v>1488</v>
      </c>
      <c r="C2050" s="1" t="s">
        <v>2425</v>
      </c>
      <c r="D2050" s="1" t="s">
        <v>1998</v>
      </c>
      <c r="E2050" s="1"/>
      <c r="F2050" s="1" t="s">
        <v>11</v>
      </c>
      <c r="G2050">
        <v>120</v>
      </c>
      <c r="H2050">
        <v>235</v>
      </c>
      <c r="I2050" s="2"/>
      <c r="J2050" s="2">
        <v>45755</v>
      </c>
      <c r="K2050" s="2">
        <v>45789</v>
      </c>
    </row>
    <row r="2051" spans="1:11" x14ac:dyDescent="0.25">
      <c r="A2051" s="1" t="s">
        <v>411</v>
      </c>
      <c r="B2051" s="1" t="s">
        <v>1472</v>
      </c>
      <c r="C2051" s="1" t="s">
        <v>2409</v>
      </c>
      <c r="D2051" s="1" t="s">
        <v>1998</v>
      </c>
      <c r="E2051" s="1"/>
      <c r="F2051" s="1" t="s">
        <v>11</v>
      </c>
      <c r="G2051">
        <v>5</v>
      </c>
      <c r="H2051">
        <v>1</v>
      </c>
      <c r="I2051" s="2"/>
      <c r="J2051" s="2">
        <v>45755</v>
      </c>
      <c r="K2051" s="2">
        <v>45789</v>
      </c>
    </row>
    <row r="2052" spans="1:11" x14ac:dyDescent="0.25">
      <c r="A2052" s="1" t="s">
        <v>411</v>
      </c>
      <c r="B2052" s="1" t="s">
        <v>1489</v>
      </c>
      <c r="C2052" s="1" t="s">
        <v>2426</v>
      </c>
      <c r="D2052" s="1" t="s">
        <v>1998</v>
      </c>
      <c r="E2052" s="1"/>
      <c r="F2052" s="1" t="s">
        <v>11</v>
      </c>
      <c r="G2052">
        <v>1</v>
      </c>
      <c r="H2052">
        <v>1</v>
      </c>
      <c r="I2052" s="2"/>
      <c r="J2052" s="2">
        <v>45755</v>
      </c>
      <c r="K2052" s="2">
        <v>45789</v>
      </c>
    </row>
    <row r="2053" spans="1:11" x14ac:dyDescent="0.25">
      <c r="A2053" s="1" t="s">
        <v>411</v>
      </c>
      <c r="B2053" s="1" t="s">
        <v>1490</v>
      </c>
      <c r="C2053" s="1" t="s">
        <v>2427</v>
      </c>
      <c r="D2053" s="1" t="s">
        <v>1998</v>
      </c>
      <c r="E2053" s="1"/>
      <c r="F2053" s="1" t="s">
        <v>11</v>
      </c>
      <c r="G2053">
        <v>1</v>
      </c>
      <c r="H2053">
        <v>1</v>
      </c>
      <c r="I2053" s="2"/>
      <c r="J2053" s="2">
        <v>45755</v>
      </c>
      <c r="K2053" s="2">
        <v>45789</v>
      </c>
    </row>
    <row r="2054" spans="1:11" x14ac:dyDescent="0.25">
      <c r="A2054" s="1" t="s">
        <v>411</v>
      </c>
      <c r="B2054" s="1" t="s">
        <v>1491</v>
      </c>
      <c r="C2054" s="1" t="s">
        <v>2428</v>
      </c>
      <c r="D2054" s="1" t="s">
        <v>1998</v>
      </c>
      <c r="E2054" s="1"/>
      <c r="F2054" s="1" t="s">
        <v>11</v>
      </c>
      <c r="G2054">
        <v>35</v>
      </c>
      <c r="H2054">
        <v>35</v>
      </c>
      <c r="I2054" s="2"/>
      <c r="J2054" s="2">
        <v>45755</v>
      </c>
      <c r="K2054" s="2">
        <v>45789</v>
      </c>
    </row>
    <row r="2055" spans="1:11" x14ac:dyDescent="0.25">
      <c r="A2055" s="1" t="s">
        <v>411</v>
      </c>
      <c r="B2055" s="1" t="s">
        <v>1492</v>
      </c>
      <c r="C2055" s="1" t="s">
        <v>2429</v>
      </c>
      <c r="D2055" s="1" t="s">
        <v>1998</v>
      </c>
      <c r="E2055" s="1"/>
      <c r="F2055" s="1" t="s">
        <v>11</v>
      </c>
      <c r="G2055">
        <v>5</v>
      </c>
      <c r="H2055">
        <v>5</v>
      </c>
      <c r="I2055" s="2"/>
      <c r="J2055" s="2">
        <v>45755</v>
      </c>
      <c r="K2055" s="2">
        <v>45789</v>
      </c>
    </row>
    <row r="2056" spans="1:11" x14ac:dyDescent="0.25">
      <c r="A2056" s="1" t="s">
        <v>411</v>
      </c>
      <c r="B2056" s="1" t="s">
        <v>1493</v>
      </c>
      <c r="C2056" s="1" t="s">
        <v>2429</v>
      </c>
      <c r="D2056" s="1" t="s">
        <v>1998</v>
      </c>
      <c r="E2056" s="1"/>
      <c r="F2056" s="1" t="s">
        <v>11</v>
      </c>
      <c r="G2056">
        <v>5</v>
      </c>
      <c r="H2056">
        <v>5</v>
      </c>
      <c r="I2056" s="2"/>
      <c r="J2056" s="2">
        <v>45755</v>
      </c>
      <c r="K2056" s="2">
        <v>45789</v>
      </c>
    </row>
    <row r="2057" spans="1:11" x14ac:dyDescent="0.25">
      <c r="A2057" s="1" t="s">
        <v>411</v>
      </c>
      <c r="B2057" s="1" t="s">
        <v>1494</v>
      </c>
      <c r="C2057" s="1" t="s">
        <v>2430</v>
      </c>
      <c r="D2057" s="1" t="s">
        <v>1998</v>
      </c>
      <c r="E2057" s="1"/>
      <c r="F2057" s="1" t="s">
        <v>11</v>
      </c>
      <c r="G2057">
        <v>1</v>
      </c>
      <c r="H2057">
        <v>1</v>
      </c>
      <c r="I2057" s="2"/>
      <c r="J2057" s="2">
        <v>45755</v>
      </c>
      <c r="K2057" s="2">
        <v>45789</v>
      </c>
    </row>
    <row r="2058" spans="1:11" x14ac:dyDescent="0.25">
      <c r="A2058" s="1" t="s">
        <v>411</v>
      </c>
      <c r="B2058" s="1" t="s">
        <v>1495</v>
      </c>
      <c r="C2058" s="1" t="s">
        <v>2431</v>
      </c>
      <c r="D2058" s="1" t="s">
        <v>1998</v>
      </c>
      <c r="E2058" s="1"/>
      <c r="F2058" s="1" t="s">
        <v>11</v>
      </c>
      <c r="G2058">
        <v>1</v>
      </c>
      <c r="H2058">
        <v>1</v>
      </c>
      <c r="I2058" s="2"/>
      <c r="J2058" s="2">
        <v>45755</v>
      </c>
      <c r="K2058" s="2">
        <v>45789</v>
      </c>
    </row>
    <row r="2059" spans="1:11" x14ac:dyDescent="0.25">
      <c r="A2059" s="1" t="s">
        <v>411</v>
      </c>
      <c r="B2059" s="1" t="s">
        <v>1496</v>
      </c>
      <c r="C2059" s="1" t="s">
        <v>2432</v>
      </c>
      <c r="D2059" s="1" t="s">
        <v>1998</v>
      </c>
      <c r="E2059" s="1"/>
      <c r="F2059" s="1" t="s">
        <v>11</v>
      </c>
      <c r="G2059">
        <v>1</v>
      </c>
      <c r="H2059">
        <v>1</v>
      </c>
      <c r="I2059" s="2"/>
      <c r="J2059" s="2">
        <v>45755</v>
      </c>
      <c r="K2059" s="2">
        <v>45789</v>
      </c>
    </row>
    <row r="2060" spans="1:11" x14ac:dyDescent="0.25">
      <c r="A2060" s="1" t="s">
        <v>411</v>
      </c>
      <c r="B2060" s="1" t="s">
        <v>1497</v>
      </c>
      <c r="C2060" s="1" t="s">
        <v>2432</v>
      </c>
      <c r="D2060" s="1" t="s">
        <v>1998</v>
      </c>
      <c r="E2060" s="1"/>
      <c r="F2060" s="1" t="s">
        <v>11</v>
      </c>
      <c r="G2060">
        <v>1</v>
      </c>
      <c r="H2060">
        <v>1</v>
      </c>
      <c r="I2060" s="2"/>
      <c r="J2060" s="2">
        <v>45755</v>
      </c>
      <c r="K2060" s="2">
        <v>45789</v>
      </c>
    </row>
    <row r="2061" spans="1:11" x14ac:dyDescent="0.25">
      <c r="A2061" s="1" t="s">
        <v>411</v>
      </c>
      <c r="B2061" s="1" t="s">
        <v>1027</v>
      </c>
      <c r="C2061" s="1" t="s">
        <v>2040</v>
      </c>
      <c r="D2061" s="1" t="s">
        <v>1998</v>
      </c>
      <c r="E2061" s="1"/>
      <c r="F2061" s="1" t="s">
        <v>11</v>
      </c>
      <c r="G2061">
        <v>30</v>
      </c>
      <c r="H2061">
        <v>90</v>
      </c>
      <c r="I2061" s="2"/>
      <c r="J2061" s="2">
        <v>45755</v>
      </c>
      <c r="K2061" s="2">
        <v>45789</v>
      </c>
    </row>
    <row r="2062" spans="1:11" x14ac:dyDescent="0.25">
      <c r="A2062" s="1" t="s">
        <v>411</v>
      </c>
      <c r="B2062" s="1" t="s">
        <v>1013</v>
      </c>
      <c r="C2062" s="1" t="s">
        <v>2030</v>
      </c>
      <c r="D2062" s="1" t="s">
        <v>1998</v>
      </c>
      <c r="E2062" s="1"/>
      <c r="F2062" s="1" t="s">
        <v>11</v>
      </c>
      <c r="G2062">
        <v>5</v>
      </c>
      <c r="H2062">
        <v>15</v>
      </c>
      <c r="I2062" s="2"/>
      <c r="J2062" s="2">
        <v>45755</v>
      </c>
      <c r="K2062" s="2">
        <v>45789</v>
      </c>
    </row>
    <row r="2063" spans="1:11" x14ac:dyDescent="0.25">
      <c r="A2063" s="1" t="s">
        <v>411</v>
      </c>
      <c r="B2063" s="1" t="s">
        <v>1498</v>
      </c>
      <c r="C2063" s="1" t="s">
        <v>2433</v>
      </c>
      <c r="D2063" s="1" t="s">
        <v>1998</v>
      </c>
      <c r="E2063" s="1"/>
      <c r="F2063" s="1" t="s">
        <v>11</v>
      </c>
      <c r="G2063">
        <v>1</v>
      </c>
      <c r="H2063">
        <v>1</v>
      </c>
      <c r="I2063" s="2"/>
      <c r="J2063" s="2">
        <v>45755</v>
      </c>
      <c r="K2063" s="2">
        <v>45789</v>
      </c>
    </row>
    <row r="2064" spans="1:11" x14ac:dyDescent="0.25">
      <c r="A2064" s="1" t="s">
        <v>411</v>
      </c>
      <c r="B2064" s="1" t="s">
        <v>1499</v>
      </c>
      <c r="C2064" s="1" t="s">
        <v>2433</v>
      </c>
      <c r="D2064" s="1" t="s">
        <v>1998</v>
      </c>
      <c r="E2064" s="1"/>
      <c r="F2064" s="1" t="s">
        <v>11</v>
      </c>
      <c r="G2064">
        <v>1</v>
      </c>
      <c r="H2064">
        <v>1</v>
      </c>
      <c r="I2064" s="2"/>
      <c r="J2064" s="2">
        <v>45755</v>
      </c>
      <c r="K2064" s="2">
        <v>45789</v>
      </c>
    </row>
    <row r="2065" spans="1:11" x14ac:dyDescent="0.25">
      <c r="A2065" s="1" t="s">
        <v>411</v>
      </c>
      <c r="B2065" s="1" t="s">
        <v>993</v>
      </c>
      <c r="C2065" s="1" t="s">
        <v>2011</v>
      </c>
      <c r="D2065" s="1" t="s">
        <v>1998</v>
      </c>
      <c r="E2065" s="1"/>
      <c r="F2065" s="1" t="s">
        <v>11</v>
      </c>
      <c r="G2065">
        <v>1</v>
      </c>
      <c r="H2065">
        <v>1</v>
      </c>
      <c r="I2065" s="2"/>
      <c r="J2065" s="2">
        <v>45755</v>
      </c>
      <c r="K2065" s="2">
        <v>45789</v>
      </c>
    </row>
    <row r="2066" spans="1:11" x14ac:dyDescent="0.25">
      <c r="A2066" s="1" t="s">
        <v>411</v>
      </c>
      <c r="B2066" s="1" t="s">
        <v>993</v>
      </c>
      <c r="C2066" s="1" t="s">
        <v>2011</v>
      </c>
      <c r="D2066" s="1" t="s">
        <v>1998</v>
      </c>
      <c r="E2066" s="1"/>
      <c r="F2066" s="1" t="s">
        <v>11</v>
      </c>
      <c r="G2066">
        <v>5</v>
      </c>
      <c r="H2066">
        <v>5</v>
      </c>
      <c r="I2066" s="2"/>
      <c r="J2066" s="2">
        <v>45755</v>
      </c>
      <c r="K2066" s="2">
        <v>45789</v>
      </c>
    </row>
    <row r="2067" spans="1:11" x14ac:dyDescent="0.25">
      <c r="A2067" s="1" t="s">
        <v>411</v>
      </c>
      <c r="B2067" s="1" t="s">
        <v>993</v>
      </c>
      <c r="C2067" s="1" t="s">
        <v>2011</v>
      </c>
      <c r="D2067" s="1" t="s">
        <v>1998</v>
      </c>
      <c r="E2067" s="1"/>
      <c r="F2067" s="1" t="s">
        <v>11</v>
      </c>
      <c r="G2067">
        <v>1</v>
      </c>
      <c r="H2067">
        <v>1</v>
      </c>
      <c r="I2067" s="2"/>
      <c r="J2067" s="2">
        <v>45755</v>
      </c>
      <c r="K2067" s="2">
        <v>45789</v>
      </c>
    </row>
    <row r="2068" spans="1:11" x14ac:dyDescent="0.25">
      <c r="A2068" s="1" t="s">
        <v>411</v>
      </c>
      <c r="B2068" s="1" t="s">
        <v>1473</v>
      </c>
      <c r="C2068" s="1" t="s">
        <v>2410</v>
      </c>
      <c r="D2068" s="1" t="s">
        <v>1998</v>
      </c>
      <c r="E2068" s="1"/>
      <c r="F2068" s="1" t="s">
        <v>11</v>
      </c>
      <c r="G2068">
        <v>1</v>
      </c>
      <c r="H2068">
        <v>1</v>
      </c>
      <c r="I2068" s="2"/>
      <c r="J2068" s="2">
        <v>45755</v>
      </c>
      <c r="K2068" s="2">
        <v>45789</v>
      </c>
    </row>
    <row r="2069" spans="1:11" x14ac:dyDescent="0.25">
      <c r="A2069" s="1" t="s">
        <v>411</v>
      </c>
      <c r="B2069" s="1" t="s">
        <v>1275</v>
      </c>
      <c r="C2069" s="1" t="s">
        <v>2252</v>
      </c>
      <c r="D2069" s="1" t="s">
        <v>1998</v>
      </c>
      <c r="E2069" s="1"/>
      <c r="F2069" s="1" t="s">
        <v>11</v>
      </c>
      <c r="G2069">
        <v>15</v>
      </c>
      <c r="H2069">
        <v>1</v>
      </c>
      <c r="I2069" s="2"/>
      <c r="J2069" s="2">
        <v>45755</v>
      </c>
      <c r="K2069" s="2">
        <v>45789</v>
      </c>
    </row>
    <row r="2070" spans="1:11" x14ac:dyDescent="0.25">
      <c r="A2070" s="1" t="s">
        <v>411</v>
      </c>
      <c r="B2070" s="1" t="s">
        <v>1474</v>
      </c>
      <c r="C2070" s="1" t="s">
        <v>2411</v>
      </c>
      <c r="D2070" s="1" t="s">
        <v>1998</v>
      </c>
      <c r="E2070" s="1"/>
      <c r="F2070" s="1" t="s">
        <v>11</v>
      </c>
      <c r="G2070">
        <v>1</v>
      </c>
      <c r="H2070">
        <v>1</v>
      </c>
      <c r="I2070" s="2"/>
      <c r="J2070" s="2">
        <v>45755</v>
      </c>
      <c r="K2070" s="2">
        <v>45789</v>
      </c>
    </row>
    <row r="2071" spans="1:11" x14ac:dyDescent="0.25">
      <c r="A2071" s="1" t="s">
        <v>411</v>
      </c>
      <c r="B2071" s="1" t="s">
        <v>1475</v>
      </c>
      <c r="C2071" s="1" t="s">
        <v>2412</v>
      </c>
      <c r="D2071" s="1" t="s">
        <v>1998</v>
      </c>
      <c r="E2071" s="1"/>
      <c r="F2071" s="1" t="s">
        <v>11</v>
      </c>
      <c r="G2071">
        <v>1</v>
      </c>
      <c r="H2071">
        <v>1</v>
      </c>
      <c r="I2071" s="2"/>
      <c r="J2071" s="2">
        <v>45755</v>
      </c>
      <c r="K2071" s="2">
        <v>45789</v>
      </c>
    </row>
    <row r="2072" spans="1:11" x14ac:dyDescent="0.25">
      <c r="A2072" s="1" t="s">
        <v>411</v>
      </c>
      <c r="B2072" s="1" t="s">
        <v>1500</v>
      </c>
      <c r="C2072" s="1" t="s">
        <v>2434</v>
      </c>
      <c r="D2072" s="1" t="s">
        <v>1998</v>
      </c>
      <c r="E2072" s="1"/>
      <c r="F2072" s="1" t="s">
        <v>11</v>
      </c>
      <c r="G2072">
        <v>80</v>
      </c>
      <c r="H2072">
        <v>80</v>
      </c>
      <c r="I2072" s="2"/>
      <c r="J2072" s="2">
        <v>45755</v>
      </c>
      <c r="K2072" s="2">
        <v>45789</v>
      </c>
    </row>
    <row r="2073" spans="1:11" x14ac:dyDescent="0.25">
      <c r="A2073" s="1" t="s">
        <v>412</v>
      </c>
      <c r="B2073" s="1" t="s">
        <v>1482</v>
      </c>
      <c r="C2073" s="1" t="s">
        <v>2419</v>
      </c>
      <c r="D2073" s="1" t="s">
        <v>1998</v>
      </c>
      <c r="E2073" s="1"/>
      <c r="F2073" s="1" t="s">
        <v>11</v>
      </c>
      <c r="G2073">
        <v>1</v>
      </c>
      <c r="H2073">
        <v>1</v>
      </c>
      <c r="I2073" s="2"/>
      <c r="J2073" s="2">
        <v>45755</v>
      </c>
      <c r="K2073" s="2">
        <v>45789</v>
      </c>
    </row>
    <row r="2074" spans="1:11" x14ac:dyDescent="0.25">
      <c r="A2074" s="1" t="s">
        <v>412</v>
      </c>
      <c r="B2074" s="1" t="s">
        <v>1483</v>
      </c>
      <c r="C2074" s="1" t="s">
        <v>2420</v>
      </c>
      <c r="D2074" s="1" t="s">
        <v>1998</v>
      </c>
      <c r="E2074" s="1"/>
      <c r="F2074" s="1" t="s">
        <v>11</v>
      </c>
      <c r="G2074">
        <v>2100</v>
      </c>
      <c r="H2074">
        <v>2100</v>
      </c>
      <c r="I2074" s="2"/>
      <c r="J2074" s="2">
        <v>45755</v>
      </c>
      <c r="K2074" s="2">
        <v>45789</v>
      </c>
    </row>
    <row r="2075" spans="1:11" x14ac:dyDescent="0.25">
      <c r="A2075" s="1" t="s">
        <v>412</v>
      </c>
      <c r="B2075" s="1" t="s">
        <v>1484</v>
      </c>
      <c r="C2075" s="1" t="s">
        <v>2421</v>
      </c>
      <c r="D2075" s="1" t="s">
        <v>1998</v>
      </c>
      <c r="E2075" s="1"/>
      <c r="F2075" s="1" t="s">
        <v>11</v>
      </c>
      <c r="G2075">
        <v>5380</v>
      </c>
      <c r="H2075">
        <v>5380</v>
      </c>
      <c r="I2075" s="2"/>
      <c r="J2075" s="2">
        <v>45755</v>
      </c>
      <c r="K2075" s="2">
        <v>45789</v>
      </c>
    </row>
    <row r="2076" spans="1:11" x14ac:dyDescent="0.25">
      <c r="A2076" s="1" t="s">
        <v>412</v>
      </c>
      <c r="B2076" s="1" t="s">
        <v>1485</v>
      </c>
      <c r="C2076" s="1" t="s">
        <v>2422</v>
      </c>
      <c r="D2076" s="1" t="s">
        <v>1998</v>
      </c>
      <c r="E2076" s="1"/>
      <c r="F2076" s="1" t="s">
        <v>11</v>
      </c>
      <c r="G2076">
        <v>30</v>
      </c>
      <c r="H2076">
        <v>30</v>
      </c>
      <c r="I2076" s="2"/>
      <c r="J2076" s="2">
        <v>45755</v>
      </c>
      <c r="K2076" s="2">
        <v>45789</v>
      </c>
    </row>
    <row r="2077" spans="1:11" x14ac:dyDescent="0.25">
      <c r="A2077" s="1" t="s">
        <v>412</v>
      </c>
      <c r="B2077" s="1" t="s">
        <v>1486</v>
      </c>
      <c r="C2077" s="1" t="s">
        <v>2423</v>
      </c>
      <c r="D2077" s="1" t="s">
        <v>1998</v>
      </c>
      <c r="E2077" s="1"/>
      <c r="F2077" s="1" t="s">
        <v>11</v>
      </c>
      <c r="G2077">
        <v>2915</v>
      </c>
      <c r="H2077">
        <v>2915</v>
      </c>
      <c r="I2077" s="2"/>
      <c r="J2077" s="2">
        <v>45755</v>
      </c>
      <c r="K2077" s="2">
        <v>45789</v>
      </c>
    </row>
    <row r="2078" spans="1:11" x14ac:dyDescent="0.25">
      <c r="A2078" s="1" t="s">
        <v>412</v>
      </c>
      <c r="B2078" s="1" t="s">
        <v>1487</v>
      </c>
      <c r="C2078" s="1" t="s">
        <v>2424</v>
      </c>
      <c r="D2078" s="1" t="s">
        <v>1998</v>
      </c>
      <c r="E2078" s="1"/>
      <c r="F2078" s="1" t="s">
        <v>11</v>
      </c>
      <c r="G2078">
        <v>210</v>
      </c>
      <c r="H2078">
        <v>210</v>
      </c>
      <c r="I2078" s="2"/>
      <c r="J2078" s="2">
        <v>45755</v>
      </c>
      <c r="K2078" s="2">
        <v>45789</v>
      </c>
    </row>
    <row r="2079" spans="1:11" x14ac:dyDescent="0.25">
      <c r="A2079" s="1" t="s">
        <v>412</v>
      </c>
      <c r="B2079" s="1" t="s">
        <v>1470</v>
      </c>
      <c r="C2079" s="1" t="s">
        <v>2407</v>
      </c>
      <c r="D2079" s="1" t="s">
        <v>1998</v>
      </c>
      <c r="E2079" s="1"/>
      <c r="F2079" s="1" t="s">
        <v>11</v>
      </c>
      <c r="G2079">
        <v>20</v>
      </c>
      <c r="H2079">
        <v>20</v>
      </c>
      <c r="I2079" s="2"/>
      <c r="J2079" s="2">
        <v>45755</v>
      </c>
      <c r="K2079" s="2">
        <v>45789</v>
      </c>
    </row>
    <row r="2080" spans="1:11" x14ac:dyDescent="0.25">
      <c r="A2080" s="1" t="s">
        <v>412</v>
      </c>
      <c r="B2080" s="1" t="s">
        <v>1488</v>
      </c>
      <c r="C2080" s="1" t="s">
        <v>2425</v>
      </c>
      <c r="D2080" s="1" t="s">
        <v>1998</v>
      </c>
      <c r="E2080" s="1"/>
      <c r="F2080" s="1" t="s">
        <v>11</v>
      </c>
      <c r="G2080">
        <v>120</v>
      </c>
      <c r="H2080">
        <v>120</v>
      </c>
      <c r="I2080" s="2"/>
      <c r="J2080" s="2">
        <v>45755</v>
      </c>
      <c r="K2080" s="2">
        <v>45789</v>
      </c>
    </row>
    <row r="2081" spans="1:11" x14ac:dyDescent="0.25">
      <c r="A2081" s="1" t="s">
        <v>412</v>
      </c>
      <c r="B2081" s="1" t="s">
        <v>1472</v>
      </c>
      <c r="C2081" s="1" t="s">
        <v>2409</v>
      </c>
      <c r="D2081" s="1" t="s">
        <v>1998</v>
      </c>
      <c r="E2081" s="1"/>
      <c r="F2081" s="1" t="s">
        <v>11</v>
      </c>
      <c r="G2081">
        <v>5</v>
      </c>
      <c r="H2081">
        <v>5</v>
      </c>
      <c r="I2081" s="2"/>
      <c r="J2081" s="2">
        <v>45755</v>
      </c>
      <c r="K2081" s="2">
        <v>45789</v>
      </c>
    </row>
    <row r="2082" spans="1:11" x14ac:dyDescent="0.25">
      <c r="A2082" s="1" t="s">
        <v>412</v>
      </c>
      <c r="B2082" s="1" t="s">
        <v>1489</v>
      </c>
      <c r="C2082" s="1" t="s">
        <v>2426</v>
      </c>
      <c r="D2082" s="1" t="s">
        <v>1998</v>
      </c>
      <c r="E2082" s="1"/>
      <c r="F2082" s="1" t="s">
        <v>11</v>
      </c>
      <c r="G2082">
        <v>1</v>
      </c>
      <c r="H2082">
        <v>1</v>
      </c>
      <c r="I2082" s="2"/>
      <c r="J2082" s="2">
        <v>45755</v>
      </c>
      <c r="K2082" s="2">
        <v>45789</v>
      </c>
    </row>
    <row r="2083" spans="1:11" x14ac:dyDescent="0.25">
      <c r="A2083" s="1" t="s">
        <v>412</v>
      </c>
      <c r="B2083" s="1" t="s">
        <v>1490</v>
      </c>
      <c r="C2083" s="1" t="s">
        <v>2427</v>
      </c>
      <c r="D2083" s="1" t="s">
        <v>1998</v>
      </c>
      <c r="E2083" s="1"/>
      <c r="F2083" s="1" t="s">
        <v>11</v>
      </c>
      <c r="G2083">
        <v>1</v>
      </c>
      <c r="H2083">
        <v>1</v>
      </c>
      <c r="I2083" s="2"/>
      <c r="J2083" s="2">
        <v>45755</v>
      </c>
      <c r="K2083" s="2">
        <v>45789</v>
      </c>
    </row>
    <row r="2084" spans="1:11" x14ac:dyDescent="0.25">
      <c r="A2084" s="1" t="s">
        <v>412</v>
      </c>
      <c r="B2084" s="1" t="s">
        <v>1491</v>
      </c>
      <c r="C2084" s="1" t="s">
        <v>2428</v>
      </c>
      <c r="D2084" s="1" t="s">
        <v>1998</v>
      </c>
      <c r="E2084" s="1"/>
      <c r="F2084" s="1" t="s">
        <v>11</v>
      </c>
      <c r="G2084">
        <v>35</v>
      </c>
      <c r="H2084">
        <v>35</v>
      </c>
      <c r="I2084" s="2"/>
      <c r="J2084" s="2">
        <v>45755</v>
      </c>
      <c r="K2084" s="2">
        <v>45789</v>
      </c>
    </row>
    <row r="2085" spans="1:11" x14ac:dyDescent="0.25">
      <c r="A2085" s="1" t="s">
        <v>412</v>
      </c>
      <c r="B2085" s="1" t="s">
        <v>1492</v>
      </c>
      <c r="C2085" s="1" t="s">
        <v>2429</v>
      </c>
      <c r="D2085" s="1" t="s">
        <v>1998</v>
      </c>
      <c r="E2085" s="1"/>
      <c r="F2085" s="1" t="s">
        <v>11</v>
      </c>
      <c r="G2085">
        <v>5</v>
      </c>
      <c r="H2085">
        <v>5</v>
      </c>
      <c r="I2085" s="2"/>
      <c r="J2085" s="2">
        <v>45755</v>
      </c>
      <c r="K2085" s="2">
        <v>45789</v>
      </c>
    </row>
    <row r="2086" spans="1:11" x14ac:dyDescent="0.25">
      <c r="A2086" s="1" t="s">
        <v>412</v>
      </c>
      <c r="B2086" s="1" t="s">
        <v>1493</v>
      </c>
      <c r="C2086" s="1" t="s">
        <v>2429</v>
      </c>
      <c r="D2086" s="1" t="s">
        <v>1998</v>
      </c>
      <c r="E2086" s="1"/>
      <c r="F2086" s="1" t="s">
        <v>11</v>
      </c>
      <c r="G2086">
        <v>5</v>
      </c>
      <c r="H2086">
        <v>5</v>
      </c>
      <c r="I2086" s="2"/>
      <c r="J2086" s="2">
        <v>45755</v>
      </c>
      <c r="K2086" s="2">
        <v>45789</v>
      </c>
    </row>
    <row r="2087" spans="1:11" x14ac:dyDescent="0.25">
      <c r="A2087" s="1" t="s">
        <v>412</v>
      </c>
      <c r="B2087" s="1" t="s">
        <v>1494</v>
      </c>
      <c r="C2087" s="1" t="s">
        <v>2430</v>
      </c>
      <c r="D2087" s="1" t="s">
        <v>1998</v>
      </c>
      <c r="E2087" s="1"/>
      <c r="F2087" s="1" t="s">
        <v>11</v>
      </c>
      <c r="G2087">
        <v>1</v>
      </c>
      <c r="H2087">
        <v>1</v>
      </c>
      <c r="I2087" s="2"/>
      <c r="J2087" s="2">
        <v>45755</v>
      </c>
      <c r="K2087" s="2">
        <v>45789</v>
      </c>
    </row>
    <row r="2088" spans="1:11" x14ac:dyDescent="0.25">
      <c r="A2088" s="1" t="s">
        <v>412</v>
      </c>
      <c r="B2088" s="1" t="s">
        <v>1495</v>
      </c>
      <c r="C2088" s="1" t="s">
        <v>2431</v>
      </c>
      <c r="D2088" s="1" t="s">
        <v>1998</v>
      </c>
      <c r="E2088" s="1"/>
      <c r="F2088" s="1" t="s">
        <v>11</v>
      </c>
      <c r="G2088">
        <v>1</v>
      </c>
      <c r="H2088">
        <v>1</v>
      </c>
      <c r="I2088" s="2"/>
      <c r="J2088" s="2">
        <v>45755</v>
      </c>
      <c r="K2088" s="2">
        <v>45789</v>
      </c>
    </row>
    <row r="2089" spans="1:11" x14ac:dyDescent="0.25">
      <c r="A2089" s="1" t="s">
        <v>412</v>
      </c>
      <c r="B2089" s="1" t="s">
        <v>1496</v>
      </c>
      <c r="C2089" s="1" t="s">
        <v>2432</v>
      </c>
      <c r="D2089" s="1" t="s">
        <v>1998</v>
      </c>
      <c r="E2089" s="1"/>
      <c r="F2089" s="1" t="s">
        <v>11</v>
      </c>
      <c r="G2089">
        <v>1</v>
      </c>
      <c r="H2089">
        <v>1</v>
      </c>
      <c r="I2089" s="2"/>
      <c r="J2089" s="2">
        <v>45755</v>
      </c>
      <c r="K2089" s="2">
        <v>45789</v>
      </c>
    </row>
    <row r="2090" spans="1:11" x14ac:dyDescent="0.25">
      <c r="A2090" s="1" t="s">
        <v>412</v>
      </c>
      <c r="B2090" s="1" t="s">
        <v>1497</v>
      </c>
      <c r="C2090" s="1" t="s">
        <v>2432</v>
      </c>
      <c r="D2090" s="1" t="s">
        <v>1998</v>
      </c>
      <c r="E2090" s="1"/>
      <c r="F2090" s="1" t="s">
        <v>11</v>
      </c>
      <c r="G2090">
        <v>1</v>
      </c>
      <c r="H2090">
        <v>1</v>
      </c>
      <c r="I2090" s="2"/>
      <c r="J2090" s="2">
        <v>45755</v>
      </c>
      <c r="K2090" s="2">
        <v>45789</v>
      </c>
    </row>
    <row r="2091" spans="1:11" x14ac:dyDescent="0.25">
      <c r="A2091" s="1" t="s">
        <v>412</v>
      </c>
      <c r="B2091" s="1" t="s">
        <v>1027</v>
      </c>
      <c r="C2091" s="1" t="s">
        <v>2040</v>
      </c>
      <c r="D2091" s="1" t="s">
        <v>1998</v>
      </c>
      <c r="E2091" s="1"/>
      <c r="F2091" s="1" t="s">
        <v>11</v>
      </c>
      <c r="G2091">
        <v>30</v>
      </c>
      <c r="H2091">
        <v>30</v>
      </c>
      <c r="I2091" s="2"/>
      <c r="J2091" s="2">
        <v>45755</v>
      </c>
      <c r="K2091" s="2">
        <v>45789</v>
      </c>
    </row>
    <row r="2092" spans="1:11" x14ac:dyDescent="0.25">
      <c r="A2092" s="1" t="s">
        <v>412</v>
      </c>
      <c r="B2092" s="1" t="s">
        <v>1013</v>
      </c>
      <c r="C2092" s="1" t="s">
        <v>2030</v>
      </c>
      <c r="D2092" s="1" t="s">
        <v>1998</v>
      </c>
      <c r="E2092" s="1"/>
      <c r="F2092" s="1" t="s">
        <v>11</v>
      </c>
      <c r="G2092">
        <v>5</v>
      </c>
      <c r="H2092">
        <v>5</v>
      </c>
      <c r="I2092" s="2"/>
      <c r="J2092" s="2">
        <v>45755</v>
      </c>
      <c r="K2092" s="2">
        <v>45789</v>
      </c>
    </row>
    <row r="2093" spans="1:11" x14ac:dyDescent="0.25">
      <c r="A2093" s="1" t="s">
        <v>412</v>
      </c>
      <c r="B2093" s="1" t="s">
        <v>1498</v>
      </c>
      <c r="C2093" s="1" t="s">
        <v>2433</v>
      </c>
      <c r="D2093" s="1" t="s">
        <v>1998</v>
      </c>
      <c r="E2093" s="1"/>
      <c r="F2093" s="1" t="s">
        <v>11</v>
      </c>
      <c r="G2093">
        <v>1</v>
      </c>
      <c r="H2093">
        <v>1</v>
      </c>
      <c r="I2093" s="2"/>
      <c r="J2093" s="2">
        <v>45755</v>
      </c>
      <c r="K2093" s="2">
        <v>45789</v>
      </c>
    </row>
    <row r="2094" spans="1:11" x14ac:dyDescent="0.25">
      <c r="A2094" s="1" t="s">
        <v>412</v>
      </c>
      <c r="B2094" s="1" t="s">
        <v>1499</v>
      </c>
      <c r="C2094" s="1" t="s">
        <v>2433</v>
      </c>
      <c r="D2094" s="1" t="s">
        <v>1998</v>
      </c>
      <c r="E2094" s="1"/>
      <c r="F2094" s="1" t="s">
        <v>11</v>
      </c>
      <c r="G2094">
        <v>1</v>
      </c>
      <c r="H2094">
        <v>1</v>
      </c>
      <c r="I2094" s="2"/>
      <c r="J2094" s="2">
        <v>45755</v>
      </c>
      <c r="K2094" s="2">
        <v>45789</v>
      </c>
    </row>
    <row r="2095" spans="1:11" x14ac:dyDescent="0.25">
      <c r="A2095" s="1" t="s">
        <v>412</v>
      </c>
      <c r="B2095" s="1" t="s">
        <v>993</v>
      </c>
      <c r="C2095" s="1" t="s">
        <v>2011</v>
      </c>
      <c r="D2095" s="1" t="s">
        <v>1998</v>
      </c>
      <c r="E2095" s="1"/>
      <c r="F2095" s="1" t="s">
        <v>11</v>
      </c>
      <c r="G2095">
        <v>1</v>
      </c>
      <c r="H2095">
        <v>1</v>
      </c>
      <c r="I2095" s="2"/>
      <c r="J2095" s="2">
        <v>45755</v>
      </c>
      <c r="K2095" s="2">
        <v>45789</v>
      </c>
    </row>
    <row r="2096" spans="1:11" x14ac:dyDescent="0.25">
      <c r="A2096" s="1" t="s">
        <v>412</v>
      </c>
      <c r="B2096" s="1" t="s">
        <v>993</v>
      </c>
      <c r="C2096" s="1" t="s">
        <v>2011</v>
      </c>
      <c r="D2096" s="1" t="s">
        <v>1998</v>
      </c>
      <c r="E2096" s="1"/>
      <c r="F2096" s="1" t="s">
        <v>11</v>
      </c>
      <c r="G2096">
        <v>5</v>
      </c>
      <c r="H2096">
        <v>5</v>
      </c>
      <c r="I2096" s="2"/>
      <c r="J2096" s="2">
        <v>45755</v>
      </c>
      <c r="K2096" s="2">
        <v>45789</v>
      </c>
    </row>
    <row r="2097" spans="1:11" x14ac:dyDescent="0.25">
      <c r="A2097" s="1" t="s">
        <v>412</v>
      </c>
      <c r="B2097" s="1" t="s">
        <v>993</v>
      </c>
      <c r="C2097" s="1" t="s">
        <v>2011</v>
      </c>
      <c r="D2097" s="1" t="s">
        <v>1998</v>
      </c>
      <c r="E2097" s="1"/>
      <c r="F2097" s="1" t="s">
        <v>11</v>
      </c>
      <c r="G2097">
        <v>1</v>
      </c>
      <c r="H2097">
        <v>1</v>
      </c>
      <c r="I2097" s="2"/>
      <c r="J2097" s="2">
        <v>45755</v>
      </c>
      <c r="K2097" s="2">
        <v>45789</v>
      </c>
    </row>
    <row r="2098" spans="1:11" x14ac:dyDescent="0.25">
      <c r="A2098" s="1" t="s">
        <v>412</v>
      </c>
      <c r="B2098" s="1" t="s">
        <v>1473</v>
      </c>
      <c r="C2098" s="1" t="s">
        <v>2410</v>
      </c>
      <c r="D2098" s="1" t="s">
        <v>1998</v>
      </c>
      <c r="E2098" s="1"/>
      <c r="F2098" s="1" t="s">
        <v>11</v>
      </c>
      <c r="G2098">
        <v>1</v>
      </c>
      <c r="H2098">
        <v>1</v>
      </c>
      <c r="I2098" s="2"/>
      <c r="J2098" s="2">
        <v>45755</v>
      </c>
      <c r="K2098" s="2">
        <v>45789</v>
      </c>
    </row>
    <row r="2099" spans="1:11" x14ac:dyDescent="0.25">
      <c r="A2099" s="1" t="s">
        <v>412</v>
      </c>
      <c r="B2099" s="1" t="s">
        <v>1275</v>
      </c>
      <c r="C2099" s="1" t="s">
        <v>2252</v>
      </c>
      <c r="D2099" s="1" t="s">
        <v>1998</v>
      </c>
      <c r="E2099" s="1"/>
      <c r="F2099" s="1" t="s">
        <v>11</v>
      </c>
      <c r="G2099">
        <v>15</v>
      </c>
      <c r="H2099">
        <v>15</v>
      </c>
      <c r="I2099" s="2"/>
      <c r="J2099" s="2">
        <v>45755</v>
      </c>
      <c r="K2099" s="2">
        <v>45789</v>
      </c>
    </row>
    <row r="2100" spans="1:11" x14ac:dyDescent="0.25">
      <c r="A2100" s="1" t="s">
        <v>412</v>
      </c>
      <c r="B2100" s="1" t="s">
        <v>1474</v>
      </c>
      <c r="C2100" s="1" t="s">
        <v>2411</v>
      </c>
      <c r="D2100" s="1" t="s">
        <v>1998</v>
      </c>
      <c r="E2100" s="1"/>
      <c r="F2100" s="1" t="s">
        <v>11</v>
      </c>
      <c r="G2100">
        <v>1</v>
      </c>
      <c r="H2100">
        <v>1</v>
      </c>
      <c r="I2100" s="2"/>
      <c r="J2100" s="2">
        <v>45755</v>
      </c>
      <c r="K2100" s="2">
        <v>45789</v>
      </c>
    </row>
    <row r="2101" spans="1:11" x14ac:dyDescent="0.25">
      <c r="A2101" s="1" t="s">
        <v>412</v>
      </c>
      <c r="B2101" s="1" t="s">
        <v>1475</v>
      </c>
      <c r="C2101" s="1" t="s">
        <v>2412</v>
      </c>
      <c r="D2101" s="1" t="s">
        <v>1998</v>
      </c>
      <c r="E2101" s="1"/>
      <c r="F2101" s="1" t="s">
        <v>11</v>
      </c>
      <c r="G2101">
        <v>1</v>
      </c>
      <c r="H2101">
        <v>1</v>
      </c>
      <c r="I2101" s="2"/>
      <c r="J2101" s="2">
        <v>45755</v>
      </c>
      <c r="K2101" s="2">
        <v>45789</v>
      </c>
    </row>
    <row r="2102" spans="1:11" x14ac:dyDescent="0.25">
      <c r="A2102" s="1" t="s">
        <v>412</v>
      </c>
      <c r="B2102" s="1" t="s">
        <v>1500</v>
      </c>
      <c r="C2102" s="1" t="s">
        <v>2434</v>
      </c>
      <c r="D2102" s="1" t="s">
        <v>1998</v>
      </c>
      <c r="E2102" s="1"/>
      <c r="F2102" s="1" t="s">
        <v>11</v>
      </c>
      <c r="G2102">
        <v>80</v>
      </c>
      <c r="H2102">
        <v>80</v>
      </c>
      <c r="I2102" s="2"/>
      <c r="J2102" s="2">
        <v>45755</v>
      </c>
      <c r="K2102" s="2">
        <v>45789</v>
      </c>
    </row>
    <row r="2103" spans="1:11" x14ac:dyDescent="0.25">
      <c r="A2103" s="1" t="s">
        <v>413</v>
      </c>
      <c r="B2103" s="1" t="s">
        <v>1482</v>
      </c>
      <c r="C2103" s="1" t="s">
        <v>2419</v>
      </c>
      <c r="D2103" s="1" t="s">
        <v>1998</v>
      </c>
      <c r="E2103" s="1"/>
      <c r="F2103" s="1" t="s">
        <v>11</v>
      </c>
      <c r="G2103">
        <v>1</v>
      </c>
      <c r="H2103">
        <v>1</v>
      </c>
      <c r="I2103" s="2"/>
      <c r="J2103" s="2">
        <v>45755</v>
      </c>
      <c r="K2103" s="2">
        <v>45786</v>
      </c>
    </row>
    <row r="2104" spans="1:11" x14ac:dyDescent="0.25">
      <c r="A2104" s="1" t="s">
        <v>413</v>
      </c>
      <c r="B2104" s="1" t="s">
        <v>1483</v>
      </c>
      <c r="C2104" s="1" t="s">
        <v>2420</v>
      </c>
      <c r="D2104" s="1" t="s">
        <v>1998</v>
      </c>
      <c r="E2104" s="1"/>
      <c r="F2104" s="1" t="s">
        <v>11</v>
      </c>
      <c r="G2104">
        <v>2100</v>
      </c>
      <c r="H2104">
        <v>2100</v>
      </c>
      <c r="I2104" s="2"/>
      <c r="J2104" s="2">
        <v>45755</v>
      </c>
      <c r="K2104" s="2">
        <v>45786</v>
      </c>
    </row>
    <row r="2105" spans="1:11" x14ac:dyDescent="0.25">
      <c r="A2105" s="1" t="s">
        <v>413</v>
      </c>
      <c r="B2105" s="1" t="s">
        <v>1484</v>
      </c>
      <c r="C2105" s="1" t="s">
        <v>2421</v>
      </c>
      <c r="D2105" s="1" t="s">
        <v>1998</v>
      </c>
      <c r="E2105" s="1"/>
      <c r="F2105" s="1" t="s">
        <v>11</v>
      </c>
      <c r="G2105">
        <v>5380</v>
      </c>
      <c r="H2105">
        <v>5380</v>
      </c>
      <c r="I2105" s="2"/>
      <c r="J2105" s="2">
        <v>45755</v>
      </c>
      <c r="K2105" s="2">
        <v>45786</v>
      </c>
    </row>
    <row r="2106" spans="1:11" x14ac:dyDescent="0.25">
      <c r="A2106" s="1" t="s">
        <v>413</v>
      </c>
      <c r="B2106" s="1" t="s">
        <v>1485</v>
      </c>
      <c r="C2106" s="1" t="s">
        <v>2422</v>
      </c>
      <c r="D2106" s="1" t="s">
        <v>1998</v>
      </c>
      <c r="E2106" s="1"/>
      <c r="F2106" s="1" t="s">
        <v>11</v>
      </c>
      <c r="G2106">
        <v>30</v>
      </c>
      <c r="H2106">
        <v>30</v>
      </c>
      <c r="I2106" s="2"/>
      <c r="J2106" s="2">
        <v>45755</v>
      </c>
      <c r="K2106" s="2">
        <v>45786</v>
      </c>
    </row>
    <row r="2107" spans="1:11" x14ac:dyDescent="0.25">
      <c r="A2107" s="1" t="s">
        <v>413</v>
      </c>
      <c r="B2107" s="1" t="s">
        <v>1486</v>
      </c>
      <c r="C2107" s="1" t="s">
        <v>2423</v>
      </c>
      <c r="D2107" s="1" t="s">
        <v>1998</v>
      </c>
      <c r="E2107" s="1"/>
      <c r="F2107" s="1" t="s">
        <v>11</v>
      </c>
      <c r="G2107">
        <v>2915</v>
      </c>
      <c r="H2107">
        <v>2915</v>
      </c>
      <c r="I2107" s="2"/>
      <c r="J2107" s="2">
        <v>45755</v>
      </c>
      <c r="K2107" s="2">
        <v>45786</v>
      </c>
    </row>
    <row r="2108" spans="1:11" x14ac:dyDescent="0.25">
      <c r="A2108" s="1" t="s">
        <v>413</v>
      </c>
      <c r="B2108" s="1" t="s">
        <v>1487</v>
      </c>
      <c r="C2108" s="1" t="s">
        <v>2424</v>
      </c>
      <c r="D2108" s="1" t="s">
        <v>1998</v>
      </c>
      <c r="E2108" s="1"/>
      <c r="F2108" s="1" t="s">
        <v>11</v>
      </c>
      <c r="G2108">
        <v>210</v>
      </c>
      <c r="H2108">
        <v>210</v>
      </c>
      <c r="I2108" s="2"/>
      <c r="J2108" s="2">
        <v>45755</v>
      </c>
      <c r="K2108" s="2">
        <v>45786</v>
      </c>
    </row>
    <row r="2109" spans="1:11" x14ac:dyDescent="0.25">
      <c r="A2109" s="1" t="s">
        <v>413</v>
      </c>
      <c r="B2109" s="1" t="s">
        <v>1470</v>
      </c>
      <c r="C2109" s="1" t="s">
        <v>2407</v>
      </c>
      <c r="D2109" s="1" t="s">
        <v>1998</v>
      </c>
      <c r="E2109" s="1"/>
      <c r="F2109" s="1" t="s">
        <v>11</v>
      </c>
      <c r="G2109">
        <v>20</v>
      </c>
      <c r="H2109">
        <v>20</v>
      </c>
      <c r="I2109" s="2"/>
      <c r="J2109" s="2">
        <v>45755</v>
      </c>
      <c r="K2109" s="2">
        <v>45786</v>
      </c>
    </row>
    <row r="2110" spans="1:11" x14ac:dyDescent="0.25">
      <c r="A2110" s="1" t="s">
        <v>413</v>
      </c>
      <c r="B2110" s="1" t="s">
        <v>1488</v>
      </c>
      <c r="C2110" s="1" t="s">
        <v>2425</v>
      </c>
      <c r="D2110" s="1" t="s">
        <v>1998</v>
      </c>
      <c r="E2110" s="1"/>
      <c r="F2110" s="1" t="s">
        <v>11</v>
      </c>
      <c r="G2110">
        <v>120</v>
      </c>
      <c r="H2110">
        <v>120</v>
      </c>
      <c r="I2110" s="2"/>
      <c r="J2110" s="2">
        <v>45755</v>
      </c>
      <c r="K2110" s="2">
        <v>45786</v>
      </c>
    </row>
    <row r="2111" spans="1:11" x14ac:dyDescent="0.25">
      <c r="A2111" s="1" t="s">
        <v>413</v>
      </c>
      <c r="B2111" s="1" t="s">
        <v>1472</v>
      </c>
      <c r="C2111" s="1" t="s">
        <v>2409</v>
      </c>
      <c r="D2111" s="1" t="s">
        <v>1998</v>
      </c>
      <c r="E2111" s="1"/>
      <c r="F2111" s="1" t="s">
        <v>11</v>
      </c>
      <c r="G2111">
        <v>5</v>
      </c>
      <c r="H2111">
        <v>5</v>
      </c>
      <c r="I2111" s="2"/>
      <c r="J2111" s="2">
        <v>45755</v>
      </c>
      <c r="K2111" s="2">
        <v>45786</v>
      </c>
    </row>
    <row r="2112" spans="1:11" x14ac:dyDescent="0.25">
      <c r="A2112" s="1" t="s">
        <v>413</v>
      </c>
      <c r="B2112" s="1" t="s">
        <v>1489</v>
      </c>
      <c r="C2112" s="1" t="s">
        <v>2426</v>
      </c>
      <c r="D2112" s="1" t="s">
        <v>1998</v>
      </c>
      <c r="E2112" s="1"/>
      <c r="F2112" s="1" t="s">
        <v>11</v>
      </c>
      <c r="G2112">
        <v>1</v>
      </c>
      <c r="H2112">
        <v>1</v>
      </c>
      <c r="I2112" s="2"/>
      <c r="J2112" s="2">
        <v>45755</v>
      </c>
      <c r="K2112" s="2">
        <v>45786</v>
      </c>
    </row>
    <row r="2113" spans="1:11" x14ac:dyDescent="0.25">
      <c r="A2113" s="1" t="s">
        <v>413</v>
      </c>
      <c r="B2113" s="1" t="s">
        <v>1490</v>
      </c>
      <c r="C2113" s="1" t="s">
        <v>2427</v>
      </c>
      <c r="D2113" s="1" t="s">
        <v>1998</v>
      </c>
      <c r="E2113" s="1"/>
      <c r="F2113" s="1" t="s">
        <v>11</v>
      </c>
      <c r="G2113">
        <v>1</v>
      </c>
      <c r="H2113">
        <v>1</v>
      </c>
      <c r="I2113" s="2"/>
      <c r="J2113" s="2">
        <v>45755</v>
      </c>
      <c r="K2113" s="2">
        <v>45786</v>
      </c>
    </row>
    <row r="2114" spans="1:11" x14ac:dyDescent="0.25">
      <c r="A2114" s="1" t="s">
        <v>413</v>
      </c>
      <c r="B2114" s="1" t="s">
        <v>1491</v>
      </c>
      <c r="C2114" s="1" t="s">
        <v>2428</v>
      </c>
      <c r="D2114" s="1" t="s">
        <v>1998</v>
      </c>
      <c r="E2114" s="1"/>
      <c r="F2114" s="1" t="s">
        <v>11</v>
      </c>
      <c r="G2114">
        <v>35</v>
      </c>
      <c r="H2114">
        <v>35</v>
      </c>
      <c r="I2114" s="2"/>
      <c r="J2114" s="2">
        <v>45755</v>
      </c>
      <c r="K2114" s="2">
        <v>45786</v>
      </c>
    </row>
    <row r="2115" spans="1:11" x14ac:dyDescent="0.25">
      <c r="A2115" s="1" t="s">
        <v>413</v>
      </c>
      <c r="B2115" s="1" t="s">
        <v>1492</v>
      </c>
      <c r="C2115" s="1" t="s">
        <v>2429</v>
      </c>
      <c r="D2115" s="1" t="s">
        <v>1998</v>
      </c>
      <c r="E2115" s="1"/>
      <c r="F2115" s="1" t="s">
        <v>11</v>
      </c>
      <c r="G2115">
        <v>5</v>
      </c>
      <c r="H2115">
        <v>5</v>
      </c>
      <c r="I2115" s="2"/>
      <c r="J2115" s="2">
        <v>45755</v>
      </c>
      <c r="K2115" s="2">
        <v>45786</v>
      </c>
    </row>
    <row r="2116" spans="1:11" x14ac:dyDescent="0.25">
      <c r="A2116" s="1" t="s">
        <v>413</v>
      </c>
      <c r="B2116" s="1" t="s">
        <v>1493</v>
      </c>
      <c r="C2116" s="1" t="s">
        <v>2429</v>
      </c>
      <c r="D2116" s="1" t="s">
        <v>1998</v>
      </c>
      <c r="E2116" s="1"/>
      <c r="F2116" s="1" t="s">
        <v>11</v>
      </c>
      <c r="G2116">
        <v>5</v>
      </c>
      <c r="H2116">
        <v>5</v>
      </c>
      <c r="I2116" s="2"/>
      <c r="J2116" s="2">
        <v>45755</v>
      </c>
      <c r="K2116" s="2">
        <v>45786</v>
      </c>
    </row>
    <row r="2117" spans="1:11" x14ac:dyDescent="0.25">
      <c r="A2117" s="1" t="s">
        <v>413</v>
      </c>
      <c r="B2117" s="1" t="s">
        <v>1494</v>
      </c>
      <c r="C2117" s="1" t="s">
        <v>2430</v>
      </c>
      <c r="D2117" s="1" t="s">
        <v>1998</v>
      </c>
      <c r="E2117" s="1"/>
      <c r="F2117" s="1" t="s">
        <v>11</v>
      </c>
      <c r="G2117">
        <v>1</v>
      </c>
      <c r="H2117">
        <v>1</v>
      </c>
      <c r="I2117" s="2"/>
      <c r="J2117" s="2">
        <v>45755</v>
      </c>
      <c r="K2117" s="2">
        <v>45786</v>
      </c>
    </row>
    <row r="2118" spans="1:11" x14ac:dyDescent="0.25">
      <c r="A2118" s="1" t="s">
        <v>413</v>
      </c>
      <c r="B2118" s="1" t="s">
        <v>1495</v>
      </c>
      <c r="C2118" s="1" t="s">
        <v>2431</v>
      </c>
      <c r="D2118" s="1" t="s">
        <v>1998</v>
      </c>
      <c r="E2118" s="1"/>
      <c r="F2118" s="1" t="s">
        <v>11</v>
      </c>
      <c r="G2118">
        <v>1</v>
      </c>
      <c r="H2118">
        <v>1</v>
      </c>
      <c r="I2118" s="2"/>
      <c r="J2118" s="2">
        <v>45755</v>
      </c>
      <c r="K2118" s="2">
        <v>45786</v>
      </c>
    </row>
    <row r="2119" spans="1:11" x14ac:dyDescent="0.25">
      <c r="A2119" s="1" t="s">
        <v>413</v>
      </c>
      <c r="B2119" s="1" t="s">
        <v>1496</v>
      </c>
      <c r="C2119" s="1" t="s">
        <v>2432</v>
      </c>
      <c r="D2119" s="1" t="s">
        <v>1998</v>
      </c>
      <c r="E2119" s="1"/>
      <c r="F2119" s="1" t="s">
        <v>11</v>
      </c>
      <c r="G2119">
        <v>1</v>
      </c>
      <c r="H2119">
        <v>1</v>
      </c>
      <c r="I2119" s="2"/>
      <c r="J2119" s="2">
        <v>45755</v>
      </c>
      <c r="K2119" s="2">
        <v>45786</v>
      </c>
    </row>
    <row r="2120" spans="1:11" x14ac:dyDescent="0.25">
      <c r="A2120" s="1" t="s">
        <v>413</v>
      </c>
      <c r="B2120" s="1" t="s">
        <v>1497</v>
      </c>
      <c r="C2120" s="1" t="s">
        <v>2432</v>
      </c>
      <c r="D2120" s="1" t="s">
        <v>1998</v>
      </c>
      <c r="E2120" s="1"/>
      <c r="F2120" s="1" t="s">
        <v>11</v>
      </c>
      <c r="G2120">
        <v>1</v>
      </c>
      <c r="H2120">
        <v>1</v>
      </c>
      <c r="I2120" s="2"/>
      <c r="J2120" s="2">
        <v>45755</v>
      </c>
      <c r="K2120" s="2">
        <v>45786</v>
      </c>
    </row>
    <row r="2121" spans="1:11" x14ac:dyDescent="0.25">
      <c r="A2121" s="1" t="s">
        <v>413</v>
      </c>
      <c r="B2121" s="1" t="s">
        <v>1027</v>
      </c>
      <c r="C2121" s="1" t="s">
        <v>2040</v>
      </c>
      <c r="D2121" s="1" t="s">
        <v>1998</v>
      </c>
      <c r="E2121" s="1"/>
      <c r="F2121" s="1" t="s">
        <v>11</v>
      </c>
      <c r="G2121">
        <v>30</v>
      </c>
      <c r="H2121">
        <v>30</v>
      </c>
      <c r="I2121" s="2"/>
      <c r="J2121" s="2">
        <v>45755</v>
      </c>
      <c r="K2121" s="2">
        <v>45786</v>
      </c>
    </row>
    <row r="2122" spans="1:11" x14ac:dyDescent="0.25">
      <c r="A2122" s="1" t="s">
        <v>413</v>
      </c>
      <c r="B2122" s="1" t="s">
        <v>1013</v>
      </c>
      <c r="C2122" s="1" t="s">
        <v>2030</v>
      </c>
      <c r="D2122" s="1" t="s">
        <v>1998</v>
      </c>
      <c r="E2122" s="1"/>
      <c r="F2122" s="1" t="s">
        <v>11</v>
      </c>
      <c r="G2122">
        <v>5</v>
      </c>
      <c r="H2122">
        <v>5</v>
      </c>
      <c r="I2122" s="2"/>
      <c r="J2122" s="2">
        <v>45755</v>
      </c>
      <c r="K2122" s="2">
        <v>45786</v>
      </c>
    </row>
    <row r="2123" spans="1:11" x14ac:dyDescent="0.25">
      <c r="A2123" s="1" t="s">
        <v>413</v>
      </c>
      <c r="B2123" s="1" t="s">
        <v>1498</v>
      </c>
      <c r="C2123" s="1" t="s">
        <v>2433</v>
      </c>
      <c r="D2123" s="1" t="s">
        <v>1998</v>
      </c>
      <c r="E2123" s="1"/>
      <c r="F2123" s="1" t="s">
        <v>11</v>
      </c>
      <c r="G2123">
        <v>1</v>
      </c>
      <c r="H2123">
        <v>1</v>
      </c>
      <c r="I2123" s="2"/>
      <c r="J2123" s="2">
        <v>45755</v>
      </c>
      <c r="K2123" s="2">
        <v>45786</v>
      </c>
    </row>
    <row r="2124" spans="1:11" x14ac:dyDescent="0.25">
      <c r="A2124" s="1" t="s">
        <v>413</v>
      </c>
      <c r="B2124" s="1" t="s">
        <v>1499</v>
      </c>
      <c r="C2124" s="1" t="s">
        <v>2433</v>
      </c>
      <c r="D2124" s="1" t="s">
        <v>1998</v>
      </c>
      <c r="E2124" s="1"/>
      <c r="F2124" s="1" t="s">
        <v>11</v>
      </c>
      <c r="G2124">
        <v>1</v>
      </c>
      <c r="H2124">
        <v>1</v>
      </c>
      <c r="I2124" s="2"/>
      <c r="J2124" s="2">
        <v>45755</v>
      </c>
      <c r="K2124" s="2">
        <v>45786</v>
      </c>
    </row>
    <row r="2125" spans="1:11" x14ac:dyDescent="0.25">
      <c r="A2125" s="1" t="s">
        <v>413</v>
      </c>
      <c r="B2125" s="1" t="s">
        <v>993</v>
      </c>
      <c r="C2125" s="1" t="s">
        <v>2011</v>
      </c>
      <c r="D2125" s="1" t="s">
        <v>1998</v>
      </c>
      <c r="E2125" s="1"/>
      <c r="F2125" s="1" t="s">
        <v>11</v>
      </c>
      <c r="G2125">
        <v>1</v>
      </c>
      <c r="H2125">
        <v>1</v>
      </c>
      <c r="I2125" s="2"/>
      <c r="J2125" s="2">
        <v>45755</v>
      </c>
      <c r="K2125" s="2">
        <v>45786</v>
      </c>
    </row>
    <row r="2126" spans="1:11" x14ac:dyDescent="0.25">
      <c r="A2126" s="1" t="s">
        <v>413</v>
      </c>
      <c r="B2126" s="1" t="s">
        <v>993</v>
      </c>
      <c r="C2126" s="1" t="s">
        <v>2011</v>
      </c>
      <c r="D2126" s="1" t="s">
        <v>1998</v>
      </c>
      <c r="E2126" s="1"/>
      <c r="F2126" s="1" t="s">
        <v>11</v>
      </c>
      <c r="G2126">
        <v>5</v>
      </c>
      <c r="H2126">
        <v>5</v>
      </c>
      <c r="I2126" s="2"/>
      <c r="J2126" s="2">
        <v>45755</v>
      </c>
      <c r="K2126" s="2">
        <v>45786</v>
      </c>
    </row>
    <row r="2127" spans="1:11" x14ac:dyDescent="0.25">
      <c r="A2127" s="1" t="s">
        <v>413</v>
      </c>
      <c r="B2127" s="1" t="s">
        <v>993</v>
      </c>
      <c r="C2127" s="1" t="s">
        <v>2011</v>
      </c>
      <c r="D2127" s="1" t="s">
        <v>1998</v>
      </c>
      <c r="E2127" s="1"/>
      <c r="F2127" s="1" t="s">
        <v>11</v>
      </c>
      <c r="G2127">
        <v>1</v>
      </c>
      <c r="H2127">
        <v>1</v>
      </c>
      <c r="I2127" s="2"/>
      <c r="J2127" s="2">
        <v>45755</v>
      </c>
      <c r="K2127" s="2">
        <v>45786</v>
      </c>
    </row>
    <row r="2128" spans="1:11" x14ac:dyDescent="0.25">
      <c r="A2128" s="1" t="s">
        <v>413</v>
      </c>
      <c r="B2128" s="1" t="s">
        <v>1473</v>
      </c>
      <c r="C2128" s="1" t="s">
        <v>2410</v>
      </c>
      <c r="D2128" s="1" t="s">
        <v>1998</v>
      </c>
      <c r="E2128" s="1"/>
      <c r="F2128" s="1" t="s">
        <v>11</v>
      </c>
      <c r="G2128">
        <v>1</v>
      </c>
      <c r="H2128">
        <v>1</v>
      </c>
      <c r="I2128" s="2"/>
      <c r="J2128" s="2">
        <v>45755</v>
      </c>
      <c r="K2128" s="2">
        <v>45786</v>
      </c>
    </row>
    <row r="2129" spans="1:11" x14ac:dyDescent="0.25">
      <c r="A2129" s="1" t="s">
        <v>413</v>
      </c>
      <c r="B2129" s="1" t="s">
        <v>1275</v>
      </c>
      <c r="C2129" s="1" t="s">
        <v>2252</v>
      </c>
      <c r="D2129" s="1" t="s">
        <v>1998</v>
      </c>
      <c r="E2129" s="1"/>
      <c r="F2129" s="1" t="s">
        <v>11</v>
      </c>
      <c r="G2129">
        <v>15</v>
      </c>
      <c r="H2129">
        <v>15</v>
      </c>
      <c r="I2129" s="2"/>
      <c r="J2129" s="2">
        <v>45755</v>
      </c>
      <c r="K2129" s="2">
        <v>45786</v>
      </c>
    </row>
    <row r="2130" spans="1:11" x14ac:dyDescent="0.25">
      <c r="A2130" s="1" t="s">
        <v>413</v>
      </c>
      <c r="B2130" s="1" t="s">
        <v>1474</v>
      </c>
      <c r="C2130" s="1" t="s">
        <v>2411</v>
      </c>
      <c r="D2130" s="1" t="s">
        <v>1998</v>
      </c>
      <c r="E2130" s="1"/>
      <c r="F2130" s="1" t="s">
        <v>11</v>
      </c>
      <c r="G2130">
        <v>1</v>
      </c>
      <c r="H2130">
        <v>1</v>
      </c>
      <c r="I2130" s="2"/>
      <c r="J2130" s="2">
        <v>45755</v>
      </c>
      <c r="K2130" s="2">
        <v>45786</v>
      </c>
    </row>
    <row r="2131" spans="1:11" x14ac:dyDescent="0.25">
      <c r="A2131" s="1" t="s">
        <v>413</v>
      </c>
      <c r="B2131" s="1" t="s">
        <v>1475</v>
      </c>
      <c r="C2131" s="1" t="s">
        <v>2412</v>
      </c>
      <c r="D2131" s="1" t="s">
        <v>1998</v>
      </c>
      <c r="E2131" s="1"/>
      <c r="F2131" s="1" t="s">
        <v>11</v>
      </c>
      <c r="G2131">
        <v>1</v>
      </c>
      <c r="H2131">
        <v>1</v>
      </c>
      <c r="I2131" s="2"/>
      <c r="J2131" s="2">
        <v>45755</v>
      </c>
      <c r="K2131" s="2">
        <v>45786</v>
      </c>
    </row>
    <row r="2132" spans="1:11" x14ac:dyDescent="0.25">
      <c r="A2132" s="1" t="s">
        <v>413</v>
      </c>
      <c r="B2132" s="1" t="s">
        <v>1500</v>
      </c>
      <c r="C2132" s="1" t="s">
        <v>2434</v>
      </c>
      <c r="D2132" s="1" t="s">
        <v>1998</v>
      </c>
      <c r="E2132" s="1"/>
      <c r="F2132" s="1" t="s">
        <v>11</v>
      </c>
      <c r="G2132">
        <v>80</v>
      </c>
      <c r="H2132">
        <v>80</v>
      </c>
      <c r="I2132" s="2"/>
      <c r="J2132" s="2">
        <v>45755</v>
      </c>
      <c r="K2132" s="2">
        <v>45786</v>
      </c>
    </row>
    <row r="2133" spans="1:11" x14ac:dyDescent="0.25">
      <c r="A2133" s="1" t="s">
        <v>414</v>
      </c>
      <c r="B2133" s="1" t="s">
        <v>1482</v>
      </c>
      <c r="C2133" s="1" t="s">
        <v>2419</v>
      </c>
      <c r="D2133" s="1" t="s">
        <v>1998</v>
      </c>
      <c r="E2133" s="1"/>
      <c r="F2133" s="1" t="s">
        <v>11</v>
      </c>
      <c r="G2133">
        <v>1</v>
      </c>
      <c r="H2133">
        <v>1</v>
      </c>
      <c r="I2133" s="2"/>
      <c r="J2133" s="2">
        <v>45755</v>
      </c>
      <c r="K2133" s="2">
        <v>45789</v>
      </c>
    </row>
    <row r="2134" spans="1:11" x14ac:dyDescent="0.25">
      <c r="A2134" s="1" t="s">
        <v>414</v>
      </c>
      <c r="B2134" s="1" t="s">
        <v>1483</v>
      </c>
      <c r="C2134" s="1" t="s">
        <v>2420</v>
      </c>
      <c r="D2134" s="1" t="s">
        <v>1998</v>
      </c>
      <c r="E2134" s="1"/>
      <c r="F2134" s="1" t="s">
        <v>11</v>
      </c>
      <c r="G2134">
        <v>2100</v>
      </c>
      <c r="H2134">
        <v>2100</v>
      </c>
      <c r="I2134" s="2"/>
      <c r="J2134" s="2">
        <v>45755</v>
      </c>
      <c r="K2134" s="2">
        <v>45789</v>
      </c>
    </row>
    <row r="2135" spans="1:11" x14ac:dyDescent="0.25">
      <c r="A2135" s="1" t="s">
        <v>414</v>
      </c>
      <c r="B2135" s="1" t="s">
        <v>1484</v>
      </c>
      <c r="C2135" s="1" t="s">
        <v>2421</v>
      </c>
      <c r="D2135" s="1" t="s">
        <v>1998</v>
      </c>
      <c r="E2135" s="1"/>
      <c r="F2135" s="1" t="s">
        <v>11</v>
      </c>
      <c r="G2135">
        <v>5380</v>
      </c>
      <c r="H2135">
        <v>5380</v>
      </c>
      <c r="I2135" s="2"/>
      <c r="J2135" s="2">
        <v>45755</v>
      </c>
      <c r="K2135" s="2">
        <v>45789</v>
      </c>
    </row>
    <row r="2136" spans="1:11" x14ac:dyDescent="0.25">
      <c r="A2136" s="1" t="s">
        <v>414</v>
      </c>
      <c r="B2136" s="1" t="s">
        <v>1485</v>
      </c>
      <c r="C2136" s="1" t="s">
        <v>2422</v>
      </c>
      <c r="D2136" s="1" t="s">
        <v>1998</v>
      </c>
      <c r="E2136" s="1"/>
      <c r="F2136" s="1" t="s">
        <v>11</v>
      </c>
      <c r="G2136">
        <v>30</v>
      </c>
      <c r="H2136">
        <v>30</v>
      </c>
      <c r="I2136" s="2"/>
      <c r="J2136" s="2">
        <v>45755</v>
      </c>
      <c r="K2136" s="2">
        <v>45789</v>
      </c>
    </row>
    <row r="2137" spans="1:11" x14ac:dyDescent="0.25">
      <c r="A2137" s="1" t="s">
        <v>414</v>
      </c>
      <c r="B2137" s="1" t="s">
        <v>1486</v>
      </c>
      <c r="C2137" s="1" t="s">
        <v>2423</v>
      </c>
      <c r="D2137" s="1" t="s">
        <v>1998</v>
      </c>
      <c r="E2137" s="1"/>
      <c r="F2137" s="1" t="s">
        <v>11</v>
      </c>
      <c r="G2137">
        <v>2915</v>
      </c>
      <c r="H2137">
        <v>2915</v>
      </c>
      <c r="I2137" s="2"/>
      <c r="J2137" s="2">
        <v>45755</v>
      </c>
      <c r="K2137" s="2">
        <v>45789</v>
      </c>
    </row>
    <row r="2138" spans="1:11" x14ac:dyDescent="0.25">
      <c r="A2138" s="1" t="s">
        <v>414</v>
      </c>
      <c r="B2138" s="1" t="s">
        <v>1487</v>
      </c>
      <c r="C2138" s="1" t="s">
        <v>2424</v>
      </c>
      <c r="D2138" s="1" t="s">
        <v>1998</v>
      </c>
      <c r="E2138" s="1"/>
      <c r="F2138" s="1" t="s">
        <v>11</v>
      </c>
      <c r="G2138">
        <v>210</v>
      </c>
      <c r="H2138">
        <v>210</v>
      </c>
      <c r="I2138" s="2"/>
      <c r="J2138" s="2">
        <v>45755</v>
      </c>
      <c r="K2138" s="2">
        <v>45789</v>
      </c>
    </row>
    <row r="2139" spans="1:11" x14ac:dyDescent="0.25">
      <c r="A2139" s="1" t="s">
        <v>414</v>
      </c>
      <c r="B2139" s="1" t="s">
        <v>1470</v>
      </c>
      <c r="C2139" s="1" t="s">
        <v>2407</v>
      </c>
      <c r="D2139" s="1" t="s">
        <v>1998</v>
      </c>
      <c r="E2139" s="1"/>
      <c r="F2139" s="1" t="s">
        <v>11</v>
      </c>
      <c r="G2139">
        <v>20</v>
      </c>
      <c r="H2139">
        <v>20</v>
      </c>
      <c r="I2139" s="2"/>
      <c r="J2139" s="2">
        <v>45755</v>
      </c>
      <c r="K2139" s="2">
        <v>45789</v>
      </c>
    </row>
    <row r="2140" spans="1:11" x14ac:dyDescent="0.25">
      <c r="A2140" s="1" t="s">
        <v>414</v>
      </c>
      <c r="B2140" s="1" t="s">
        <v>1488</v>
      </c>
      <c r="C2140" s="1" t="s">
        <v>2425</v>
      </c>
      <c r="D2140" s="1" t="s">
        <v>1998</v>
      </c>
      <c r="E2140" s="1"/>
      <c r="F2140" s="1" t="s">
        <v>11</v>
      </c>
      <c r="G2140">
        <v>120</v>
      </c>
      <c r="H2140">
        <v>120</v>
      </c>
      <c r="I2140" s="2"/>
      <c r="J2140" s="2">
        <v>45755</v>
      </c>
      <c r="K2140" s="2">
        <v>45789</v>
      </c>
    </row>
    <row r="2141" spans="1:11" x14ac:dyDescent="0.25">
      <c r="A2141" s="1" t="s">
        <v>414</v>
      </c>
      <c r="B2141" s="1" t="s">
        <v>1472</v>
      </c>
      <c r="C2141" s="1" t="s">
        <v>2409</v>
      </c>
      <c r="D2141" s="1" t="s">
        <v>1998</v>
      </c>
      <c r="E2141" s="1"/>
      <c r="F2141" s="1" t="s">
        <v>11</v>
      </c>
      <c r="G2141">
        <v>5</v>
      </c>
      <c r="H2141">
        <v>5</v>
      </c>
      <c r="I2141" s="2"/>
      <c r="J2141" s="2">
        <v>45755</v>
      </c>
      <c r="K2141" s="2">
        <v>45789</v>
      </c>
    </row>
    <row r="2142" spans="1:11" x14ac:dyDescent="0.25">
      <c r="A2142" s="1" t="s">
        <v>414</v>
      </c>
      <c r="B2142" s="1" t="s">
        <v>1489</v>
      </c>
      <c r="C2142" s="1" t="s">
        <v>2426</v>
      </c>
      <c r="D2142" s="1" t="s">
        <v>1998</v>
      </c>
      <c r="E2142" s="1"/>
      <c r="F2142" s="1" t="s">
        <v>11</v>
      </c>
      <c r="G2142">
        <v>1</v>
      </c>
      <c r="H2142">
        <v>1</v>
      </c>
      <c r="I2142" s="2"/>
      <c r="J2142" s="2">
        <v>45755</v>
      </c>
      <c r="K2142" s="2">
        <v>45789</v>
      </c>
    </row>
    <row r="2143" spans="1:11" x14ac:dyDescent="0.25">
      <c r="A2143" s="1" t="s">
        <v>414</v>
      </c>
      <c r="B2143" s="1" t="s">
        <v>1490</v>
      </c>
      <c r="C2143" s="1" t="s">
        <v>2427</v>
      </c>
      <c r="D2143" s="1" t="s">
        <v>1998</v>
      </c>
      <c r="E2143" s="1"/>
      <c r="F2143" s="1" t="s">
        <v>11</v>
      </c>
      <c r="G2143">
        <v>1</v>
      </c>
      <c r="H2143">
        <v>1</v>
      </c>
      <c r="I2143" s="2"/>
      <c r="J2143" s="2">
        <v>45755</v>
      </c>
      <c r="K2143" s="2">
        <v>45789</v>
      </c>
    </row>
    <row r="2144" spans="1:11" x14ac:dyDescent="0.25">
      <c r="A2144" s="1" t="s">
        <v>414</v>
      </c>
      <c r="B2144" s="1" t="s">
        <v>1491</v>
      </c>
      <c r="C2144" s="1" t="s">
        <v>2428</v>
      </c>
      <c r="D2144" s="1" t="s">
        <v>1998</v>
      </c>
      <c r="E2144" s="1"/>
      <c r="F2144" s="1" t="s">
        <v>11</v>
      </c>
      <c r="G2144">
        <v>35</v>
      </c>
      <c r="H2144">
        <v>35</v>
      </c>
      <c r="I2144" s="2"/>
      <c r="J2144" s="2">
        <v>45755</v>
      </c>
      <c r="K2144" s="2">
        <v>45789</v>
      </c>
    </row>
    <row r="2145" spans="1:11" x14ac:dyDescent="0.25">
      <c r="A2145" s="1" t="s">
        <v>414</v>
      </c>
      <c r="B2145" s="1" t="s">
        <v>1492</v>
      </c>
      <c r="C2145" s="1" t="s">
        <v>2429</v>
      </c>
      <c r="D2145" s="1" t="s">
        <v>1998</v>
      </c>
      <c r="E2145" s="1"/>
      <c r="F2145" s="1" t="s">
        <v>11</v>
      </c>
      <c r="G2145">
        <v>5</v>
      </c>
      <c r="H2145">
        <v>5</v>
      </c>
      <c r="I2145" s="2"/>
      <c r="J2145" s="2">
        <v>45755</v>
      </c>
      <c r="K2145" s="2">
        <v>45789</v>
      </c>
    </row>
    <row r="2146" spans="1:11" x14ac:dyDescent="0.25">
      <c r="A2146" s="1" t="s">
        <v>414</v>
      </c>
      <c r="B2146" s="1" t="s">
        <v>1493</v>
      </c>
      <c r="C2146" s="1" t="s">
        <v>2429</v>
      </c>
      <c r="D2146" s="1" t="s">
        <v>1998</v>
      </c>
      <c r="E2146" s="1"/>
      <c r="F2146" s="1" t="s">
        <v>11</v>
      </c>
      <c r="G2146">
        <v>5</v>
      </c>
      <c r="H2146">
        <v>5</v>
      </c>
      <c r="I2146" s="2"/>
      <c r="J2146" s="2">
        <v>45755</v>
      </c>
      <c r="K2146" s="2">
        <v>45789</v>
      </c>
    </row>
    <row r="2147" spans="1:11" x14ac:dyDescent="0.25">
      <c r="A2147" s="1" t="s">
        <v>414</v>
      </c>
      <c r="B2147" s="1" t="s">
        <v>1494</v>
      </c>
      <c r="C2147" s="1" t="s">
        <v>2430</v>
      </c>
      <c r="D2147" s="1" t="s">
        <v>1998</v>
      </c>
      <c r="E2147" s="1"/>
      <c r="F2147" s="1" t="s">
        <v>11</v>
      </c>
      <c r="G2147">
        <v>1</v>
      </c>
      <c r="H2147">
        <v>1</v>
      </c>
      <c r="I2147" s="2"/>
      <c r="J2147" s="2">
        <v>45755</v>
      </c>
      <c r="K2147" s="2">
        <v>45789</v>
      </c>
    </row>
    <row r="2148" spans="1:11" x14ac:dyDescent="0.25">
      <c r="A2148" s="1" t="s">
        <v>414</v>
      </c>
      <c r="B2148" s="1" t="s">
        <v>1495</v>
      </c>
      <c r="C2148" s="1" t="s">
        <v>2431</v>
      </c>
      <c r="D2148" s="1" t="s">
        <v>1998</v>
      </c>
      <c r="E2148" s="1"/>
      <c r="F2148" s="1" t="s">
        <v>11</v>
      </c>
      <c r="G2148">
        <v>1</v>
      </c>
      <c r="H2148">
        <v>1</v>
      </c>
      <c r="I2148" s="2"/>
      <c r="J2148" s="2">
        <v>45755</v>
      </c>
      <c r="K2148" s="2">
        <v>45789</v>
      </c>
    </row>
    <row r="2149" spans="1:11" x14ac:dyDescent="0.25">
      <c r="A2149" s="1" t="s">
        <v>414</v>
      </c>
      <c r="B2149" s="1" t="s">
        <v>1496</v>
      </c>
      <c r="C2149" s="1" t="s">
        <v>2432</v>
      </c>
      <c r="D2149" s="1" t="s">
        <v>1998</v>
      </c>
      <c r="E2149" s="1"/>
      <c r="F2149" s="1" t="s">
        <v>11</v>
      </c>
      <c r="G2149">
        <v>1</v>
      </c>
      <c r="H2149">
        <v>1</v>
      </c>
      <c r="I2149" s="2"/>
      <c r="J2149" s="2">
        <v>45755</v>
      </c>
      <c r="K2149" s="2">
        <v>45789</v>
      </c>
    </row>
    <row r="2150" spans="1:11" x14ac:dyDescent="0.25">
      <c r="A2150" s="1" t="s">
        <v>414</v>
      </c>
      <c r="B2150" s="1" t="s">
        <v>1497</v>
      </c>
      <c r="C2150" s="1" t="s">
        <v>2432</v>
      </c>
      <c r="D2150" s="1" t="s">
        <v>1998</v>
      </c>
      <c r="E2150" s="1"/>
      <c r="F2150" s="1" t="s">
        <v>11</v>
      </c>
      <c r="G2150">
        <v>1</v>
      </c>
      <c r="H2150">
        <v>1</v>
      </c>
      <c r="I2150" s="2"/>
      <c r="J2150" s="2">
        <v>45755</v>
      </c>
      <c r="K2150" s="2">
        <v>45789</v>
      </c>
    </row>
    <row r="2151" spans="1:11" x14ac:dyDescent="0.25">
      <c r="A2151" s="1" t="s">
        <v>414</v>
      </c>
      <c r="B2151" s="1" t="s">
        <v>1027</v>
      </c>
      <c r="C2151" s="1" t="s">
        <v>2040</v>
      </c>
      <c r="D2151" s="1" t="s">
        <v>1998</v>
      </c>
      <c r="E2151" s="1"/>
      <c r="F2151" s="1" t="s">
        <v>11</v>
      </c>
      <c r="G2151">
        <v>30</v>
      </c>
      <c r="H2151">
        <v>30</v>
      </c>
      <c r="I2151" s="2"/>
      <c r="J2151" s="2">
        <v>45755</v>
      </c>
      <c r="K2151" s="2">
        <v>45789</v>
      </c>
    </row>
    <row r="2152" spans="1:11" x14ac:dyDescent="0.25">
      <c r="A2152" s="1" t="s">
        <v>414</v>
      </c>
      <c r="B2152" s="1" t="s">
        <v>1013</v>
      </c>
      <c r="C2152" s="1" t="s">
        <v>2030</v>
      </c>
      <c r="D2152" s="1" t="s">
        <v>1998</v>
      </c>
      <c r="E2152" s="1"/>
      <c r="F2152" s="1" t="s">
        <v>11</v>
      </c>
      <c r="G2152">
        <v>5</v>
      </c>
      <c r="H2152">
        <v>5</v>
      </c>
      <c r="I2152" s="2"/>
      <c r="J2152" s="2">
        <v>45755</v>
      </c>
      <c r="K2152" s="2">
        <v>45789</v>
      </c>
    </row>
    <row r="2153" spans="1:11" x14ac:dyDescent="0.25">
      <c r="A2153" s="1" t="s">
        <v>414</v>
      </c>
      <c r="B2153" s="1" t="s">
        <v>1498</v>
      </c>
      <c r="C2153" s="1" t="s">
        <v>2433</v>
      </c>
      <c r="D2153" s="1" t="s">
        <v>1998</v>
      </c>
      <c r="E2153" s="1"/>
      <c r="F2153" s="1" t="s">
        <v>11</v>
      </c>
      <c r="G2153">
        <v>1</v>
      </c>
      <c r="H2153">
        <v>1</v>
      </c>
      <c r="I2153" s="2"/>
      <c r="J2153" s="2">
        <v>45755</v>
      </c>
      <c r="K2153" s="2">
        <v>45789</v>
      </c>
    </row>
    <row r="2154" spans="1:11" x14ac:dyDescent="0.25">
      <c r="A2154" s="1" t="s">
        <v>414</v>
      </c>
      <c r="B2154" s="1" t="s">
        <v>1499</v>
      </c>
      <c r="C2154" s="1" t="s">
        <v>2433</v>
      </c>
      <c r="D2154" s="1" t="s">
        <v>1998</v>
      </c>
      <c r="E2154" s="1"/>
      <c r="F2154" s="1" t="s">
        <v>11</v>
      </c>
      <c r="G2154">
        <v>1</v>
      </c>
      <c r="H2154">
        <v>1</v>
      </c>
      <c r="I2154" s="2"/>
      <c r="J2154" s="2">
        <v>45755</v>
      </c>
      <c r="K2154" s="2">
        <v>45789</v>
      </c>
    </row>
    <row r="2155" spans="1:11" x14ac:dyDescent="0.25">
      <c r="A2155" s="1" t="s">
        <v>414</v>
      </c>
      <c r="B2155" s="1" t="s">
        <v>993</v>
      </c>
      <c r="C2155" s="1" t="s">
        <v>2011</v>
      </c>
      <c r="D2155" s="1" t="s">
        <v>1998</v>
      </c>
      <c r="E2155" s="1"/>
      <c r="F2155" s="1" t="s">
        <v>11</v>
      </c>
      <c r="G2155">
        <v>1</v>
      </c>
      <c r="H2155">
        <v>1</v>
      </c>
      <c r="I2155" s="2"/>
      <c r="J2155" s="2">
        <v>45755</v>
      </c>
      <c r="K2155" s="2">
        <v>45789</v>
      </c>
    </row>
    <row r="2156" spans="1:11" x14ac:dyDescent="0.25">
      <c r="A2156" s="1" t="s">
        <v>414</v>
      </c>
      <c r="B2156" s="1" t="s">
        <v>993</v>
      </c>
      <c r="C2156" s="1" t="s">
        <v>2011</v>
      </c>
      <c r="D2156" s="1" t="s">
        <v>1998</v>
      </c>
      <c r="E2156" s="1"/>
      <c r="F2156" s="1" t="s">
        <v>11</v>
      </c>
      <c r="G2156">
        <v>5</v>
      </c>
      <c r="H2156">
        <v>5</v>
      </c>
      <c r="I2156" s="2"/>
      <c r="J2156" s="2">
        <v>45755</v>
      </c>
      <c r="K2156" s="2">
        <v>45789</v>
      </c>
    </row>
    <row r="2157" spans="1:11" x14ac:dyDescent="0.25">
      <c r="A2157" s="1" t="s">
        <v>414</v>
      </c>
      <c r="B2157" s="1" t="s">
        <v>993</v>
      </c>
      <c r="C2157" s="1" t="s">
        <v>2011</v>
      </c>
      <c r="D2157" s="1" t="s">
        <v>1998</v>
      </c>
      <c r="E2157" s="1"/>
      <c r="F2157" s="1" t="s">
        <v>11</v>
      </c>
      <c r="G2157">
        <v>1</v>
      </c>
      <c r="H2157">
        <v>1</v>
      </c>
      <c r="I2157" s="2"/>
      <c r="J2157" s="2">
        <v>45755</v>
      </c>
      <c r="K2157" s="2">
        <v>45789</v>
      </c>
    </row>
    <row r="2158" spans="1:11" x14ac:dyDescent="0.25">
      <c r="A2158" s="1" t="s">
        <v>414</v>
      </c>
      <c r="B2158" s="1" t="s">
        <v>1473</v>
      </c>
      <c r="C2158" s="1" t="s">
        <v>2410</v>
      </c>
      <c r="D2158" s="1" t="s">
        <v>1998</v>
      </c>
      <c r="E2158" s="1"/>
      <c r="F2158" s="1" t="s">
        <v>11</v>
      </c>
      <c r="G2158">
        <v>1</v>
      </c>
      <c r="H2158">
        <v>1</v>
      </c>
      <c r="I2158" s="2"/>
      <c r="J2158" s="2">
        <v>45755</v>
      </c>
      <c r="K2158" s="2">
        <v>45789</v>
      </c>
    </row>
    <row r="2159" spans="1:11" x14ac:dyDescent="0.25">
      <c r="A2159" s="1" t="s">
        <v>414</v>
      </c>
      <c r="B2159" s="1" t="s">
        <v>1275</v>
      </c>
      <c r="C2159" s="1" t="s">
        <v>2252</v>
      </c>
      <c r="D2159" s="1" t="s">
        <v>1998</v>
      </c>
      <c r="E2159" s="1"/>
      <c r="F2159" s="1" t="s">
        <v>11</v>
      </c>
      <c r="G2159">
        <v>15</v>
      </c>
      <c r="H2159">
        <v>20</v>
      </c>
      <c r="I2159" s="2"/>
      <c r="J2159" s="2">
        <v>45755</v>
      </c>
      <c r="K2159" s="2">
        <v>45789</v>
      </c>
    </row>
    <row r="2160" spans="1:11" x14ac:dyDescent="0.25">
      <c r="A2160" s="1" t="s">
        <v>414</v>
      </c>
      <c r="B2160" s="1" t="s">
        <v>1474</v>
      </c>
      <c r="C2160" s="1" t="s">
        <v>2411</v>
      </c>
      <c r="D2160" s="1" t="s">
        <v>1998</v>
      </c>
      <c r="E2160" s="1"/>
      <c r="F2160" s="1" t="s">
        <v>11</v>
      </c>
      <c r="G2160">
        <v>1</v>
      </c>
      <c r="H2160">
        <v>1</v>
      </c>
      <c r="I2160" s="2"/>
      <c r="J2160" s="2">
        <v>45755</v>
      </c>
      <c r="K2160" s="2">
        <v>45789</v>
      </c>
    </row>
    <row r="2161" spans="1:11" x14ac:dyDescent="0.25">
      <c r="A2161" s="1" t="s">
        <v>414</v>
      </c>
      <c r="B2161" s="1" t="s">
        <v>1475</v>
      </c>
      <c r="C2161" s="1" t="s">
        <v>2412</v>
      </c>
      <c r="D2161" s="1" t="s">
        <v>1998</v>
      </c>
      <c r="E2161" s="1"/>
      <c r="F2161" s="1" t="s">
        <v>11</v>
      </c>
      <c r="G2161">
        <v>1</v>
      </c>
      <c r="H2161">
        <v>1</v>
      </c>
      <c r="I2161" s="2"/>
      <c r="J2161" s="2">
        <v>45755</v>
      </c>
      <c r="K2161" s="2">
        <v>45789</v>
      </c>
    </row>
    <row r="2162" spans="1:11" x14ac:dyDescent="0.25">
      <c r="A2162" s="1" t="s">
        <v>414</v>
      </c>
      <c r="B2162" s="1" t="s">
        <v>1500</v>
      </c>
      <c r="C2162" s="1" t="s">
        <v>2434</v>
      </c>
      <c r="D2162" s="1" t="s">
        <v>1998</v>
      </c>
      <c r="E2162" s="1"/>
      <c r="F2162" s="1" t="s">
        <v>11</v>
      </c>
      <c r="G2162">
        <v>80</v>
      </c>
      <c r="H2162">
        <v>80</v>
      </c>
      <c r="I2162" s="2"/>
      <c r="J2162" s="2">
        <v>45755</v>
      </c>
      <c r="K2162" s="2">
        <v>45789</v>
      </c>
    </row>
    <row r="2163" spans="1:11" x14ac:dyDescent="0.25">
      <c r="A2163" s="1" t="s">
        <v>415</v>
      </c>
      <c r="B2163" s="1" t="s">
        <v>1016</v>
      </c>
      <c r="C2163" s="1" t="s">
        <v>2033</v>
      </c>
      <c r="D2163" s="1" t="s">
        <v>1998</v>
      </c>
      <c r="E2163" s="1"/>
      <c r="F2163" s="1" t="s">
        <v>11</v>
      </c>
      <c r="G2163">
        <v>75</v>
      </c>
      <c r="H2163">
        <v>50</v>
      </c>
      <c r="I2163" s="2"/>
      <c r="J2163" s="2">
        <v>45737</v>
      </c>
      <c r="K2163" s="2">
        <v>45769</v>
      </c>
    </row>
    <row r="2164" spans="1:11" x14ac:dyDescent="0.25">
      <c r="A2164" s="1" t="s">
        <v>415</v>
      </c>
      <c r="B2164" s="1" t="s">
        <v>1017</v>
      </c>
      <c r="C2164" s="1" t="s">
        <v>2034</v>
      </c>
      <c r="D2164" s="1" t="s">
        <v>1998</v>
      </c>
      <c r="E2164" s="1"/>
      <c r="F2164" s="1" t="s">
        <v>11</v>
      </c>
      <c r="G2164">
        <v>200</v>
      </c>
      <c r="H2164">
        <v>200</v>
      </c>
      <c r="I2164" s="2"/>
      <c r="J2164" s="2">
        <v>45737</v>
      </c>
      <c r="K2164" s="2">
        <v>45769</v>
      </c>
    </row>
    <row r="2165" spans="1:11" x14ac:dyDescent="0.25">
      <c r="A2165" s="1" t="s">
        <v>415</v>
      </c>
      <c r="B2165" s="1" t="s">
        <v>1018</v>
      </c>
      <c r="C2165" s="1" t="s">
        <v>2035</v>
      </c>
      <c r="D2165" s="1" t="s">
        <v>1998</v>
      </c>
      <c r="E2165" s="1"/>
      <c r="F2165" s="1" t="s">
        <v>11</v>
      </c>
      <c r="G2165">
        <v>885</v>
      </c>
      <c r="H2165">
        <v>610</v>
      </c>
      <c r="I2165" s="2"/>
      <c r="J2165" s="2">
        <v>45737</v>
      </c>
      <c r="K2165" s="2">
        <v>45769</v>
      </c>
    </row>
    <row r="2166" spans="1:11" x14ac:dyDescent="0.25">
      <c r="A2166" s="1" t="s">
        <v>415</v>
      </c>
      <c r="B2166" s="1" t="s">
        <v>999</v>
      </c>
      <c r="C2166" s="1" t="s">
        <v>2017</v>
      </c>
      <c r="D2166" s="1" t="s">
        <v>1998</v>
      </c>
      <c r="E2166" s="1"/>
      <c r="F2166" s="1" t="s">
        <v>11</v>
      </c>
      <c r="G2166">
        <v>1</v>
      </c>
      <c r="H2166">
        <v>1</v>
      </c>
      <c r="I2166" s="2"/>
      <c r="J2166" s="2">
        <v>45737</v>
      </c>
      <c r="K2166" s="2">
        <v>45769</v>
      </c>
    </row>
    <row r="2167" spans="1:11" x14ac:dyDescent="0.25">
      <c r="A2167" s="1" t="s">
        <v>415</v>
      </c>
      <c r="B2167" s="1" t="s">
        <v>1000</v>
      </c>
      <c r="C2167" s="1" t="s">
        <v>2018</v>
      </c>
      <c r="D2167" s="1" t="s">
        <v>1998</v>
      </c>
      <c r="E2167" s="1"/>
      <c r="F2167" s="1" t="s">
        <v>11</v>
      </c>
      <c r="G2167">
        <v>5</v>
      </c>
      <c r="H2167">
        <v>5</v>
      </c>
      <c r="I2167" s="2"/>
      <c r="J2167" s="2">
        <v>45737</v>
      </c>
      <c r="K2167" s="2">
        <v>45769</v>
      </c>
    </row>
    <row r="2168" spans="1:11" x14ac:dyDescent="0.25">
      <c r="A2168" s="1" t="s">
        <v>415</v>
      </c>
      <c r="B2168" s="1" t="s">
        <v>1001</v>
      </c>
      <c r="C2168" s="1" t="s">
        <v>2019</v>
      </c>
      <c r="D2168" s="1" t="s">
        <v>1998</v>
      </c>
      <c r="E2168" s="1"/>
      <c r="F2168" s="1" t="s">
        <v>11</v>
      </c>
      <c r="G2168">
        <v>5</v>
      </c>
      <c r="H2168">
        <v>5</v>
      </c>
      <c r="I2168" s="2"/>
      <c r="J2168" s="2">
        <v>45737</v>
      </c>
      <c r="K2168" s="2">
        <v>45769</v>
      </c>
    </row>
    <row r="2169" spans="1:11" x14ac:dyDescent="0.25">
      <c r="A2169" s="1" t="s">
        <v>415</v>
      </c>
      <c r="B2169" s="1" t="s">
        <v>1019</v>
      </c>
      <c r="C2169" s="1" t="s">
        <v>2036</v>
      </c>
      <c r="D2169" s="1" t="s">
        <v>1998</v>
      </c>
      <c r="E2169" s="1"/>
      <c r="F2169" s="1" t="s">
        <v>11</v>
      </c>
      <c r="G2169">
        <v>3135</v>
      </c>
      <c r="H2169">
        <v>3135</v>
      </c>
      <c r="I2169" s="2"/>
      <c r="J2169" s="2">
        <v>45737</v>
      </c>
      <c r="K2169" s="2">
        <v>45769</v>
      </c>
    </row>
    <row r="2170" spans="1:11" x14ac:dyDescent="0.25">
      <c r="A2170" s="1" t="s">
        <v>415</v>
      </c>
      <c r="B2170" s="1" t="s">
        <v>1020</v>
      </c>
      <c r="C2170" s="1" t="s">
        <v>2037</v>
      </c>
      <c r="D2170" s="1" t="s">
        <v>1998</v>
      </c>
      <c r="E2170" s="1"/>
      <c r="F2170" s="1" t="s">
        <v>11</v>
      </c>
      <c r="G2170">
        <v>8375</v>
      </c>
      <c r="H2170">
        <v>8375</v>
      </c>
      <c r="I2170" s="2"/>
      <c r="J2170" s="2">
        <v>45737</v>
      </c>
      <c r="K2170" s="2">
        <v>45769</v>
      </c>
    </row>
    <row r="2171" spans="1:11" x14ac:dyDescent="0.25">
      <c r="A2171" s="1" t="s">
        <v>416</v>
      </c>
      <c r="B2171" s="1" t="s">
        <v>1016</v>
      </c>
      <c r="C2171" s="1" t="s">
        <v>2033</v>
      </c>
      <c r="D2171" s="1" t="s">
        <v>1998</v>
      </c>
      <c r="E2171" s="1"/>
      <c r="F2171" s="1" t="s">
        <v>11</v>
      </c>
      <c r="G2171">
        <v>75</v>
      </c>
      <c r="H2171">
        <v>35</v>
      </c>
      <c r="I2171" s="2"/>
      <c r="J2171" s="2">
        <v>45737</v>
      </c>
      <c r="K2171" s="2">
        <v>45770</v>
      </c>
    </row>
    <row r="2172" spans="1:11" x14ac:dyDescent="0.25">
      <c r="A2172" s="1" t="s">
        <v>416</v>
      </c>
      <c r="B2172" s="1" t="s">
        <v>1017</v>
      </c>
      <c r="C2172" s="1" t="s">
        <v>2034</v>
      </c>
      <c r="D2172" s="1" t="s">
        <v>1998</v>
      </c>
      <c r="E2172" s="1"/>
      <c r="F2172" s="1" t="s">
        <v>11</v>
      </c>
      <c r="G2172">
        <v>200</v>
      </c>
      <c r="H2172">
        <v>200</v>
      </c>
      <c r="I2172" s="2"/>
      <c r="J2172" s="2">
        <v>45737</v>
      </c>
      <c r="K2172" s="2">
        <v>45770</v>
      </c>
    </row>
    <row r="2173" spans="1:11" x14ac:dyDescent="0.25">
      <c r="A2173" s="1" t="s">
        <v>416</v>
      </c>
      <c r="B2173" s="1" t="s">
        <v>1017</v>
      </c>
      <c r="C2173" s="1" t="s">
        <v>2034</v>
      </c>
      <c r="D2173" s="1" t="s">
        <v>1998</v>
      </c>
      <c r="E2173" s="1"/>
      <c r="F2173" s="1" t="s">
        <v>11</v>
      </c>
      <c r="G2173">
        <v>200</v>
      </c>
      <c r="H2173">
        <v>200</v>
      </c>
      <c r="I2173" s="2"/>
      <c r="J2173" s="2">
        <v>45737</v>
      </c>
      <c r="K2173" s="2">
        <v>45770</v>
      </c>
    </row>
    <row r="2174" spans="1:11" x14ac:dyDescent="0.25">
      <c r="A2174" s="1" t="s">
        <v>416</v>
      </c>
      <c r="B2174" s="1" t="s">
        <v>1018</v>
      </c>
      <c r="C2174" s="1" t="s">
        <v>2035</v>
      </c>
      <c r="D2174" s="1" t="s">
        <v>1998</v>
      </c>
      <c r="E2174" s="1"/>
      <c r="F2174" s="1" t="s">
        <v>11</v>
      </c>
      <c r="G2174">
        <v>885</v>
      </c>
      <c r="H2174">
        <v>515</v>
      </c>
      <c r="I2174" s="2"/>
      <c r="J2174" s="2">
        <v>45737</v>
      </c>
      <c r="K2174" s="2">
        <v>45770</v>
      </c>
    </row>
    <row r="2175" spans="1:11" x14ac:dyDescent="0.25">
      <c r="A2175" s="1" t="s">
        <v>416</v>
      </c>
      <c r="B2175" s="1" t="s">
        <v>999</v>
      </c>
      <c r="C2175" s="1" t="s">
        <v>2017</v>
      </c>
      <c r="D2175" s="1" t="s">
        <v>1998</v>
      </c>
      <c r="E2175" s="1"/>
      <c r="F2175" s="1" t="s">
        <v>11</v>
      </c>
      <c r="G2175">
        <v>1</v>
      </c>
      <c r="H2175">
        <v>1</v>
      </c>
      <c r="I2175" s="2"/>
      <c r="J2175" s="2">
        <v>45737</v>
      </c>
      <c r="K2175" s="2">
        <v>45770</v>
      </c>
    </row>
    <row r="2176" spans="1:11" x14ac:dyDescent="0.25">
      <c r="A2176" s="1" t="s">
        <v>416</v>
      </c>
      <c r="B2176" s="1" t="s">
        <v>1000</v>
      </c>
      <c r="C2176" s="1" t="s">
        <v>2018</v>
      </c>
      <c r="D2176" s="1" t="s">
        <v>1998</v>
      </c>
      <c r="E2176" s="1"/>
      <c r="F2176" s="1" t="s">
        <v>11</v>
      </c>
      <c r="G2176">
        <v>5</v>
      </c>
      <c r="H2176">
        <v>5</v>
      </c>
      <c r="I2176" s="2"/>
      <c r="J2176" s="2">
        <v>45737</v>
      </c>
      <c r="K2176" s="2">
        <v>45770</v>
      </c>
    </row>
    <row r="2177" spans="1:11" x14ac:dyDescent="0.25">
      <c r="A2177" s="1" t="s">
        <v>416</v>
      </c>
      <c r="B2177" s="1" t="s">
        <v>1001</v>
      </c>
      <c r="C2177" s="1" t="s">
        <v>2019</v>
      </c>
      <c r="D2177" s="1" t="s">
        <v>1998</v>
      </c>
      <c r="E2177" s="1"/>
      <c r="F2177" s="1" t="s">
        <v>11</v>
      </c>
      <c r="G2177">
        <v>5</v>
      </c>
      <c r="H2177">
        <v>5</v>
      </c>
      <c r="I2177" s="2"/>
      <c r="J2177" s="2">
        <v>45737</v>
      </c>
      <c r="K2177" s="2">
        <v>45770</v>
      </c>
    </row>
    <row r="2178" spans="1:11" x14ac:dyDescent="0.25">
      <c r="A2178" s="1" t="s">
        <v>416</v>
      </c>
      <c r="B2178" s="1" t="s">
        <v>1019</v>
      </c>
      <c r="C2178" s="1" t="s">
        <v>2036</v>
      </c>
      <c r="D2178" s="1" t="s">
        <v>1998</v>
      </c>
      <c r="E2178" s="1"/>
      <c r="F2178" s="1" t="s">
        <v>11</v>
      </c>
      <c r="G2178">
        <v>3135</v>
      </c>
      <c r="H2178">
        <v>3135</v>
      </c>
      <c r="I2178" s="2"/>
      <c r="J2178" s="2">
        <v>45737</v>
      </c>
      <c r="K2178" s="2">
        <v>45770</v>
      </c>
    </row>
    <row r="2179" spans="1:11" x14ac:dyDescent="0.25">
      <c r="A2179" s="1" t="s">
        <v>416</v>
      </c>
      <c r="B2179" s="1" t="s">
        <v>1020</v>
      </c>
      <c r="C2179" s="1" t="s">
        <v>2037</v>
      </c>
      <c r="D2179" s="1" t="s">
        <v>1998</v>
      </c>
      <c r="E2179" s="1"/>
      <c r="F2179" s="1" t="s">
        <v>11</v>
      </c>
      <c r="G2179">
        <v>8375</v>
      </c>
      <c r="H2179">
        <v>8375</v>
      </c>
      <c r="I2179" s="2"/>
      <c r="J2179" s="2">
        <v>45737</v>
      </c>
      <c r="K2179" s="2">
        <v>45770</v>
      </c>
    </row>
    <row r="2180" spans="1:11" x14ac:dyDescent="0.25">
      <c r="A2180" s="1" t="s">
        <v>417</v>
      </c>
      <c r="B2180" s="1" t="s">
        <v>1433</v>
      </c>
      <c r="C2180" s="1" t="s">
        <v>2374</v>
      </c>
      <c r="D2180" s="1" t="s">
        <v>1998</v>
      </c>
      <c r="E2180" s="1"/>
      <c r="F2180" s="1" t="s">
        <v>11</v>
      </c>
      <c r="G2180">
        <v>630</v>
      </c>
      <c r="H2180">
        <v>590</v>
      </c>
      <c r="I2180" s="2"/>
      <c r="J2180" s="2">
        <v>45737</v>
      </c>
      <c r="K2180" s="2">
        <v>45743</v>
      </c>
    </row>
    <row r="2181" spans="1:11" x14ac:dyDescent="0.25">
      <c r="A2181" s="1" t="s">
        <v>417</v>
      </c>
      <c r="B2181" s="1" t="s">
        <v>1246</v>
      </c>
      <c r="C2181" s="1" t="s">
        <v>2228</v>
      </c>
      <c r="D2181" s="1" t="s">
        <v>1998</v>
      </c>
      <c r="E2181" s="1"/>
      <c r="F2181" s="1" t="s">
        <v>11</v>
      </c>
      <c r="G2181">
        <v>65</v>
      </c>
      <c r="H2181">
        <v>65</v>
      </c>
      <c r="I2181" s="2"/>
      <c r="J2181" s="2">
        <v>45737</v>
      </c>
      <c r="K2181" s="2">
        <v>45743</v>
      </c>
    </row>
    <row r="2182" spans="1:11" x14ac:dyDescent="0.25">
      <c r="A2182" s="1" t="s">
        <v>418</v>
      </c>
      <c r="B2182" s="1" t="s">
        <v>1501</v>
      </c>
      <c r="C2182" s="1" t="s">
        <v>2435</v>
      </c>
      <c r="D2182" s="1" t="s">
        <v>1998</v>
      </c>
      <c r="E2182" s="1"/>
      <c r="F2182" s="1" t="s">
        <v>11</v>
      </c>
      <c r="G2182">
        <v>220</v>
      </c>
      <c r="H2182">
        <v>50</v>
      </c>
      <c r="I2182" s="2"/>
      <c r="J2182" s="2">
        <v>45737</v>
      </c>
      <c r="K2182" s="2">
        <v>45748</v>
      </c>
    </row>
    <row r="2183" spans="1:11" x14ac:dyDescent="0.25">
      <c r="A2183" s="1" t="s">
        <v>418</v>
      </c>
      <c r="B2183" s="1" t="s">
        <v>1501</v>
      </c>
      <c r="C2183" s="1" t="s">
        <v>2435</v>
      </c>
      <c r="D2183" s="1" t="s">
        <v>1998</v>
      </c>
      <c r="E2183" s="1"/>
      <c r="F2183" s="1" t="s">
        <v>12</v>
      </c>
      <c r="G2183">
        <v>1</v>
      </c>
      <c r="H2183">
        <v>25</v>
      </c>
      <c r="I2183" s="2"/>
      <c r="J2183" s="2">
        <v>45737</v>
      </c>
      <c r="K2183" s="2">
        <v>45748</v>
      </c>
    </row>
    <row r="2184" spans="1:11" x14ac:dyDescent="0.25">
      <c r="A2184" s="1" t="s">
        <v>418</v>
      </c>
      <c r="B2184" s="1" t="s">
        <v>1502</v>
      </c>
      <c r="C2184" s="1" t="s">
        <v>2436</v>
      </c>
      <c r="D2184" s="1" t="s">
        <v>1998</v>
      </c>
      <c r="E2184" s="1"/>
      <c r="F2184" s="1" t="s">
        <v>12</v>
      </c>
      <c r="G2184">
        <v>1</v>
      </c>
      <c r="H2184">
        <v>115</v>
      </c>
      <c r="I2184" s="2"/>
      <c r="J2184" s="2">
        <v>45737</v>
      </c>
      <c r="K2184" s="2">
        <v>45748</v>
      </c>
    </row>
    <row r="2185" spans="1:11" x14ac:dyDescent="0.25">
      <c r="A2185" s="1" t="s">
        <v>418</v>
      </c>
      <c r="B2185" s="1" t="s">
        <v>1503</v>
      </c>
      <c r="C2185" s="1" t="s">
        <v>2437</v>
      </c>
      <c r="D2185" s="1" t="s">
        <v>1998</v>
      </c>
      <c r="E2185" s="1"/>
      <c r="F2185" s="1" t="s">
        <v>11</v>
      </c>
      <c r="G2185">
        <v>1</v>
      </c>
      <c r="H2185">
        <v>1</v>
      </c>
      <c r="I2185" s="2"/>
      <c r="J2185" s="2">
        <v>45737</v>
      </c>
      <c r="K2185" s="2">
        <v>45748</v>
      </c>
    </row>
    <row r="2186" spans="1:11" x14ac:dyDescent="0.25">
      <c r="A2186" s="1" t="s">
        <v>418</v>
      </c>
      <c r="B2186" s="1" t="s">
        <v>1280</v>
      </c>
      <c r="C2186" s="1" t="s">
        <v>2257</v>
      </c>
      <c r="D2186" s="1" t="s">
        <v>1998</v>
      </c>
      <c r="E2186" s="1"/>
      <c r="F2186" s="1" t="s">
        <v>11</v>
      </c>
      <c r="G2186">
        <v>5</v>
      </c>
      <c r="H2186">
        <v>5</v>
      </c>
      <c r="I2186" s="2"/>
      <c r="J2186" s="2">
        <v>45737</v>
      </c>
      <c r="K2186" s="2">
        <v>45748</v>
      </c>
    </row>
    <row r="2187" spans="1:11" x14ac:dyDescent="0.25">
      <c r="A2187" s="1" t="s">
        <v>419</v>
      </c>
      <c r="B2187" s="1" t="s">
        <v>995</v>
      </c>
      <c r="C2187" s="1" t="s">
        <v>2013</v>
      </c>
      <c r="D2187" s="1" t="s">
        <v>1998</v>
      </c>
      <c r="E2187" s="1"/>
      <c r="F2187" s="1" t="s">
        <v>11</v>
      </c>
      <c r="G2187">
        <v>1</v>
      </c>
      <c r="H2187">
        <v>1</v>
      </c>
      <c r="I2187" s="2"/>
      <c r="J2187" s="2">
        <v>45740</v>
      </c>
      <c r="K2187" s="2">
        <v>45771</v>
      </c>
    </row>
    <row r="2188" spans="1:11" x14ac:dyDescent="0.25">
      <c r="A2188" s="1" t="s">
        <v>419</v>
      </c>
      <c r="B2188" s="1" t="s">
        <v>1504</v>
      </c>
      <c r="C2188" s="1" t="s">
        <v>2438</v>
      </c>
      <c r="D2188" s="1" t="s">
        <v>1998</v>
      </c>
      <c r="E2188" s="1"/>
      <c r="F2188" s="1" t="s">
        <v>11</v>
      </c>
      <c r="G2188">
        <v>120</v>
      </c>
      <c r="H2188">
        <v>120</v>
      </c>
      <c r="I2188" s="2"/>
      <c r="J2188" s="2">
        <v>45740</v>
      </c>
      <c r="K2188" s="2">
        <v>45771</v>
      </c>
    </row>
    <row r="2189" spans="1:11" x14ac:dyDescent="0.25">
      <c r="A2189" s="1" t="s">
        <v>419</v>
      </c>
      <c r="B2189" s="1" t="s">
        <v>1505</v>
      </c>
      <c r="C2189" s="1" t="s">
        <v>2439</v>
      </c>
      <c r="D2189" s="1" t="s">
        <v>1998</v>
      </c>
      <c r="E2189" s="1"/>
      <c r="F2189" s="1" t="s">
        <v>11</v>
      </c>
      <c r="G2189">
        <v>540</v>
      </c>
      <c r="H2189">
        <v>540</v>
      </c>
      <c r="I2189" s="2"/>
      <c r="J2189" s="2">
        <v>45740</v>
      </c>
      <c r="K2189" s="2">
        <v>45771</v>
      </c>
    </row>
    <row r="2190" spans="1:11" x14ac:dyDescent="0.25">
      <c r="A2190" s="1" t="s">
        <v>419</v>
      </c>
      <c r="B2190" s="1" t="s">
        <v>1506</v>
      </c>
      <c r="C2190" s="1" t="s">
        <v>2440</v>
      </c>
      <c r="D2190" s="1" t="s">
        <v>1998</v>
      </c>
      <c r="E2190" s="1"/>
      <c r="F2190" s="1" t="s">
        <v>11</v>
      </c>
      <c r="G2190">
        <v>10</v>
      </c>
      <c r="H2190">
        <v>10</v>
      </c>
      <c r="I2190" s="2"/>
      <c r="J2190" s="2">
        <v>45740</v>
      </c>
      <c r="K2190" s="2">
        <v>45771</v>
      </c>
    </row>
    <row r="2191" spans="1:11" x14ac:dyDescent="0.25">
      <c r="A2191" s="1" t="s">
        <v>419</v>
      </c>
      <c r="B2191" s="1" t="s">
        <v>1507</v>
      </c>
      <c r="C2191" s="1" t="s">
        <v>2441</v>
      </c>
      <c r="D2191" s="1" t="s">
        <v>1998</v>
      </c>
      <c r="E2191" s="1"/>
      <c r="F2191" s="1" t="s">
        <v>11</v>
      </c>
      <c r="G2191">
        <v>1</v>
      </c>
      <c r="H2191">
        <v>1</v>
      </c>
      <c r="I2191" s="2"/>
      <c r="J2191" s="2">
        <v>45740</v>
      </c>
      <c r="K2191" s="2">
        <v>45771</v>
      </c>
    </row>
    <row r="2192" spans="1:11" x14ac:dyDescent="0.25">
      <c r="A2192" s="1" t="s">
        <v>419</v>
      </c>
      <c r="B2192" s="1" t="s">
        <v>1420</v>
      </c>
      <c r="C2192" s="1" t="s">
        <v>2362</v>
      </c>
      <c r="D2192" s="1" t="s">
        <v>1998</v>
      </c>
      <c r="E2192" s="1"/>
      <c r="F2192" s="1" t="s">
        <v>11</v>
      </c>
      <c r="G2192">
        <v>1</v>
      </c>
      <c r="H2192">
        <v>1</v>
      </c>
      <c r="I2192" s="2"/>
      <c r="J2192" s="2">
        <v>45740</v>
      </c>
      <c r="K2192" s="2">
        <v>45771</v>
      </c>
    </row>
    <row r="2193" spans="1:11" x14ac:dyDescent="0.25">
      <c r="A2193" s="1" t="s">
        <v>419</v>
      </c>
      <c r="B2193" s="1" t="s">
        <v>1421</v>
      </c>
      <c r="C2193" s="1" t="s">
        <v>2363</v>
      </c>
      <c r="D2193" s="1" t="s">
        <v>1998</v>
      </c>
      <c r="E2193" s="1"/>
      <c r="F2193" s="1" t="s">
        <v>11</v>
      </c>
      <c r="G2193">
        <v>1</v>
      </c>
      <c r="H2193">
        <v>1</v>
      </c>
      <c r="I2193" s="2"/>
      <c r="J2193" s="2">
        <v>45740</v>
      </c>
      <c r="K2193" s="2">
        <v>45771</v>
      </c>
    </row>
    <row r="2194" spans="1:11" x14ac:dyDescent="0.25">
      <c r="A2194" s="1" t="s">
        <v>419</v>
      </c>
      <c r="B2194" s="1" t="s">
        <v>1422</v>
      </c>
      <c r="C2194" s="1" t="s">
        <v>2364</v>
      </c>
      <c r="D2194" s="1" t="s">
        <v>1998</v>
      </c>
      <c r="E2194" s="1"/>
      <c r="F2194" s="1" t="s">
        <v>11</v>
      </c>
      <c r="G2194">
        <v>1</v>
      </c>
      <c r="H2194">
        <v>1</v>
      </c>
      <c r="I2194" s="2"/>
      <c r="J2194" s="2">
        <v>45740</v>
      </c>
      <c r="K2194" s="2">
        <v>45771</v>
      </c>
    </row>
    <row r="2195" spans="1:11" x14ac:dyDescent="0.25">
      <c r="A2195" s="1" t="s">
        <v>419</v>
      </c>
      <c r="B2195" s="1" t="s">
        <v>1423</v>
      </c>
      <c r="C2195" s="1" t="s">
        <v>2365</v>
      </c>
      <c r="D2195" s="1" t="s">
        <v>1998</v>
      </c>
      <c r="E2195" s="1"/>
      <c r="F2195" s="1" t="s">
        <v>11</v>
      </c>
      <c r="G2195">
        <v>1</v>
      </c>
      <c r="H2195">
        <v>1</v>
      </c>
      <c r="I2195" s="2"/>
      <c r="J2195" s="2">
        <v>45740</v>
      </c>
      <c r="K2195" s="2">
        <v>45771</v>
      </c>
    </row>
    <row r="2196" spans="1:11" x14ac:dyDescent="0.25">
      <c r="A2196" s="1" t="s">
        <v>419</v>
      </c>
      <c r="B2196" s="1" t="s">
        <v>1508</v>
      </c>
      <c r="C2196" s="1" t="s">
        <v>2442</v>
      </c>
      <c r="D2196" s="1" t="s">
        <v>1998</v>
      </c>
      <c r="E2196" s="1"/>
      <c r="F2196" s="1" t="s">
        <v>11</v>
      </c>
      <c r="G2196">
        <v>5</v>
      </c>
      <c r="H2196">
        <v>5</v>
      </c>
      <c r="I2196" s="2"/>
      <c r="J2196" s="2">
        <v>45740</v>
      </c>
      <c r="K2196" s="2">
        <v>45771</v>
      </c>
    </row>
    <row r="2197" spans="1:11" x14ac:dyDescent="0.25">
      <c r="A2197" s="1" t="s">
        <v>419</v>
      </c>
      <c r="B2197" s="1" t="s">
        <v>1509</v>
      </c>
      <c r="C2197" s="1" t="s">
        <v>2443</v>
      </c>
      <c r="D2197" s="1" t="s">
        <v>1998</v>
      </c>
      <c r="E2197" s="1"/>
      <c r="F2197" s="1" t="s">
        <v>11</v>
      </c>
      <c r="G2197">
        <v>1</v>
      </c>
      <c r="H2197">
        <v>1</v>
      </c>
      <c r="I2197" s="2"/>
      <c r="J2197" s="2">
        <v>45740</v>
      </c>
      <c r="K2197" s="2">
        <v>45771</v>
      </c>
    </row>
    <row r="2198" spans="1:11" x14ac:dyDescent="0.25">
      <c r="A2198" s="1" t="s">
        <v>419</v>
      </c>
      <c r="B2198" s="1" t="s">
        <v>999</v>
      </c>
      <c r="C2198" s="1" t="s">
        <v>2017</v>
      </c>
      <c r="D2198" s="1" t="s">
        <v>1998</v>
      </c>
      <c r="E2198" s="1"/>
      <c r="F2198" s="1" t="s">
        <v>11</v>
      </c>
      <c r="G2198">
        <v>1</v>
      </c>
      <c r="H2198">
        <v>1</v>
      </c>
      <c r="I2198" s="2"/>
      <c r="J2198" s="2">
        <v>45740</v>
      </c>
      <c r="K2198" s="2">
        <v>45771</v>
      </c>
    </row>
    <row r="2199" spans="1:11" x14ac:dyDescent="0.25">
      <c r="A2199" s="1" t="s">
        <v>419</v>
      </c>
      <c r="B2199" s="1" t="s">
        <v>1000</v>
      </c>
      <c r="C2199" s="1" t="s">
        <v>2018</v>
      </c>
      <c r="D2199" s="1" t="s">
        <v>1998</v>
      </c>
      <c r="E2199" s="1"/>
      <c r="F2199" s="1" t="s">
        <v>11</v>
      </c>
      <c r="G2199">
        <v>1</v>
      </c>
      <c r="H2199">
        <v>1</v>
      </c>
      <c r="I2199" s="2"/>
      <c r="J2199" s="2">
        <v>45740</v>
      </c>
      <c r="K2199" s="2">
        <v>45771</v>
      </c>
    </row>
    <row r="2200" spans="1:11" x14ac:dyDescent="0.25">
      <c r="A2200" s="1" t="s">
        <v>419</v>
      </c>
      <c r="B2200" s="1" t="s">
        <v>1001</v>
      </c>
      <c r="C2200" s="1" t="s">
        <v>2019</v>
      </c>
      <c r="D2200" s="1" t="s">
        <v>1998</v>
      </c>
      <c r="E2200" s="1"/>
      <c r="F2200" s="1" t="s">
        <v>11</v>
      </c>
      <c r="G2200">
        <v>1</v>
      </c>
      <c r="H2200">
        <v>1</v>
      </c>
      <c r="I2200" s="2"/>
      <c r="J2200" s="2">
        <v>45740</v>
      </c>
      <c r="K2200" s="2">
        <v>45771</v>
      </c>
    </row>
    <row r="2201" spans="1:11" x14ac:dyDescent="0.25">
      <c r="A2201" s="1" t="s">
        <v>420</v>
      </c>
      <c r="B2201" s="1" t="s">
        <v>1256</v>
      </c>
      <c r="C2201" s="1" t="s">
        <v>2014</v>
      </c>
      <c r="D2201" s="1" t="s">
        <v>1998</v>
      </c>
      <c r="E2201" s="1"/>
      <c r="F2201" s="1" t="s">
        <v>11</v>
      </c>
      <c r="G2201">
        <v>6090</v>
      </c>
      <c r="H2201">
        <v>6090</v>
      </c>
      <c r="I2201" s="2"/>
      <c r="J2201" s="2">
        <v>45740</v>
      </c>
      <c r="K2201" s="2">
        <v>45784</v>
      </c>
    </row>
    <row r="2202" spans="1:11" x14ac:dyDescent="0.25">
      <c r="A2202" s="1" t="s">
        <v>420</v>
      </c>
      <c r="B2202" s="1" t="s">
        <v>1341</v>
      </c>
      <c r="C2202" s="1" t="s">
        <v>2297</v>
      </c>
      <c r="D2202" s="1" t="s">
        <v>1998</v>
      </c>
      <c r="E2202" s="1"/>
      <c r="F2202" s="1" t="s">
        <v>11</v>
      </c>
      <c r="G2202">
        <v>2100</v>
      </c>
      <c r="H2202">
        <v>1765</v>
      </c>
      <c r="I2202" s="2"/>
      <c r="J2202" s="2">
        <v>45740</v>
      </c>
      <c r="K2202" s="2">
        <v>45784</v>
      </c>
    </row>
    <row r="2203" spans="1:11" x14ac:dyDescent="0.25">
      <c r="A2203" s="1" t="s">
        <v>421</v>
      </c>
      <c r="B2203" s="1" t="s">
        <v>1510</v>
      </c>
      <c r="C2203" s="1" t="s">
        <v>2444</v>
      </c>
      <c r="D2203" s="1" t="s">
        <v>1998</v>
      </c>
      <c r="E2203" s="1"/>
      <c r="F2203" s="1" t="s">
        <v>22</v>
      </c>
      <c r="G2203">
        <v>1505</v>
      </c>
      <c r="H2203">
        <v>1505</v>
      </c>
      <c r="I2203" s="2"/>
      <c r="J2203" s="2">
        <v>45740</v>
      </c>
      <c r="K2203" s="2">
        <v>45754</v>
      </c>
    </row>
    <row r="2204" spans="1:11" x14ac:dyDescent="0.25">
      <c r="A2204" s="1" t="s">
        <v>421</v>
      </c>
      <c r="B2204" s="1" t="s">
        <v>1341</v>
      </c>
      <c r="C2204" s="1" t="s">
        <v>2297</v>
      </c>
      <c r="D2204" s="1" t="s">
        <v>1998</v>
      </c>
      <c r="E2204" s="1"/>
      <c r="F2204" s="1" t="s">
        <v>13</v>
      </c>
      <c r="G2204">
        <v>5</v>
      </c>
      <c r="H2204">
        <v>30</v>
      </c>
      <c r="I2204" s="2"/>
      <c r="J2204" s="2">
        <v>45740</v>
      </c>
      <c r="K2204" s="2">
        <v>45754</v>
      </c>
    </row>
    <row r="2205" spans="1:11" x14ac:dyDescent="0.25">
      <c r="A2205" s="1" t="s">
        <v>422</v>
      </c>
      <c r="B2205" s="1" t="s">
        <v>1028</v>
      </c>
      <c r="C2205" s="1" t="s">
        <v>2041</v>
      </c>
      <c r="D2205" s="1" t="s">
        <v>1998</v>
      </c>
      <c r="E2205" s="1"/>
      <c r="F2205" s="1" t="s">
        <v>11</v>
      </c>
      <c r="G2205">
        <v>145</v>
      </c>
      <c r="H2205">
        <v>155</v>
      </c>
      <c r="I2205" s="2"/>
      <c r="J2205" s="2">
        <v>45740</v>
      </c>
      <c r="K2205" s="2">
        <v>45757</v>
      </c>
    </row>
    <row r="2206" spans="1:11" x14ac:dyDescent="0.25">
      <c r="A2206" s="1" t="s">
        <v>422</v>
      </c>
      <c r="B2206" s="1" t="s">
        <v>1028</v>
      </c>
      <c r="C2206" s="1" t="s">
        <v>2041</v>
      </c>
      <c r="D2206" s="1" t="s">
        <v>1998</v>
      </c>
      <c r="E2206" s="1"/>
      <c r="F2206" s="1" t="s">
        <v>11</v>
      </c>
      <c r="G2206">
        <v>45</v>
      </c>
      <c r="H2206">
        <v>45</v>
      </c>
      <c r="I2206" s="2"/>
      <c r="J2206" s="2">
        <v>45740</v>
      </c>
      <c r="K2206" s="2">
        <v>45757</v>
      </c>
    </row>
    <row r="2207" spans="1:11" x14ac:dyDescent="0.25">
      <c r="A2207" s="1" t="s">
        <v>422</v>
      </c>
      <c r="B2207" s="1" t="s">
        <v>1027</v>
      </c>
      <c r="C2207" s="1" t="s">
        <v>2040</v>
      </c>
      <c r="D2207" s="1" t="s">
        <v>1998</v>
      </c>
      <c r="E2207" s="1"/>
      <c r="F2207" s="1" t="s">
        <v>11</v>
      </c>
      <c r="G2207">
        <v>5</v>
      </c>
      <c r="H2207">
        <v>5</v>
      </c>
      <c r="I2207" s="2"/>
      <c r="J2207" s="2">
        <v>45740</v>
      </c>
      <c r="K2207" s="2">
        <v>45757</v>
      </c>
    </row>
    <row r="2208" spans="1:11" x14ac:dyDescent="0.25">
      <c r="A2208" s="1" t="s">
        <v>422</v>
      </c>
      <c r="B2208" s="1" t="s">
        <v>1013</v>
      </c>
      <c r="C2208" s="1" t="s">
        <v>2030</v>
      </c>
      <c r="D2208" s="1" t="s">
        <v>1998</v>
      </c>
      <c r="E2208" s="1"/>
      <c r="F2208" s="1" t="s">
        <v>11</v>
      </c>
      <c r="G2208">
        <v>5</v>
      </c>
      <c r="H2208">
        <v>5</v>
      </c>
      <c r="I2208" s="2"/>
      <c r="J2208" s="2">
        <v>45740</v>
      </c>
      <c r="K2208" s="2">
        <v>45757</v>
      </c>
    </row>
    <row r="2209" spans="1:11" x14ac:dyDescent="0.25">
      <c r="A2209" s="1" t="s">
        <v>422</v>
      </c>
      <c r="B2209" s="1" t="s">
        <v>993</v>
      </c>
      <c r="C2209" s="1" t="s">
        <v>2011</v>
      </c>
      <c r="D2209" s="1" t="s">
        <v>1998</v>
      </c>
      <c r="E2209" s="1"/>
      <c r="F2209" s="1" t="s">
        <v>11</v>
      </c>
      <c r="G2209">
        <v>1</v>
      </c>
      <c r="H2209">
        <v>1</v>
      </c>
      <c r="I2209" s="2"/>
      <c r="J2209" s="2">
        <v>45740</v>
      </c>
      <c r="K2209" s="2">
        <v>45757</v>
      </c>
    </row>
    <row r="2210" spans="1:11" x14ac:dyDescent="0.25">
      <c r="A2210" s="1" t="s">
        <v>422</v>
      </c>
      <c r="B2210" s="1" t="s">
        <v>993</v>
      </c>
      <c r="C2210" s="1" t="s">
        <v>2011</v>
      </c>
      <c r="D2210" s="1" t="s">
        <v>1998</v>
      </c>
      <c r="E2210" s="1"/>
      <c r="F2210" s="1" t="s">
        <v>11</v>
      </c>
      <c r="G2210">
        <v>1</v>
      </c>
      <c r="H2210">
        <v>1</v>
      </c>
      <c r="I2210" s="2"/>
      <c r="J2210" s="2">
        <v>45740</v>
      </c>
      <c r="K2210" s="2">
        <v>45757</v>
      </c>
    </row>
    <row r="2211" spans="1:11" x14ac:dyDescent="0.25">
      <c r="A2211" s="1" t="s">
        <v>422</v>
      </c>
      <c r="B2211" s="1" t="s">
        <v>1346</v>
      </c>
      <c r="C2211" s="1" t="s">
        <v>2300</v>
      </c>
      <c r="D2211" s="1" t="s">
        <v>1998</v>
      </c>
      <c r="E2211" s="1"/>
      <c r="F2211" s="1" t="s">
        <v>11</v>
      </c>
      <c r="G2211">
        <v>1295</v>
      </c>
      <c r="H2211">
        <v>1295</v>
      </c>
      <c r="I2211" s="2"/>
      <c r="J2211" s="2">
        <v>45740</v>
      </c>
      <c r="K2211" s="2">
        <v>45757</v>
      </c>
    </row>
    <row r="2212" spans="1:11" x14ac:dyDescent="0.25">
      <c r="A2212" s="1" t="s">
        <v>422</v>
      </c>
      <c r="B2212" s="1" t="s">
        <v>1511</v>
      </c>
      <c r="C2212" s="1" t="s">
        <v>2067</v>
      </c>
      <c r="D2212" s="1" t="s">
        <v>1998</v>
      </c>
      <c r="E2212" s="1"/>
      <c r="F2212" s="1" t="s">
        <v>11</v>
      </c>
      <c r="G2212">
        <v>2270</v>
      </c>
      <c r="H2212">
        <v>2270</v>
      </c>
      <c r="I2212" s="2"/>
      <c r="J2212" s="2">
        <v>45740</v>
      </c>
      <c r="K2212" s="2">
        <v>45757</v>
      </c>
    </row>
    <row r="2213" spans="1:11" x14ac:dyDescent="0.25">
      <c r="A2213" s="1" t="s">
        <v>423</v>
      </c>
      <c r="B2213" s="1" t="s">
        <v>1209</v>
      </c>
      <c r="C2213" s="1" t="s">
        <v>2199</v>
      </c>
      <c r="D2213" s="1" t="s">
        <v>1998</v>
      </c>
      <c r="E2213" s="1"/>
      <c r="F2213" s="1" t="s">
        <v>11</v>
      </c>
      <c r="G2213">
        <v>550</v>
      </c>
      <c r="H2213">
        <v>1</v>
      </c>
      <c r="I2213" s="2"/>
      <c r="J2213" s="2">
        <v>45740</v>
      </c>
      <c r="K2213" s="2">
        <v>45768</v>
      </c>
    </row>
    <row r="2214" spans="1:11" x14ac:dyDescent="0.25">
      <c r="A2214" s="1" t="s">
        <v>423</v>
      </c>
      <c r="B2214" s="1" t="s">
        <v>1210</v>
      </c>
      <c r="C2214" s="1" t="s">
        <v>2115</v>
      </c>
      <c r="D2214" s="1" t="s">
        <v>1998</v>
      </c>
      <c r="E2214" s="1"/>
      <c r="F2214" s="1" t="s">
        <v>11</v>
      </c>
      <c r="G2214">
        <v>11315</v>
      </c>
      <c r="H2214">
        <v>11315</v>
      </c>
      <c r="I2214" s="2"/>
      <c r="J2214" s="2">
        <v>45740</v>
      </c>
      <c r="K2214" s="2">
        <v>45768</v>
      </c>
    </row>
    <row r="2215" spans="1:11" x14ac:dyDescent="0.25">
      <c r="A2215" s="1" t="s">
        <v>423</v>
      </c>
      <c r="B2215" s="1" t="s">
        <v>1211</v>
      </c>
      <c r="C2215" s="1" t="s">
        <v>2200</v>
      </c>
      <c r="D2215" s="1" t="s">
        <v>1998</v>
      </c>
      <c r="E2215" s="1"/>
      <c r="F2215" s="1" t="s">
        <v>11</v>
      </c>
      <c r="G2215">
        <v>4990</v>
      </c>
      <c r="H2215">
        <v>4990</v>
      </c>
      <c r="I2215" s="2"/>
      <c r="J2215" s="2">
        <v>45740</v>
      </c>
      <c r="K2215" s="2">
        <v>45768</v>
      </c>
    </row>
    <row r="2216" spans="1:11" x14ac:dyDescent="0.25">
      <c r="A2216" s="1" t="s">
        <v>423</v>
      </c>
      <c r="B2216" s="1" t="s">
        <v>1212</v>
      </c>
      <c r="C2216" s="1" t="s">
        <v>2201</v>
      </c>
      <c r="D2216" s="1" t="s">
        <v>1998</v>
      </c>
      <c r="E2216" s="1"/>
      <c r="F2216" s="1" t="s">
        <v>11</v>
      </c>
      <c r="G2216">
        <v>3290</v>
      </c>
      <c r="H2216">
        <v>3290</v>
      </c>
      <c r="I2216" s="2"/>
      <c r="J2216" s="2">
        <v>45740</v>
      </c>
      <c r="K2216" s="2">
        <v>45768</v>
      </c>
    </row>
    <row r="2217" spans="1:11" x14ac:dyDescent="0.25">
      <c r="A2217" s="1" t="s">
        <v>424</v>
      </c>
      <c r="B2217" s="1" t="s">
        <v>1341</v>
      </c>
      <c r="C2217" s="1" t="s">
        <v>2297</v>
      </c>
      <c r="D2217" s="1" t="s">
        <v>1998</v>
      </c>
      <c r="E2217" s="1"/>
      <c r="F2217" s="1" t="s">
        <v>11</v>
      </c>
      <c r="G2217">
        <v>755</v>
      </c>
      <c r="H2217">
        <v>735</v>
      </c>
      <c r="I2217" s="2"/>
      <c r="J2217" s="2">
        <v>45741</v>
      </c>
      <c r="K2217" s="2">
        <v>45754</v>
      </c>
    </row>
    <row r="2218" spans="1:11" x14ac:dyDescent="0.25">
      <c r="A2218" s="1" t="s">
        <v>425</v>
      </c>
      <c r="B2218" s="1" t="s">
        <v>1512</v>
      </c>
      <c r="C2218" s="1" t="s">
        <v>2445</v>
      </c>
      <c r="D2218" s="1" t="s">
        <v>1998</v>
      </c>
      <c r="E2218" s="1"/>
      <c r="F2218" s="1" t="s">
        <v>11</v>
      </c>
      <c r="G2218">
        <v>40</v>
      </c>
      <c r="H2218">
        <v>40</v>
      </c>
      <c r="I2218" s="2"/>
      <c r="J2218" s="2">
        <v>45775</v>
      </c>
      <c r="K2218" s="2">
        <v>45776</v>
      </c>
    </row>
    <row r="2219" spans="1:11" x14ac:dyDescent="0.25">
      <c r="A2219" s="1" t="s">
        <v>425</v>
      </c>
      <c r="B2219" s="1" t="s">
        <v>1513</v>
      </c>
      <c r="C2219" s="1" t="s">
        <v>2446</v>
      </c>
      <c r="D2219" s="1" t="s">
        <v>1998</v>
      </c>
      <c r="E2219" s="1"/>
      <c r="F2219" s="1" t="s">
        <v>11</v>
      </c>
      <c r="G2219">
        <v>1</v>
      </c>
      <c r="H2219">
        <v>1</v>
      </c>
      <c r="I2219" s="2"/>
      <c r="J2219" s="2">
        <v>45775</v>
      </c>
      <c r="K2219" s="2">
        <v>45776</v>
      </c>
    </row>
    <row r="2220" spans="1:11" x14ac:dyDescent="0.25">
      <c r="A2220" s="1" t="s">
        <v>426</v>
      </c>
      <c r="B2220" s="1" t="s">
        <v>1514</v>
      </c>
      <c r="C2220" s="1" t="s">
        <v>2447</v>
      </c>
      <c r="D2220" s="1" t="s">
        <v>1998</v>
      </c>
      <c r="E2220" s="1"/>
      <c r="F2220" s="1" t="s">
        <v>11</v>
      </c>
      <c r="G2220">
        <v>775</v>
      </c>
      <c r="H2220">
        <v>540</v>
      </c>
      <c r="I2220" s="2"/>
      <c r="J2220" s="2">
        <v>45742</v>
      </c>
      <c r="K2220" s="2">
        <v>45750</v>
      </c>
    </row>
    <row r="2221" spans="1:11" x14ac:dyDescent="0.25">
      <c r="A2221" s="1" t="s">
        <v>427</v>
      </c>
      <c r="B2221" s="1" t="s">
        <v>1108</v>
      </c>
      <c r="C2221" s="1" t="s">
        <v>2108</v>
      </c>
      <c r="D2221" s="1" t="s">
        <v>1998</v>
      </c>
      <c r="E2221" s="1"/>
      <c r="F2221" s="1" t="s">
        <v>11</v>
      </c>
      <c r="G2221">
        <v>145</v>
      </c>
      <c r="H2221">
        <v>145</v>
      </c>
      <c r="I2221" s="2">
        <v>45768</v>
      </c>
      <c r="J2221" s="2">
        <v>45756</v>
      </c>
      <c r="K2221" s="2">
        <v>45768</v>
      </c>
    </row>
    <row r="2222" spans="1:11" x14ac:dyDescent="0.25">
      <c r="A2222" s="1" t="s">
        <v>428</v>
      </c>
      <c r="B2222" s="1" t="s">
        <v>1515</v>
      </c>
      <c r="C2222" s="1" t="s">
        <v>2448</v>
      </c>
      <c r="D2222" s="1" t="s">
        <v>1998</v>
      </c>
      <c r="E2222" s="1"/>
      <c r="F2222" s="1" t="s">
        <v>11</v>
      </c>
      <c r="G2222">
        <v>240</v>
      </c>
      <c r="H2222">
        <v>240</v>
      </c>
      <c r="I2222" s="2">
        <v>45775</v>
      </c>
      <c r="J2222" s="2">
        <v>45762</v>
      </c>
      <c r="K2222" s="2">
        <v>45775</v>
      </c>
    </row>
    <row r="2223" spans="1:11" x14ac:dyDescent="0.25">
      <c r="A2223" s="1" t="s">
        <v>428</v>
      </c>
      <c r="B2223" s="1" t="s">
        <v>1516</v>
      </c>
      <c r="C2223" s="1" t="s">
        <v>2449</v>
      </c>
      <c r="D2223" s="1" t="s">
        <v>1998</v>
      </c>
      <c r="E2223" s="1"/>
      <c r="F2223" s="1" t="s">
        <v>11</v>
      </c>
      <c r="G2223">
        <v>325</v>
      </c>
      <c r="H2223">
        <v>325</v>
      </c>
      <c r="I2223" s="2">
        <v>45775</v>
      </c>
      <c r="J2223" s="2">
        <v>45762</v>
      </c>
      <c r="K2223" s="2">
        <v>45775</v>
      </c>
    </row>
    <row r="2224" spans="1:11" x14ac:dyDescent="0.25">
      <c r="A2224" s="1" t="s">
        <v>428</v>
      </c>
      <c r="B2224" s="1" t="s">
        <v>1516</v>
      </c>
      <c r="C2224" s="1" t="s">
        <v>2449</v>
      </c>
      <c r="D2224" s="1" t="s">
        <v>1998</v>
      </c>
      <c r="E2224" s="1"/>
      <c r="F2224" s="1" t="s">
        <v>11</v>
      </c>
      <c r="G2224">
        <v>5</v>
      </c>
      <c r="H2224">
        <v>5</v>
      </c>
      <c r="I2224" s="2">
        <v>45775</v>
      </c>
      <c r="J2224" s="2">
        <v>45762</v>
      </c>
      <c r="K2224" s="2">
        <v>45775</v>
      </c>
    </row>
    <row r="2225" spans="1:11" x14ac:dyDescent="0.25">
      <c r="A2225" s="1" t="s">
        <v>428</v>
      </c>
      <c r="B2225" s="1" t="s">
        <v>1517</v>
      </c>
      <c r="C2225" s="1" t="s">
        <v>2450</v>
      </c>
      <c r="D2225" s="1" t="s">
        <v>1998</v>
      </c>
      <c r="E2225" s="1"/>
      <c r="F2225" s="1" t="s">
        <v>11</v>
      </c>
      <c r="G2225">
        <v>475</v>
      </c>
      <c r="H2225">
        <v>475</v>
      </c>
      <c r="I2225" s="2">
        <v>45775</v>
      </c>
      <c r="J2225" s="2">
        <v>45762</v>
      </c>
      <c r="K2225" s="2">
        <v>45775</v>
      </c>
    </row>
    <row r="2226" spans="1:11" x14ac:dyDescent="0.25">
      <c r="A2226" s="1" t="s">
        <v>428</v>
      </c>
      <c r="B2226" s="1" t="s">
        <v>1517</v>
      </c>
      <c r="C2226" s="1" t="s">
        <v>2450</v>
      </c>
      <c r="D2226" s="1" t="s">
        <v>1998</v>
      </c>
      <c r="E2226" s="1"/>
      <c r="F2226" s="1" t="s">
        <v>11</v>
      </c>
      <c r="G2226">
        <v>5</v>
      </c>
      <c r="H2226">
        <v>5</v>
      </c>
      <c r="I2226" s="2">
        <v>45775</v>
      </c>
      <c r="J2226" s="2">
        <v>45762</v>
      </c>
      <c r="K2226" s="2">
        <v>45775</v>
      </c>
    </row>
    <row r="2227" spans="1:11" x14ac:dyDescent="0.25">
      <c r="A2227" s="1" t="s">
        <v>428</v>
      </c>
      <c r="B2227" s="1" t="s">
        <v>1518</v>
      </c>
      <c r="C2227" s="1" t="s">
        <v>2451</v>
      </c>
      <c r="D2227" s="1" t="s">
        <v>1998</v>
      </c>
      <c r="E2227" s="1"/>
      <c r="F2227" s="1" t="s">
        <v>11</v>
      </c>
      <c r="G2227">
        <v>60</v>
      </c>
      <c r="H2227">
        <v>60</v>
      </c>
      <c r="I2227" s="2">
        <v>45775</v>
      </c>
      <c r="J2227" s="2">
        <v>45762</v>
      </c>
      <c r="K2227" s="2">
        <v>45775</v>
      </c>
    </row>
    <row r="2228" spans="1:11" x14ac:dyDescent="0.25">
      <c r="A2228" s="1" t="s">
        <v>428</v>
      </c>
      <c r="B2228" s="1" t="s">
        <v>1519</v>
      </c>
      <c r="C2228" s="1" t="s">
        <v>2451</v>
      </c>
      <c r="D2228" s="1" t="s">
        <v>1998</v>
      </c>
      <c r="E2228" s="1"/>
      <c r="F2228" s="1" t="s">
        <v>11</v>
      </c>
      <c r="G2228">
        <v>740</v>
      </c>
      <c r="H2228">
        <v>740</v>
      </c>
      <c r="I2228" s="2">
        <v>45775</v>
      </c>
      <c r="J2228" s="2">
        <v>45762</v>
      </c>
      <c r="K2228" s="2">
        <v>45775</v>
      </c>
    </row>
    <row r="2229" spans="1:11" x14ac:dyDescent="0.25">
      <c r="A2229" s="1" t="s">
        <v>428</v>
      </c>
      <c r="B2229" s="1" t="s">
        <v>1519</v>
      </c>
      <c r="C2229" s="1" t="s">
        <v>2451</v>
      </c>
      <c r="D2229" s="1" t="s">
        <v>1998</v>
      </c>
      <c r="E2229" s="1"/>
      <c r="F2229" s="1" t="s">
        <v>11</v>
      </c>
      <c r="G2229">
        <v>125</v>
      </c>
      <c r="H2229">
        <v>10</v>
      </c>
      <c r="I2229" s="2">
        <v>45775</v>
      </c>
      <c r="J2229" s="2">
        <v>45762</v>
      </c>
      <c r="K2229" s="2">
        <v>45775</v>
      </c>
    </row>
    <row r="2230" spans="1:11" x14ac:dyDescent="0.25">
      <c r="A2230" s="1" t="s">
        <v>428</v>
      </c>
      <c r="B2230" s="1" t="s">
        <v>1520</v>
      </c>
      <c r="C2230" s="1" t="s">
        <v>2452</v>
      </c>
      <c r="D2230" s="1" t="s">
        <v>1998</v>
      </c>
      <c r="E2230" s="1"/>
      <c r="F2230" s="1" t="s">
        <v>11</v>
      </c>
      <c r="G2230">
        <v>365</v>
      </c>
      <c r="H2230">
        <v>365</v>
      </c>
      <c r="I2230" s="2">
        <v>45775</v>
      </c>
      <c r="J2230" s="2">
        <v>45762</v>
      </c>
      <c r="K2230" s="2">
        <v>45775</v>
      </c>
    </row>
    <row r="2231" spans="1:11" x14ac:dyDescent="0.25">
      <c r="A2231" s="1" t="s">
        <v>428</v>
      </c>
      <c r="B2231" s="1" t="s">
        <v>1521</v>
      </c>
      <c r="C2231" s="1" t="s">
        <v>2453</v>
      </c>
      <c r="D2231" s="1" t="s">
        <v>1998</v>
      </c>
      <c r="E2231" s="1"/>
      <c r="F2231" s="1" t="s">
        <v>11</v>
      </c>
      <c r="G2231">
        <v>550</v>
      </c>
      <c r="H2231">
        <v>550</v>
      </c>
      <c r="I2231" s="2">
        <v>45775</v>
      </c>
      <c r="J2231" s="2">
        <v>45762</v>
      </c>
      <c r="K2231" s="2">
        <v>45775</v>
      </c>
    </row>
    <row r="2232" spans="1:11" x14ac:dyDescent="0.25">
      <c r="A2232" s="1" t="s">
        <v>429</v>
      </c>
      <c r="B2232" s="1" t="s">
        <v>1518</v>
      </c>
      <c r="C2232" s="1" t="s">
        <v>2451</v>
      </c>
      <c r="D2232" s="1" t="s">
        <v>1998</v>
      </c>
      <c r="E2232" s="1"/>
      <c r="F2232" s="1" t="s">
        <v>11</v>
      </c>
      <c r="G2232">
        <v>20</v>
      </c>
      <c r="H2232">
        <v>20</v>
      </c>
      <c r="I2232" s="2">
        <v>45782</v>
      </c>
      <c r="J2232" s="2">
        <v>45757</v>
      </c>
      <c r="K2232" s="2">
        <v>45782</v>
      </c>
    </row>
    <row r="2233" spans="1:11" x14ac:dyDescent="0.25">
      <c r="A2233" s="1" t="s">
        <v>429</v>
      </c>
      <c r="B2233" s="1" t="s">
        <v>1519</v>
      </c>
      <c r="C2233" s="1" t="s">
        <v>2451</v>
      </c>
      <c r="D2233" s="1" t="s">
        <v>1998</v>
      </c>
      <c r="E2233" s="1"/>
      <c r="F2233" s="1" t="s">
        <v>11</v>
      </c>
      <c r="G2233">
        <v>30</v>
      </c>
      <c r="H2233">
        <v>30</v>
      </c>
      <c r="I2233" s="2">
        <v>45782</v>
      </c>
      <c r="J2233" s="2">
        <v>45757</v>
      </c>
      <c r="K2233" s="2">
        <v>45782</v>
      </c>
    </row>
    <row r="2234" spans="1:11" x14ac:dyDescent="0.25">
      <c r="A2234" s="1" t="s">
        <v>430</v>
      </c>
      <c r="B2234" s="1" t="s">
        <v>1522</v>
      </c>
      <c r="C2234" s="1" t="s">
        <v>2454</v>
      </c>
      <c r="D2234" s="1" t="s">
        <v>1998</v>
      </c>
      <c r="E2234" s="1"/>
      <c r="F2234" s="1" t="s">
        <v>11</v>
      </c>
      <c r="G2234">
        <v>75</v>
      </c>
      <c r="H2234">
        <v>75</v>
      </c>
      <c r="I2234" s="2"/>
      <c r="J2234" s="2">
        <v>45740</v>
      </c>
      <c r="K2234" s="2">
        <v>45779</v>
      </c>
    </row>
    <row r="2235" spans="1:11" x14ac:dyDescent="0.25">
      <c r="A2235" s="1" t="s">
        <v>430</v>
      </c>
      <c r="B2235" s="1" t="s">
        <v>1522</v>
      </c>
      <c r="C2235" s="1" t="s">
        <v>2454</v>
      </c>
      <c r="D2235" s="1" t="s">
        <v>1998</v>
      </c>
      <c r="E2235" s="1"/>
      <c r="F2235" s="1" t="s">
        <v>11</v>
      </c>
      <c r="G2235">
        <v>15</v>
      </c>
      <c r="H2235">
        <v>1</v>
      </c>
      <c r="I2235" s="2"/>
      <c r="J2235" s="2">
        <v>45740</v>
      </c>
      <c r="K2235" s="2">
        <v>45779</v>
      </c>
    </row>
    <row r="2236" spans="1:11" x14ac:dyDescent="0.25">
      <c r="A2236" s="1" t="s">
        <v>430</v>
      </c>
      <c r="B2236" s="1" t="s">
        <v>1523</v>
      </c>
      <c r="C2236" s="1" t="s">
        <v>2455</v>
      </c>
      <c r="D2236" s="1" t="s">
        <v>1998</v>
      </c>
      <c r="E2236" s="1"/>
      <c r="F2236" s="1" t="s">
        <v>11</v>
      </c>
      <c r="G2236">
        <v>270</v>
      </c>
      <c r="H2236">
        <v>270</v>
      </c>
      <c r="I2236" s="2"/>
      <c r="J2236" s="2">
        <v>45740</v>
      </c>
      <c r="K2236" s="2">
        <v>45779</v>
      </c>
    </row>
    <row r="2237" spans="1:11" x14ac:dyDescent="0.25">
      <c r="A2237" s="1" t="s">
        <v>430</v>
      </c>
      <c r="B2237" s="1" t="s">
        <v>1523</v>
      </c>
      <c r="C2237" s="1" t="s">
        <v>2455</v>
      </c>
      <c r="D2237" s="1" t="s">
        <v>1998</v>
      </c>
      <c r="E2237" s="1"/>
      <c r="F2237" s="1" t="s">
        <v>11</v>
      </c>
      <c r="G2237">
        <v>55</v>
      </c>
      <c r="H2237">
        <v>1</v>
      </c>
      <c r="I2237" s="2"/>
      <c r="J2237" s="2">
        <v>45740</v>
      </c>
      <c r="K2237" s="2">
        <v>45779</v>
      </c>
    </row>
    <row r="2238" spans="1:11" x14ac:dyDescent="0.25">
      <c r="A2238" s="1" t="s">
        <v>430</v>
      </c>
      <c r="B2238" s="1" t="s">
        <v>1524</v>
      </c>
      <c r="C2238" s="1" t="s">
        <v>2115</v>
      </c>
      <c r="D2238" s="1" t="s">
        <v>1998</v>
      </c>
      <c r="E2238" s="1"/>
      <c r="F2238" s="1" t="s">
        <v>11</v>
      </c>
      <c r="G2238">
        <v>2320</v>
      </c>
      <c r="H2238">
        <v>2320</v>
      </c>
      <c r="I2238" s="2"/>
      <c r="J2238" s="2">
        <v>45740</v>
      </c>
      <c r="K2238" s="2">
        <v>45779</v>
      </c>
    </row>
    <row r="2239" spans="1:11" x14ac:dyDescent="0.25">
      <c r="A2239" s="1" t="s">
        <v>430</v>
      </c>
      <c r="B2239" s="1" t="s">
        <v>1525</v>
      </c>
      <c r="C2239" s="1" t="s">
        <v>2115</v>
      </c>
      <c r="D2239" s="1" t="s">
        <v>1998</v>
      </c>
      <c r="E2239" s="1"/>
      <c r="F2239" s="1" t="s">
        <v>11</v>
      </c>
      <c r="G2239">
        <v>355</v>
      </c>
      <c r="H2239">
        <v>355</v>
      </c>
      <c r="I2239" s="2"/>
      <c r="J2239" s="2">
        <v>45740</v>
      </c>
      <c r="K2239" s="2">
        <v>45779</v>
      </c>
    </row>
    <row r="2240" spans="1:11" x14ac:dyDescent="0.25">
      <c r="A2240" s="1" t="s">
        <v>430</v>
      </c>
      <c r="B2240" s="1" t="s">
        <v>1525</v>
      </c>
      <c r="C2240" s="1" t="s">
        <v>2115</v>
      </c>
      <c r="D2240" s="1" t="s">
        <v>1998</v>
      </c>
      <c r="E2240" s="1"/>
      <c r="F2240" s="1" t="s">
        <v>11</v>
      </c>
      <c r="G2240">
        <v>70</v>
      </c>
      <c r="H2240">
        <v>1</v>
      </c>
      <c r="I2240" s="2"/>
      <c r="J2240" s="2">
        <v>45740</v>
      </c>
      <c r="K2240" s="2">
        <v>45779</v>
      </c>
    </row>
    <row r="2241" spans="1:11" x14ac:dyDescent="0.25">
      <c r="A2241" s="1" t="s">
        <v>430</v>
      </c>
      <c r="B2241" s="1" t="s">
        <v>1526</v>
      </c>
      <c r="C2241" s="1" t="s">
        <v>2026</v>
      </c>
      <c r="D2241" s="1" t="s">
        <v>1998</v>
      </c>
      <c r="E2241" s="1"/>
      <c r="F2241" s="1" t="s">
        <v>11</v>
      </c>
      <c r="G2241">
        <v>520</v>
      </c>
      <c r="H2241">
        <v>520</v>
      </c>
      <c r="I2241" s="2"/>
      <c r="J2241" s="2">
        <v>45740</v>
      </c>
      <c r="K2241" s="2">
        <v>45779</v>
      </c>
    </row>
    <row r="2242" spans="1:11" x14ac:dyDescent="0.25">
      <c r="A2242" s="1" t="s">
        <v>430</v>
      </c>
      <c r="B2242" s="1" t="s">
        <v>1526</v>
      </c>
      <c r="C2242" s="1" t="s">
        <v>2026</v>
      </c>
      <c r="D2242" s="1" t="s">
        <v>1998</v>
      </c>
      <c r="E2242" s="1"/>
      <c r="F2242" s="1" t="s">
        <v>11</v>
      </c>
      <c r="G2242">
        <v>105</v>
      </c>
      <c r="H2242">
        <v>1</v>
      </c>
      <c r="I2242" s="2"/>
      <c r="J2242" s="2">
        <v>45740</v>
      </c>
      <c r="K2242" s="2">
        <v>45779</v>
      </c>
    </row>
    <row r="2243" spans="1:11" x14ac:dyDescent="0.25">
      <c r="A2243" s="1" t="s">
        <v>430</v>
      </c>
      <c r="B2243" s="1" t="s">
        <v>1527</v>
      </c>
      <c r="C2243" s="1" t="s">
        <v>2456</v>
      </c>
      <c r="D2243" s="1" t="s">
        <v>1998</v>
      </c>
      <c r="E2243" s="1"/>
      <c r="F2243" s="1" t="s">
        <v>11</v>
      </c>
      <c r="G2243">
        <v>300</v>
      </c>
      <c r="H2243">
        <v>300</v>
      </c>
      <c r="I2243" s="2"/>
      <c r="J2243" s="2">
        <v>45740</v>
      </c>
      <c r="K2243" s="2">
        <v>45779</v>
      </c>
    </row>
    <row r="2244" spans="1:11" x14ac:dyDescent="0.25">
      <c r="A2244" s="1" t="s">
        <v>430</v>
      </c>
      <c r="B2244" s="1" t="s">
        <v>1527</v>
      </c>
      <c r="C2244" s="1" t="s">
        <v>2456</v>
      </c>
      <c r="D2244" s="1" t="s">
        <v>1998</v>
      </c>
      <c r="E2244" s="1"/>
      <c r="F2244" s="1" t="s">
        <v>11</v>
      </c>
      <c r="G2244">
        <v>60</v>
      </c>
      <c r="H2244">
        <v>1</v>
      </c>
      <c r="I2244" s="2"/>
      <c r="J2244" s="2">
        <v>45740</v>
      </c>
      <c r="K2244" s="2">
        <v>45779</v>
      </c>
    </row>
    <row r="2245" spans="1:11" x14ac:dyDescent="0.25">
      <c r="A2245" s="1" t="s">
        <v>430</v>
      </c>
      <c r="B2245" s="1" t="s">
        <v>1528</v>
      </c>
      <c r="C2245" s="1" t="s">
        <v>2457</v>
      </c>
      <c r="D2245" s="1" t="s">
        <v>1998</v>
      </c>
      <c r="E2245" s="1"/>
      <c r="F2245" s="1" t="s">
        <v>11</v>
      </c>
      <c r="G2245">
        <v>10</v>
      </c>
      <c r="H2245">
        <v>10</v>
      </c>
      <c r="I2245" s="2"/>
      <c r="J2245" s="2">
        <v>45740</v>
      </c>
      <c r="K2245" s="2">
        <v>45779</v>
      </c>
    </row>
    <row r="2246" spans="1:11" x14ac:dyDescent="0.25">
      <c r="A2246" s="1" t="s">
        <v>430</v>
      </c>
      <c r="B2246" s="1" t="s">
        <v>1529</v>
      </c>
      <c r="C2246" s="1" t="s">
        <v>2458</v>
      </c>
      <c r="D2246" s="1" t="s">
        <v>1998</v>
      </c>
      <c r="E2246" s="1"/>
      <c r="F2246" s="1" t="s">
        <v>11</v>
      </c>
      <c r="G2246">
        <v>500</v>
      </c>
      <c r="H2246">
        <v>500</v>
      </c>
      <c r="I2246" s="2"/>
      <c r="J2246" s="2">
        <v>45740</v>
      </c>
      <c r="K2246" s="2">
        <v>45779</v>
      </c>
    </row>
    <row r="2247" spans="1:11" x14ac:dyDescent="0.25">
      <c r="A2247" s="1" t="s">
        <v>430</v>
      </c>
      <c r="B2247" s="1" t="s">
        <v>1529</v>
      </c>
      <c r="C2247" s="1" t="s">
        <v>2458</v>
      </c>
      <c r="D2247" s="1" t="s">
        <v>1998</v>
      </c>
      <c r="E2247" s="1"/>
      <c r="F2247" s="1" t="s">
        <v>11</v>
      </c>
      <c r="G2247">
        <v>100</v>
      </c>
      <c r="H2247">
        <v>1</v>
      </c>
      <c r="I2247" s="2"/>
      <c r="J2247" s="2">
        <v>45740</v>
      </c>
      <c r="K2247" s="2">
        <v>45779</v>
      </c>
    </row>
    <row r="2248" spans="1:11" x14ac:dyDescent="0.25">
      <c r="A2248" s="1" t="s">
        <v>430</v>
      </c>
      <c r="B2248" s="1" t="s">
        <v>1039</v>
      </c>
      <c r="C2248" s="1" t="s">
        <v>2049</v>
      </c>
      <c r="D2248" s="1" t="s">
        <v>1998</v>
      </c>
      <c r="E2248" s="1"/>
      <c r="F2248" s="1" t="s">
        <v>11</v>
      </c>
      <c r="G2248">
        <v>5</v>
      </c>
      <c r="H2248">
        <v>5</v>
      </c>
      <c r="I2248" s="2"/>
      <c r="J2248" s="2">
        <v>45740</v>
      </c>
      <c r="K2248" s="2">
        <v>45779</v>
      </c>
    </row>
    <row r="2249" spans="1:11" x14ac:dyDescent="0.25">
      <c r="A2249" s="1" t="s">
        <v>430</v>
      </c>
      <c r="B2249" s="1" t="s">
        <v>1087</v>
      </c>
      <c r="C2249" s="1" t="s">
        <v>2090</v>
      </c>
      <c r="D2249" s="1" t="s">
        <v>1998</v>
      </c>
      <c r="E2249" s="1"/>
      <c r="F2249" s="1" t="s">
        <v>11</v>
      </c>
      <c r="G2249">
        <v>10</v>
      </c>
      <c r="H2249">
        <v>10</v>
      </c>
      <c r="I2249" s="2"/>
      <c r="J2249" s="2">
        <v>45740</v>
      </c>
      <c r="K2249" s="2">
        <v>45779</v>
      </c>
    </row>
    <row r="2250" spans="1:11" x14ac:dyDescent="0.25">
      <c r="A2250" s="1" t="s">
        <v>430</v>
      </c>
      <c r="B2250" s="1" t="s">
        <v>1040</v>
      </c>
      <c r="C2250" s="1" t="s">
        <v>2050</v>
      </c>
      <c r="D2250" s="1" t="s">
        <v>1998</v>
      </c>
      <c r="E2250" s="1"/>
      <c r="F2250" s="1" t="s">
        <v>11</v>
      </c>
      <c r="G2250">
        <v>10</v>
      </c>
      <c r="H2250">
        <v>10</v>
      </c>
      <c r="I2250" s="2"/>
      <c r="J2250" s="2">
        <v>45740</v>
      </c>
      <c r="K2250" s="2">
        <v>45779</v>
      </c>
    </row>
    <row r="2251" spans="1:11" x14ac:dyDescent="0.25">
      <c r="A2251" s="1" t="s">
        <v>430</v>
      </c>
      <c r="B2251" s="1" t="s">
        <v>1040</v>
      </c>
      <c r="C2251" s="1" t="s">
        <v>2050</v>
      </c>
      <c r="D2251" s="1" t="s">
        <v>1998</v>
      </c>
      <c r="E2251" s="1"/>
      <c r="F2251" s="1" t="s">
        <v>11</v>
      </c>
      <c r="G2251">
        <v>5</v>
      </c>
      <c r="H2251">
        <v>5</v>
      </c>
      <c r="I2251" s="2"/>
      <c r="J2251" s="2">
        <v>45740</v>
      </c>
      <c r="K2251" s="2">
        <v>45779</v>
      </c>
    </row>
    <row r="2252" spans="1:11" x14ac:dyDescent="0.25">
      <c r="A2252" s="1" t="s">
        <v>431</v>
      </c>
      <c r="B2252" s="1" t="s">
        <v>1020</v>
      </c>
      <c r="C2252" s="1" t="s">
        <v>2037</v>
      </c>
      <c r="D2252" s="1" t="s">
        <v>1998</v>
      </c>
      <c r="E2252" s="1"/>
      <c r="F2252" s="1" t="s">
        <v>11</v>
      </c>
      <c r="G2252">
        <v>1950</v>
      </c>
      <c r="H2252">
        <v>1950</v>
      </c>
      <c r="I2252" s="2"/>
      <c r="J2252" s="2">
        <v>45740</v>
      </c>
      <c r="K2252" s="2">
        <v>45771</v>
      </c>
    </row>
    <row r="2253" spans="1:11" x14ac:dyDescent="0.25">
      <c r="A2253" s="1" t="s">
        <v>432</v>
      </c>
      <c r="B2253" s="1" t="s">
        <v>1021</v>
      </c>
      <c r="C2253" s="1" t="s">
        <v>2038</v>
      </c>
      <c r="D2253" s="1" t="s">
        <v>1998</v>
      </c>
      <c r="E2253" s="1"/>
      <c r="F2253" s="1" t="s">
        <v>11</v>
      </c>
      <c r="G2253">
        <v>9435</v>
      </c>
      <c r="H2253">
        <v>9435</v>
      </c>
      <c r="I2253" s="2"/>
      <c r="J2253" s="2">
        <v>45741</v>
      </c>
      <c r="K2253" s="2">
        <v>45751</v>
      </c>
    </row>
    <row r="2254" spans="1:11" x14ac:dyDescent="0.25">
      <c r="A2254" s="1" t="s">
        <v>432</v>
      </c>
      <c r="B2254" s="1" t="s">
        <v>1022</v>
      </c>
      <c r="C2254" s="1" t="s">
        <v>2039</v>
      </c>
      <c r="D2254" s="1" t="s">
        <v>1998</v>
      </c>
      <c r="E2254" s="1"/>
      <c r="F2254" s="1" t="s">
        <v>11</v>
      </c>
      <c r="G2254">
        <v>8685</v>
      </c>
      <c r="H2254">
        <v>9050</v>
      </c>
      <c r="I2254" s="2"/>
      <c r="J2254" s="2">
        <v>45741</v>
      </c>
      <c r="K2254" s="2">
        <v>45751</v>
      </c>
    </row>
    <row r="2255" spans="1:11" x14ac:dyDescent="0.25">
      <c r="A2255" s="1" t="s">
        <v>432</v>
      </c>
      <c r="B2255" s="1" t="s">
        <v>1173</v>
      </c>
      <c r="C2255" s="1" t="s">
        <v>2167</v>
      </c>
      <c r="D2255" s="1" t="s">
        <v>1998</v>
      </c>
      <c r="E2255" s="1"/>
      <c r="F2255" s="1" t="s">
        <v>11</v>
      </c>
      <c r="G2255">
        <v>220</v>
      </c>
      <c r="H2255">
        <v>220</v>
      </c>
      <c r="I2255" s="2"/>
      <c r="J2255" s="2">
        <v>45741</v>
      </c>
      <c r="K2255" s="2">
        <v>45751</v>
      </c>
    </row>
    <row r="2256" spans="1:11" x14ac:dyDescent="0.25">
      <c r="A2256" s="1" t="s">
        <v>432</v>
      </c>
      <c r="B2256" s="1" t="s">
        <v>1173</v>
      </c>
      <c r="C2256" s="1" t="s">
        <v>2167</v>
      </c>
      <c r="D2256" s="1" t="s">
        <v>1998</v>
      </c>
      <c r="E2256" s="1"/>
      <c r="F2256" s="1" t="s">
        <v>11</v>
      </c>
      <c r="G2256">
        <v>65</v>
      </c>
      <c r="H2256">
        <v>65</v>
      </c>
      <c r="I2256" s="2"/>
      <c r="J2256" s="2">
        <v>45741</v>
      </c>
      <c r="K2256" s="2">
        <v>45751</v>
      </c>
    </row>
    <row r="2257" spans="1:11" x14ac:dyDescent="0.25">
      <c r="A2257" s="1" t="s">
        <v>432</v>
      </c>
      <c r="B2257" s="1" t="s">
        <v>999</v>
      </c>
      <c r="C2257" s="1" t="s">
        <v>2017</v>
      </c>
      <c r="D2257" s="1" t="s">
        <v>1998</v>
      </c>
      <c r="E2257" s="1"/>
      <c r="F2257" s="1" t="s">
        <v>11</v>
      </c>
      <c r="G2257">
        <v>1</v>
      </c>
      <c r="H2257">
        <v>1</v>
      </c>
      <c r="I2257" s="2"/>
      <c r="J2257" s="2">
        <v>45741</v>
      </c>
      <c r="K2257" s="2">
        <v>45751</v>
      </c>
    </row>
    <row r="2258" spans="1:11" x14ac:dyDescent="0.25">
      <c r="A2258" s="1" t="s">
        <v>432</v>
      </c>
      <c r="B2258" s="1" t="s">
        <v>1000</v>
      </c>
      <c r="C2258" s="1" t="s">
        <v>2018</v>
      </c>
      <c r="D2258" s="1" t="s">
        <v>1998</v>
      </c>
      <c r="E2258" s="1"/>
      <c r="F2258" s="1" t="s">
        <v>11</v>
      </c>
      <c r="G2258">
        <v>1</v>
      </c>
      <c r="H2258">
        <v>1</v>
      </c>
      <c r="I2258" s="2"/>
      <c r="J2258" s="2">
        <v>45741</v>
      </c>
      <c r="K2258" s="2">
        <v>45751</v>
      </c>
    </row>
    <row r="2259" spans="1:11" x14ac:dyDescent="0.25">
      <c r="A2259" s="1" t="s">
        <v>432</v>
      </c>
      <c r="B2259" s="1" t="s">
        <v>1001</v>
      </c>
      <c r="C2259" s="1" t="s">
        <v>2019</v>
      </c>
      <c r="D2259" s="1" t="s">
        <v>1998</v>
      </c>
      <c r="E2259" s="1"/>
      <c r="F2259" s="1" t="s">
        <v>11</v>
      </c>
      <c r="G2259">
        <v>1</v>
      </c>
      <c r="H2259">
        <v>1</v>
      </c>
      <c r="I2259" s="2"/>
      <c r="J2259" s="2">
        <v>45741</v>
      </c>
      <c r="K2259" s="2">
        <v>45751</v>
      </c>
    </row>
    <row r="2260" spans="1:11" x14ac:dyDescent="0.25">
      <c r="A2260" s="1" t="s">
        <v>433</v>
      </c>
      <c r="B2260" s="1" t="s">
        <v>1530</v>
      </c>
      <c r="C2260" s="1" t="s">
        <v>2115</v>
      </c>
      <c r="D2260" s="1" t="s">
        <v>1998</v>
      </c>
      <c r="E2260" s="1"/>
      <c r="F2260" s="1" t="s">
        <v>11</v>
      </c>
      <c r="G2260">
        <v>8490</v>
      </c>
      <c r="H2260">
        <v>8490</v>
      </c>
      <c r="I2260" s="2">
        <v>45769</v>
      </c>
      <c r="J2260" s="2">
        <v>45741</v>
      </c>
      <c r="K2260" s="2">
        <v>45769</v>
      </c>
    </row>
    <row r="2261" spans="1:11" x14ac:dyDescent="0.25">
      <c r="A2261" s="1" t="s">
        <v>433</v>
      </c>
      <c r="B2261" s="1" t="s">
        <v>1531</v>
      </c>
      <c r="C2261" s="1" t="s">
        <v>2459</v>
      </c>
      <c r="D2261" s="1" t="s">
        <v>1998</v>
      </c>
      <c r="E2261" s="1"/>
      <c r="F2261" s="1" t="s">
        <v>11</v>
      </c>
      <c r="G2261">
        <v>50</v>
      </c>
      <c r="H2261">
        <v>50</v>
      </c>
      <c r="I2261" s="2">
        <v>45769</v>
      </c>
      <c r="J2261" s="2">
        <v>45741</v>
      </c>
      <c r="K2261" s="2">
        <v>45769</v>
      </c>
    </row>
    <row r="2262" spans="1:11" x14ac:dyDescent="0.25">
      <c r="A2262" s="1" t="s">
        <v>434</v>
      </c>
      <c r="B2262" s="1" t="s">
        <v>1469</v>
      </c>
      <c r="C2262" s="1" t="s">
        <v>2406</v>
      </c>
      <c r="D2262" s="1" t="s">
        <v>1998</v>
      </c>
      <c r="E2262" s="1"/>
      <c r="F2262" s="1" t="s">
        <v>12</v>
      </c>
      <c r="G2262">
        <v>1</v>
      </c>
      <c r="H2262">
        <v>15</v>
      </c>
      <c r="I2262" s="2"/>
      <c r="J2262" s="2">
        <v>45751</v>
      </c>
      <c r="K2262" s="2">
        <v>45789</v>
      </c>
    </row>
    <row r="2263" spans="1:11" x14ac:dyDescent="0.25">
      <c r="A2263" s="1" t="s">
        <v>434</v>
      </c>
      <c r="B2263" s="1" t="s">
        <v>1365</v>
      </c>
      <c r="C2263" s="1" t="s">
        <v>2315</v>
      </c>
      <c r="D2263" s="1" t="s">
        <v>1998</v>
      </c>
      <c r="E2263" s="1"/>
      <c r="F2263" s="1" t="s">
        <v>12</v>
      </c>
      <c r="G2263">
        <v>1</v>
      </c>
      <c r="H2263">
        <v>5</v>
      </c>
      <c r="I2263" s="2"/>
      <c r="J2263" s="2">
        <v>45751</v>
      </c>
      <c r="K2263" s="2">
        <v>45789</v>
      </c>
    </row>
    <row r="2264" spans="1:11" x14ac:dyDescent="0.25">
      <c r="A2264" s="1" t="s">
        <v>434</v>
      </c>
      <c r="B2264" s="1" t="s">
        <v>1366</v>
      </c>
      <c r="C2264" s="1" t="s">
        <v>2316</v>
      </c>
      <c r="D2264" s="1" t="s">
        <v>1998</v>
      </c>
      <c r="E2264" s="1"/>
      <c r="F2264" s="1" t="s">
        <v>12</v>
      </c>
      <c r="G2264">
        <v>1</v>
      </c>
      <c r="H2264">
        <v>30</v>
      </c>
      <c r="I2264" s="2"/>
      <c r="J2264" s="2">
        <v>45751</v>
      </c>
      <c r="K2264" s="2">
        <v>45789</v>
      </c>
    </row>
    <row r="2265" spans="1:11" x14ac:dyDescent="0.25">
      <c r="A2265" s="1" t="s">
        <v>434</v>
      </c>
      <c r="B2265" s="1" t="s">
        <v>1366</v>
      </c>
      <c r="C2265" s="1" t="s">
        <v>2316</v>
      </c>
      <c r="D2265" s="1" t="s">
        <v>1998</v>
      </c>
      <c r="E2265" s="1"/>
      <c r="F2265" s="1" t="s">
        <v>12</v>
      </c>
      <c r="G2265">
        <v>1</v>
      </c>
      <c r="H2265">
        <v>10</v>
      </c>
      <c r="I2265" s="2"/>
      <c r="J2265" s="2">
        <v>45751</v>
      </c>
      <c r="K2265" s="2">
        <v>45789</v>
      </c>
    </row>
    <row r="2266" spans="1:11" x14ac:dyDescent="0.25">
      <c r="A2266" s="1" t="s">
        <v>434</v>
      </c>
      <c r="B2266" s="1" t="s">
        <v>1532</v>
      </c>
      <c r="C2266" s="1" t="s">
        <v>2460</v>
      </c>
      <c r="D2266" s="1" t="s">
        <v>1998</v>
      </c>
      <c r="E2266" s="1"/>
      <c r="F2266" s="1" t="s">
        <v>12</v>
      </c>
      <c r="G2266">
        <v>1</v>
      </c>
      <c r="H2266">
        <v>55</v>
      </c>
      <c r="I2266" s="2"/>
      <c r="J2266" s="2">
        <v>45751</v>
      </c>
      <c r="K2266" s="2">
        <v>45789</v>
      </c>
    </row>
    <row r="2267" spans="1:11" x14ac:dyDescent="0.25">
      <c r="A2267" s="1" t="s">
        <v>434</v>
      </c>
      <c r="B2267" s="1" t="s">
        <v>1532</v>
      </c>
      <c r="C2267" s="1" t="s">
        <v>2460</v>
      </c>
      <c r="D2267" s="1" t="s">
        <v>1998</v>
      </c>
      <c r="E2267" s="1"/>
      <c r="F2267" s="1" t="s">
        <v>12</v>
      </c>
      <c r="G2267">
        <v>1</v>
      </c>
      <c r="H2267">
        <v>25</v>
      </c>
      <c r="I2267" s="2"/>
      <c r="J2267" s="2">
        <v>45751</v>
      </c>
      <c r="K2267" s="2">
        <v>45789</v>
      </c>
    </row>
    <row r="2268" spans="1:11" x14ac:dyDescent="0.25">
      <c r="A2268" s="1" t="s">
        <v>434</v>
      </c>
      <c r="B2268" s="1" t="s">
        <v>1264</v>
      </c>
      <c r="C2268" s="1" t="s">
        <v>2241</v>
      </c>
      <c r="D2268" s="1" t="s">
        <v>1998</v>
      </c>
      <c r="E2268" s="1"/>
      <c r="F2268" s="1" t="s">
        <v>12</v>
      </c>
      <c r="G2268">
        <v>1</v>
      </c>
      <c r="H2268">
        <v>585</v>
      </c>
      <c r="I2268" s="2"/>
      <c r="J2268" s="2">
        <v>45751</v>
      </c>
      <c r="K2268" s="2">
        <v>45789</v>
      </c>
    </row>
    <row r="2269" spans="1:11" x14ac:dyDescent="0.25">
      <c r="A2269" s="1" t="s">
        <v>434</v>
      </c>
      <c r="B2269" s="1" t="s">
        <v>1533</v>
      </c>
      <c r="C2269" s="1" t="s">
        <v>2461</v>
      </c>
      <c r="D2269" s="1" t="s">
        <v>1998</v>
      </c>
      <c r="E2269" s="1"/>
      <c r="F2269" s="1" t="s">
        <v>12</v>
      </c>
      <c r="G2269">
        <v>1</v>
      </c>
      <c r="H2269">
        <v>1</v>
      </c>
      <c r="I2269" s="2"/>
      <c r="J2269" s="2">
        <v>45751</v>
      </c>
      <c r="K2269" s="2">
        <v>45789</v>
      </c>
    </row>
    <row r="2270" spans="1:11" x14ac:dyDescent="0.25">
      <c r="A2270" s="1" t="s">
        <v>434</v>
      </c>
      <c r="B2270" s="1" t="s">
        <v>1533</v>
      </c>
      <c r="C2270" s="1" t="s">
        <v>2461</v>
      </c>
      <c r="D2270" s="1" t="s">
        <v>1998</v>
      </c>
      <c r="E2270" s="1"/>
      <c r="F2270" s="1" t="s">
        <v>12</v>
      </c>
      <c r="G2270">
        <v>1</v>
      </c>
      <c r="H2270">
        <v>1</v>
      </c>
      <c r="I2270" s="2"/>
      <c r="J2270" s="2">
        <v>45751</v>
      </c>
      <c r="K2270" s="2">
        <v>45789</v>
      </c>
    </row>
    <row r="2271" spans="1:11" x14ac:dyDescent="0.25">
      <c r="A2271" s="1" t="s">
        <v>434</v>
      </c>
      <c r="B2271" s="1" t="s">
        <v>1534</v>
      </c>
      <c r="C2271" s="1" t="s">
        <v>2462</v>
      </c>
      <c r="D2271" s="1" t="s">
        <v>1998</v>
      </c>
      <c r="E2271" s="1"/>
      <c r="F2271" s="1" t="s">
        <v>12</v>
      </c>
      <c r="G2271">
        <v>1</v>
      </c>
      <c r="H2271">
        <v>1</v>
      </c>
      <c r="I2271" s="2"/>
      <c r="J2271" s="2">
        <v>45751</v>
      </c>
      <c r="K2271" s="2">
        <v>45789</v>
      </c>
    </row>
    <row r="2272" spans="1:11" x14ac:dyDescent="0.25">
      <c r="A2272" s="1" t="s">
        <v>434</v>
      </c>
      <c r="B2272" s="1" t="s">
        <v>1534</v>
      </c>
      <c r="C2272" s="1" t="s">
        <v>2462</v>
      </c>
      <c r="D2272" s="1" t="s">
        <v>1998</v>
      </c>
      <c r="E2272" s="1"/>
      <c r="F2272" s="1" t="s">
        <v>12</v>
      </c>
      <c r="G2272">
        <v>1</v>
      </c>
      <c r="H2272">
        <v>1</v>
      </c>
      <c r="I2272" s="2"/>
      <c r="J2272" s="2">
        <v>45751</v>
      </c>
      <c r="K2272" s="2">
        <v>45789</v>
      </c>
    </row>
    <row r="2273" spans="1:11" x14ac:dyDescent="0.25">
      <c r="A2273" s="1" t="s">
        <v>434</v>
      </c>
      <c r="B2273" s="1" t="s">
        <v>1535</v>
      </c>
      <c r="C2273" s="1" t="s">
        <v>2463</v>
      </c>
      <c r="D2273" s="1" t="s">
        <v>1998</v>
      </c>
      <c r="E2273" s="1"/>
      <c r="F2273" s="1" t="s">
        <v>12</v>
      </c>
      <c r="G2273">
        <v>1</v>
      </c>
      <c r="H2273">
        <v>1</v>
      </c>
      <c r="I2273" s="2"/>
      <c r="J2273" s="2">
        <v>45751</v>
      </c>
      <c r="K2273" s="2">
        <v>45789</v>
      </c>
    </row>
    <row r="2274" spans="1:11" x14ac:dyDescent="0.25">
      <c r="A2274" s="1" t="s">
        <v>434</v>
      </c>
      <c r="B2274" s="1" t="s">
        <v>1535</v>
      </c>
      <c r="C2274" s="1" t="s">
        <v>2463</v>
      </c>
      <c r="D2274" s="1" t="s">
        <v>1998</v>
      </c>
      <c r="E2274" s="1"/>
      <c r="F2274" s="1" t="s">
        <v>12</v>
      </c>
      <c r="G2274">
        <v>1</v>
      </c>
      <c r="H2274">
        <v>1</v>
      </c>
      <c r="I2274" s="2"/>
      <c r="J2274" s="2">
        <v>45751</v>
      </c>
      <c r="K2274" s="2">
        <v>45789</v>
      </c>
    </row>
    <row r="2275" spans="1:11" x14ac:dyDescent="0.25">
      <c r="A2275" s="1" t="s">
        <v>434</v>
      </c>
      <c r="B2275" s="1" t="s">
        <v>1229</v>
      </c>
      <c r="C2275" s="1" t="s">
        <v>2213</v>
      </c>
      <c r="D2275" s="1" t="s">
        <v>1998</v>
      </c>
      <c r="E2275" s="1"/>
      <c r="F2275" s="1" t="s">
        <v>12</v>
      </c>
      <c r="G2275">
        <v>1</v>
      </c>
      <c r="H2275" t="e">
        <v>#NUM!</v>
      </c>
      <c r="I2275" s="2"/>
      <c r="J2275" s="2">
        <v>45751</v>
      </c>
      <c r="K2275" s="2">
        <v>45789</v>
      </c>
    </row>
    <row r="2276" spans="1:11" x14ac:dyDescent="0.25">
      <c r="A2276" s="1" t="s">
        <v>434</v>
      </c>
      <c r="B2276" s="1" t="s">
        <v>1229</v>
      </c>
      <c r="C2276" s="1" t="s">
        <v>2213</v>
      </c>
      <c r="D2276" s="1" t="s">
        <v>1998</v>
      </c>
      <c r="E2276" s="1"/>
      <c r="F2276" s="1" t="s">
        <v>12</v>
      </c>
      <c r="G2276">
        <v>1</v>
      </c>
      <c r="H2276">
        <v>1</v>
      </c>
      <c r="I2276" s="2"/>
      <c r="J2276" s="2">
        <v>45751</v>
      </c>
      <c r="K2276" s="2">
        <v>45789</v>
      </c>
    </row>
    <row r="2277" spans="1:11" x14ac:dyDescent="0.25">
      <c r="A2277" s="1" t="s">
        <v>434</v>
      </c>
      <c r="B2277" s="1" t="s">
        <v>1229</v>
      </c>
      <c r="C2277" s="1" t="s">
        <v>2213</v>
      </c>
      <c r="D2277" s="1" t="s">
        <v>1998</v>
      </c>
      <c r="E2277" s="1"/>
      <c r="F2277" s="1" t="s">
        <v>12</v>
      </c>
      <c r="G2277">
        <v>1</v>
      </c>
      <c r="H2277">
        <v>40</v>
      </c>
      <c r="I2277" s="2"/>
      <c r="J2277" s="2">
        <v>45751</v>
      </c>
      <c r="K2277" s="2">
        <v>45789</v>
      </c>
    </row>
    <row r="2278" spans="1:11" x14ac:dyDescent="0.25">
      <c r="A2278" s="1" t="s">
        <v>434</v>
      </c>
      <c r="B2278" s="1" t="s">
        <v>1536</v>
      </c>
      <c r="C2278" s="1" t="s">
        <v>2464</v>
      </c>
      <c r="D2278" s="1" t="s">
        <v>1998</v>
      </c>
      <c r="E2278" s="1"/>
      <c r="F2278" s="1" t="s">
        <v>12</v>
      </c>
      <c r="G2278">
        <v>1</v>
      </c>
      <c r="H2278">
        <v>5</v>
      </c>
      <c r="I2278" s="2"/>
      <c r="J2278" s="2">
        <v>45751</v>
      </c>
      <c r="K2278" s="2">
        <v>45789</v>
      </c>
    </row>
    <row r="2279" spans="1:11" x14ac:dyDescent="0.25">
      <c r="A2279" s="1" t="s">
        <v>434</v>
      </c>
      <c r="B2279" s="1" t="s">
        <v>1536</v>
      </c>
      <c r="C2279" s="1" t="s">
        <v>2464</v>
      </c>
      <c r="D2279" s="1" t="s">
        <v>1998</v>
      </c>
      <c r="E2279" s="1"/>
      <c r="F2279" s="1" t="s">
        <v>12</v>
      </c>
      <c r="G2279">
        <v>1</v>
      </c>
      <c r="H2279">
        <v>1</v>
      </c>
      <c r="I2279" s="2"/>
      <c r="J2279" s="2">
        <v>45751</v>
      </c>
      <c r="K2279" s="2">
        <v>45789</v>
      </c>
    </row>
    <row r="2280" spans="1:11" x14ac:dyDescent="0.25">
      <c r="A2280" s="1" t="s">
        <v>434</v>
      </c>
      <c r="B2280" s="1" t="s">
        <v>1536</v>
      </c>
      <c r="C2280" s="1" t="s">
        <v>2464</v>
      </c>
      <c r="D2280" s="1" t="s">
        <v>1998</v>
      </c>
      <c r="E2280" s="1"/>
      <c r="F2280" s="1" t="s">
        <v>12</v>
      </c>
      <c r="G2280">
        <v>1</v>
      </c>
      <c r="H2280">
        <v>5</v>
      </c>
      <c r="I2280" s="2"/>
      <c r="J2280" s="2">
        <v>45751</v>
      </c>
      <c r="K2280" s="2">
        <v>45789</v>
      </c>
    </row>
    <row r="2281" spans="1:11" x14ac:dyDescent="0.25">
      <c r="A2281" s="1" t="s">
        <v>434</v>
      </c>
      <c r="B2281" s="1" t="s">
        <v>1231</v>
      </c>
      <c r="C2281" s="1" t="s">
        <v>2215</v>
      </c>
      <c r="D2281" s="1" t="s">
        <v>1998</v>
      </c>
      <c r="E2281" s="1"/>
      <c r="F2281" s="1" t="s">
        <v>12</v>
      </c>
      <c r="G2281">
        <v>1</v>
      </c>
      <c r="H2281">
        <v>1</v>
      </c>
      <c r="I2281" s="2"/>
      <c r="J2281" s="2">
        <v>45751</v>
      </c>
      <c r="K2281" s="2">
        <v>45789</v>
      </c>
    </row>
    <row r="2282" spans="1:11" x14ac:dyDescent="0.25">
      <c r="A2282" s="1" t="s">
        <v>434</v>
      </c>
      <c r="B2282" s="1" t="s">
        <v>1231</v>
      </c>
      <c r="C2282" s="1" t="s">
        <v>2215</v>
      </c>
      <c r="D2282" s="1" t="s">
        <v>1998</v>
      </c>
      <c r="E2282" s="1"/>
      <c r="F2282" s="1" t="s">
        <v>12</v>
      </c>
      <c r="G2282">
        <v>1</v>
      </c>
      <c r="H2282">
        <v>1</v>
      </c>
      <c r="I2282" s="2"/>
      <c r="J2282" s="2">
        <v>45751</v>
      </c>
      <c r="K2282" s="2">
        <v>45789</v>
      </c>
    </row>
    <row r="2283" spans="1:11" x14ac:dyDescent="0.25">
      <c r="A2283" s="1" t="s">
        <v>434</v>
      </c>
      <c r="B2283" s="1" t="s">
        <v>1367</v>
      </c>
      <c r="C2283" s="1" t="s">
        <v>2317</v>
      </c>
      <c r="D2283" s="1" t="s">
        <v>1998</v>
      </c>
      <c r="E2283" s="1"/>
      <c r="F2283" s="1" t="s">
        <v>12</v>
      </c>
      <c r="G2283">
        <v>1</v>
      </c>
      <c r="H2283">
        <v>1</v>
      </c>
      <c r="I2283" s="2"/>
      <c r="J2283" s="2">
        <v>45751</v>
      </c>
      <c r="K2283" s="2">
        <v>45789</v>
      </c>
    </row>
    <row r="2284" spans="1:11" x14ac:dyDescent="0.25">
      <c r="A2284" s="1" t="s">
        <v>434</v>
      </c>
      <c r="B2284" s="1" t="s">
        <v>1537</v>
      </c>
      <c r="C2284" s="1" t="s">
        <v>2465</v>
      </c>
      <c r="D2284" s="1" t="s">
        <v>1998</v>
      </c>
      <c r="E2284" s="1"/>
      <c r="F2284" s="1" t="s">
        <v>12</v>
      </c>
      <c r="G2284">
        <v>1</v>
      </c>
      <c r="H2284">
        <v>1</v>
      </c>
      <c r="I2284" s="2"/>
      <c r="J2284" s="2">
        <v>45751</v>
      </c>
      <c r="K2284" s="2">
        <v>45789</v>
      </c>
    </row>
    <row r="2285" spans="1:11" x14ac:dyDescent="0.25">
      <c r="A2285" s="1" t="s">
        <v>434</v>
      </c>
      <c r="B2285" s="1" t="s">
        <v>1232</v>
      </c>
      <c r="C2285" s="1" t="s">
        <v>2216</v>
      </c>
      <c r="D2285" s="1" t="s">
        <v>1998</v>
      </c>
      <c r="E2285" s="1"/>
      <c r="F2285" s="1" t="s">
        <v>12</v>
      </c>
      <c r="G2285">
        <v>1</v>
      </c>
      <c r="H2285">
        <v>1</v>
      </c>
      <c r="I2285" s="2"/>
      <c r="J2285" s="2">
        <v>45751</v>
      </c>
      <c r="K2285" s="2">
        <v>45789</v>
      </c>
    </row>
    <row r="2286" spans="1:11" x14ac:dyDescent="0.25">
      <c r="A2286" s="1" t="s">
        <v>434</v>
      </c>
      <c r="B2286" s="1" t="s">
        <v>1232</v>
      </c>
      <c r="C2286" s="1" t="s">
        <v>2216</v>
      </c>
      <c r="D2286" s="1" t="s">
        <v>1998</v>
      </c>
      <c r="E2286" s="1"/>
      <c r="F2286" s="1" t="s">
        <v>12</v>
      </c>
      <c r="G2286">
        <v>1</v>
      </c>
      <c r="H2286">
        <v>1</v>
      </c>
      <c r="I2286" s="2"/>
      <c r="J2286" s="2">
        <v>45751</v>
      </c>
      <c r="K2286" s="2">
        <v>45789</v>
      </c>
    </row>
    <row r="2287" spans="1:11" x14ac:dyDescent="0.25">
      <c r="A2287" s="1" t="s">
        <v>434</v>
      </c>
      <c r="B2287" s="1" t="s">
        <v>1463</v>
      </c>
      <c r="C2287" s="1" t="s">
        <v>2400</v>
      </c>
      <c r="D2287" s="1" t="s">
        <v>1998</v>
      </c>
      <c r="E2287" s="1"/>
      <c r="F2287" s="1" t="s">
        <v>12</v>
      </c>
      <c r="G2287">
        <v>1</v>
      </c>
      <c r="H2287">
        <v>5</v>
      </c>
      <c r="I2287" s="2"/>
      <c r="J2287" s="2">
        <v>45751</v>
      </c>
      <c r="K2287" s="2">
        <v>45789</v>
      </c>
    </row>
    <row r="2288" spans="1:11" x14ac:dyDescent="0.25">
      <c r="A2288" s="1" t="s">
        <v>434</v>
      </c>
      <c r="B2288" s="1" t="s">
        <v>1463</v>
      </c>
      <c r="C2288" s="1" t="s">
        <v>2400</v>
      </c>
      <c r="D2288" s="1" t="s">
        <v>1998</v>
      </c>
      <c r="E2288" s="1"/>
      <c r="F2288" s="1" t="s">
        <v>12</v>
      </c>
      <c r="G2288">
        <v>1</v>
      </c>
      <c r="H2288">
        <v>5</v>
      </c>
      <c r="I2288" s="2"/>
      <c r="J2288" s="2">
        <v>45751</v>
      </c>
      <c r="K2288" s="2">
        <v>45789</v>
      </c>
    </row>
    <row r="2289" spans="1:11" x14ac:dyDescent="0.25">
      <c r="A2289" s="1" t="s">
        <v>434</v>
      </c>
      <c r="B2289" s="1" t="s">
        <v>1538</v>
      </c>
      <c r="C2289" s="1" t="s">
        <v>2466</v>
      </c>
      <c r="D2289" s="1" t="s">
        <v>1998</v>
      </c>
      <c r="E2289" s="1"/>
      <c r="F2289" s="1" t="s">
        <v>12</v>
      </c>
      <c r="G2289">
        <v>1</v>
      </c>
      <c r="H2289">
        <v>55</v>
      </c>
      <c r="I2289" s="2"/>
      <c r="J2289" s="2">
        <v>45751</v>
      </c>
      <c r="K2289" s="2">
        <v>45789</v>
      </c>
    </row>
    <row r="2290" spans="1:11" x14ac:dyDescent="0.25">
      <c r="A2290" s="1" t="s">
        <v>434</v>
      </c>
      <c r="B2290" s="1" t="s">
        <v>1539</v>
      </c>
      <c r="C2290" s="1" t="s">
        <v>2467</v>
      </c>
      <c r="D2290" s="1" t="s">
        <v>1998</v>
      </c>
      <c r="E2290" s="1"/>
      <c r="F2290" s="1" t="s">
        <v>12</v>
      </c>
      <c r="G2290">
        <v>1</v>
      </c>
      <c r="H2290">
        <v>1</v>
      </c>
      <c r="I2290" s="2"/>
      <c r="J2290" s="2">
        <v>45751</v>
      </c>
      <c r="K2290" s="2">
        <v>45789</v>
      </c>
    </row>
    <row r="2291" spans="1:11" x14ac:dyDescent="0.25">
      <c r="A2291" s="1" t="s">
        <v>434</v>
      </c>
      <c r="B2291" s="1" t="s">
        <v>1234</v>
      </c>
      <c r="C2291" s="1" t="s">
        <v>2218</v>
      </c>
      <c r="D2291" s="1" t="s">
        <v>1998</v>
      </c>
      <c r="E2291" s="1"/>
      <c r="F2291" s="1" t="s">
        <v>12</v>
      </c>
      <c r="G2291">
        <v>1</v>
      </c>
      <c r="H2291">
        <v>1</v>
      </c>
      <c r="I2291" s="2"/>
      <c r="J2291" s="2">
        <v>45751</v>
      </c>
      <c r="K2291" s="2">
        <v>45789</v>
      </c>
    </row>
    <row r="2292" spans="1:11" x14ac:dyDescent="0.25">
      <c r="A2292" s="1" t="s">
        <v>434</v>
      </c>
      <c r="B2292" s="1" t="s">
        <v>1464</v>
      </c>
      <c r="C2292" s="1" t="s">
        <v>2401</v>
      </c>
      <c r="D2292" s="1" t="s">
        <v>1998</v>
      </c>
      <c r="E2292" s="1"/>
      <c r="F2292" s="1" t="s">
        <v>12</v>
      </c>
      <c r="G2292">
        <v>1</v>
      </c>
      <c r="H2292">
        <v>1</v>
      </c>
      <c r="I2292" s="2"/>
      <c r="J2292" s="2">
        <v>45751</v>
      </c>
      <c r="K2292" s="2">
        <v>45789</v>
      </c>
    </row>
    <row r="2293" spans="1:11" x14ac:dyDescent="0.25">
      <c r="A2293" s="1" t="s">
        <v>434</v>
      </c>
      <c r="B2293" s="1" t="s">
        <v>1540</v>
      </c>
      <c r="C2293" s="1" t="s">
        <v>2468</v>
      </c>
      <c r="D2293" s="1" t="s">
        <v>1998</v>
      </c>
      <c r="E2293" s="1"/>
      <c r="F2293" s="1" t="s">
        <v>12</v>
      </c>
      <c r="G2293">
        <v>1</v>
      </c>
      <c r="H2293">
        <v>1</v>
      </c>
      <c r="I2293" s="2"/>
      <c r="J2293" s="2">
        <v>45751</v>
      </c>
      <c r="K2293" s="2">
        <v>45789</v>
      </c>
    </row>
    <row r="2294" spans="1:11" x14ac:dyDescent="0.25">
      <c r="A2294" s="1" t="s">
        <v>434</v>
      </c>
      <c r="B2294" s="1" t="s">
        <v>1540</v>
      </c>
      <c r="C2294" s="1" t="s">
        <v>2468</v>
      </c>
      <c r="D2294" s="1" t="s">
        <v>1998</v>
      </c>
      <c r="E2294" s="1"/>
      <c r="F2294" s="1" t="s">
        <v>12</v>
      </c>
      <c r="G2294">
        <v>1</v>
      </c>
      <c r="H2294">
        <v>1</v>
      </c>
      <c r="I2294" s="2"/>
      <c r="J2294" s="2">
        <v>45751</v>
      </c>
      <c r="K2294" s="2">
        <v>45789</v>
      </c>
    </row>
    <row r="2295" spans="1:11" x14ac:dyDescent="0.25">
      <c r="A2295" s="1" t="s">
        <v>434</v>
      </c>
      <c r="B2295" s="1" t="s">
        <v>1541</v>
      </c>
      <c r="C2295" s="1" t="s">
        <v>2469</v>
      </c>
      <c r="D2295" s="1" t="s">
        <v>1998</v>
      </c>
      <c r="E2295" s="1"/>
      <c r="F2295" s="1" t="s">
        <v>12</v>
      </c>
      <c r="G2295">
        <v>1</v>
      </c>
      <c r="H2295">
        <v>1</v>
      </c>
      <c r="I2295" s="2"/>
      <c r="J2295" s="2">
        <v>45751</v>
      </c>
      <c r="K2295" s="2">
        <v>45789</v>
      </c>
    </row>
    <row r="2296" spans="1:11" x14ac:dyDescent="0.25">
      <c r="A2296" s="1" t="s">
        <v>434</v>
      </c>
      <c r="B2296" s="1" t="s">
        <v>1541</v>
      </c>
      <c r="C2296" s="1" t="s">
        <v>2469</v>
      </c>
      <c r="D2296" s="1" t="s">
        <v>1998</v>
      </c>
      <c r="E2296" s="1"/>
      <c r="F2296" s="1" t="s">
        <v>12</v>
      </c>
      <c r="G2296">
        <v>1</v>
      </c>
      <c r="H2296">
        <v>1</v>
      </c>
      <c r="I2296" s="2"/>
      <c r="J2296" s="2">
        <v>45751</v>
      </c>
      <c r="K2296" s="2">
        <v>45789</v>
      </c>
    </row>
    <row r="2297" spans="1:11" x14ac:dyDescent="0.25">
      <c r="A2297" s="1" t="s">
        <v>435</v>
      </c>
      <c r="B2297" s="1" t="s">
        <v>1260</v>
      </c>
      <c r="C2297" s="1" t="s">
        <v>2014</v>
      </c>
      <c r="D2297" s="1" t="s">
        <v>1998</v>
      </c>
      <c r="E2297" s="1"/>
      <c r="F2297" s="1" t="s">
        <v>11</v>
      </c>
      <c r="G2297">
        <v>115</v>
      </c>
      <c r="H2297">
        <v>170</v>
      </c>
      <c r="I2297" s="2"/>
      <c r="J2297" s="2">
        <v>45742</v>
      </c>
      <c r="K2297" s="2">
        <v>45777</v>
      </c>
    </row>
    <row r="2298" spans="1:11" x14ac:dyDescent="0.25">
      <c r="A2298" s="1" t="s">
        <v>435</v>
      </c>
      <c r="B2298" s="1" t="s">
        <v>1261</v>
      </c>
      <c r="C2298" s="1" t="s">
        <v>2239</v>
      </c>
      <c r="D2298" s="1" t="s">
        <v>1998</v>
      </c>
      <c r="E2298" s="1"/>
      <c r="F2298" s="1" t="s">
        <v>11</v>
      </c>
      <c r="G2298">
        <v>80</v>
      </c>
      <c r="H2298">
        <v>90</v>
      </c>
      <c r="I2298" s="2"/>
      <c r="J2298" s="2">
        <v>45742</v>
      </c>
      <c r="K2298" s="2">
        <v>45777</v>
      </c>
    </row>
    <row r="2299" spans="1:11" x14ac:dyDescent="0.25">
      <c r="A2299" s="1" t="s">
        <v>436</v>
      </c>
      <c r="B2299" s="1" t="s">
        <v>1454</v>
      </c>
      <c r="C2299" s="1" t="s">
        <v>2391</v>
      </c>
      <c r="D2299" s="1" t="s">
        <v>1998</v>
      </c>
      <c r="E2299" s="1"/>
      <c r="F2299" s="1" t="s">
        <v>11</v>
      </c>
      <c r="G2299">
        <v>1865</v>
      </c>
      <c r="H2299">
        <v>1865</v>
      </c>
      <c r="I2299" s="2">
        <v>45782</v>
      </c>
      <c r="J2299" s="2">
        <v>45770</v>
      </c>
      <c r="K2299" s="2">
        <v>45782</v>
      </c>
    </row>
    <row r="2300" spans="1:11" x14ac:dyDescent="0.25">
      <c r="A2300" s="1" t="s">
        <v>436</v>
      </c>
      <c r="B2300" s="1" t="s">
        <v>1454</v>
      </c>
      <c r="C2300" s="1" t="s">
        <v>2391</v>
      </c>
      <c r="D2300" s="1" t="s">
        <v>1998</v>
      </c>
      <c r="E2300" s="1"/>
      <c r="F2300" s="1" t="s">
        <v>11</v>
      </c>
      <c r="G2300">
        <v>5</v>
      </c>
      <c r="H2300">
        <v>5</v>
      </c>
      <c r="I2300" s="2">
        <v>45782</v>
      </c>
      <c r="J2300" s="2">
        <v>45770</v>
      </c>
      <c r="K2300" s="2">
        <v>45782</v>
      </c>
    </row>
    <row r="2301" spans="1:11" x14ac:dyDescent="0.25">
      <c r="A2301" s="1" t="s">
        <v>436</v>
      </c>
      <c r="B2301" s="1" t="s">
        <v>1454</v>
      </c>
      <c r="C2301" s="1" t="s">
        <v>2391</v>
      </c>
      <c r="D2301" s="1" t="s">
        <v>1998</v>
      </c>
      <c r="E2301" s="1"/>
      <c r="F2301" s="1" t="s">
        <v>16</v>
      </c>
      <c r="G2301">
        <v>40</v>
      </c>
      <c r="H2301">
        <v>40</v>
      </c>
      <c r="I2301" s="2">
        <v>45782</v>
      </c>
      <c r="J2301" s="2">
        <v>45770</v>
      </c>
      <c r="K2301" s="2">
        <v>45782</v>
      </c>
    </row>
    <row r="2302" spans="1:11" x14ac:dyDescent="0.25">
      <c r="A2302" s="1" t="s">
        <v>436</v>
      </c>
      <c r="B2302" s="1" t="s">
        <v>1454</v>
      </c>
      <c r="C2302" s="1" t="s">
        <v>2391</v>
      </c>
      <c r="D2302" s="1" t="s">
        <v>1998</v>
      </c>
      <c r="E2302" s="1"/>
      <c r="F2302" s="1" t="s">
        <v>16</v>
      </c>
      <c r="G2302">
        <v>10</v>
      </c>
      <c r="H2302">
        <v>10</v>
      </c>
      <c r="I2302" s="2">
        <v>45782</v>
      </c>
      <c r="J2302" s="2">
        <v>45770</v>
      </c>
      <c r="K2302" s="2">
        <v>45782</v>
      </c>
    </row>
    <row r="2303" spans="1:11" x14ac:dyDescent="0.25">
      <c r="A2303" s="1" t="s">
        <v>436</v>
      </c>
      <c r="B2303" s="1" t="s">
        <v>1455</v>
      </c>
      <c r="C2303" s="1" t="s">
        <v>2392</v>
      </c>
      <c r="D2303" s="1" t="s">
        <v>1998</v>
      </c>
      <c r="E2303" s="1"/>
      <c r="F2303" s="1" t="s">
        <v>11</v>
      </c>
      <c r="G2303">
        <v>960</v>
      </c>
      <c r="H2303">
        <v>960</v>
      </c>
      <c r="I2303" s="2">
        <v>45782</v>
      </c>
      <c r="J2303" s="2">
        <v>45770</v>
      </c>
      <c r="K2303" s="2">
        <v>45782</v>
      </c>
    </row>
    <row r="2304" spans="1:11" x14ac:dyDescent="0.25">
      <c r="A2304" s="1" t="s">
        <v>436</v>
      </c>
      <c r="B2304" s="1" t="s">
        <v>1456</v>
      </c>
      <c r="C2304" s="1" t="s">
        <v>2393</v>
      </c>
      <c r="D2304" s="1" t="s">
        <v>1998</v>
      </c>
      <c r="E2304" s="1"/>
      <c r="F2304" s="1" t="s">
        <v>11</v>
      </c>
      <c r="G2304">
        <v>1325</v>
      </c>
      <c r="H2304">
        <v>1325</v>
      </c>
      <c r="I2304" s="2">
        <v>45782</v>
      </c>
      <c r="J2304" s="2">
        <v>45770</v>
      </c>
      <c r="K2304" s="2">
        <v>45782</v>
      </c>
    </row>
    <row r="2305" spans="1:11" x14ac:dyDescent="0.25">
      <c r="A2305" s="1" t="s">
        <v>436</v>
      </c>
      <c r="B2305" s="1" t="s">
        <v>1542</v>
      </c>
      <c r="C2305" s="1" t="s">
        <v>2470</v>
      </c>
      <c r="D2305" s="1" t="s">
        <v>1998</v>
      </c>
      <c r="E2305" s="1"/>
      <c r="F2305" s="1" t="s">
        <v>11</v>
      </c>
      <c r="G2305">
        <v>2960</v>
      </c>
      <c r="H2305">
        <v>2960</v>
      </c>
      <c r="I2305" s="2">
        <v>45782</v>
      </c>
      <c r="J2305" s="2">
        <v>45770</v>
      </c>
      <c r="K2305" s="2">
        <v>45782</v>
      </c>
    </row>
    <row r="2306" spans="1:11" x14ac:dyDescent="0.25">
      <c r="A2306" s="1" t="s">
        <v>436</v>
      </c>
      <c r="B2306" s="1" t="s">
        <v>1543</v>
      </c>
      <c r="C2306" s="1" t="s">
        <v>2471</v>
      </c>
      <c r="D2306" s="1" t="s">
        <v>1998</v>
      </c>
      <c r="E2306" s="1"/>
      <c r="F2306" s="1" t="s">
        <v>11</v>
      </c>
      <c r="G2306">
        <v>2610</v>
      </c>
      <c r="H2306">
        <v>2610</v>
      </c>
      <c r="I2306" s="2">
        <v>45782</v>
      </c>
      <c r="J2306" s="2">
        <v>45770</v>
      </c>
      <c r="K2306" s="2">
        <v>45782</v>
      </c>
    </row>
    <row r="2307" spans="1:11" x14ac:dyDescent="0.25">
      <c r="A2307" s="1" t="s">
        <v>437</v>
      </c>
      <c r="B2307" s="1" t="s">
        <v>1078</v>
      </c>
      <c r="C2307" s="1" t="s">
        <v>2081</v>
      </c>
      <c r="D2307" s="1" t="s">
        <v>1998</v>
      </c>
      <c r="E2307" s="1"/>
      <c r="F2307" s="1" t="s">
        <v>11</v>
      </c>
      <c r="G2307">
        <v>2150</v>
      </c>
      <c r="H2307">
        <v>2505</v>
      </c>
      <c r="I2307" s="2">
        <v>45789</v>
      </c>
      <c r="J2307" s="2">
        <v>45742</v>
      </c>
      <c r="K2307" s="2">
        <v>45789</v>
      </c>
    </row>
    <row r="2308" spans="1:11" x14ac:dyDescent="0.25">
      <c r="A2308" s="1" t="s">
        <v>437</v>
      </c>
      <c r="B2308" s="1" t="s">
        <v>1544</v>
      </c>
      <c r="C2308" s="1" t="s">
        <v>2472</v>
      </c>
      <c r="D2308" s="1" t="s">
        <v>1998</v>
      </c>
      <c r="E2308" s="1"/>
      <c r="F2308" s="1" t="s">
        <v>11</v>
      </c>
      <c r="G2308">
        <v>3275</v>
      </c>
      <c r="H2308">
        <v>3825</v>
      </c>
      <c r="I2308" s="2">
        <v>45789</v>
      </c>
      <c r="J2308" s="2">
        <v>45742</v>
      </c>
      <c r="K2308" s="2">
        <v>45789</v>
      </c>
    </row>
    <row r="2309" spans="1:11" x14ac:dyDescent="0.25">
      <c r="A2309" s="1" t="s">
        <v>437</v>
      </c>
      <c r="B2309" s="1" t="s">
        <v>1545</v>
      </c>
      <c r="C2309" s="1" t="s">
        <v>2081</v>
      </c>
      <c r="D2309" s="1" t="s">
        <v>1998</v>
      </c>
      <c r="E2309" s="1"/>
      <c r="F2309" s="1" t="s">
        <v>11</v>
      </c>
      <c r="G2309">
        <v>2675</v>
      </c>
      <c r="H2309">
        <v>2675</v>
      </c>
      <c r="I2309" s="2">
        <v>45789</v>
      </c>
      <c r="J2309" s="2">
        <v>45742</v>
      </c>
      <c r="K2309" s="2">
        <v>45789</v>
      </c>
    </row>
    <row r="2310" spans="1:11" x14ac:dyDescent="0.25">
      <c r="A2310" s="1" t="s">
        <v>437</v>
      </c>
      <c r="B2310" s="1" t="s">
        <v>1546</v>
      </c>
      <c r="C2310" s="1" t="s">
        <v>2473</v>
      </c>
      <c r="D2310" s="1" t="s">
        <v>1998</v>
      </c>
      <c r="E2310" s="1"/>
      <c r="F2310" s="1" t="s">
        <v>11</v>
      </c>
      <c r="G2310">
        <v>1030</v>
      </c>
      <c r="H2310">
        <v>1205</v>
      </c>
      <c r="I2310" s="2">
        <v>45789</v>
      </c>
      <c r="J2310" s="2">
        <v>45742</v>
      </c>
      <c r="K2310" s="2">
        <v>45789</v>
      </c>
    </row>
    <row r="2311" spans="1:11" x14ac:dyDescent="0.25">
      <c r="A2311" s="1" t="s">
        <v>437</v>
      </c>
      <c r="B2311" s="1" t="s">
        <v>1547</v>
      </c>
      <c r="C2311" s="1" t="s">
        <v>2164</v>
      </c>
      <c r="D2311" s="1" t="s">
        <v>1998</v>
      </c>
      <c r="E2311" s="1"/>
      <c r="F2311" s="1" t="s">
        <v>11</v>
      </c>
      <c r="G2311">
        <v>1810</v>
      </c>
      <c r="H2311">
        <v>2080</v>
      </c>
      <c r="I2311" s="2">
        <v>45789</v>
      </c>
      <c r="J2311" s="2">
        <v>45742</v>
      </c>
      <c r="K2311" s="2">
        <v>45789</v>
      </c>
    </row>
    <row r="2312" spans="1:11" x14ac:dyDescent="0.25">
      <c r="A2312" s="1" t="s">
        <v>437</v>
      </c>
      <c r="B2312" s="1" t="s">
        <v>1547</v>
      </c>
      <c r="C2312" s="1" t="s">
        <v>2164</v>
      </c>
      <c r="D2312" s="1" t="s">
        <v>1998</v>
      </c>
      <c r="E2312" s="1"/>
      <c r="F2312" s="1" t="s">
        <v>11</v>
      </c>
      <c r="G2312">
        <v>510</v>
      </c>
      <c r="H2312">
        <v>1</v>
      </c>
      <c r="I2312" s="2">
        <v>45789</v>
      </c>
      <c r="J2312" s="2">
        <v>45742</v>
      </c>
      <c r="K2312" s="2">
        <v>45789</v>
      </c>
    </row>
    <row r="2313" spans="1:11" x14ac:dyDescent="0.25">
      <c r="A2313" s="1" t="s">
        <v>437</v>
      </c>
      <c r="B2313" s="1" t="s">
        <v>1548</v>
      </c>
      <c r="C2313" s="1" t="s">
        <v>2474</v>
      </c>
      <c r="D2313" s="1" t="s">
        <v>1998</v>
      </c>
      <c r="E2313" s="1"/>
      <c r="F2313" s="1" t="s">
        <v>11</v>
      </c>
      <c r="G2313">
        <v>3070</v>
      </c>
      <c r="H2313">
        <v>3580</v>
      </c>
      <c r="I2313" s="2">
        <v>45789</v>
      </c>
      <c r="J2313" s="2">
        <v>45742</v>
      </c>
      <c r="K2313" s="2">
        <v>45789</v>
      </c>
    </row>
    <row r="2314" spans="1:11" x14ac:dyDescent="0.25">
      <c r="A2314" s="1" t="s">
        <v>438</v>
      </c>
      <c r="B2314" s="1" t="s">
        <v>1256</v>
      </c>
      <c r="C2314" s="1" t="s">
        <v>2014</v>
      </c>
      <c r="D2314" s="1" t="s">
        <v>1998</v>
      </c>
      <c r="E2314" s="1"/>
      <c r="F2314" s="1" t="s">
        <v>11</v>
      </c>
      <c r="G2314">
        <v>3990</v>
      </c>
      <c r="H2314">
        <v>3990</v>
      </c>
      <c r="I2314" s="2"/>
      <c r="J2314" s="2">
        <v>45743</v>
      </c>
      <c r="K2314" s="2">
        <v>45789</v>
      </c>
    </row>
    <row r="2315" spans="1:11" x14ac:dyDescent="0.25">
      <c r="A2315" s="1" t="s">
        <v>438</v>
      </c>
      <c r="B2315" s="1" t="s">
        <v>1257</v>
      </c>
      <c r="C2315" s="1" t="s">
        <v>2236</v>
      </c>
      <c r="D2315" s="1" t="s">
        <v>1998</v>
      </c>
      <c r="E2315" s="1"/>
      <c r="F2315" s="1" t="s">
        <v>11</v>
      </c>
      <c r="G2315">
        <v>2330</v>
      </c>
      <c r="H2315">
        <v>2380</v>
      </c>
      <c r="I2315" s="2"/>
      <c r="J2315" s="2">
        <v>45743</v>
      </c>
      <c r="K2315" s="2">
        <v>45789</v>
      </c>
    </row>
    <row r="2316" spans="1:11" x14ac:dyDescent="0.25">
      <c r="A2316" s="1" t="s">
        <v>439</v>
      </c>
      <c r="B2316" s="1" t="s">
        <v>1033</v>
      </c>
      <c r="C2316" s="1" t="s">
        <v>2046</v>
      </c>
      <c r="D2316" s="1" t="s">
        <v>1998</v>
      </c>
      <c r="E2316" s="1"/>
      <c r="F2316" s="1" t="s">
        <v>11</v>
      </c>
      <c r="G2316">
        <v>105</v>
      </c>
      <c r="H2316">
        <v>1</v>
      </c>
      <c r="I2316" s="2"/>
      <c r="J2316" s="2">
        <v>45743</v>
      </c>
      <c r="K2316" s="2">
        <v>45757</v>
      </c>
    </row>
    <row r="2317" spans="1:11" x14ac:dyDescent="0.25">
      <c r="A2317" s="1" t="s">
        <v>439</v>
      </c>
      <c r="B2317" s="1" t="s">
        <v>1034</v>
      </c>
      <c r="C2317" s="1" t="s">
        <v>2047</v>
      </c>
      <c r="D2317" s="1" t="s">
        <v>1998</v>
      </c>
      <c r="E2317" s="1"/>
      <c r="F2317" s="1" t="s">
        <v>11</v>
      </c>
      <c r="G2317">
        <v>250</v>
      </c>
      <c r="H2317">
        <v>1</v>
      </c>
      <c r="I2317" s="2"/>
      <c r="J2317" s="2">
        <v>45743</v>
      </c>
      <c r="K2317" s="2">
        <v>45757</v>
      </c>
    </row>
    <row r="2318" spans="1:11" x14ac:dyDescent="0.25">
      <c r="A2318" s="1" t="s">
        <v>439</v>
      </c>
      <c r="B2318" s="1" t="s">
        <v>1549</v>
      </c>
      <c r="C2318" s="1" t="s">
        <v>2475</v>
      </c>
      <c r="D2318" s="1" t="s">
        <v>1998</v>
      </c>
      <c r="E2318" s="1"/>
      <c r="F2318" s="1" t="s">
        <v>11</v>
      </c>
      <c r="G2318">
        <v>975</v>
      </c>
      <c r="H2318">
        <v>975</v>
      </c>
      <c r="I2318" s="2"/>
      <c r="J2318" s="2">
        <v>45743</v>
      </c>
      <c r="K2318" s="2">
        <v>45757</v>
      </c>
    </row>
    <row r="2319" spans="1:11" x14ac:dyDescent="0.25">
      <c r="A2319" s="1" t="s">
        <v>439</v>
      </c>
      <c r="B2319" s="1" t="s">
        <v>1550</v>
      </c>
      <c r="C2319" s="1" t="s">
        <v>2476</v>
      </c>
      <c r="D2319" s="1" t="s">
        <v>1998</v>
      </c>
      <c r="E2319" s="1"/>
      <c r="F2319" s="1" t="s">
        <v>11</v>
      </c>
      <c r="G2319">
        <v>570</v>
      </c>
      <c r="H2319">
        <v>575</v>
      </c>
      <c r="I2319" s="2"/>
      <c r="J2319" s="2">
        <v>45743</v>
      </c>
      <c r="K2319" s="2">
        <v>45757</v>
      </c>
    </row>
    <row r="2320" spans="1:11" x14ac:dyDescent="0.25">
      <c r="A2320" s="1" t="s">
        <v>439</v>
      </c>
      <c r="B2320" s="1" t="s">
        <v>1551</v>
      </c>
      <c r="C2320" s="1" t="s">
        <v>2477</v>
      </c>
      <c r="D2320" s="1" t="s">
        <v>1998</v>
      </c>
      <c r="E2320" s="1"/>
      <c r="F2320" s="1" t="s">
        <v>11</v>
      </c>
      <c r="G2320">
        <v>1140</v>
      </c>
      <c r="H2320">
        <v>1140</v>
      </c>
      <c r="I2320" s="2"/>
      <c r="J2320" s="2">
        <v>45743</v>
      </c>
      <c r="K2320" s="2">
        <v>45757</v>
      </c>
    </row>
    <row r="2321" spans="1:11" x14ac:dyDescent="0.25">
      <c r="A2321" s="1" t="s">
        <v>439</v>
      </c>
      <c r="B2321" s="1" t="s">
        <v>1191</v>
      </c>
      <c r="C2321" s="1" t="s">
        <v>2182</v>
      </c>
      <c r="D2321" s="1" t="s">
        <v>1998</v>
      </c>
      <c r="E2321" s="1"/>
      <c r="F2321" s="1" t="s">
        <v>11</v>
      </c>
      <c r="G2321">
        <v>10</v>
      </c>
      <c r="H2321">
        <v>1</v>
      </c>
      <c r="I2321" s="2"/>
      <c r="J2321" s="2">
        <v>45743</v>
      </c>
      <c r="K2321" s="2">
        <v>45757</v>
      </c>
    </row>
    <row r="2322" spans="1:11" x14ac:dyDescent="0.25">
      <c r="A2322" s="1" t="s">
        <v>439</v>
      </c>
      <c r="B2322" s="1" t="s">
        <v>1192</v>
      </c>
      <c r="C2322" s="1" t="s">
        <v>2183</v>
      </c>
      <c r="D2322" s="1" t="s">
        <v>1998</v>
      </c>
      <c r="E2322" s="1"/>
      <c r="F2322" s="1" t="s">
        <v>11</v>
      </c>
      <c r="G2322">
        <v>10</v>
      </c>
      <c r="H2322">
        <v>1</v>
      </c>
      <c r="I2322" s="2"/>
      <c r="J2322" s="2">
        <v>45743</v>
      </c>
      <c r="K2322" s="2">
        <v>45757</v>
      </c>
    </row>
    <row r="2323" spans="1:11" x14ac:dyDescent="0.25">
      <c r="A2323" s="1" t="s">
        <v>439</v>
      </c>
      <c r="B2323" s="1" t="s">
        <v>1552</v>
      </c>
      <c r="C2323" s="1" t="s">
        <v>2478</v>
      </c>
      <c r="D2323" s="1" t="s">
        <v>1998</v>
      </c>
      <c r="E2323" s="1"/>
      <c r="F2323" s="1" t="s">
        <v>11</v>
      </c>
      <c r="G2323">
        <v>35</v>
      </c>
      <c r="H2323">
        <v>1</v>
      </c>
      <c r="I2323" s="2"/>
      <c r="J2323" s="2">
        <v>45743</v>
      </c>
      <c r="K2323" s="2">
        <v>45757</v>
      </c>
    </row>
    <row r="2324" spans="1:11" x14ac:dyDescent="0.25">
      <c r="A2324" s="1" t="s">
        <v>439</v>
      </c>
      <c r="B2324" s="1" t="s">
        <v>1040</v>
      </c>
      <c r="C2324" s="1" t="s">
        <v>2050</v>
      </c>
      <c r="D2324" s="1" t="s">
        <v>1998</v>
      </c>
      <c r="E2324" s="1"/>
      <c r="F2324" s="1" t="s">
        <v>11</v>
      </c>
      <c r="G2324">
        <v>35</v>
      </c>
      <c r="H2324">
        <v>1</v>
      </c>
      <c r="I2324" s="2"/>
      <c r="J2324" s="2">
        <v>45743</v>
      </c>
      <c r="K2324" s="2">
        <v>45757</v>
      </c>
    </row>
    <row r="2325" spans="1:11" x14ac:dyDescent="0.25">
      <c r="A2325" s="1" t="s">
        <v>439</v>
      </c>
      <c r="B2325" s="1" t="s">
        <v>1027</v>
      </c>
      <c r="C2325" s="1" t="s">
        <v>2040</v>
      </c>
      <c r="D2325" s="1" t="s">
        <v>1998</v>
      </c>
      <c r="E2325" s="1"/>
      <c r="F2325" s="1" t="s">
        <v>11</v>
      </c>
      <c r="G2325">
        <v>110</v>
      </c>
      <c r="H2325">
        <v>110</v>
      </c>
      <c r="I2325" s="2"/>
      <c r="J2325" s="2">
        <v>45743</v>
      </c>
      <c r="K2325" s="2">
        <v>45757</v>
      </c>
    </row>
    <row r="2326" spans="1:11" x14ac:dyDescent="0.25">
      <c r="A2326" s="1" t="s">
        <v>439</v>
      </c>
      <c r="B2326" s="1" t="s">
        <v>1013</v>
      </c>
      <c r="C2326" s="1" t="s">
        <v>2030</v>
      </c>
      <c r="D2326" s="1" t="s">
        <v>1998</v>
      </c>
      <c r="E2326" s="1"/>
      <c r="F2326" s="1" t="s">
        <v>11</v>
      </c>
      <c r="G2326">
        <v>20</v>
      </c>
      <c r="H2326">
        <v>20</v>
      </c>
      <c r="I2326" s="2"/>
      <c r="J2326" s="2">
        <v>45743</v>
      </c>
      <c r="K2326" s="2">
        <v>45757</v>
      </c>
    </row>
    <row r="2327" spans="1:11" x14ac:dyDescent="0.25">
      <c r="A2327" s="1" t="s">
        <v>439</v>
      </c>
      <c r="B2327" s="1" t="s">
        <v>993</v>
      </c>
      <c r="C2327" s="1" t="s">
        <v>2011</v>
      </c>
      <c r="D2327" s="1" t="s">
        <v>1998</v>
      </c>
      <c r="E2327" s="1"/>
      <c r="F2327" s="1" t="s">
        <v>11</v>
      </c>
      <c r="G2327">
        <v>5</v>
      </c>
      <c r="H2327">
        <v>5</v>
      </c>
      <c r="I2327" s="2"/>
      <c r="J2327" s="2">
        <v>45743</v>
      </c>
      <c r="K2327" s="2">
        <v>45757</v>
      </c>
    </row>
    <row r="2328" spans="1:11" x14ac:dyDescent="0.25">
      <c r="A2328" s="1" t="s">
        <v>439</v>
      </c>
      <c r="B2328" s="1" t="s">
        <v>993</v>
      </c>
      <c r="C2328" s="1" t="s">
        <v>2011</v>
      </c>
      <c r="D2328" s="1" t="s">
        <v>1998</v>
      </c>
      <c r="E2328" s="1"/>
      <c r="F2328" s="1" t="s">
        <v>11</v>
      </c>
      <c r="G2328">
        <v>20</v>
      </c>
      <c r="H2328">
        <v>20</v>
      </c>
      <c r="I2328" s="2"/>
      <c r="J2328" s="2">
        <v>45743</v>
      </c>
      <c r="K2328" s="2">
        <v>45757</v>
      </c>
    </row>
    <row r="2329" spans="1:11" x14ac:dyDescent="0.25">
      <c r="A2329" s="1" t="s">
        <v>440</v>
      </c>
      <c r="B2329" s="1" t="s">
        <v>1305</v>
      </c>
      <c r="C2329" s="1" t="s">
        <v>2277</v>
      </c>
      <c r="D2329" s="1" t="s">
        <v>1998</v>
      </c>
      <c r="E2329" s="1"/>
      <c r="F2329" s="1" t="s">
        <v>11</v>
      </c>
      <c r="G2329">
        <v>30</v>
      </c>
      <c r="H2329">
        <v>30</v>
      </c>
      <c r="I2329" s="2"/>
      <c r="J2329" s="2">
        <v>45743</v>
      </c>
      <c r="K2329" s="2">
        <v>45778</v>
      </c>
    </row>
    <row r="2330" spans="1:11" x14ac:dyDescent="0.25">
      <c r="A2330" s="1" t="s">
        <v>440</v>
      </c>
      <c r="B2330" s="1" t="s">
        <v>1306</v>
      </c>
      <c r="C2330" s="1" t="s">
        <v>2278</v>
      </c>
      <c r="D2330" s="1" t="s">
        <v>1998</v>
      </c>
      <c r="E2330" s="1"/>
      <c r="F2330" s="1" t="s">
        <v>11</v>
      </c>
      <c r="G2330">
        <v>25</v>
      </c>
      <c r="H2330">
        <v>25</v>
      </c>
      <c r="I2330" s="2"/>
      <c r="J2330" s="2">
        <v>45743</v>
      </c>
      <c r="K2330" s="2">
        <v>45778</v>
      </c>
    </row>
    <row r="2331" spans="1:11" x14ac:dyDescent="0.25">
      <c r="A2331" s="1" t="s">
        <v>440</v>
      </c>
      <c r="B2331" s="1" t="s">
        <v>1307</v>
      </c>
      <c r="C2331" s="1" t="s">
        <v>2279</v>
      </c>
      <c r="D2331" s="1" t="s">
        <v>1998</v>
      </c>
      <c r="E2331" s="1"/>
      <c r="F2331" s="1" t="s">
        <v>11</v>
      </c>
      <c r="G2331">
        <v>1</v>
      </c>
      <c r="H2331">
        <v>1</v>
      </c>
      <c r="I2331" s="2"/>
      <c r="J2331" s="2">
        <v>45743</v>
      </c>
      <c r="K2331" s="2">
        <v>45778</v>
      </c>
    </row>
    <row r="2332" spans="1:11" x14ac:dyDescent="0.25">
      <c r="A2332" s="1" t="s">
        <v>440</v>
      </c>
      <c r="B2332" s="1" t="s">
        <v>1308</v>
      </c>
      <c r="C2332" s="1" t="s">
        <v>2280</v>
      </c>
      <c r="D2332" s="1" t="s">
        <v>1998</v>
      </c>
      <c r="E2332" s="1"/>
      <c r="F2332" s="1" t="s">
        <v>11</v>
      </c>
      <c r="G2332">
        <v>1</v>
      </c>
      <c r="H2332">
        <v>1</v>
      </c>
      <c r="I2332" s="2"/>
      <c r="J2332" s="2">
        <v>45743</v>
      </c>
      <c r="K2332" s="2">
        <v>45778</v>
      </c>
    </row>
    <row r="2333" spans="1:11" x14ac:dyDescent="0.25">
      <c r="A2333" s="1" t="s">
        <v>440</v>
      </c>
      <c r="B2333" s="1" t="s">
        <v>1309</v>
      </c>
      <c r="C2333" s="1" t="s">
        <v>2281</v>
      </c>
      <c r="D2333" s="1" t="s">
        <v>1998</v>
      </c>
      <c r="E2333" s="1"/>
      <c r="F2333" s="1" t="s">
        <v>11</v>
      </c>
      <c r="G2333">
        <v>545</v>
      </c>
      <c r="H2333">
        <v>545</v>
      </c>
      <c r="I2333" s="2"/>
      <c r="J2333" s="2">
        <v>45743</v>
      </c>
      <c r="K2333" s="2">
        <v>45778</v>
      </c>
    </row>
    <row r="2334" spans="1:11" x14ac:dyDescent="0.25">
      <c r="A2334" s="1" t="s">
        <v>440</v>
      </c>
      <c r="B2334" s="1" t="s">
        <v>1310</v>
      </c>
      <c r="C2334" s="1" t="s">
        <v>2115</v>
      </c>
      <c r="D2334" s="1" t="s">
        <v>1998</v>
      </c>
      <c r="E2334" s="1"/>
      <c r="F2334" s="1" t="s">
        <v>11</v>
      </c>
      <c r="G2334">
        <v>775</v>
      </c>
      <c r="H2334">
        <v>775</v>
      </c>
      <c r="I2334" s="2"/>
      <c r="J2334" s="2">
        <v>45743</v>
      </c>
      <c r="K2334" s="2">
        <v>45778</v>
      </c>
    </row>
    <row r="2335" spans="1:11" x14ac:dyDescent="0.25">
      <c r="A2335" s="1" t="s">
        <v>440</v>
      </c>
      <c r="B2335" s="1" t="s">
        <v>1311</v>
      </c>
      <c r="C2335" s="1" t="s">
        <v>2282</v>
      </c>
      <c r="D2335" s="1" t="s">
        <v>1998</v>
      </c>
      <c r="E2335" s="1"/>
      <c r="F2335" s="1" t="s">
        <v>11</v>
      </c>
      <c r="G2335">
        <v>215</v>
      </c>
      <c r="H2335">
        <v>215</v>
      </c>
      <c r="I2335" s="2"/>
      <c r="J2335" s="2">
        <v>45743</v>
      </c>
      <c r="K2335" s="2">
        <v>45778</v>
      </c>
    </row>
    <row r="2336" spans="1:11" x14ac:dyDescent="0.25">
      <c r="A2336" s="1" t="s">
        <v>440</v>
      </c>
      <c r="B2336" s="1" t="s">
        <v>1323</v>
      </c>
      <c r="C2336" s="1" t="s">
        <v>2282</v>
      </c>
      <c r="D2336" s="1" t="s">
        <v>1998</v>
      </c>
      <c r="E2336" s="1"/>
      <c r="F2336" s="1" t="s">
        <v>11</v>
      </c>
      <c r="G2336">
        <v>200</v>
      </c>
      <c r="H2336">
        <v>200</v>
      </c>
      <c r="I2336" s="2"/>
      <c r="J2336" s="2">
        <v>45743</v>
      </c>
      <c r="K2336" s="2">
        <v>45778</v>
      </c>
    </row>
    <row r="2337" spans="1:11" x14ac:dyDescent="0.25">
      <c r="A2337" s="1" t="s">
        <v>440</v>
      </c>
      <c r="B2337" s="1" t="s">
        <v>1312</v>
      </c>
      <c r="C2337" s="1" t="s">
        <v>2283</v>
      </c>
      <c r="D2337" s="1" t="s">
        <v>1998</v>
      </c>
      <c r="E2337" s="1"/>
      <c r="F2337" s="1" t="s">
        <v>11</v>
      </c>
      <c r="G2337">
        <v>85</v>
      </c>
      <c r="H2337">
        <v>85</v>
      </c>
      <c r="I2337" s="2"/>
      <c r="J2337" s="2">
        <v>45743</v>
      </c>
      <c r="K2337" s="2">
        <v>45778</v>
      </c>
    </row>
    <row r="2338" spans="1:11" x14ac:dyDescent="0.25">
      <c r="A2338" s="1" t="s">
        <v>440</v>
      </c>
      <c r="B2338" s="1" t="s">
        <v>1313</v>
      </c>
      <c r="C2338" s="1" t="s">
        <v>2284</v>
      </c>
      <c r="D2338" s="1" t="s">
        <v>1998</v>
      </c>
      <c r="E2338" s="1"/>
      <c r="F2338" s="1" t="s">
        <v>11</v>
      </c>
      <c r="G2338">
        <v>115</v>
      </c>
      <c r="H2338">
        <v>115</v>
      </c>
      <c r="I2338" s="2"/>
      <c r="J2338" s="2">
        <v>45743</v>
      </c>
      <c r="K2338" s="2">
        <v>45778</v>
      </c>
    </row>
    <row r="2339" spans="1:11" x14ac:dyDescent="0.25">
      <c r="A2339" s="1" t="s">
        <v>440</v>
      </c>
      <c r="B2339" s="1" t="s">
        <v>1314</v>
      </c>
      <c r="C2339" s="1" t="s">
        <v>2285</v>
      </c>
      <c r="D2339" s="1" t="s">
        <v>1998</v>
      </c>
      <c r="E2339" s="1"/>
      <c r="F2339" s="1" t="s">
        <v>11</v>
      </c>
      <c r="G2339">
        <v>60</v>
      </c>
      <c r="H2339">
        <v>60</v>
      </c>
      <c r="I2339" s="2"/>
      <c r="J2339" s="2">
        <v>45743</v>
      </c>
      <c r="K2339" s="2">
        <v>45778</v>
      </c>
    </row>
    <row r="2340" spans="1:11" x14ac:dyDescent="0.25">
      <c r="A2340" s="1" t="s">
        <v>440</v>
      </c>
      <c r="B2340" s="1" t="s">
        <v>1315</v>
      </c>
      <c r="C2340" s="1" t="s">
        <v>2286</v>
      </c>
      <c r="D2340" s="1" t="s">
        <v>1998</v>
      </c>
      <c r="E2340" s="1"/>
      <c r="F2340" s="1" t="s">
        <v>11</v>
      </c>
      <c r="G2340">
        <v>115</v>
      </c>
      <c r="H2340">
        <v>115</v>
      </c>
      <c r="I2340" s="2"/>
      <c r="J2340" s="2">
        <v>45743</v>
      </c>
      <c r="K2340" s="2">
        <v>45778</v>
      </c>
    </row>
    <row r="2341" spans="1:11" x14ac:dyDescent="0.25">
      <c r="A2341" s="1" t="s">
        <v>440</v>
      </c>
      <c r="B2341" s="1" t="s">
        <v>1316</v>
      </c>
      <c r="C2341" s="1" t="s">
        <v>2287</v>
      </c>
      <c r="D2341" s="1" t="s">
        <v>1998</v>
      </c>
      <c r="E2341" s="1"/>
      <c r="F2341" s="1" t="s">
        <v>11</v>
      </c>
      <c r="G2341">
        <v>35</v>
      </c>
      <c r="H2341">
        <v>35</v>
      </c>
      <c r="I2341" s="2"/>
      <c r="J2341" s="2">
        <v>45743</v>
      </c>
      <c r="K2341" s="2">
        <v>45778</v>
      </c>
    </row>
    <row r="2342" spans="1:11" x14ac:dyDescent="0.25">
      <c r="A2342" s="1" t="s">
        <v>440</v>
      </c>
      <c r="B2342" s="1" t="s">
        <v>1317</v>
      </c>
      <c r="C2342" s="1" t="s">
        <v>2288</v>
      </c>
      <c r="D2342" s="1" t="s">
        <v>1998</v>
      </c>
      <c r="E2342" s="1"/>
      <c r="F2342" s="1" t="s">
        <v>11</v>
      </c>
      <c r="G2342">
        <v>5</v>
      </c>
      <c r="H2342">
        <v>1</v>
      </c>
      <c r="I2342" s="2"/>
      <c r="J2342" s="2">
        <v>45743</v>
      </c>
      <c r="K2342" s="2">
        <v>45778</v>
      </c>
    </row>
    <row r="2343" spans="1:11" x14ac:dyDescent="0.25">
      <c r="A2343" s="1" t="s">
        <v>440</v>
      </c>
      <c r="B2343" s="1" t="s">
        <v>1318</v>
      </c>
      <c r="C2343" s="1" t="s">
        <v>2289</v>
      </c>
      <c r="D2343" s="1" t="s">
        <v>1998</v>
      </c>
      <c r="E2343" s="1"/>
      <c r="F2343" s="1" t="s">
        <v>11</v>
      </c>
      <c r="G2343">
        <v>15</v>
      </c>
      <c r="H2343">
        <v>1</v>
      </c>
      <c r="I2343" s="2"/>
      <c r="J2343" s="2">
        <v>45743</v>
      </c>
      <c r="K2343" s="2">
        <v>45778</v>
      </c>
    </row>
    <row r="2344" spans="1:11" x14ac:dyDescent="0.25">
      <c r="A2344" s="1" t="s">
        <v>440</v>
      </c>
      <c r="B2344" s="1" t="s">
        <v>1068</v>
      </c>
      <c r="C2344" s="1" t="s">
        <v>2074</v>
      </c>
      <c r="D2344" s="1" t="s">
        <v>1998</v>
      </c>
      <c r="E2344" s="1"/>
      <c r="F2344" s="1" t="s">
        <v>11</v>
      </c>
      <c r="G2344">
        <v>5</v>
      </c>
      <c r="H2344">
        <v>5</v>
      </c>
      <c r="I2344" s="2"/>
      <c r="J2344" s="2">
        <v>45743</v>
      </c>
      <c r="K2344" s="2">
        <v>45778</v>
      </c>
    </row>
    <row r="2345" spans="1:11" x14ac:dyDescent="0.25">
      <c r="A2345" s="1" t="s">
        <v>440</v>
      </c>
      <c r="B2345" s="1" t="s">
        <v>1319</v>
      </c>
      <c r="C2345" s="1" t="s">
        <v>2290</v>
      </c>
      <c r="D2345" s="1" t="s">
        <v>1998</v>
      </c>
      <c r="E2345" s="1"/>
      <c r="F2345" s="1" t="s">
        <v>11</v>
      </c>
      <c r="G2345">
        <v>1</v>
      </c>
      <c r="H2345">
        <v>1</v>
      </c>
      <c r="I2345" s="2"/>
      <c r="J2345" s="2">
        <v>45743</v>
      </c>
      <c r="K2345" s="2">
        <v>45778</v>
      </c>
    </row>
    <row r="2346" spans="1:11" x14ac:dyDescent="0.25">
      <c r="A2346" s="1" t="s">
        <v>440</v>
      </c>
      <c r="B2346" s="1" t="s">
        <v>1328</v>
      </c>
      <c r="C2346" s="1" t="s">
        <v>2291</v>
      </c>
      <c r="D2346" s="1" t="s">
        <v>1998</v>
      </c>
      <c r="E2346" s="1"/>
      <c r="F2346" s="1" t="s">
        <v>11</v>
      </c>
      <c r="G2346">
        <v>1</v>
      </c>
      <c r="H2346">
        <v>1</v>
      </c>
      <c r="I2346" s="2"/>
      <c r="J2346" s="2">
        <v>45743</v>
      </c>
      <c r="K2346" s="2">
        <v>45778</v>
      </c>
    </row>
    <row r="2347" spans="1:11" x14ac:dyDescent="0.25">
      <c r="A2347" s="1" t="s">
        <v>440</v>
      </c>
      <c r="B2347" s="1" t="s">
        <v>1329</v>
      </c>
      <c r="C2347" s="1" t="s">
        <v>2291</v>
      </c>
      <c r="D2347" s="1" t="s">
        <v>1998</v>
      </c>
      <c r="E2347" s="1"/>
      <c r="F2347" s="1" t="s">
        <v>11</v>
      </c>
      <c r="G2347">
        <v>1</v>
      </c>
      <c r="H2347">
        <v>1</v>
      </c>
      <c r="I2347" s="2"/>
      <c r="J2347" s="2">
        <v>45743</v>
      </c>
      <c r="K2347" s="2">
        <v>45778</v>
      </c>
    </row>
    <row r="2348" spans="1:11" x14ac:dyDescent="0.25">
      <c r="A2348" s="1" t="s">
        <v>440</v>
      </c>
      <c r="B2348" s="1" t="s">
        <v>1322</v>
      </c>
      <c r="C2348" s="1" t="s">
        <v>2292</v>
      </c>
      <c r="D2348" s="1" t="s">
        <v>1998</v>
      </c>
      <c r="E2348" s="1"/>
      <c r="F2348" s="1" t="s">
        <v>11</v>
      </c>
      <c r="G2348">
        <v>10</v>
      </c>
      <c r="H2348">
        <v>10</v>
      </c>
      <c r="I2348" s="2"/>
      <c r="J2348" s="2">
        <v>45743</v>
      </c>
      <c r="K2348" s="2">
        <v>45778</v>
      </c>
    </row>
    <row r="2349" spans="1:11" x14ac:dyDescent="0.25">
      <c r="A2349" s="1" t="s">
        <v>441</v>
      </c>
      <c r="B2349" s="1" t="s">
        <v>1305</v>
      </c>
      <c r="C2349" s="1" t="s">
        <v>2277</v>
      </c>
      <c r="D2349" s="1" t="s">
        <v>1998</v>
      </c>
      <c r="E2349" s="1"/>
      <c r="F2349" s="1" t="s">
        <v>11</v>
      </c>
      <c r="G2349">
        <v>25</v>
      </c>
      <c r="H2349">
        <v>25</v>
      </c>
      <c r="I2349" s="2"/>
      <c r="J2349" s="2">
        <v>45743</v>
      </c>
      <c r="K2349" s="2">
        <v>45785</v>
      </c>
    </row>
    <row r="2350" spans="1:11" x14ac:dyDescent="0.25">
      <c r="A2350" s="1" t="s">
        <v>441</v>
      </c>
      <c r="B2350" s="1" t="s">
        <v>1306</v>
      </c>
      <c r="C2350" s="1" t="s">
        <v>2278</v>
      </c>
      <c r="D2350" s="1" t="s">
        <v>1998</v>
      </c>
      <c r="E2350" s="1"/>
      <c r="F2350" s="1" t="s">
        <v>11</v>
      </c>
      <c r="G2350">
        <v>25</v>
      </c>
      <c r="H2350">
        <v>25</v>
      </c>
      <c r="I2350" s="2"/>
      <c r="J2350" s="2">
        <v>45743</v>
      </c>
      <c r="K2350" s="2">
        <v>45785</v>
      </c>
    </row>
    <row r="2351" spans="1:11" x14ac:dyDescent="0.25">
      <c r="A2351" s="1" t="s">
        <v>441</v>
      </c>
      <c r="B2351" s="1" t="s">
        <v>1307</v>
      </c>
      <c r="C2351" s="1" t="s">
        <v>2279</v>
      </c>
      <c r="D2351" s="1" t="s">
        <v>1998</v>
      </c>
      <c r="E2351" s="1"/>
      <c r="F2351" s="1" t="s">
        <v>11</v>
      </c>
      <c r="G2351">
        <v>1</v>
      </c>
      <c r="H2351">
        <v>1</v>
      </c>
      <c r="I2351" s="2"/>
      <c r="J2351" s="2">
        <v>45743</v>
      </c>
      <c r="K2351" s="2">
        <v>45785</v>
      </c>
    </row>
    <row r="2352" spans="1:11" x14ac:dyDescent="0.25">
      <c r="A2352" s="1" t="s">
        <v>441</v>
      </c>
      <c r="B2352" s="1" t="s">
        <v>1308</v>
      </c>
      <c r="C2352" s="1" t="s">
        <v>2280</v>
      </c>
      <c r="D2352" s="1" t="s">
        <v>1998</v>
      </c>
      <c r="E2352" s="1"/>
      <c r="F2352" s="1" t="s">
        <v>11</v>
      </c>
      <c r="G2352">
        <v>1</v>
      </c>
      <c r="H2352">
        <v>1</v>
      </c>
      <c r="I2352" s="2"/>
      <c r="J2352" s="2">
        <v>45743</v>
      </c>
      <c r="K2352" s="2">
        <v>45785</v>
      </c>
    </row>
    <row r="2353" spans="1:11" x14ac:dyDescent="0.25">
      <c r="A2353" s="1" t="s">
        <v>441</v>
      </c>
      <c r="B2353" s="1" t="s">
        <v>1309</v>
      </c>
      <c r="C2353" s="1" t="s">
        <v>2281</v>
      </c>
      <c r="D2353" s="1" t="s">
        <v>1998</v>
      </c>
      <c r="E2353" s="1"/>
      <c r="F2353" s="1" t="s">
        <v>11</v>
      </c>
      <c r="G2353">
        <v>725</v>
      </c>
      <c r="H2353">
        <v>725</v>
      </c>
      <c r="I2353" s="2"/>
      <c r="J2353" s="2">
        <v>45743</v>
      </c>
      <c r="K2353" s="2">
        <v>45785</v>
      </c>
    </row>
    <row r="2354" spans="1:11" x14ac:dyDescent="0.25">
      <c r="A2354" s="1" t="s">
        <v>441</v>
      </c>
      <c r="B2354" s="1" t="s">
        <v>1310</v>
      </c>
      <c r="C2354" s="1" t="s">
        <v>2115</v>
      </c>
      <c r="D2354" s="1" t="s">
        <v>1998</v>
      </c>
      <c r="E2354" s="1"/>
      <c r="F2354" s="1" t="s">
        <v>11</v>
      </c>
      <c r="G2354">
        <v>775</v>
      </c>
      <c r="H2354">
        <v>775</v>
      </c>
      <c r="I2354" s="2"/>
      <c r="J2354" s="2">
        <v>45743</v>
      </c>
      <c r="K2354" s="2">
        <v>45785</v>
      </c>
    </row>
    <row r="2355" spans="1:11" x14ac:dyDescent="0.25">
      <c r="A2355" s="1" t="s">
        <v>441</v>
      </c>
      <c r="B2355" s="1" t="s">
        <v>1311</v>
      </c>
      <c r="C2355" s="1" t="s">
        <v>2282</v>
      </c>
      <c r="D2355" s="1" t="s">
        <v>1998</v>
      </c>
      <c r="E2355" s="1"/>
      <c r="F2355" s="1" t="s">
        <v>11</v>
      </c>
      <c r="G2355">
        <v>215</v>
      </c>
      <c r="H2355">
        <v>215</v>
      </c>
      <c r="I2355" s="2"/>
      <c r="J2355" s="2">
        <v>45743</v>
      </c>
      <c r="K2355" s="2">
        <v>45785</v>
      </c>
    </row>
    <row r="2356" spans="1:11" x14ac:dyDescent="0.25">
      <c r="A2356" s="1" t="s">
        <v>441</v>
      </c>
      <c r="B2356" s="1" t="s">
        <v>1312</v>
      </c>
      <c r="C2356" s="1" t="s">
        <v>2283</v>
      </c>
      <c r="D2356" s="1" t="s">
        <v>1998</v>
      </c>
      <c r="E2356" s="1"/>
      <c r="F2356" s="1" t="s">
        <v>11</v>
      </c>
      <c r="G2356">
        <v>85</v>
      </c>
      <c r="H2356">
        <v>85</v>
      </c>
      <c r="I2356" s="2"/>
      <c r="J2356" s="2">
        <v>45743</v>
      </c>
      <c r="K2356" s="2">
        <v>45785</v>
      </c>
    </row>
    <row r="2357" spans="1:11" x14ac:dyDescent="0.25">
      <c r="A2357" s="1" t="s">
        <v>441</v>
      </c>
      <c r="B2357" s="1" t="s">
        <v>1313</v>
      </c>
      <c r="C2357" s="1" t="s">
        <v>2284</v>
      </c>
      <c r="D2357" s="1" t="s">
        <v>1998</v>
      </c>
      <c r="E2357" s="1"/>
      <c r="F2357" s="1" t="s">
        <v>11</v>
      </c>
      <c r="G2357">
        <v>115</v>
      </c>
      <c r="H2357">
        <v>115</v>
      </c>
      <c r="I2357" s="2"/>
      <c r="J2357" s="2">
        <v>45743</v>
      </c>
      <c r="K2357" s="2">
        <v>45785</v>
      </c>
    </row>
    <row r="2358" spans="1:11" x14ac:dyDescent="0.25">
      <c r="A2358" s="1" t="s">
        <v>441</v>
      </c>
      <c r="B2358" s="1" t="s">
        <v>1314</v>
      </c>
      <c r="C2358" s="1" t="s">
        <v>2285</v>
      </c>
      <c r="D2358" s="1" t="s">
        <v>1998</v>
      </c>
      <c r="E2358" s="1"/>
      <c r="F2358" s="1" t="s">
        <v>11</v>
      </c>
      <c r="G2358">
        <v>60</v>
      </c>
      <c r="H2358">
        <v>60</v>
      </c>
      <c r="I2358" s="2"/>
      <c r="J2358" s="2">
        <v>45743</v>
      </c>
      <c r="K2358" s="2">
        <v>45785</v>
      </c>
    </row>
    <row r="2359" spans="1:11" x14ac:dyDescent="0.25">
      <c r="A2359" s="1" t="s">
        <v>441</v>
      </c>
      <c r="B2359" s="1" t="s">
        <v>1315</v>
      </c>
      <c r="C2359" s="1" t="s">
        <v>2286</v>
      </c>
      <c r="D2359" s="1" t="s">
        <v>1998</v>
      </c>
      <c r="E2359" s="1"/>
      <c r="F2359" s="1" t="s">
        <v>11</v>
      </c>
      <c r="G2359">
        <v>115</v>
      </c>
      <c r="H2359">
        <v>115</v>
      </c>
      <c r="I2359" s="2"/>
      <c r="J2359" s="2">
        <v>45743</v>
      </c>
      <c r="K2359" s="2">
        <v>45785</v>
      </c>
    </row>
    <row r="2360" spans="1:11" x14ac:dyDescent="0.25">
      <c r="A2360" s="1" t="s">
        <v>441</v>
      </c>
      <c r="B2360" s="1" t="s">
        <v>1316</v>
      </c>
      <c r="C2360" s="1" t="s">
        <v>2287</v>
      </c>
      <c r="D2360" s="1" t="s">
        <v>1998</v>
      </c>
      <c r="E2360" s="1"/>
      <c r="F2360" s="1" t="s">
        <v>11</v>
      </c>
      <c r="G2360">
        <v>35</v>
      </c>
      <c r="H2360">
        <v>35</v>
      </c>
      <c r="I2360" s="2"/>
      <c r="J2360" s="2">
        <v>45743</v>
      </c>
      <c r="K2360" s="2">
        <v>45785</v>
      </c>
    </row>
    <row r="2361" spans="1:11" x14ac:dyDescent="0.25">
      <c r="A2361" s="1" t="s">
        <v>441</v>
      </c>
      <c r="B2361" s="1" t="s">
        <v>1317</v>
      </c>
      <c r="C2361" s="1" t="s">
        <v>2288</v>
      </c>
      <c r="D2361" s="1" t="s">
        <v>1998</v>
      </c>
      <c r="E2361" s="1"/>
      <c r="F2361" s="1" t="s">
        <v>11</v>
      </c>
      <c r="G2361">
        <v>5</v>
      </c>
      <c r="H2361">
        <v>1</v>
      </c>
      <c r="I2361" s="2"/>
      <c r="J2361" s="2">
        <v>45743</v>
      </c>
      <c r="K2361" s="2">
        <v>45785</v>
      </c>
    </row>
    <row r="2362" spans="1:11" x14ac:dyDescent="0.25">
      <c r="A2362" s="1" t="s">
        <v>441</v>
      </c>
      <c r="B2362" s="1" t="s">
        <v>1318</v>
      </c>
      <c r="C2362" s="1" t="s">
        <v>2289</v>
      </c>
      <c r="D2362" s="1" t="s">
        <v>1998</v>
      </c>
      <c r="E2362" s="1"/>
      <c r="F2362" s="1" t="s">
        <v>11</v>
      </c>
      <c r="G2362">
        <v>15</v>
      </c>
      <c r="H2362">
        <v>1</v>
      </c>
      <c r="I2362" s="2"/>
      <c r="J2362" s="2">
        <v>45743</v>
      </c>
      <c r="K2362" s="2">
        <v>45785</v>
      </c>
    </row>
    <row r="2363" spans="1:11" x14ac:dyDescent="0.25">
      <c r="A2363" s="1" t="s">
        <v>441</v>
      </c>
      <c r="B2363" s="1" t="s">
        <v>1068</v>
      </c>
      <c r="C2363" s="1" t="s">
        <v>2074</v>
      </c>
      <c r="D2363" s="1" t="s">
        <v>1998</v>
      </c>
      <c r="E2363" s="1"/>
      <c r="F2363" s="1" t="s">
        <v>11</v>
      </c>
      <c r="G2363">
        <v>5</v>
      </c>
      <c r="H2363">
        <v>5</v>
      </c>
      <c r="I2363" s="2"/>
      <c r="J2363" s="2">
        <v>45743</v>
      </c>
      <c r="K2363" s="2">
        <v>45785</v>
      </c>
    </row>
    <row r="2364" spans="1:11" x14ac:dyDescent="0.25">
      <c r="A2364" s="1" t="s">
        <v>441</v>
      </c>
      <c r="B2364" s="1" t="s">
        <v>1319</v>
      </c>
      <c r="C2364" s="1" t="s">
        <v>2290</v>
      </c>
      <c r="D2364" s="1" t="s">
        <v>1998</v>
      </c>
      <c r="E2364" s="1"/>
      <c r="F2364" s="1" t="s">
        <v>11</v>
      </c>
      <c r="G2364">
        <v>1</v>
      </c>
      <c r="H2364">
        <v>1</v>
      </c>
      <c r="I2364" s="2"/>
      <c r="J2364" s="2">
        <v>45743</v>
      </c>
      <c r="K2364" s="2">
        <v>45785</v>
      </c>
    </row>
    <row r="2365" spans="1:11" x14ac:dyDescent="0.25">
      <c r="A2365" s="1" t="s">
        <v>441</v>
      </c>
      <c r="B2365" s="1" t="s">
        <v>1320</v>
      </c>
      <c r="C2365" s="1" t="s">
        <v>2291</v>
      </c>
      <c r="D2365" s="1" t="s">
        <v>1998</v>
      </c>
      <c r="E2365" s="1"/>
      <c r="F2365" s="1" t="s">
        <v>11</v>
      </c>
      <c r="G2365">
        <v>1</v>
      </c>
      <c r="H2365">
        <v>1</v>
      </c>
      <c r="I2365" s="2"/>
      <c r="J2365" s="2">
        <v>45743</v>
      </c>
      <c r="K2365" s="2">
        <v>45785</v>
      </c>
    </row>
    <row r="2366" spans="1:11" x14ac:dyDescent="0.25">
      <c r="A2366" s="1" t="s">
        <v>441</v>
      </c>
      <c r="B2366" s="1" t="s">
        <v>1321</v>
      </c>
      <c r="C2366" s="1" t="s">
        <v>2291</v>
      </c>
      <c r="D2366" s="1" t="s">
        <v>1998</v>
      </c>
      <c r="E2366" s="1"/>
      <c r="F2366" s="1" t="s">
        <v>11</v>
      </c>
      <c r="G2366">
        <v>1</v>
      </c>
      <c r="H2366">
        <v>1</v>
      </c>
      <c r="I2366" s="2"/>
      <c r="J2366" s="2">
        <v>45743</v>
      </c>
      <c r="K2366" s="2">
        <v>45785</v>
      </c>
    </row>
    <row r="2367" spans="1:11" x14ac:dyDescent="0.25">
      <c r="A2367" s="1" t="s">
        <v>441</v>
      </c>
      <c r="B2367" s="1" t="s">
        <v>1322</v>
      </c>
      <c r="C2367" s="1" t="s">
        <v>2292</v>
      </c>
      <c r="D2367" s="1" t="s">
        <v>1998</v>
      </c>
      <c r="E2367" s="1"/>
      <c r="F2367" s="1" t="s">
        <v>11</v>
      </c>
      <c r="G2367">
        <v>10</v>
      </c>
      <c r="H2367">
        <v>10</v>
      </c>
      <c r="I2367" s="2"/>
      <c r="J2367" s="2">
        <v>45743</v>
      </c>
      <c r="K2367" s="2">
        <v>45785</v>
      </c>
    </row>
    <row r="2368" spans="1:11" x14ac:dyDescent="0.25">
      <c r="A2368" s="1" t="s">
        <v>442</v>
      </c>
      <c r="B2368" s="1" t="s">
        <v>1305</v>
      </c>
      <c r="C2368" s="1" t="s">
        <v>2277</v>
      </c>
      <c r="D2368" s="1" t="s">
        <v>1998</v>
      </c>
      <c r="E2368" s="1"/>
      <c r="F2368" s="1" t="s">
        <v>11</v>
      </c>
      <c r="G2368">
        <v>25</v>
      </c>
      <c r="H2368">
        <v>25</v>
      </c>
      <c r="I2368" s="2"/>
      <c r="J2368" s="2">
        <v>45743</v>
      </c>
      <c r="K2368" s="2">
        <v>45772</v>
      </c>
    </row>
    <row r="2369" spans="1:11" x14ac:dyDescent="0.25">
      <c r="A2369" s="1" t="s">
        <v>442</v>
      </c>
      <c r="B2369" s="1" t="s">
        <v>1306</v>
      </c>
      <c r="C2369" s="1" t="s">
        <v>2278</v>
      </c>
      <c r="D2369" s="1" t="s">
        <v>1998</v>
      </c>
      <c r="E2369" s="1"/>
      <c r="F2369" s="1" t="s">
        <v>11</v>
      </c>
      <c r="G2369">
        <v>25</v>
      </c>
      <c r="H2369">
        <v>25</v>
      </c>
      <c r="I2369" s="2"/>
      <c r="J2369" s="2">
        <v>45743</v>
      </c>
      <c r="K2369" s="2">
        <v>45772</v>
      </c>
    </row>
    <row r="2370" spans="1:11" x14ac:dyDescent="0.25">
      <c r="A2370" s="1" t="s">
        <v>442</v>
      </c>
      <c r="B2370" s="1" t="s">
        <v>1307</v>
      </c>
      <c r="C2370" s="1" t="s">
        <v>2279</v>
      </c>
      <c r="D2370" s="1" t="s">
        <v>1998</v>
      </c>
      <c r="E2370" s="1"/>
      <c r="F2370" s="1" t="s">
        <v>11</v>
      </c>
      <c r="G2370">
        <v>1</v>
      </c>
      <c r="H2370">
        <v>1</v>
      </c>
      <c r="I2370" s="2"/>
      <c r="J2370" s="2">
        <v>45743</v>
      </c>
      <c r="K2370" s="2">
        <v>45772</v>
      </c>
    </row>
    <row r="2371" spans="1:11" x14ac:dyDescent="0.25">
      <c r="A2371" s="1" t="s">
        <v>442</v>
      </c>
      <c r="B2371" s="1" t="s">
        <v>1308</v>
      </c>
      <c r="C2371" s="1" t="s">
        <v>2280</v>
      </c>
      <c r="D2371" s="1" t="s">
        <v>1998</v>
      </c>
      <c r="E2371" s="1"/>
      <c r="F2371" s="1" t="s">
        <v>11</v>
      </c>
      <c r="G2371">
        <v>1</v>
      </c>
      <c r="H2371">
        <v>1</v>
      </c>
      <c r="I2371" s="2"/>
      <c r="J2371" s="2">
        <v>45743</v>
      </c>
      <c r="K2371" s="2">
        <v>45772</v>
      </c>
    </row>
    <row r="2372" spans="1:11" x14ac:dyDescent="0.25">
      <c r="A2372" s="1" t="s">
        <v>442</v>
      </c>
      <c r="B2372" s="1" t="s">
        <v>1309</v>
      </c>
      <c r="C2372" s="1" t="s">
        <v>2281</v>
      </c>
      <c r="D2372" s="1" t="s">
        <v>1998</v>
      </c>
      <c r="E2372" s="1"/>
      <c r="F2372" s="1" t="s">
        <v>11</v>
      </c>
      <c r="G2372">
        <v>545</v>
      </c>
      <c r="H2372">
        <v>545</v>
      </c>
      <c r="I2372" s="2"/>
      <c r="J2372" s="2">
        <v>45743</v>
      </c>
      <c r="K2372" s="2">
        <v>45772</v>
      </c>
    </row>
    <row r="2373" spans="1:11" x14ac:dyDescent="0.25">
      <c r="A2373" s="1" t="s">
        <v>442</v>
      </c>
      <c r="B2373" s="1" t="s">
        <v>1310</v>
      </c>
      <c r="C2373" s="1" t="s">
        <v>2115</v>
      </c>
      <c r="D2373" s="1" t="s">
        <v>1998</v>
      </c>
      <c r="E2373" s="1"/>
      <c r="F2373" s="1" t="s">
        <v>11</v>
      </c>
      <c r="G2373">
        <v>665</v>
      </c>
      <c r="H2373">
        <v>665</v>
      </c>
      <c r="I2373" s="2"/>
      <c r="J2373" s="2">
        <v>45743</v>
      </c>
      <c r="K2373" s="2">
        <v>45772</v>
      </c>
    </row>
    <row r="2374" spans="1:11" x14ac:dyDescent="0.25">
      <c r="A2374" s="1" t="s">
        <v>442</v>
      </c>
      <c r="B2374" s="1" t="s">
        <v>1311</v>
      </c>
      <c r="C2374" s="1" t="s">
        <v>2282</v>
      </c>
      <c r="D2374" s="1" t="s">
        <v>1998</v>
      </c>
      <c r="E2374" s="1"/>
      <c r="F2374" s="1" t="s">
        <v>11</v>
      </c>
      <c r="G2374">
        <v>215</v>
      </c>
      <c r="H2374">
        <v>215</v>
      </c>
      <c r="I2374" s="2"/>
      <c r="J2374" s="2">
        <v>45743</v>
      </c>
      <c r="K2374" s="2">
        <v>45772</v>
      </c>
    </row>
    <row r="2375" spans="1:11" x14ac:dyDescent="0.25">
      <c r="A2375" s="1" t="s">
        <v>442</v>
      </c>
      <c r="B2375" s="1" t="s">
        <v>1323</v>
      </c>
      <c r="C2375" s="1" t="s">
        <v>2282</v>
      </c>
      <c r="D2375" s="1" t="s">
        <v>1998</v>
      </c>
      <c r="E2375" s="1"/>
      <c r="F2375" s="1" t="s">
        <v>11</v>
      </c>
      <c r="G2375">
        <v>200</v>
      </c>
      <c r="H2375">
        <v>200</v>
      </c>
      <c r="I2375" s="2"/>
      <c r="J2375" s="2">
        <v>45743</v>
      </c>
      <c r="K2375" s="2">
        <v>45772</v>
      </c>
    </row>
    <row r="2376" spans="1:11" x14ac:dyDescent="0.25">
      <c r="A2376" s="1" t="s">
        <v>442</v>
      </c>
      <c r="B2376" s="1" t="s">
        <v>1312</v>
      </c>
      <c r="C2376" s="1" t="s">
        <v>2283</v>
      </c>
      <c r="D2376" s="1" t="s">
        <v>1998</v>
      </c>
      <c r="E2376" s="1"/>
      <c r="F2376" s="1" t="s">
        <v>11</v>
      </c>
      <c r="G2376">
        <v>85</v>
      </c>
      <c r="H2376">
        <v>85</v>
      </c>
      <c r="I2376" s="2"/>
      <c r="J2376" s="2">
        <v>45743</v>
      </c>
      <c r="K2376" s="2">
        <v>45772</v>
      </c>
    </row>
    <row r="2377" spans="1:11" x14ac:dyDescent="0.25">
      <c r="A2377" s="1" t="s">
        <v>442</v>
      </c>
      <c r="B2377" s="1" t="s">
        <v>1313</v>
      </c>
      <c r="C2377" s="1" t="s">
        <v>2284</v>
      </c>
      <c r="D2377" s="1" t="s">
        <v>1998</v>
      </c>
      <c r="E2377" s="1"/>
      <c r="F2377" s="1" t="s">
        <v>11</v>
      </c>
      <c r="G2377">
        <v>100</v>
      </c>
      <c r="H2377">
        <v>100</v>
      </c>
      <c r="I2377" s="2"/>
      <c r="J2377" s="2">
        <v>45743</v>
      </c>
      <c r="K2377" s="2">
        <v>45772</v>
      </c>
    </row>
    <row r="2378" spans="1:11" x14ac:dyDescent="0.25">
      <c r="A2378" s="1" t="s">
        <v>442</v>
      </c>
      <c r="B2378" s="1" t="s">
        <v>1314</v>
      </c>
      <c r="C2378" s="1" t="s">
        <v>2285</v>
      </c>
      <c r="D2378" s="1" t="s">
        <v>1998</v>
      </c>
      <c r="E2378" s="1"/>
      <c r="F2378" s="1" t="s">
        <v>11</v>
      </c>
      <c r="G2378">
        <v>50</v>
      </c>
      <c r="H2378">
        <v>50</v>
      </c>
      <c r="I2378" s="2"/>
      <c r="J2378" s="2">
        <v>45743</v>
      </c>
      <c r="K2378" s="2">
        <v>45772</v>
      </c>
    </row>
    <row r="2379" spans="1:11" x14ac:dyDescent="0.25">
      <c r="A2379" s="1" t="s">
        <v>442</v>
      </c>
      <c r="B2379" s="1" t="s">
        <v>1315</v>
      </c>
      <c r="C2379" s="1" t="s">
        <v>2286</v>
      </c>
      <c r="D2379" s="1" t="s">
        <v>1998</v>
      </c>
      <c r="E2379" s="1"/>
      <c r="F2379" s="1" t="s">
        <v>11</v>
      </c>
      <c r="G2379">
        <v>95</v>
      </c>
      <c r="H2379">
        <v>95</v>
      </c>
      <c r="I2379" s="2"/>
      <c r="J2379" s="2">
        <v>45743</v>
      </c>
      <c r="K2379" s="2">
        <v>45772</v>
      </c>
    </row>
    <row r="2380" spans="1:11" x14ac:dyDescent="0.25">
      <c r="A2380" s="1" t="s">
        <v>442</v>
      </c>
      <c r="B2380" s="1" t="s">
        <v>1316</v>
      </c>
      <c r="C2380" s="1" t="s">
        <v>2287</v>
      </c>
      <c r="D2380" s="1" t="s">
        <v>1998</v>
      </c>
      <c r="E2380" s="1"/>
      <c r="F2380" s="1" t="s">
        <v>11</v>
      </c>
      <c r="G2380">
        <v>30</v>
      </c>
      <c r="H2380">
        <v>30</v>
      </c>
      <c r="I2380" s="2"/>
      <c r="J2380" s="2">
        <v>45743</v>
      </c>
      <c r="K2380" s="2">
        <v>45772</v>
      </c>
    </row>
    <row r="2381" spans="1:11" x14ac:dyDescent="0.25">
      <c r="A2381" s="1" t="s">
        <v>442</v>
      </c>
      <c r="B2381" s="1" t="s">
        <v>1317</v>
      </c>
      <c r="C2381" s="1" t="s">
        <v>2288</v>
      </c>
      <c r="D2381" s="1" t="s">
        <v>1998</v>
      </c>
      <c r="E2381" s="1"/>
      <c r="F2381" s="1" t="s">
        <v>11</v>
      </c>
      <c r="G2381">
        <v>5</v>
      </c>
      <c r="H2381">
        <v>1</v>
      </c>
      <c r="I2381" s="2"/>
      <c r="J2381" s="2">
        <v>45743</v>
      </c>
      <c r="K2381" s="2">
        <v>45772</v>
      </c>
    </row>
    <row r="2382" spans="1:11" x14ac:dyDescent="0.25">
      <c r="A2382" s="1" t="s">
        <v>442</v>
      </c>
      <c r="B2382" s="1" t="s">
        <v>1318</v>
      </c>
      <c r="C2382" s="1" t="s">
        <v>2289</v>
      </c>
      <c r="D2382" s="1" t="s">
        <v>1998</v>
      </c>
      <c r="E2382" s="1"/>
      <c r="F2382" s="1" t="s">
        <v>11</v>
      </c>
      <c r="G2382">
        <v>15</v>
      </c>
      <c r="H2382">
        <v>1</v>
      </c>
      <c r="I2382" s="2"/>
      <c r="J2382" s="2">
        <v>45743</v>
      </c>
      <c r="K2382" s="2">
        <v>45772</v>
      </c>
    </row>
    <row r="2383" spans="1:11" x14ac:dyDescent="0.25">
      <c r="A2383" s="1" t="s">
        <v>442</v>
      </c>
      <c r="B2383" s="1" t="s">
        <v>1068</v>
      </c>
      <c r="C2383" s="1" t="s">
        <v>2074</v>
      </c>
      <c r="D2383" s="1" t="s">
        <v>1998</v>
      </c>
      <c r="E2383" s="1"/>
      <c r="F2383" s="1" t="s">
        <v>11</v>
      </c>
      <c r="G2383">
        <v>5</v>
      </c>
      <c r="H2383">
        <v>1</v>
      </c>
      <c r="I2383" s="2"/>
      <c r="J2383" s="2">
        <v>45743</v>
      </c>
      <c r="K2383" s="2">
        <v>45772</v>
      </c>
    </row>
    <row r="2384" spans="1:11" x14ac:dyDescent="0.25">
      <c r="A2384" s="1" t="s">
        <v>442</v>
      </c>
      <c r="B2384" s="1" t="s">
        <v>1319</v>
      </c>
      <c r="C2384" s="1" t="s">
        <v>2290</v>
      </c>
      <c r="D2384" s="1" t="s">
        <v>1998</v>
      </c>
      <c r="E2384" s="1"/>
      <c r="F2384" s="1" t="s">
        <v>11</v>
      </c>
      <c r="G2384">
        <v>1</v>
      </c>
      <c r="H2384">
        <v>1</v>
      </c>
      <c r="I2384" s="2"/>
      <c r="J2384" s="2">
        <v>45743</v>
      </c>
      <c r="K2384" s="2">
        <v>45772</v>
      </c>
    </row>
    <row r="2385" spans="1:11" x14ac:dyDescent="0.25">
      <c r="A2385" s="1" t="s">
        <v>442</v>
      </c>
      <c r="B2385" s="1" t="s">
        <v>1324</v>
      </c>
      <c r="C2385" s="1" t="s">
        <v>2291</v>
      </c>
      <c r="D2385" s="1" t="s">
        <v>1998</v>
      </c>
      <c r="E2385" s="1"/>
      <c r="F2385" s="1" t="s">
        <v>11</v>
      </c>
      <c r="G2385">
        <v>1</v>
      </c>
      <c r="H2385">
        <v>1</v>
      </c>
      <c r="I2385" s="2"/>
      <c r="J2385" s="2">
        <v>45743</v>
      </c>
      <c r="K2385" s="2">
        <v>45772</v>
      </c>
    </row>
    <row r="2386" spans="1:11" x14ac:dyDescent="0.25">
      <c r="A2386" s="1" t="s">
        <v>442</v>
      </c>
      <c r="B2386" s="1" t="s">
        <v>1325</v>
      </c>
      <c r="C2386" s="1" t="s">
        <v>2291</v>
      </c>
      <c r="D2386" s="1" t="s">
        <v>1998</v>
      </c>
      <c r="E2386" s="1"/>
      <c r="F2386" s="1" t="s">
        <v>11</v>
      </c>
      <c r="G2386">
        <v>1</v>
      </c>
      <c r="H2386">
        <v>1</v>
      </c>
      <c r="I2386" s="2"/>
      <c r="J2386" s="2">
        <v>45743</v>
      </c>
      <c r="K2386" s="2">
        <v>45772</v>
      </c>
    </row>
    <row r="2387" spans="1:11" x14ac:dyDescent="0.25">
      <c r="A2387" s="1" t="s">
        <v>442</v>
      </c>
      <c r="B2387" s="1" t="s">
        <v>1322</v>
      </c>
      <c r="C2387" s="1" t="s">
        <v>2292</v>
      </c>
      <c r="D2387" s="1" t="s">
        <v>1998</v>
      </c>
      <c r="E2387" s="1"/>
      <c r="F2387" s="1" t="s">
        <v>11</v>
      </c>
      <c r="G2387">
        <v>10</v>
      </c>
      <c r="H2387">
        <v>10</v>
      </c>
      <c r="I2387" s="2"/>
      <c r="J2387" s="2">
        <v>45743</v>
      </c>
      <c r="K2387" s="2">
        <v>45772</v>
      </c>
    </row>
    <row r="2388" spans="1:11" x14ac:dyDescent="0.25">
      <c r="A2388" s="1" t="s">
        <v>443</v>
      </c>
      <c r="B2388" s="1" t="s">
        <v>1305</v>
      </c>
      <c r="C2388" s="1" t="s">
        <v>2277</v>
      </c>
      <c r="D2388" s="1" t="s">
        <v>1998</v>
      </c>
      <c r="E2388" s="1"/>
      <c r="F2388" s="1" t="s">
        <v>11</v>
      </c>
      <c r="G2388">
        <v>25</v>
      </c>
      <c r="H2388">
        <v>25</v>
      </c>
      <c r="I2388" s="2"/>
      <c r="J2388" s="2">
        <v>45743</v>
      </c>
      <c r="K2388" s="2">
        <v>45775</v>
      </c>
    </row>
    <row r="2389" spans="1:11" x14ac:dyDescent="0.25">
      <c r="A2389" s="1" t="s">
        <v>443</v>
      </c>
      <c r="B2389" s="1" t="s">
        <v>1306</v>
      </c>
      <c r="C2389" s="1" t="s">
        <v>2278</v>
      </c>
      <c r="D2389" s="1" t="s">
        <v>1998</v>
      </c>
      <c r="E2389" s="1"/>
      <c r="F2389" s="1" t="s">
        <v>11</v>
      </c>
      <c r="G2389">
        <v>25</v>
      </c>
      <c r="H2389">
        <v>25</v>
      </c>
      <c r="I2389" s="2"/>
      <c r="J2389" s="2">
        <v>45743</v>
      </c>
      <c r="K2389" s="2">
        <v>45775</v>
      </c>
    </row>
    <row r="2390" spans="1:11" x14ac:dyDescent="0.25">
      <c r="A2390" s="1" t="s">
        <v>443</v>
      </c>
      <c r="B2390" s="1" t="s">
        <v>1307</v>
      </c>
      <c r="C2390" s="1" t="s">
        <v>2279</v>
      </c>
      <c r="D2390" s="1" t="s">
        <v>1998</v>
      </c>
      <c r="E2390" s="1"/>
      <c r="F2390" s="1" t="s">
        <v>11</v>
      </c>
      <c r="G2390">
        <v>1</v>
      </c>
      <c r="H2390">
        <v>1</v>
      </c>
      <c r="I2390" s="2"/>
      <c r="J2390" s="2">
        <v>45743</v>
      </c>
      <c r="K2390" s="2">
        <v>45775</v>
      </c>
    </row>
    <row r="2391" spans="1:11" x14ac:dyDescent="0.25">
      <c r="A2391" s="1" t="s">
        <v>443</v>
      </c>
      <c r="B2391" s="1" t="s">
        <v>1308</v>
      </c>
      <c r="C2391" s="1" t="s">
        <v>2280</v>
      </c>
      <c r="D2391" s="1" t="s">
        <v>1998</v>
      </c>
      <c r="E2391" s="1"/>
      <c r="F2391" s="1" t="s">
        <v>11</v>
      </c>
      <c r="G2391">
        <v>1</v>
      </c>
      <c r="H2391">
        <v>1</v>
      </c>
      <c r="I2391" s="2"/>
      <c r="J2391" s="2">
        <v>45743</v>
      </c>
      <c r="K2391" s="2">
        <v>45775</v>
      </c>
    </row>
    <row r="2392" spans="1:11" x14ac:dyDescent="0.25">
      <c r="A2392" s="1" t="s">
        <v>443</v>
      </c>
      <c r="B2392" s="1" t="s">
        <v>1309</v>
      </c>
      <c r="C2392" s="1" t="s">
        <v>2281</v>
      </c>
      <c r="D2392" s="1" t="s">
        <v>1998</v>
      </c>
      <c r="E2392" s="1"/>
      <c r="F2392" s="1" t="s">
        <v>11</v>
      </c>
      <c r="G2392">
        <v>725</v>
      </c>
      <c r="H2392">
        <v>725</v>
      </c>
      <c r="I2392" s="2"/>
      <c r="J2392" s="2">
        <v>45743</v>
      </c>
      <c r="K2392" s="2">
        <v>45775</v>
      </c>
    </row>
    <row r="2393" spans="1:11" x14ac:dyDescent="0.25">
      <c r="A2393" s="1" t="s">
        <v>443</v>
      </c>
      <c r="B2393" s="1" t="s">
        <v>1310</v>
      </c>
      <c r="C2393" s="1" t="s">
        <v>2115</v>
      </c>
      <c r="D2393" s="1" t="s">
        <v>1998</v>
      </c>
      <c r="E2393" s="1"/>
      <c r="F2393" s="1" t="s">
        <v>11</v>
      </c>
      <c r="G2393">
        <v>775</v>
      </c>
      <c r="H2393">
        <v>775</v>
      </c>
      <c r="I2393" s="2"/>
      <c r="J2393" s="2">
        <v>45743</v>
      </c>
      <c r="K2393" s="2">
        <v>45775</v>
      </c>
    </row>
    <row r="2394" spans="1:11" x14ac:dyDescent="0.25">
      <c r="A2394" s="1" t="s">
        <v>443</v>
      </c>
      <c r="B2394" s="1" t="s">
        <v>1311</v>
      </c>
      <c r="C2394" s="1" t="s">
        <v>2282</v>
      </c>
      <c r="D2394" s="1" t="s">
        <v>1998</v>
      </c>
      <c r="E2394" s="1"/>
      <c r="F2394" s="1" t="s">
        <v>11</v>
      </c>
      <c r="G2394">
        <v>215</v>
      </c>
      <c r="H2394">
        <v>215</v>
      </c>
      <c r="I2394" s="2"/>
      <c r="J2394" s="2">
        <v>45743</v>
      </c>
      <c r="K2394" s="2">
        <v>45775</v>
      </c>
    </row>
    <row r="2395" spans="1:11" x14ac:dyDescent="0.25">
      <c r="A2395" s="1" t="s">
        <v>443</v>
      </c>
      <c r="B2395" s="1" t="s">
        <v>1312</v>
      </c>
      <c r="C2395" s="1" t="s">
        <v>2283</v>
      </c>
      <c r="D2395" s="1" t="s">
        <v>1998</v>
      </c>
      <c r="E2395" s="1"/>
      <c r="F2395" s="1" t="s">
        <v>11</v>
      </c>
      <c r="G2395">
        <v>85</v>
      </c>
      <c r="H2395">
        <v>85</v>
      </c>
      <c r="I2395" s="2"/>
      <c r="J2395" s="2">
        <v>45743</v>
      </c>
      <c r="K2395" s="2">
        <v>45775</v>
      </c>
    </row>
    <row r="2396" spans="1:11" x14ac:dyDescent="0.25">
      <c r="A2396" s="1" t="s">
        <v>443</v>
      </c>
      <c r="B2396" s="1" t="s">
        <v>1313</v>
      </c>
      <c r="C2396" s="1" t="s">
        <v>2284</v>
      </c>
      <c r="D2396" s="1" t="s">
        <v>1998</v>
      </c>
      <c r="E2396" s="1"/>
      <c r="F2396" s="1" t="s">
        <v>11</v>
      </c>
      <c r="G2396">
        <v>115</v>
      </c>
      <c r="H2396">
        <v>115</v>
      </c>
      <c r="I2396" s="2"/>
      <c r="J2396" s="2">
        <v>45743</v>
      </c>
      <c r="K2396" s="2">
        <v>45775</v>
      </c>
    </row>
    <row r="2397" spans="1:11" x14ac:dyDescent="0.25">
      <c r="A2397" s="1" t="s">
        <v>443</v>
      </c>
      <c r="B2397" s="1" t="s">
        <v>1314</v>
      </c>
      <c r="C2397" s="1" t="s">
        <v>2285</v>
      </c>
      <c r="D2397" s="1" t="s">
        <v>1998</v>
      </c>
      <c r="E2397" s="1"/>
      <c r="F2397" s="1" t="s">
        <v>11</v>
      </c>
      <c r="G2397">
        <v>60</v>
      </c>
      <c r="H2397">
        <v>60</v>
      </c>
      <c r="I2397" s="2"/>
      <c r="J2397" s="2">
        <v>45743</v>
      </c>
      <c r="K2397" s="2">
        <v>45775</v>
      </c>
    </row>
    <row r="2398" spans="1:11" x14ac:dyDescent="0.25">
      <c r="A2398" s="1" t="s">
        <v>443</v>
      </c>
      <c r="B2398" s="1" t="s">
        <v>1315</v>
      </c>
      <c r="C2398" s="1" t="s">
        <v>2286</v>
      </c>
      <c r="D2398" s="1" t="s">
        <v>1998</v>
      </c>
      <c r="E2398" s="1"/>
      <c r="F2398" s="1" t="s">
        <v>11</v>
      </c>
      <c r="G2398">
        <v>115</v>
      </c>
      <c r="H2398">
        <v>115</v>
      </c>
      <c r="I2398" s="2"/>
      <c r="J2398" s="2">
        <v>45743</v>
      </c>
      <c r="K2398" s="2">
        <v>45775</v>
      </c>
    </row>
    <row r="2399" spans="1:11" x14ac:dyDescent="0.25">
      <c r="A2399" s="1" t="s">
        <v>443</v>
      </c>
      <c r="B2399" s="1" t="s">
        <v>1316</v>
      </c>
      <c r="C2399" s="1" t="s">
        <v>2287</v>
      </c>
      <c r="D2399" s="1" t="s">
        <v>1998</v>
      </c>
      <c r="E2399" s="1"/>
      <c r="F2399" s="1" t="s">
        <v>11</v>
      </c>
      <c r="G2399">
        <v>35</v>
      </c>
      <c r="H2399">
        <v>35</v>
      </c>
      <c r="I2399" s="2"/>
      <c r="J2399" s="2">
        <v>45743</v>
      </c>
      <c r="K2399" s="2">
        <v>45775</v>
      </c>
    </row>
    <row r="2400" spans="1:11" x14ac:dyDescent="0.25">
      <c r="A2400" s="1" t="s">
        <v>443</v>
      </c>
      <c r="B2400" s="1" t="s">
        <v>1317</v>
      </c>
      <c r="C2400" s="1" t="s">
        <v>2288</v>
      </c>
      <c r="D2400" s="1" t="s">
        <v>1998</v>
      </c>
      <c r="E2400" s="1"/>
      <c r="F2400" s="1" t="s">
        <v>11</v>
      </c>
      <c r="G2400">
        <v>5</v>
      </c>
      <c r="H2400">
        <v>1</v>
      </c>
      <c r="I2400" s="2"/>
      <c r="J2400" s="2">
        <v>45743</v>
      </c>
      <c r="K2400" s="2">
        <v>45775</v>
      </c>
    </row>
    <row r="2401" spans="1:11" x14ac:dyDescent="0.25">
      <c r="A2401" s="1" t="s">
        <v>443</v>
      </c>
      <c r="B2401" s="1" t="s">
        <v>1318</v>
      </c>
      <c r="C2401" s="1" t="s">
        <v>2289</v>
      </c>
      <c r="D2401" s="1" t="s">
        <v>1998</v>
      </c>
      <c r="E2401" s="1"/>
      <c r="F2401" s="1" t="s">
        <v>11</v>
      </c>
      <c r="G2401">
        <v>15</v>
      </c>
      <c r="H2401">
        <v>1</v>
      </c>
      <c r="I2401" s="2"/>
      <c r="J2401" s="2">
        <v>45743</v>
      </c>
      <c r="K2401" s="2">
        <v>45775</v>
      </c>
    </row>
    <row r="2402" spans="1:11" x14ac:dyDescent="0.25">
      <c r="A2402" s="1" t="s">
        <v>443</v>
      </c>
      <c r="B2402" s="1" t="s">
        <v>1068</v>
      </c>
      <c r="C2402" s="1" t="s">
        <v>2074</v>
      </c>
      <c r="D2402" s="1" t="s">
        <v>1998</v>
      </c>
      <c r="E2402" s="1"/>
      <c r="F2402" s="1" t="s">
        <v>11</v>
      </c>
      <c r="G2402">
        <v>5</v>
      </c>
      <c r="H2402">
        <v>5</v>
      </c>
      <c r="I2402" s="2"/>
      <c r="J2402" s="2">
        <v>45743</v>
      </c>
      <c r="K2402" s="2">
        <v>45775</v>
      </c>
    </row>
    <row r="2403" spans="1:11" x14ac:dyDescent="0.25">
      <c r="A2403" s="1" t="s">
        <v>443</v>
      </c>
      <c r="B2403" s="1" t="s">
        <v>1319</v>
      </c>
      <c r="C2403" s="1" t="s">
        <v>2290</v>
      </c>
      <c r="D2403" s="1" t="s">
        <v>1998</v>
      </c>
      <c r="E2403" s="1"/>
      <c r="F2403" s="1" t="s">
        <v>11</v>
      </c>
      <c r="G2403">
        <v>1</v>
      </c>
      <c r="H2403">
        <v>1</v>
      </c>
      <c r="I2403" s="2"/>
      <c r="J2403" s="2">
        <v>45743</v>
      </c>
      <c r="K2403" s="2">
        <v>45775</v>
      </c>
    </row>
    <row r="2404" spans="1:11" x14ac:dyDescent="0.25">
      <c r="A2404" s="1" t="s">
        <v>443</v>
      </c>
      <c r="B2404" s="1" t="s">
        <v>1326</v>
      </c>
      <c r="C2404" s="1" t="s">
        <v>2291</v>
      </c>
      <c r="D2404" s="1" t="s">
        <v>1998</v>
      </c>
      <c r="E2404" s="1"/>
      <c r="F2404" s="1" t="s">
        <v>11</v>
      </c>
      <c r="G2404">
        <v>1</v>
      </c>
      <c r="H2404">
        <v>1</v>
      </c>
      <c r="I2404" s="2"/>
      <c r="J2404" s="2">
        <v>45743</v>
      </c>
      <c r="K2404" s="2">
        <v>45775</v>
      </c>
    </row>
    <row r="2405" spans="1:11" x14ac:dyDescent="0.25">
      <c r="A2405" s="1" t="s">
        <v>443</v>
      </c>
      <c r="B2405" s="1" t="s">
        <v>1327</v>
      </c>
      <c r="C2405" s="1" t="s">
        <v>2291</v>
      </c>
      <c r="D2405" s="1" t="s">
        <v>1998</v>
      </c>
      <c r="E2405" s="1"/>
      <c r="F2405" s="1" t="s">
        <v>11</v>
      </c>
      <c r="G2405">
        <v>1</v>
      </c>
      <c r="H2405">
        <v>1</v>
      </c>
      <c r="I2405" s="2"/>
      <c r="J2405" s="2">
        <v>45743</v>
      </c>
      <c r="K2405" s="2">
        <v>45775</v>
      </c>
    </row>
    <row r="2406" spans="1:11" x14ac:dyDescent="0.25">
      <c r="A2406" s="1" t="s">
        <v>443</v>
      </c>
      <c r="B2406" s="1" t="s">
        <v>1322</v>
      </c>
      <c r="C2406" s="1" t="s">
        <v>2292</v>
      </c>
      <c r="D2406" s="1" t="s">
        <v>1998</v>
      </c>
      <c r="E2406" s="1"/>
      <c r="F2406" s="1" t="s">
        <v>11</v>
      </c>
      <c r="G2406">
        <v>10</v>
      </c>
      <c r="H2406">
        <v>10</v>
      </c>
      <c r="I2406" s="2"/>
      <c r="J2406" s="2">
        <v>45743</v>
      </c>
      <c r="K2406" s="2">
        <v>45775</v>
      </c>
    </row>
    <row r="2407" spans="1:11" x14ac:dyDescent="0.25">
      <c r="A2407" s="1" t="s">
        <v>444</v>
      </c>
      <c r="B2407" s="1" t="s">
        <v>1305</v>
      </c>
      <c r="C2407" s="1" t="s">
        <v>2277</v>
      </c>
      <c r="D2407" s="1" t="s">
        <v>1998</v>
      </c>
      <c r="E2407" s="1"/>
      <c r="F2407" s="1" t="s">
        <v>11</v>
      </c>
      <c r="G2407">
        <v>145</v>
      </c>
      <c r="H2407">
        <v>145</v>
      </c>
      <c r="I2407" s="2"/>
      <c r="J2407" s="2">
        <v>45743</v>
      </c>
      <c r="K2407" s="2">
        <v>45785</v>
      </c>
    </row>
    <row r="2408" spans="1:11" x14ac:dyDescent="0.25">
      <c r="A2408" s="1" t="s">
        <v>444</v>
      </c>
      <c r="B2408" s="1" t="s">
        <v>1306</v>
      </c>
      <c r="C2408" s="1" t="s">
        <v>2278</v>
      </c>
      <c r="D2408" s="1" t="s">
        <v>1998</v>
      </c>
      <c r="E2408" s="1"/>
      <c r="F2408" s="1" t="s">
        <v>11</v>
      </c>
      <c r="G2408">
        <v>135</v>
      </c>
      <c r="H2408">
        <v>135</v>
      </c>
      <c r="I2408" s="2"/>
      <c r="J2408" s="2">
        <v>45743</v>
      </c>
      <c r="K2408" s="2">
        <v>45785</v>
      </c>
    </row>
    <row r="2409" spans="1:11" x14ac:dyDescent="0.25">
      <c r="A2409" s="1" t="s">
        <v>444</v>
      </c>
      <c r="B2409" s="1" t="s">
        <v>1307</v>
      </c>
      <c r="C2409" s="1" t="s">
        <v>2279</v>
      </c>
      <c r="D2409" s="1" t="s">
        <v>1998</v>
      </c>
      <c r="E2409" s="1"/>
      <c r="F2409" s="1" t="s">
        <v>11</v>
      </c>
      <c r="G2409">
        <v>1</v>
      </c>
      <c r="H2409">
        <v>1</v>
      </c>
      <c r="I2409" s="2"/>
      <c r="J2409" s="2">
        <v>45743</v>
      </c>
      <c r="K2409" s="2">
        <v>45785</v>
      </c>
    </row>
    <row r="2410" spans="1:11" x14ac:dyDescent="0.25">
      <c r="A2410" s="1" t="s">
        <v>444</v>
      </c>
      <c r="B2410" s="1" t="s">
        <v>1308</v>
      </c>
      <c r="C2410" s="1" t="s">
        <v>2280</v>
      </c>
      <c r="D2410" s="1" t="s">
        <v>1998</v>
      </c>
      <c r="E2410" s="1"/>
      <c r="F2410" s="1" t="s">
        <v>11</v>
      </c>
      <c r="G2410">
        <v>1</v>
      </c>
      <c r="H2410">
        <v>1</v>
      </c>
      <c r="I2410" s="2"/>
      <c r="J2410" s="2">
        <v>45743</v>
      </c>
      <c r="K2410" s="2">
        <v>45785</v>
      </c>
    </row>
    <row r="2411" spans="1:11" x14ac:dyDescent="0.25">
      <c r="A2411" s="1" t="s">
        <v>444</v>
      </c>
      <c r="B2411" s="1" t="s">
        <v>1330</v>
      </c>
      <c r="C2411" s="1" t="s">
        <v>2293</v>
      </c>
      <c r="D2411" s="1" t="s">
        <v>1998</v>
      </c>
      <c r="E2411" s="1"/>
      <c r="F2411" s="1" t="s">
        <v>11</v>
      </c>
      <c r="G2411">
        <v>5</v>
      </c>
      <c r="H2411">
        <v>5</v>
      </c>
      <c r="I2411" s="2"/>
      <c r="J2411" s="2">
        <v>45743</v>
      </c>
      <c r="K2411" s="2">
        <v>45785</v>
      </c>
    </row>
    <row r="2412" spans="1:11" x14ac:dyDescent="0.25">
      <c r="A2412" s="1" t="s">
        <v>444</v>
      </c>
      <c r="B2412" s="1" t="s">
        <v>1331</v>
      </c>
      <c r="C2412" s="1" t="s">
        <v>2294</v>
      </c>
      <c r="D2412" s="1" t="s">
        <v>1998</v>
      </c>
      <c r="E2412" s="1"/>
      <c r="F2412" s="1" t="s">
        <v>11</v>
      </c>
      <c r="G2412">
        <v>275</v>
      </c>
      <c r="H2412">
        <v>275</v>
      </c>
      <c r="I2412" s="2"/>
      <c r="J2412" s="2">
        <v>45743</v>
      </c>
      <c r="K2412" s="2">
        <v>45785</v>
      </c>
    </row>
    <row r="2413" spans="1:11" x14ac:dyDescent="0.25">
      <c r="A2413" s="1" t="s">
        <v>444</v>
      </c>
      <c r="B2413" s="1" t="s">
        <v>1332</v>
      </c>
      <c r="C2413" s="1" t="s">
        <v>2281</v>
      </c>
      <c r="D2413" s="1" t="s">
        <v>1998</v>
      </c>
      <c r="E2413" s="1"/>
      <c r="F2413" s="1" t="s">
        <v>11</v>
      </c>
      <c r="G2413">
        <v>1820</v>
      </c>
      <c r="H2413">
        <v>1820</v>
      </c>
      <c r="I2413" s="2"/>
      <c r="J2413" s="2">
        <v>45743</v>
      </c>
      <c r="K2413" s="2">
        <v>45785</v>
      </c>
    </row>
    <row r="2414" spans="1:11" x14ac:dyDescent="0.25">
      <c r="A2414" s="1" t="s">
        <v>444</v>
      </c>
      <c r="B2414" s="1" t="s">
        <v>1333</v>
      </c>
      <c r="C2414" s="1" t="s">
        <v>2295</v>
      </c>
      <c r="D2414" s="1" t="s">
        <v>1998</v>
      </c>
      <c r="E2414" s="1"/>
      <c r="F2414" s="1" t="s">
        <v>11</v>
      </c>
      <c r="G2414">
        <v>3800</v>
      </c>
      <c r="H2414">
        <v>3800</v>
      </c>
      <c r="I2414" s="2"/>
      <c r="J2414" s="2">
        <v>45743</v>
      </c>
      <c r="K2414" s="2">
        <v>45785</v>
      </c>
    </row>
    <row r="2415" spans="1:11" x14ac:dyDescent="0.25">
      <c r="A2415" s="1" t="s">
        <v>444</v>
      </c>
      <c r="B2415" s="1" t="s">
        <v>1334</v>
      </c>
      <c r="C2415" s="1" t="s">
        <v>2282</v>
      </c>
      <c r="D2415" s="1" t="s">
        <v>1998</v>
      </c>
      <c r="E2415" s="1"/>
      <c r="F2415" s="1" t="s">
        <v>11</v>
      </c>
      <c r="G2415">
        <v>365</v>
      </c>
      <c r="H2415">
        <v>365</v>
      </c>
      <c r="I2415" s="2"/>
      <c r="J2415" s="2">
        <v>45743</v>
      </c>
      <c r="K2415" s="2">
        <v>45785</v>
      </c>
    </row>
    <row r="2416" spans="1:11" x14ac:dyDescent="0.25">
      <c r="A2416" s="1" t="s">
        <v>444</v>
      </c>
      <c r="B2416" s="1" t="s">
        <v>1335</v>
      </c>
      <c r="C2416" s="1" t="s">
        <v>2282</v>
      </c>
      <c r="D2416" s="1" t="s">
        <v>1998</v>
      </c>
      <c r="E2416" s="1"/>
      <c r="F2416" s="1" t="s">
        <v>11</v>
      </c>
      <c r="G2416">
        <v>390</v>
      </c>
      <c r="H2416">
        <v>390</v>
      </c>
      <c r="I2416" s="2"/>
      <c r="J2416" s="2">
        <v>45743</v>
      </c>
      <c r="K2416" s="2">
        <v>45785</v>
      </c>
    </row>
    <row r="2417" spans="1:11" x14ac:dyDescent="0.25">
      <c r="A2417" s="1" t="s">
        <v>444</v>
      </c>
      <c r="B2417" s="1" t="s">
        <v>1313</v>
      </c>
      <c r="C2417" s="1" t="s">
        <v>2284</v>
      </c>
      <c r="D2417" s="1" t="s">
        <v>1998</v>
      </c>
      <c r="E2417" s="1"/>
      <c r="F2417" s="1" t="s">
        <v>11</v>
      </c>
      <c r="G2417">
        <v>590</v>
      </c>
      <c r="H2417">
        <v>590</v>
      </c>
      <c r="I2417" s="2"/>
      <c r="J2417" s="2">
        <v>45743</v>
      </c>
      <c r="K2417" s="2">
        <v>45785</v>
      </c>
    </row>
    <row r="2418" spans="1:11" x14ac:dyDescent="0.25">
      <c r="A2418" s="1" t="s">
        <v>444</v>
      </c>
      <c r="B2418" s="1" t="s">
        <v>1314</v>
      </c>
      <c r="C2418" s="1" t="s">
        <v>2285</v>
      </c>
      <c r="D2418" s="1" t="s">
        <v>1998</v>
      </c>
      <c r="E2418" s="1"/>
      <c r="F2418" s="1" t="s">
        <v>11</v>
      </c>
      <c r="G2418">
        <v>310</v>
      </c>
      <c r="H2418">
        <v>310</v>
      </c>
      <c r="I2418" s="2"/>
      <c r="J2418" s="2">
        <v>45743</v>
      </c>
      <c r="K2418" s="2">
        <v>45785</v>
      </c>
    </row>
    <row r="2419" spans="1:11" x14ac:dyDescent="0.25">
      <c r="A2419" s="1" t="s">
        <v>444</v>
      </c>
      <c r="B2419" s="1" t="s">
        <v>1315</v>
      </c>
      <c r="C2419" s="1" t="s">
        <v>2286</v>
      </c>
      <c r="D2419" s="1" t="s">
        <v>1998</v>
      </c>
      <c r="E2419" s="1"/>
      <c r="F2419" s="1" t="s">
        <v>11</v>
      </c>
      <c r="G2419">
        <v>580</v>
      </c>
      <c r="H2419">
        <v>580</v>
      </c>
      <c r="I2419" s="2"/>
      <c r="J2419" s="2">
        <v>45743</v>
      </c>
      <c r="K2419" s="2">
        <v>45785</v>
      </c>
    </row>
    <row r="2420" spans="1:11" x14ac:dyDescent="0.25">
      <c r="A2420" s="1" t="s">
        <v>444</v>
      </c>
      <c r="B2420" s="1" t="s">
        <v>1316</v>
      </c>
      <c r="C2420" s="1" t="s">
        <v>2287</v>
      </c>
      <c r="D2420" s="1" t="s">
        <v>1998</v>
      </c>
      <c r="E2420" s="1"/>
      <c r="F2420" s="1" t="s">
        <v>11</v>
      </c>
      <c r="G2420">
        <v>170</v>
      </c>
      <c r="H2420">
        <v>170</v>
      </c>
      <c r="I2420" s="2"/>
      <c r="J2420" s="2">
        <v>45743</v>
      </c>
      <c r="K2420" s="2">
        <v>45785</v>
      </c>
    </row>
    <row r="2421" spans="1:11" x14ac:dyDescent="0.25">
      <c r="A2421" s="1" t="s">
        <v>444</v>
      </c>
      <c r="B2421" s="1" t="s">
        <v>1317</v>
      </c>
      <c r="C2421" s="1" t="s">
        <v>2288</v>
      </c>
      <c r="D2421" s="1" t="s">
        <v>1998</v>
      </c>
      <c r="E2421" s="1"/>
      <c r="F2421" s="1" t="s">
        <v>11</v>
      </c>
      <c r="G2421">
        <v>15</v>
      </c>
      <c r="H2421">
        <v>1</v>
      </c>
      <c r="I2421" s="2"/>
      <c r="J2421" s="2">
        <v>45743</v>
      </c>
      <c r="K2421" s="2">
        <v>45785</v>
      </c>
    </row>
    <row r="2422" spans="1:11" x14ac:dyDescent="0.25">
      <c r="A2422" s="1" t="s">
        <v>444</v>
      </c>
      <c r="B2422" s="1" t="s">
        <v>1318</v>
      </c>
      <c r="C2422" s="1" t="s">
        <v>2289</v>
      </c>
      <c r="D2422" s="1" t="s">
        <v>1998</v>
      </c>
      <c r="E2422" s="1"/>
      <c r="F2422" s="1" t="s">
        <v>11</v>
      </c>
      <c r="G2422">
        <v>55</v>
      </c>
      <c r="H2422">
        <v>1</v>
      </c>
      <c r="I2422" s="2"/>
      <c r="J2422" s="2">
        <v>45743</v>
      </c>
      <c r="K2422" s="2">
        <v>45785</v>
      </c>
    </row>
    <row r="2423" spans="1:11" x14ac:dyDescent="0.25">
      <c r="A2423" s="1" t="s">
        <v>444</v>
      </c>
      <c r="B2423" s="1" t="s">
        <v>1068</v>
      </c>
      <c r="C2423" s="1" t="s">
        <v>2074</v>
      </c>
      <c r="D2423" s="1" t="s">
        <v>1998</v>
      </c>
      <c r="E2423" s="1"/>
      <c r="F2423" s="1" t="s">
        <v>11</v>
      </c>
      <c r="G2423">
        <v>5</v>
      </c>
      <c r="H2423">
        <v>5</v>
      </c>
      <c r="I2423" s="2"/>
      <c r="J2423" s="2">
        <v>45743</v>
      </c>
      <c r="K2423" s="2">
        <v>45785</v>
      </c>
    </row>
    <row r="2424" spans="1:11" x14ac:dyDescent="0.25">
      <c r="A2424" s="1" t="s">
        <v>444</v>
      </c>
      <c r="B2424" s="1" t="s">
        <v>1336</v>
      </c>
      <c r="C2424" s="1" t="s">
        <v>2296</v>
      </c>
      <c r="D2424" s="1" t="s">
        <v>1998</v>
      </c>
      <c r="E2424" s="1"/>
      <c r="F2424" s="1" t="s">
        <v>11</v>
      </c>
      <c r="G2424">
        <v>1</v>
      </c>
      <c r="H2424">
        <v>1</v>
      </c>
      <c r="I2424" s="2"/>
      <c r="J2424" s="2">
        <v>45743</v>
      </c>
      <c r="K2424" s="2">
        <v>45785</v>
      </c>
    </row>
    <row r="2425" spans="1:11" x14ac:dyDescent="0.25">
      <c r="A2425" s="1" t="s">
        <v>444</v>
      </c>
      <c r="B2425" s="1" t="s">
        <v>1337</v>
      </c>
      <c r="C2425" s="1" t="s">
        <v>2291</v>
      </c>
      <c r="D2425" s="1" t="s">
        <v>1998</v>
      </c>
      <c r="E2425" s="1"/>
      <c r="F2425" s="1" t="s">
        <v>11</v>
      </c>
      <c r="G2425">
        <v>1</v>
      </c>
      <c r="H2425">
        <v>1</v>
      </c>
      <c r="I2425" s="2"/>
      <c r="J2425" s="2">
        <v>45743</v>
      </c>
      <c r="K2425" s="2">
        <v>45785</v>
      </c>
    </row>
    <row r="2426" spans="1:11" x14ac:dyDescent="0.25">
      <c r="A2426" s="1" t="s">
        <v>444</v>
      </c>
      <c r="B2426" s="1" t="s">
        <v>1338</v>
      </c>
      <c r="C2426" s="1" t="s">
        <v>2291</v>
      </c>
      <c r="D2426" s="1" t="s">
        <v>1998</v>
      </c>
      <c r="E2426" s="1"/>
      <c r="F2426" s="1" t="s">
        <v>11</v>
      </c>
      <c r="G2426">
        <v>1</v>
      </c>
      <c r="H2426">
        <v>1</v>
      </c>
      <c r="I2426" s="2"/>
      <c r="J2426" s="2">
        <v>45743</v>
      </c>
      <c r="K2426" s="2">
        <v>45785</v>
      </c>
    </row>
    <row r="2427" spans="1:11" x14ac:dyDescent="0.25">
      <c r="A2427" s="1" t="s">
        <v>444</v>
      </c>
      <c r="B2427" s="1" t="s">
        <v>1339</v>
      </c>
      <c r="C2427" s="1" t="s">
        <v>2291</v>
      </c>
      <c r="D2427" s="1" t="s">
        <v>1998</v>
      </c>
      <c r="E2427" s="1"/>
      <c r="F2427" s="1" t="s">
        <v>11</v>
      </c>
      <c r="G2427">
        <v>1</v>
      </c>
      <c r="H2427">
        <v>1</v>
      </c>
      <c r="I2427" s="2"/>
      <c r="J2427" s="2">
        <v>45743</v>
      </c>
      <c r="K2427" s="2">
        <v>45785</v>
      </c>
    </row>
    <row r="2428" spans="1:11" x14ac:dyDescent="0.25">
      <c r="A2428" s="1" t="s">
        <v>444</v>
      </c>
      <c r="B2428" s="1" t="s">
        <v>1340</v>
      </c>
      <c r="C2428" s="1" t="s">
        <v>2291</v>
      </c>
      <c r="D2428" s="1" t="s">
        <v>1998</v>
      </c>
      <c r="E2428" s="1"/>
      <c r="F2428" s="1" t="s">
        <v>11</v>
      </c>
      <c r="G2428">
        <v>1</v>
      </c>
      <c r="H2428">
        <v>1</v>
      </c>
      <c r="I2428" s="2"/>
      <c r="J2428" s="2">
        <v>45743</v>
      </c>
      <c r="K2428" s="2">
        <v>45785</v>
      </c>
    </row>
    <row r="2429" spans="1:11" x14ac:dyDescent="0.25">
      <c r="A2429" s="1" t="s">
        <v>445</v>
      </c>
      <c r="B2429" s="1" t="s">
        <v>995</v>
      </c>
      <c r="C2429" s="1" t="s">
        <v>2013</v>
      </c>
      <c r="D2429" s="1" t="s">
        <v>1998</v>
      </c>
      <c r="E2429" s="1"/>
      <c r="F2429" s="1" t="s">
        <v>11</v>
      </c>
      <c r="G2429">
        <v>60</v>
      </c>
      <c r="H2429">
        <v>60</v>
      </c>
      <c r="I2429" s="2"/>
      <c r="J2429" s="2">
        <v>45744</v>
      </c>
      <c r="K2429" s="2">
        <v>45778</v>
      </c>
    </row>
    <row r="2430" spans="1:11" x14ac:dyDescent="0.25">
      <c r="A2430" s="1" t="s">
        <v>445</v>
      </c>
      <c r="B2430" s="1" t="s">
        <v>1242</v>
      </c>
      <c r="C2430" s="1" t="s">
        <v>2224</v>
      </c>
      <c r="D2430" s="1" t="s">
        <v>1998</v>
      </c>
      <c r="E2430" s="1"/>
      <c r="F2430" s="1" t="s">
        <v>11</v>
      </c>
      <c r="G2430">
        <v>2185</v>
      </c>
      <c r="H2430">
        <v>2185</v>
      </c>
      <c r="I2430" s="2"/>
      <c r="J2430" s="2">
        <v>45744</v>
      </c>
      <c r="K2430" s="2">
        <v>45778</v>
      </c>
    </row>
    <row r="2431" spans="1:11" x14ac:dyDescent="0.25">
      <c r="A2431" s="1" t="s">
        <v>445</v>
      </c>
      <c r="B2431" s="1" t="s">
        <v>1243</v>
      </c>
      <c r="C2431" s="1" t="s">
        <v>2225</v>
      </c>
      <c r="D2431" s="1" t="s">
        <v>1998</v>
      </c>
      <c r="E2431" s="1"/>
      <c r="F2431" s="1" t="s">
        <v>11</v>
      </c>
      <c r="G2431">
        <v>2445</v>
      </c>
      <c r="H2431">
        <v>2445</v>
      </c>
      <c r="I2431" s="2"/>
      <c r="J2431" s="2">
        <v>45744</v>
      </c>
      <c r="K2431" s="2">
        <v>45778</v>
      </c>
    </row>
    <row r="2432" spans="1:11" x14ac:dyDescent="0.25">
      <c r="A2432" s="1" t="s">
        <v>445</v>
      </c>
      <c r="B2432" s="1" t="s">
        <v>1244</v>
      </c>
      <c r="C2432" s="1" t="s">
        <v>2226</v>
      </c>
      <c r="D2432" s="1" t="s">
        <v>1998</v>
      </c>
      <c r="E2432" s="1"/>
      <c r="F2432" s="1" t="s">
        <v>11</v>
      </c>
      <c r="G2432">
        <v>40</v>
      </c>
      <c r="H2432">
        <v>40</v>
      </c>
      <c r="I2432" s="2"/>
      <c r="J2432" s="2">
        <v>45744</v>
      </c>
      <c r="K2432" s="2">
        <v>45778</v>
      </c>
    </row>
    <row r="2433" spans="1:11" x14ac:dyDescent="0.25">
      <c r="A2433" s="1" t="s">
        <v>445</v>
      </c>
      <c r="B2433" s="1" t="s">
        <v>1553</v>
      </c>
      <c r="C2433" s="1" t="s">
        <v>2479</v>
      </c>
      <c r="D2433" s="1" t="s">
        <v>1998</v>
      </c>
      <c r="E2433" s="1"/>
      <c r="F2433" s="1" t="s">
        <v>11</v>
      </c>
      <c r="G2433">
        <v>160</v>
      </c>
      <c r="H2433">
        <v>240</v>
      </c>
      <c r="I2433" s="2"/>
      <c r="J2433" s="2">
        <v>45744</v>
      </c>
      <c r="K2433" s="2">
        <v>45778</v>
      </c>
    </row>
    <row r="2434" spans="1:11" x14ac:dyDescent="0.25">
      <c r="A2434" s="1" t="s">
        <v>445</v>
      </c>
      <c r="B2434" s="1" t="s">
        <v>999</v>
      </c>
      <c r="C2434" s="1" t="s">
        <v>2017</v>
      </c>
      <c r="D2434" s="1" t="s">
        <v>1998</v>
      </c>
      <c r="E2434" s="1"/>
      <c r="F2434" s="1" t="s">
        <v>11</v>
      </c>
      <c r="G2434">
        <v>1</v>
      </c>
      <c r="H2434">
        <v>1</v>
      </c>
      <c r="I2434" s="2"/>
      <c r="J2434" s="2">
        <v>45744</v>
      </c>
      <c r="K2434" s="2">
        <v>45778</v>
      </c>
    </row>
    <row r="2435" spans="1:11" x14ac:dyDescent="0.25">
      <c r="A2435" s="1" t="s">
        <v>445</v>
      </c>
      <c r="B2435" s="1" t="s">
        <v>1000</v>
      </c>
      <c r="C2435" s="1" t="s">
        <v>2018</v>
      </c>
      <c r="D2435" s="1" t="s">
        <v>1998</v>
      </c>
      <c r="E2435" s="1"/>
      <c r="F2435" s="1" t="s">
        <v>11</v>
      </c>
      <c r="G2435">
        <v>1</v>
      </c>
      <c r="H2435">
        <v>1</v>
      </c>
      <c r="I2435" s="2"/>
      <c r="J2435" s="2">
        <v>45744</v>
      </c>
      <c r="K2435" s="2">
        <v>45778</v>
      </c>
    </row>
    <row r="2436" spans="1:11" x14ac:dyDescent="0.25">
      <c r="A2436" s="1" t="s">
        <v>445</v>
      </c>
      <c r="B2436" s="1" t="s">
        <v>1001</v>
      </c>
      <c r="C2436" s="1" t="s">
        <v>2019</v>
      </c>
      <c r="D2436" s="1" t="s">
        <v>1998</v>
      </c>
      <c r="E2436" s="1"/>
      <c r="F2436" s="1" t="s">
        <v>11</v>
      </c>
      <c r="G2436">
        <v>1</v>
      </c>
      <c r="H2436">
        <v>1</v>
      </c>
      <c r="I2436" s="2"/>
      <c r="J2436" s="2">
        <v>45744</v>
      </c>
      <c r="K2436" s="2">
        <v>45778</v>
      </c>
    </row>
    <row r="2437" spans="1:11" x14ac:dyDescent="0.25">
      <c r="A2437" s="1" t="s">
        <v>446</v>
      </c>
      <c r="B2437" s="1" t="s">
        <v>1264</v>
      </c>
      <c r="C2437" s="1" t="s">
        <v>2241</v>
      </c>
      <c r="D2437" s="1" t="s">
        <v>1998</v>
      </c>
      <c r="E2437" s="1"/>
      <c r="F2437" s="1" t="s">
        <v>11</v>
      </c>
      <c r="G2437">
        <v>330</v>
      </c>
      <c r="H2437">
        <v>35</v>
      </c>
      <c r="I2437" s="2"/>
      <c r="J2437" s="2">
        <v>45749</v>
      </c>
      <c r="K2437" s="2">
        <v>45755</v>
      </c>
    </row>
    <row r="2438" spans="1:11" x14ac:dyDescent="0.25">
      <c r="A2438" s="1" t="s">
        <v>446</v>
      </c>
      <c r="B2438" s="1" t="s">
        <v>1246</v>
      </c>
      <c r="C2438" s="1" t="s">
        <v>2228</v>
      </c>
      <c r="D2438" s="1" t="s">
        <v>1998</v>
      </c>
      <c r="E2438" s="1"/>
      <c r="F2438" s="1" t="s">
        <v>11</v>
      </c>
      <c r="G2438">
        <v>275</v>
      </c>
      <c r="H2438">
        <v>750</v>
      </c>
      <c r="I2438" s="2"/>
      <c r="J2438" s="2">
        <v>45749</v>
      </c>
      <c r="K2438" s="2">
        <v>45755</v>
      </c>
    </row>
    <row r="2439" spans="1:11" x14ac:dyDescent="0.25">
      <c r="A2439" s="1" t="s">
        <v>446</v>
      </c>
      <c r="B2439" s="1" t="s">
        <v>1206</v>
      </c>
      <c r="C2439" s="1" t="s">
        <v>2196</v>
      </c>
      <c r="D2439" s="1" t="s">
        <v>1998</v>
      </c>
      <c r="E2439" s="1"/>
      <c r="F2439" s="1" t="s">
        <v>11</v>
      </c>
      <c r="G2439">
        <v>1</v>
      </c>
      <c r="H2439">
        <v>1</v>
      </c>
      <c r="I2439" s="2"/>
      <c r="J2439" s="2">
        <v>45749</v>
      </c>
      <c r="K2439" s="2">
        <v>45755</v>
      </c>
    </row>
    <row r="2440" spans="1:11" x14ac:dyDescent="0.25">
      <c r="A2440" s="1" t="s">
        <v>447</v>
      </c>
      <c r="B2440" s="1" t="s">
        <v>1265</v>
      </c>
      <c r="C2440" s="1" t="s">
        <v>2242</v>
      </c>
      <c r="D2440" s="1" t="s">
        <v>1998</v>
      </c>
      <c r="E2440" s="1"/>
      <c r="F2440" s="1" t="s">
        <v>11</v>
      </c>
      <c r="G2440">
        <v>760</v>
      </c>
      <c r="H2440">
        <v>760</v>
      </c>
      <c r="I2440" s="2"/>
      <c r="J2440" s="2">
        <v>45750</v>
      </c>
      <c r="K2440" s="2">
        <v>45755</v>
      </c>
    </row>
    <row r="2441" spans="1:11" x14ac:dyDescent="0.25">
      <c r="A2441" s="1" t="s">
        <v>447</v>
      </c>
      <c r="B2441" s="1" t="s">
        <v>1267</v>
      </c>
      <c r="C2441" s="1" t="s">
        <v>2244</v>
      </c>
      <c r="D2441" s="1" t="s">
        <v>1998</v>
      </c>
      <c r="E2441" s="1"/>
      <c r="F2441" s="1" t="s">
        <v>11</v>
      </c>
      <c r="G2441">
        <v>65</v>
      </c>
      <c r="H2441">
        <v>65</v>
      </c>
      <c r="I2441" s="2"/>
      <c r="J2441" s="2">
        <v>45750</v>
      </c>
      <c r="K2441" s="2">
        <v>45755</v>
      </c>
    </row>
    <row r="2442" spans="1:11" x14ac:dyDescent="0.25">
      <c r="A2442" s="1" t="s">
        <v>447</v>
      </c>
      <c r="B2442" s="1" t="s">
        <v>1206</v>
      </c>
      <c r="C2442" s="1" t="s">
        <v>2196</v>
      </c>
      <c r="D2442" s="1" t="s">
        <v>1998</v>
      </c>
      <c r="E2442" s="1"/>
      <c r="F2442" s="1" t="s">
        <v>11</v>
      </c>
      <c r="G2442">
        <v>1</v>
      </c>
      <c r="H2442">
        <v>1</v>
      </c>
      <c r="I2442" s="2"/>
      <c r="J2442" s="2">
        <v>45750</v>
      </c>
      <c r="K2442" s="2">
        <v>45755</v>
      </c>
    </row>
    <row r="2443" spans="1:11" x14ac:dyDescent="0.25">
      <c r="A2443" s="1" t="s">
        <v>447</v>
      </c>
      <c r="B2443" s="1" t="s">
        <v>1359</v>
      </c>
      <c r="C2443" s="1" t="s">
        <v>2309</v>
      </c>
      <c r="D2443" s="1" t="s">
        <v>1998</v>
      </c>
      <c r="E2443" s="1"/>
      <c r="F2443" s="1" t="s">
        <v>11</v>
      </c>
      <c r="G2443">
        <v>10</v>
      </c>
      <c r="H2443">
        <v>10</v>
      </c>
      <c r="I2443" s="2"/>
      <c r="J2443" s="2">
        <v>45750</v>
      </c>
      <c r="K2443" s="2">
        <v>45755</v>
      </c>
    </row>
    <row r="2444" spans="1:11" x14ac:dyDescent="0.25">
      <c r="A2444" s="1" t="s">
        <v>447</v>
      </c>
      <c r="B2444" s="1" t="s">
        <v>1554</v>
      </c>
      <c r="C2444" s="1" t="s">
        <v>2480</v>
      </c>
      <c r="D2444" s="1" t="s">
        <v>1998</v>
      </c>
      <c r="E2444" s="1"/>
      <c r="F2444" s="1" t="s">
        <v>11</v>
      </c>
      <c r="G2444">
        <v>1</v>
      </c>
      <c r="H2444">
        <v>1</v>
      </c>
      <c r="I2444" s="2"/>
      <c r="J2444" s="2">
        <v>45750</v>
      </c>
      <c r="K2444" s="2">
        <v>45755</v>
      </c>
    </row>
    <row r="2445" spans="1:11" x14ac:dyDescent="0.25">
      <c r="A2445" s="1" t="s">
        <v>447</v>
      </c>
      <c r="B2445" s="1" t="s">
        <v>1266</v>
      </c>
      <c r="C2445" s="1" t="s">
        <v>2243</v>
      </c>
      <c r="D2445" s="1" t="s">
        <v>1998</v>
      </c>
      <c r="E2445" s="1"/>
      <c r="F2445" s="1" t="s">
        <v>11</v>
      </c>
      <c r="G2445">
        <v>1</v>
      </c>
      <c r="H2445">
        <v>1</v>
      </c>
      <c r="I2445" s="2"/>
      <c r="J2445" s="2">
        <v>45750</v>
      </c>
      <c r="K2445" s="2">
        <v>45755</v>
      </c>
    </row>
    <row r="2446" spans="1:11" x14ac:dyDescent="0.25">
      <c r="A2446" s="1" t="s">
        <v>448</v>
      </c>
      <c r="B2446" s="1" t="s">
        <v>1265</v>
      </c>
      <c r="C2446" s="1" t="s">
        <v>2242</v>
      </c>
      <c r="D2446" s="1" t="s">
        <v>1998</v>
      </c>
      <c r="E2446" s="1"/>
      <c r="F2446" s="1" t="s">
        <v>11</v>
      </c>
      <c r="G2446">
        <v>1225</v>
      </c>
      <c r="H2446">
        <v>1230</v>
      </c>
      <c r="I2446" s="2"/>
      <c r="J2446" s="2">
        <v>45761</v>
      </c>
      <c r="K2446" s="2">
        <v>45761</v>
      </c>
    </row>
    <row r="2447" spans="1:11" x14ac:dyDescent="0.25">
      <c r="A2447" s="1" t="s">
        <v>448</v>
      </c>
      <c r="B2447" s="1" t="s">
        <v>1206</v>
      </c>
      <c r="C2447" s="1" t="s">
        <v>2196</v>
      </c>
      <c r="D2447" s="1" t="s">
        <v>1998</v>
      </c>
      <c r="E2447" s="1"/>
      <c r="F2447" s="1" t="s">
        <v>11</v>
      </c>
      <c r="G2447">
        <v>5</v>
      </c>
      <c r="H2447">
        <v>5</v>
      </c>
      <c r="I2447" s="2"/>
      <c r="J2447" s="2">
        <v>45761</v>
      </c>
      <c r="K2447" s="2">
        <v>45761</v>
      </c>
    </row>
    <row r="2448" spans="1:11" x14ac:dyDescent="0.25">
      <c r="A2448" s="1" t="s">
        <v>448</v>
      </c>
      <c r="B2448" s="1" t="s">
        <v>1280</v>
      </c>
      <c r="C2448" s="1" t="s">
        <v>2257</v>
      </c>
      <c r="D2448" s="1" t="s">
        <v>1998</v>
      </c>
      <c r="E2448" s="1"/>
      <c r="F2448" s="1" t="s">
        <v>11</v>
      </c>
      <c r="G2448">
        <v>25</v>
      </c>
      <c r="H2448">
        <v>25</v>
      </c>
      <c r="I2448" s="2"/>
      <c r="J2448" s="2">
        <v>45761</v>
      </c>
      <c r="K2448" s="2">
        <v>45761</v>
      </c>
    </row>
    <row r="2449" spans="1:11" x14ac:dyDescent="0.25">
      <c r="A2449" s="1" t="s">
        <v>449</v>
      </c>
      <c r="B2449" s="1" t="s">
        <v>1555</v>
      </c>
      <c r="C2449" s="1" t="s">
        <v>2481</v>
      </c>
      <c r="D2449" s="1" t="s">
        <v>1998</v>
      </c>
      <c r="E2449" s="1"/>
      <c r="F2449" s="1" t="s">
        <v>11</v>
      </c>
      <c r="G2449">
        <v>90</v>
      </c>
      <c r="H2449">
        <v>185</v>
      </c>
      <c r="I2449" s="2"/>
      <c r="J2449" s="2">
        <v>45744</v>
      </c>
      <c r="K2449" s="2">
        <v>45764</v>
      </c>
    </row>
    <row r="2450" spans="1:11" x14ac:dyDescent="0.25">
      <c r="A2450" s="1" t="s">
        <v>449</v>
      </c>
      <c r="B2450" s="1" t="s">
        <v>1556</v>
      </c>
      <c r="C2450" s="1" t="s">
        <v>2456</v>
      </c>
      <c r="D2450" s="1" t="s">
        <v>1998</v>
      </c>
      <c r="E2450" s="1"/>
      <c r="F2450" s="1" t="s">
        <v>11</v>
      </c>
      <c r="G2450">
        <v>4975</v>
      </c>
      <c r="H2450">
        <v>4975</v>
      </c>
      <c r="I2450" s="2"/>
      <c r="J2450" s="2">
        <v>45744</v>
      </c>
      <c r="K2450" s="2">
        <v>45764</v>
      </c>
    </row>
    <row r="2451" spans="1:11" x14ac:dyDescent="0.25">
      <c r="A2451" s="1" t="s">
        <v>449</v>
      </c>
      <c r="B2451" s="1" t="s">
        <v>1027</v>
      </c>
      <c r="C2451" s="1" t="s">
        <v>2040</v>
      </c>
      <c r="D2451" s="1" t="s">
        <v>1998</v>
      </c>
      <c r="E2451" s="1"/>
      <c r="F2451" s="1" t="s">
        <v>11</v>
      </c>
      <c r="G2451">
        <v>100</v>
      </c>
      <c r="H2451">
        <v>125</v>
      </c>
      <c r="I2451" s="2"/>
      <c r="J2451" s="2">
        <v>45744</v>
      </c>
      <c r="K2451" s="2">
        <v>45764</v>
      </c>
    </row>
    <row r="2452" spans="1:11" x14ac:dyDescent="0.25">
      <c r="A2452" s="1" t="s">
        <v>449</v>
      </c>
      <c r="B2452" s="1" t="s">
        <v>1013</v>
      </c>
      <c r="C2452" s="1" t="s">
        <v>2030</v>
      </c>
      <c r="D2452" s="1" t="s">
        <v>1998</v>
      </c>
      <c r="E2452" s="1"/>
      <c r="F2452" s="1" t="s">
        <v>11</v>
      </c>
      <c r="G2452">
        <v>15</v>
      </c>
      <c r="H2452">
        <v>60</v>
      </c>
      <c r="I2452" s="2"/>
      <c r="J2452" s="2">
        <v>45744</v>
      </c>
      <c r="K2452" s="2">
        <v>45764</v>
      </c>
    </row>
    <row r="2453" spans="1:11" x14ac:dyDescent="0.25">
      <c r="A2453" s="1" t="s">
        <v>449</v>
      </c>
      <c r="B2453" s="1" t="s">
        <v>993</v>
      </c>
      <c r="C2453" s="1" t="s">
        <v>2011</v>
      </c>
      <c r="D2453" s="1" t="s">
        <v>1998</v>
      </c>
      <c r="E2453" s="1"/>
      <c r="F2453" s="1" t="s">
        <v>11</v>
      </c>
      <c r="G2453">
        <v>5</v>
      </c>
      <c r="H2453">
        <v>5</v>
      </c>
      <c r="I2453" s="2"/>
      <c r="J2453" s="2">
        <v>45744</v>
      </c>
      <c r="K2453" s="2">
        <v>45764</v>
      </c>
    </row>
    <row r="2454" spans="1:11" x14ac:dyDescent="0.25">
      <c r="A2454" s="1" t="s">
        <v>449</v>
      </c>
      <c r="B2454" s="1" t="s">
        <v>993</v>
      </c>
      <c r="C2454" s="1" t="s">
        <v>2011</v>
      </c>
      <c r="D2454" s="1" t="s">
        <v>1998</v>
      </c>
      <c r="E2454" s="1"/>
      <c r="F2454" s="1" t="s">
        <v>11</v>
      </c>
      <c r="G2454">
        <v>15</v>
      </c>
      <c r="H2454">
        <v>15</v>
      </c>
      <c r="I2454" s="2"/>
      <c r="J2454" s="2">
        <v>45744</v>
      </c>
      <c r="K2454" s="2">
        <v>45764</v>
      </c>
    </row>
    <row r="2455" spans="1:11" x14ac:dyDescent="0.25">
      <c r="A2455" s="1" t="s">
        <v>449</v>
      </c>
      <c r="B2455" s="1" t="s">
        <v>1557</v>
      </c>
      <c r="C2455" s="1" t="s">
        <v>2206</v>
      </c>
      <c r="D2455" s="1" t="s">
        <v>1998</v>
      </c>
      <c r="E2455" s="1"/>
      <c r="F2455" s="1" t="s">
        <v>11</v>
      </c>
      <c r="G2455">
        <v>1055</v>
      </c>
      <c r="H2455">
        <v>1055</v>
      </c>
      <c r="I2455" s="2"/>
      <c r="J2455" s="2">
        <v>45744</v>
      </c>
      <c r="K2455" s="2">
        <v>45764</v>
      </c>
    </row>
    <row r="2456" spans="1:11" x14ac:dyDescent="0.25">
      <c r="A2456" s="1" t="s">
        <v>450</v>
      </c>
      <c r="B2456" s="1" t="s">
        <v>1558</v>
      </c>
      <c r="C2456" s="1" t="s">
        <v>2482</v>
      </c>
      <c r="D2456" s="1" t="s">
        <v>1998</v>
      </c>
      <c r="E2456" s="1"/>
      <c r="F2456" s="1" t="s">
        <v>11</v>
      </c>
      <c r="G2456">
        <v>415</v>
      </c>
      <c r="H2456">
        <v>220</v>
      </c>
      <c r="I2456" s="2"/>
      <c r="J2456" s="2">
        <v>45747</v>
      </c>
      <c r="K2456" s="2">
        <v>45762</v>
      </c>
    </row>
    <row r="2457" spans="1:11" x14ac:dyDescent="0.25">
      <c r="A2457" s="1" t="s">
        <v>450</v>
      </c>
      <c r="B2457" s="1" t="s">
        <v>1559</v>
      </c>
      <c r="C2457" s="1" t="s">
        <v>2355</v>
      </c>
      <c r="D2457" s="1" t="s">
        <v>1998</v>
      </c>
      <c r="E2457" s="1"/>
      <c r="F2457" s="1" t="s">
        <v>11</v>
      </c>
      <c r="G2457">
        <v>4455</v>
      </c>
      <c r="H2457">
        <v>4455</v>
      </c>
      <c r="I2457" s="2"/>
      <c r="J2457" s="2">
        <v>45747</v>
      </c>
      <c r="K2457" s="2">
        <v>45762</v>
      </c>
    </row>
    <row r="2458" spans="1:11" x14ac:dyDescent="0.25">
      <c r="A2458" s="1" t="s">
        <v>450</v>
      </c>
      <c r="B2458" s="1" t="s">
        <v>1560</v>
      </c>
      <c r="C2458" s="1" t="s">
        <v>2483</v>
      </c>
      <c r="D2458" s="1" t="s">
        <v>1998</v>
      </c>
      <c r="E2458" s="1"/>
      <c r="F2458" s="1" t="s">
        <v>11</v>
      </c>
      <c r="G2458">
        <v>12635</v>
      </c>
      <c r="H2458">
        <v>12635</v>
      </c>
      <c r="I2458" s="2"/>
      <c r="J2458" s="2">
        <v>45747</v>
      </c>
      <c r="K2458" s="2">
        <v>45762</v>
      </c>
    </row>
    <row r="2459" spans="1:11" x14ac:dyDescent="0.25">
      <c r="A2459" s="1" t="s">
        <v>450</v>
      </c>
      <c r="B2459" s="1" t="s">
        <v>1561</v>
      </c>
      <c r="C2459" s="1" t="s">
        <v>2484</v>
      </c>
      <c r="D2459" s="1" t="s">
        <v>1998</v>
      </c>
      <c r="E2459" s="1"/>
      <c r="F2459" s="1" t="s">
        <v>11</v>
      </c>
      <c r="G2459">
        <v>1110</v>
      </c>
      <c r="H2459">
        <v>1200</v>
      </c>
      <c r="I2459" s="2"/>
      <c r="J2459" s="2">
        <v>45747</v>
      </c>
      <c r="K2459" s="2">
        <v>45762</v>
      </c>
    </row>
    <row r="2460" spans="1:11" x14ac:dyDescent="0.25">
      <c r="A2460" s="1" t="s">
        <v>450</v>
      </c>
      <c r="B2460" s="1" t="s">
        <v>1087</v>
      </c>
      <c r="C2460" s="1" t="s">
        <v>2090</v>
      </c>
      <c r="D2460" s="1" t="s">
        <v>1998</v>
      </c>
      <c r="E2460" s="1"/>
      <c r="F2460" s="1" t="s">
        <v>11</v>
      </c>
      <c r="G2460">
        <v>90</v>
      </c>
      <c r="H2460">
        <v>185</v>
      </c>
      <c r="I2460" s="2"/>
      <c r="J2460" s="2">
        <v>45747</v>
      </c>
      <c r="K2460" s="2">
        <v>45762</v>
      </c>
    </row>
    <row r="2461" spans="1:11" x14ac:dyDescent="0.25">
      <c r="A2461" s="1" t="s">
        <v>450</v>
      </c>
      <c r="B2461" s="1" t="s">
        <v>1040</v>
      </c>
      <c r="C2461" s="1" t="s">
        <v>2050</v>
      </c>
      <c r="D2461" s="1" t="s">
        <v>1998</v>
      </c>
      <c r="E2461" s="1"/>
      <c r="F2461" s="1" t="s">
        <v>11</v>
      </c>
      <c r="G2461">
        <v>90</v>
      </c>
      <c r="H2461">
        <v>185</v>
      </c>
      <c r="I2461" s="2"/>
      <c r="J2461" s="2">
        <v>45747</v>
      </c>
      <c r="K2461" s="2">
        <v>45762</v>
      </c>
    </row>
    <row r="2462" spans="1:11" x14ac:dyDescent="0.25">
      <c r="A2462" s="1" t="s">
        <v>450</v>
      </c>
      <c r="B2462" s="1" t="s">
        <v>1027</v>
      </c>
      <c r="C2462" s="1" t="s">
        <v>2040</v>
      </c>
      <c r="D2462" s="1" t="s">
        <v>1998</v>
      </c>
      <c r="E2462" s="1"/>
      <c r="F2462" s="1" t="s">
        <v>11</v>
      </c>
      <c r="G2462">
        <v>330</v>
      </c>
      <c r="H2462">
        <v>410</v>
      </c>
      <c r="I2462" s="2"/>
      <c r="J2462" s="2">
        <v>45747</v>
      </c>
      <c r="K2462" s="2">
        <v>45762</v>
      </c>
    </row>
    <row r="2463" spans="1:11" x14ac:dyDescent="0.25">
      <c r="A2463" s="1" t="s">
        <v>450</v>
      </c>
      <c r="B2463" s="1" t="s">
        <v>1013</v>
      </c>
      <c r="C2463" s="1" t="s">
        <v>2030</v>
      </c>
      <c r="D2463" s="1" t="s">
        <v>1998</v>
      </c>
      <c r="E2463" s="1"/>
      <c r="F2463" s="1" t="s">
        <v>11</v>
      </c>
      <c r="G2463">
        <v>55</v>
      </c>
      <c r="H2463">
        <v>70</v>
      </c>
      <c r="I2463" s="2"/>
      <c r="J2463" s="2">
        <v>45747</v>
      </c>
      <c r="K2463" s="2">
        <v>45762</v>
      </c>
    </row>
    <row r="2464" spans="1:11" x14ac:dyDescent="0.25">
      <c r="A2464" s="1" t="s">
        <v>450</v>
      </c>
      <c r="B2464" s="1" t="s">
        <v>993</v>
      </c>
      <c r="C2464" s="1" t="s">
        <v>2011</v>
      </c>
      <c r="D2464" s="1" t="s">
        <v>1998</v>
      </c>
      <c r="E2464" s="1"/>
      <c r="F2464" s="1" t="s">
        <v>11</v>
      </c>
      <c r="G2464">
        <v>20</v>
      </c>
      <c r="H2464">
        <v>20</v>
      </c>
      <c r="I2464" s="2"/>
      <c r="J2464" s="2">
        <v>45747</v>
      </c>
      <c r="K2464" s="2">
        <v>45762</v>
      </c>
    </row>
    <row r="2465" spans="1:11" x14ac:dyDescent="0.25">
      <c r="A2465" s="1" t="s">
        <v>450</v>
      </c>
      <c r="B2465" s="1" t="s">
        <v>993</v>
      </c>
      <c r="C2465" s="1" t="s">
        <v>2011</v>
      </c>
      <c r="D2465" s="1" t="s">
        <v>1998</v>
      </c>
      <c r="E2465" s="1"/>
      <c r="F2465" s="1" t="s">
        <v>11</v>
      </c>
      <c r="G2465">
        <v>55</v>
      </c>
      <c r="H2465">
        <v>75</v>
      </c>
      <c r="I2465" s="2"/>
      <c r="J2465" s="2">
        <v>45747</v>
      </c>
      <c r="K2465" s="2">
        <v>45762</v>
      </c>
    </row>
    <row r="2466" spans="1:11" x14ac:dyDescent="0.25">
      <c r="A2466" s="1" t="s">
        <v>450</v>
      </c>
      <c r="B2466" s="1" t="s">
        <v>1083</v>
      </c>
      <c r="C2466" s="1" t="s">
        <v>2086</v>
      </c>
      <c r="D2466" s="1" t="s">
        <v>1998</v>
      </c>
      <c r="E2466" s="1"/>
      <c r="F2466" s="1" t="s">
        <v>11</v>
      </c>
      <c r="G2466">
        <v>35</v>
      </c>
      <c r="H2466">
        <v>15</v>
      </c>
      <c r="I2466" s="2"/>
      <c r="J2466" s="2">
        <v>45747</v>
      </c>
      <c r="K2466" s="2">
        <v>45762</v>
      </c>
    </row>
    <row r="2467" spans="1:11" x14ac:dyDescent="0.25">
      <c r="A2467" s="1" t="s">
        <v>451</v>
      </c>
      <c r="B2467" s="1" t="s">
        <v>1264</v>
      </c>
      <c r="C2467" s="1" t="s">
        <v>2241</v>
      </c>
      <c r="D2467" s="1" t="s">
        <v>1998</v>
      </c>
      <c r="E2467" s="1"/>
      <c r="F2467" s="1" t="s">
        <v>11</v>
      </c>
      <c r="G2467">
        <v>60</v>
      </c>
      <c r="H2467">
        <v>120</v>
      </c>
      <c r="I2467" s="2"/>
      <c r="J2467" s="2">
        <v>45748</v>
      </c>
      <c r="K2467" s="2">
        <v>45751</v>
      </c>
    </row>
    <row r="2468" spans="1:11" x14ac:dyDescent="0.25">
      <c r="A2468" s="1" t="s">
        <v>451</v>
      </c>
      <c r="B2468" s="1" t="s">
        <v>1265</v>
      </c>
      <c r="C2468" s="1" t="s">
        <v>2242</v>
      </c>
      <c r="D2468" s="1" t="s">
        <v>1998</v>
      </c>
      <c r="E2468" s="1"/>
      <c r="F2468" s="1" t="s">
        <v>11</v>
      </c>
      <c r="G2468">
        <v>1085</v>
      </c>
      <c r="H2468">
        <v>1010</v>
      </c>
      <c r="I2468" s="2"/>
      <c r="J2468" s="2">
        <v>45748</v>
      </c>
      <c r="K2468" s="2">
        <v>45751</v>
      </c>
    </row>
    <row r="2469" spans="1:11" x14ac:dyDescent="0.25">
      <c r="A2469" s="1" t="s">
        <v>451</v>
      </c>
      <c r="B2469" s="1" t="s">
        <v>1206</v>
      </c>
      <c r="C2469" s="1" t="s">
        <v>2196</v>
      </c>
      <c r="D2469" s="1" t="s">
        <v>1998</v>
      </c>
      <c r="E2469" s="1"/>
      <c r="F2469" s="1" t="s">
        <v>11</v>
      </c>
      <c r="G2469">
        <v>5</v>
      </c>
      <c r="H2469">
        <v>5</v>
      </c>
      <c r="I2469" s="2"/>
      <c r="J2469" s="2">
        <v>45748</v>
      </c>
      <c r="K2469" s="2">
        <v>45751</v>
      </c>
    </row>
    <row r="2470" spans="1:11" x14ac:dyDescent="0.25">
      <c r="A2470" s="1" t="s">
        <v>451</v>
      </c>
      <c r="B2470" s="1" t="s">
        <v>1207</v>
      </c>
      <c r="C2470" s="1" t="s">
        <v>2197</v>
      </c>
      <c r="D2470" s="1" t="s">
        <v>1998</v>
      </c>
      <c r="E2470" s="1"/>
      <c r="F2470" s="1" t="s">
        <v>11</v>
      </c>
      <c r="G2470">
        <v>20</v>
      </c>
      <c r="H2470">
        <v>20</v>
      </c>
      <c r="I2470" s="2"/>
      <c r="J2470" s="2">
        <v>45748</v>
      </c>
      <c r="K2470" s="2">
        <v>45751</v>
      </c>
    </row>
    <row r="2471" spans="1:11" x14ac:dyDescent="0.25">
      <c r="A2471" s="1" t="s">
        <v>451</v>
      </c>
      <c r="B2471" s="1" t="s">
        <v>1208</v>
      </c>
      <c r="C2471" s="1" t="s">
        <v>2198</v>
      </c>
      <c r="D2471" s="1" t="s">
        <v>1998</v>
      </c>
      <c r="E2471" s="1"/>
      <c r="F2471" s="1" t="s">
        <v>11</v>
      </c>
      <c r="G2471">
        <v>1</v>
      </c>
      <c r="H2471">
        <v>1</v>
      </c>
      <c r="I2471" s="2"/>
      <c r="J2471" s="2">
        <v>45748</v>
      </c>
      <c r="K2471" s="2">
        <v>45751</v>
      </c>
    </row>
    <row r="2472" spans="1:11" x14ac:dyDescent="0.25">
      <c r="A2472" s="1" t="s">
        <v>452</v>
      </c>
      <c r="B2472" s="1" t="s">
        <v>1467</v>
      </c>
      <c r="C2472" s="1" t="s">
        <v>2404</v>
      </c>
      <c r="D2472" s="1" t="s">
        <v>1998</v>
      </c>
      <c r="E2472" s="1"/>
      <c r="F2472" s="1" t="s">
        <v>12</v>
      </c>
      <c r="G2472">
        <v>1</v>
      </c>
      <c r="H2472">
        <v>35</v>
      </c>
      <c r="I2472" s="2"/>
      <c r="J2472" s="2">
        <v>45728</v>
      </c>
      <c r="K2472" s="2">
        <v>45749</v>
      </c>
    </row>
    <row r="2473" spans="1:11" x14ac:dyDescent="0.25">
      <c r="A2473" s="1" t="s">
        <v>452</v>
      </c>
      <c r="B2473" s="1" t="s">
        <v>1350</v>
      </c>
      <c r="C2473" s="1" t="s">
        <v>2303</v>
      </c>
      <c r="D2473" s="1" t="s">
        <v>1998</v>
      </c>
      <c r="E2473" s="1"/>
      <c r="F2473" s="1" t="s">
        <v>11</v>
      </c>
      <c r="G2473">
        <v>75</v>
      </c>
      <c r="H2473">
        <v>40</v>
      </c>
      <c r="I2473" s="2"/>
      <c r="J2473" s="2">
        <v>45728</v>
      </c>
      <c r="K2473" s="2">
        <v>45749</v>
      </c>
    </row>
    <row r="2474" spans="1:11" x14ac:dyDescent="0.25">
      <c r="A2474" s="1" t="s">
        <v>452</v>
      </c>
      <c r="B2474" s="1" t="s">
        <v>1206</v>
      </c>
      <c r="C2474" s="1" t="s">
        <v>2196</v>
      </c>
      <c r="D2474" s="1" t="s">
        <v>1998</v>
      </c>
      <c r="E2474" s="1"/>
      <c r="F2474" s="1" t="s">
        <v>11</v>
      </c>
      <c r="G2474">
        <v>1</v>
      </c>
      <c r="H2474">
        <v>1</v>
      </c>
      <c r="I2474" s="2"/>
      <c r="J2474" s="2">
        <v>45728</v>
      </c>
      <c r="K2474" s="2">
        <v>45749</v>
      </c>
    </row>
    <row r="2475" spans="1:11" x14ac:dyDescent="0.25">
      <c r="A2475" s="1" t="s">
        <v>452</v>
      </c>
      <c r="B2475" s="1" t="s">
        <v>1279</v>
      </c>
      <c r="C2475" s="1" t="s">
        <v>2256</v>
      </c>
      <c r="D2475" s="1" t="s">
        <v>1998</v>
      </c>
      <c r="E2475" s="1"/>
      <c r="F2475" s="1" t="s">
        <v>11</v>
      </c>
      <c r="G2475">
        <v>5</v>
      </c>
      <c r="H2475">
        <v>5</v>
      </c>
      <c r="I2475" s="2"/>
      <c r="J2475" s="2">
        <v>45728</v>
      </c>
      <c r="K2475" s="2">
        <v>45749</v>
      </c>
    </row>
    <row r="2476" spans="1:11" x14ac:dyDescent="0.25">
      <c r="A2476" s="1" t="s">
        <v>453</v>
      </c>
      <c r="B2476" s="1" t="s">
        <v>1041</v>
      </c>
      <c r="C2476" s="1" t="s">
        <v>2051</v>
      </c>
      <c r="D2476" s="1" t="s">
        <v>1998</v>
      </c>
      <c r="E2476" s="1"/>
      <c r="F2476" s="1" t="s">
        <v>11</v>
      </c>
      <c r="G2476">
        <v>120</v>
      </c>
      <c r="H2476">
        <v>120</v>
      </c>
      <c r="I2476" s="2"/>
      <c r="J2476" s="2">
        <v>45744</v>
      </c>
      <c r="K2476" s="2">
        <v>45782</v>
      </c>
    </row>
    <row r="2477" spans="1:11" x14ac:dyDescent="0.25">
      <c r="A2477" s="1" t="s">
        <v>453</v>
      </c>
      <c r="B2477" s="1" t="s">
        <v>1042</v>
      </c>
      <c r="C2477" s="1" t="s">
        <v>2052</v>
      </c>
      <c r="D2477" s="1" t="s">
        <v>1998</v>
      </c>
      <c r="E2477" s="1"/>
      <c r="F2477" s="1" t="s">
        <v>11</v>
      </c>
      <c r="G2477">
        <v>1895</v>
      </c>
      <c r="H2477">
        <v>1895</v>
      </c>
      <c r="I2477" s="2"/>
      <c r="J2477" s="2">
        <v>45744</v>
      </c>
      <c r="K2477" s="2">
        <v>45782</v>
      </c>
    </row>
    <row r="2478" spans="1:11" x14ac:dyDescent="0.25">
      <c r="A2478" s="1" t="s">
        <v>453</v>
      </c>
      <c r="B2478" s="1" t="s">
        <v>1043</v>
      </c>
      <c r="C2478" s="1" t="s">
        <v>2053</v>
      </c>
      <c r="D2478" s="1" t="s">
        <v>1998</v>
      </c>
      <c r="E2478" s="1"/>
      <c r="F2478" s="1" t="s">
        <v>11</v>
      </c>
      <c r="G2478">
        <v>1890</v>
      </c>
      <c r="H2478">
        <v>1890</v>
      </c>
      <c r="I2478" s="2"/>
      <c r="J2478" s="2">
        <v>45744</v>
      </c>
      <c r="K2478" s="2">
        <v>45782</v>
      </c>
    </row>
    <row r="2479" spans="1:11" x14ac:dyDescent="0.25">
      <c r="A2479" s="1" t="s">
        <v>453</v>
      </c>
      <c r="B2479" s="1" t="s">
        <v>1044</v>
      </c>
      <c r="C2479" s="1" t="s">
        <v>2027</v>
      </c>
      <c r="D2479" s="1" t="s">
        <v>1998</v>
      </c>
      <c r="E2479" s="1"/>
      <c r="F2479" s="1" t="s">
        <v>11</v>
      </c>
      <c r="G2479">
        <v>1320</v>
      </c>
      <c r="H2479">
        <v>1320</v>
      </c>
      <c r="I2479" s="2"/>
      <c r="J2479" s="2">
        <v>45744</v>
      </c>
      <c r="K2479" s="2">
        <v>45782</v>
      </c>
    </row>
    <row r="2480" spans="1:11" x14ac:dyDescent="0.25">
      <c r="A2480" s="1" t="s">
        <v>453</v>
      </c>
      <c r="B2480" s="1" t="s">
        <v>1045</v>
      </c>
      <c r="C2480" s="1" t="s">
        <v>2054</v>
      </c>
      <c r="D2480" s="1" t="s">
        <v>1998</v>
      </c>
      <c r="E2480" s="1"/>
      <c r="F2480" s="1" t="s">
        <v>11</v>
      </c>
      <c r="G2480">
        <v>1285</v>
      </c>
      <c r="H2480">
        <v>1360</v>
      </c>
      <c r="I2480" s="2"/>
      <c r="J2480" s="2">
        <v>45744</v>
      </c>
      <c r="K2480" s="2">
        <v>45782</v>
      </c>
    </row>
    <row r="2481" spans="1:11" x14ac:dyDescent="0.25">
      <c r="A2481" s="1" t="s">
        <v>453</v>
      </c>
      <c r="B2481" s="1" t="s">
        <v>1012</v>
      </c>
      <c r="C2481" s="1" t="s">
        <v>2029</v>
      </c>
      <c r="D2481" s="1" t="s">
        <v>1998</v>
      </c>
      <c r="E2481" s="1"/>
      <c r="F2481" s="1" t="s">
        <v>11</v>
      </c>
      <c r="G2481">
        <v>160</v>
      </c>
      <c r="H2481">
        <v>125</v>
      </c>
      <c r="I2481" s="2"/>
      <c r="J2481" s="2">
        <v>45744</v>
      </c>
      <c r="K2481" s="2">
        <v>45782</v>
      </c>
    </row>
    <row r="2482" spans="1:11" x14ac:dyDescent="0.25">
      <c r="A2482" s="1" t="s">
        <v>453</v>
      </c>
      <c r="B2482" s="1" t="s">
        <v>1046</v>
      </c>
      <c r="C2482" s="1" t="s">
        <v>2055</v>
      </c>
      <c r="D2482" s="1" t="s">
        <v>1998</v>
      </c>
      <c r="E2482" s="1"/>
      <c r="F2482" s="1" t="s">
        <v>11</v>
      </c>
      <c r="G2482">
        <v>15</v>
      </c>
      <c r="H2482">
        <v>30</v>
      </c>
      <c r="I2482" s="2"/>
      <c r="J2482" s="2">
        <v>45744</v>
      </c>
      <c r="K2482" s="2">
        <v>45782</v>
      </c>
    </row>
    <row r="2483" spans="1:11" x14ac:dyDescent="0.25">
      <c r="A2483" s="1" t="s">
        <v>453</v>
      </c>
      <c r="B2483" s="1" t="s">
        <v>1013</v>
      </c>
      <c r="C2483" s="1" t="s">
        <v>2030</v>
      </c>
      <c r="D2483" s="1" t="s">
        <v>1998</v>
      </c>
      <c r="E2483" s="1"/>
      <c r="F2483" s="1" t="s">
        <v>11</v>
      </c>
      <c r="G2483">
        <v>115</v>
      </c>
      <c r="H2483">
        <v>90</v>
      </c>
      <c r="I2483" s="2"/>
      <c r="J2483" s="2">
        <v>45744</v>
      </c>
      <c r="K2483" s="2">
        <v>45782</v>
      </c>
    </row>
    <row r="2484" spans="1:11" x14ac:dyDescent="0.25">
      <c r="A2484" s="1" t="s">
        <v>453</v>
      </c>
      <c r="B2484" s="1" t="s">
        <v>993</v>
      </c>
      <c r="C2484" s="1" t="s">
        <v>2011</v>
      </c>
      <c r="D2484" s="1" t="s">
        <v>1998</v>
      </c>
      <c r="E2484" s="1"/>
      <c r="F2484" s="1" t="s">
        <v>11</v>
      </c>
      <c r="G2484">
        <v>40</v>
      </c>
      <c r="H2484">
        <v>1</v>
      </c>
      <c r="I2484" s="2"/>
      <c r="J2484" s="2">
        <v>45744</v>
      </c>
      <c r="K2484" s="2">
        <v>45782</v>
      </c>
    </row>
    <row r="2485" spans="1:11" x14ac:dyDescent="0.25">
      <c r="A2485" s="1" t="s">
        <v>454</v>
      </c>
      <c r="B2485" s="1" t="s">
        <v>1467</v>
      </c>
      <c r="C2485" s="1" t="s">
        <v>2404</v>
      </c>
      <c r="D2485" s="1" t="s">
        <v>1998</v>
      </c>
      <c r="E2485" s="1"/>
      <c r="F2485" s="1" t="s">
        <v>12</v>
      </c>
      <c r="G2485">
        <v>1</v>
      </c>
      <c r="H2485">
        <v>15</v>
      </c>
      <c r="I2485" s="2"/>
      <c r="J2485" s="2">
        <v>45728</v>
      </c>
      <c r="K2485" s="2">
        <v>45748</v>
      </c>
    </row>
    <row r="2486" spans="1:11" x14ac:dyDescent="0.25">
      <c r="A2486" s="1" t="s">
        <v>454</v>
      </c>
      <c r="B2486" s="1" t="s">
        <v>1350</v>
      </c>
      <c r="C2486" s="1" t="s">
        <v>2303</v>
      </c>
      <c r="D2486" s="1" t="s">
        <v>1998</v>
      </c>
      <c r="E2486" s="1"/>
      <c r="F2486" s="1" t="s">
        <v>11</v>
      </c>
      <c r="G2486">
        <v>75</v>
      </c>
      <c r="H2486">
        <v>85</v>
      </c>
      <c r="I2486" s="2"/>
      <c r="J2486" s="2">
        <v>45728</v>
      </c>
      <c r="K2486" s="2">
        <v>45748</v>
      </c>
    </row>
    <row r="2487" spans="1:11" x14ac:dyDescent="0.25">
      <c r="A2487" s="1" t="s">
        <v>454</v>
      </c>
      <c r="B2487" s="1" t="s">
        <v>1206</v>
      </c>
      <c r="C2487" s="1" t="s">
        <v>2196</v>
      </c>
      <c r="D2487" s="1" t="s">
        <v>1998</v>
      </c>
      <c r="E2487" s="1"/>
      <c r="F2487" s="1" t="s">
        <v>11</v>
      </c>
      <c r="G2487">
        <v>1</v>
      </c>
      <c r="H2487">
        <v>1</v>
      </c>
      <c r="I2487" s="2"/>
      <c r="J2487" s="2">
        <v>45728</v>
      </c>
      <c r="K2487" s="2">
        <v>45748</v>
      </c>
    </row>
    <row r="2488" spans="1:11" x14ac:dyDescent="0.25">
      <c r="A2488" s="1" t="s">
        <v>454</v>
      </c>
      <c r="B2488" s="1" t="s">
        <v>1279</v>
      </c>
      <c r="C2488" s="1" t="s">
        <v>2256</v>
      </c>
      <c r="D2488" s="1" t="s">
        <v>1998</v>
      </c>
      <c r="E2488" s="1"/>
      <c r="F2488" s="1" t="s">
        <v>11</v>
      </c>
      <c r="G2488">
        <v>5</v>
      </c>
      <c r="H2488">
        <v>5</v>
      </c>
      <c r="I2488" s="2"/>
      <c r="J2488" s="2">
        <v>45728</v>
      </c>
      <c r="K2488" s="2">
        <v>45748</v>
      </c>
    </row>
    <row r="2489" spans="1:11" x14ac:dyDescent="0.25">
      <c r="A2489" s="1" t="s">
        <v>455</v>
      </c>
      <c r="B2489" s="1" t="s">
        <v>1562</v>
      </c>
      <c r="C2489" s="1" t="s">
        <v>2485</v>
      </c>
      <c r="D2489" s="1" t="s">
        <v>1998</v>
      </c>
      <c r="E2489" s="1"/>
      <c r="F2489" s="1" t="s">
        <v>11</v>
      </c>
      <c r="G2489">
        <v>515</v>
      </c>
      <c r="H2489">
        <v>515</v>
      </c>
      <c r="I2489" s="2"/>
      <c r="J2489" s="2">
        <v>45747</v>
      </c>
      <c r="K2489" s="2">
        <v>45758</v>
      </c>
    </row>
    <row r="2490" spans="1:11" x14ac:dyDescent="0.25">
      <c r="A2490" s="1" t="s">
        <v>455</v>
      </c>
      <c r="B2490" s="1" t="s">
        <v>1555</v>
      </c>
      <c r="C2490" s="1" t="s">
        <v>2481</v>
      </c>
      <c r="D2490" s="1" t="s">
        <v>1998</v>
      </c>
      <c r="E2490" s="1"/>
      <c r="F2490" s="1" t="s">
        <v>11</v>
      </c>
      <c r="G2490">
        <v>210</v>
      </c>
      <c r="H2490">
        <v>160</v>
      </c>
      <c r="I2490" s="2"/>
      <c r="J2490" s="2">
        <v>45747</v>
      </c>
      <c r="K2490" s="2">
        <v>45758</v>
      </c>
    </row>
    <row r="2491" spans="1:11" x14ac:dyDescent="0.25">
      <c r="A2491" s="1" t="s">
        <v>455</v>
      </c>
      <c r="B2491" s="1" t="s">
        <v>1563</v>
      </c>
      <c r="C2491" s="1" t="s">
        <v>2181</v>
      </c>
      <c r="D2491" s="1" t="s">
        <v>1998</v>
      </c>
      <c r="E2491" s="1"/>
      <c r="F2491" s="1" t="s">
        <v>11</v>
      </c>
      <c r="G2491">
        <v>160</v>
      </c>
      <c r="H2491">
        <v>160</v>
      </c>
      <c r="I2491" s="2"/>
      <c r="J2491" s="2">
        <v>45747</v>
      </c>
      <c r="K2491" s="2">
        <v>45758</v>
      </c>
    </row>
    <row r="2492" spans="1:11" x14ac:dyDescent="0.25">
      <c r="A2492" s="1" t="s">
        <v>455</v>
      </c>
      <c r="B2492" s="1" t="s">
        <v>1027</v>
      </c>
      <c r="C2492" s="1" t="s">
        <v>2040</v>
      </c>
      <c r="D2492" s="1" t="s">
        <v>1998</v>
      </c>
      <c r="E2492" s="1"/>
      <c r="F2492" s="1" t="s">
        <v>12</v>
      </c>
      <c r="G2492">
        <v>1</v>
      </c>
      <c r="H2492">
        <v>65</v>
      </c>
      <c r="I2492" s="2"/>
      <c r="J2492" s="2">
        <v>45747</v>
      </c>
      <c r="K2492" s="2">
        <v>45758</v>
      </c>
    </row>
    <row r="2493" spans="1:11" x14ac:dyDescent="0.25">
      <c r="A2493" s="1" t="s">
        <v>455</v>
      </c>
      <c r="B2493" s="1" t="s">
        <v>1013</v>
      </c>
      <c r="C2493" s="1" t="s">
        <v>2030</v>
      </c>
      <c r="D2493" s="1" t="s">
        <v>1998</v>
      </c>
      <c r="E2493" s="1"/>
      <c r="F2493" s="1" t="s">
        <v>12</v>
      </c>
      <c r="G2493">
        <v>1</v>
      </c>
      <c r="H2493">
        <v>30</v>
      </c>
      <c r="I2493" s="2"/>
      <c r="J2493" s="2">
        <v>45747</v>
      </c>
      <c r="K2493" s="2">
        <v>45758</v>
      </c>
    </row>
    <row r="2494" spans="1:11" x14ac:dyDescent="0.25">
      <c r="A2494" s="1" t="s">
        <v>456</v>
      </c>
      <c r="B2494" s="1" t="s">
        <v>1555</v>
      </c>
      <c r="C2494" s="1" t="s">
        <v>2481</v>
      </c>
      <c r="D2494" s="1" t="s">
        <v>1998</v>
      </c>
      <c r="E2494" s="1"/>
      <c r="F2494" s="1" t="s">
        <v>11</v>
      </c>
      <c r="G2494">
        <v>90</v>
      </c>
      <c r="H2494">
        <v>100</v>
      </c>
      <c r="I2494" s="2"/>
      <c r="J2494" s="2">
        <v>45744</v>
      </c>
      <c r="K2494" s="2">
        <v>45789</v>
      </c>
    </row>
    <row r="2495" spans="1:11" x14ac:dyDescent="0.25">
      <c r="A2495" s="1" t="s">
        <v>456</v>
      </c>
      <c r="B2495" s="1" t="s">
        <v>1555</v>
      </c>
      <c r="C2495" s="1" t="s">
        <v>2481</v>
      </c>
      <c r="D2495" s="1" t="s">
        <v>1998</v>
      </c>
      <c r="E2495" s="1"/>
      <c r="F2495" s="1" t="s">
        <v>14</v>
      </c>
      <c r="G2495">
        <v>255</v>
      </c>
      <c r="H2495">
        <v>35</v>
      </c>
      <c r="I2495" s="2"/>
      <c r="J2495" s="2">
        <v>45744</v>
      </c>
      <c r="K2495" s="2">
        <v>45789</v>
      </c>
    </row>
    <row r="2496" spans="1:11" x14ac:dyDescent="0.25">
      <c r="A2496" s="1" t="s">
        <v>456</v>
      </c>
      <c r="B2496" s="1" t="s">
        <v>991</v>
      </c>
      <c r="C2496" s="1" t="s">
        <v>2009</v>
      </c>
      <c r="D2496" s="1" t="s">
        <v>1998</v>
      </c>
      <c r="E2496" s="1"/>
      <c r="F2496" s="1" t="s">
        <v>12</v>
      </c>
      <c r="G2496">
        <v>1</v>
      </c>
      <c r="H2496">
        <v>50</v>
      </c>
      <c r="I2496" s="2"/>
      <c r="J2496" s="2">
        <v>45744</v>
      </c>
      <c r="K2496" s="2">
        <v>45789</v>
      </c>
    </row>
    <row r="2497" spans="1:11" x14ac:dyDescent="0.25">
      <c r="A2497" s="1" t="s">
        <v>456</v>
      </c>
      <c r="B2497" s="1" t="s">
        <v>992</v>
      </c>
      <c r="C2497" s="1" t="s">
        <v>2010</v>
      </c>
      <c r="D2497" s="1" t="s">
        <v>1998</v>
      </c>
      <c r="E2497" s="1"/>
      <c r="F2497" s="1" t="s">
        <v>12</v>
      </c>
      <c r="G2497">
        <v>1</v>
      </c>
      <c r="H2497">
        <v>60</v>
      </c>
      <c r="I2497" s="2"/>
      <c r="J2497" s="2">
        <v>45744</v>
      </c>
      <c r="K2497" s="2">
        <v>45789</v>
      </c>
    </row>
    <row r="2498" spans="1:11" x14ac:dyDescent="0.25">
      <c r="A2498" s="1" t="s">
        <v>456</v>
      </c>
      <c r="B2498" s="1" t="s">
        <v>1564</v>
      </c>
      <c r="C2498" s="1" t="s">
        <v>2486</v>
      </c>
      <c r="D2498" s="1" t="s">
        <v>1998</v>
      </c>
      <c r="E2498" s="1"/>
      <c r="F2498" s="1" t="s">
        <v>11</v>
      </c>
      <c r="G2498">
        <v>1205</v>
      </c>
      <c r="H2498">
        <v>1205</v>
      </c>
      <c r="I2498" s="2"/>
      <c r="J2498" s="2">
        <v>45744</v>
      </c>
      <c r="K2498" s="2">
        <v>45789</v>
      </c>
    </row>
    <row r="2499" spans="1:11" x14ac:dyDescent="0.25">
      <c r="A2499" s="1" t="s">
        <v>456</v>
      </c>
      <c r="B2499" s="1" t="s">
        <v>1099</v>
      </c>
      <c r="C2499" s="1" t="s">
        <v>2101</v>
      </c>
      <c r="D2499" s="1" t="s">
        <v>1998</v>
      </c>
      <c r="E2499" s="1"/>
      <c r="F2499" s="1" t="s">
        <v>11</v>
      </c>
      <c r="G2499">
        <v>610</v>
      </c>
      <c r="H2499">
        <v>260</v>
      </c>
      <c r="I2499" s="2"/>
      <c r="J2499" s="2">
        <v>45744</v>
      </c>
      <c r="K2499" s="2">
        <v>45789</v>
      </c>
    </row>
    <row r="2500" spans="1:11" x14ac:dyDescent="0.25">
      <c r="A2500" s="1" t="s">
        <v>457</v>
      </c>
      <c r="B2500" s="1" t="s">
        <v>1565</v>
      </c>
      <c r="C2500" s="1" t="s">
        <v>2115</v>
      </c>
      <c r="D2500" s="1" t="s">
        <v>1998</v>
      </c>
      <c r="E2500" s="1"/>
      <c r="F2500" s="1" t="s">
        <v>11</v>
      </c>
      <c r="G2500">
        <v>3210</v>
      </c>
      <c r="H2500">
        <v>3210</v>
      </c>
      <c r="I2500" s="2">
        <v>45782</v>
      </c>
      <c r="J2500" s="2">
        <v>45764</v>
      </c>
      <c r="K2500" s="2">
        <v>45782</v>
      </c>
    </row>
    <row r="2501" spans="1:11" x14ac:dyDescent="0.25">
      <c r="A2501" s="1" t="s">
        <v>457</v>
      </c>
      <c r="B2501" s="1" t="s">
        <v>1566</v>
      </c>
      <c r="C2501" s="1" t="s">
        <v>2487</v>
      </c>
      <c r="D2501" s="1" t="s">
        <v>1998</v>
      </c>
      <c r="E2501" s="1"/>
      <c r="F2501" s="1" t="s">
        <v>11</v>
      </c>
      <c r="G2501">
        <v>1360</v>
      </c>
      <c r="H2501">
        <v>1360</v>
      </c>
      <c r="I2501" s="2">
        <v>45782</v>
      </c>
      <c r="J2501" s="2">
        <v>45764</v>
      </c>
      <c r="K2501" s="2">
        <v>45782</v>
      </c>
    </row>
    <row r="2502" spans="1:11" x14ac:dyDescent="0.25">
      <c r="A2502" s="1" t="s">
        <v>457</v>
      </c>
      <c r="B2502" s="1" t="s">
        <v>1126</v>
      </c>
      <c r="C2502" s="1" t="s">
        <v>2126</v>
      </c>
      <c r="D2502" s="1" t="s">
        <v>1998</v>
      </c>
      <c r="E2502" s="1"/>
      <c r="F2502" s="1" t="s">
        <v>11</v>
      </c>
      <c r="G2502">
        <v>145</v>
      </c>
      <c r="H2502">
        <v>145</v>
      </c>
      <c r="I2502" s="2">
        <v>45782</v>
      </c>
      <c r="J2502" s="2">
        <v>45764</v>
      </c>
      <c r="K2502" s="2">
        <v>45782</v>
      </c>
    </row>
    <row r="2503" spans="1:11" x14ac:dyDescent="0.25">
      <c r="A2503" s="1" t="s">
        <v>457</v>
      </c>
      <c r="B2503" s="1" t="s">
        <v>1567</v>
      </c>
      <c r="C2503" s="1" t="s">
        <v>2488</v>
      </c>
      <c r="D2503" s="1" t="s">
        <v>1998</v>
      </c>
      <c r="E2503" s="1"/>
      <c r="F2503" s="1" t="s">
        <v>11</v>
      </c>
      <c r="G2503">
        <v>625</v>
      </c>
      <c r="H2503">
        <v>625</v>
      </c>
      <c r="I2503" s="2">
        <v>45782</v>
      </c>
      <c r="J2503" s="2">
        <v>45764</v>
      </c>
      <c r="K2503" s="2">
        <v>45782</v>
      </c>
    </row>
    <row r="2504" spans="1:11" x14ac:dyDescent="0.25">
      <c r="A2504" s="1" t="s">
        <v>458</v>
      </c>
      <c r="B2504" s="1" t="s">
        <v>1246</v>
      </c>
      <c r="C2504" s="1" t="s">
        <v>2228</v>
      </c>
      <c r="D2504" s="1" t="s">
        <v>1998</v>
      </c>
      <c r="E2504" s="1"/>
      <c r="F2504" s="1" t="s">
        <v>11</v>
      </c>
      <c r="G2504">
        <v>1540</v>
      </c>
      <c r="H2504">
        <v>1085</v>
      </c>
      <c r="I2504" s="2"/>
      <c r="J2504" s="2">
        <v>45764</v>
      </c>
      <c r="K2504" s="2">
        <v>45779</v>
      </c>
    </row>
    <row r="2505" spans="1:11" x14ac:dyDescent="0.25">
      <c r="A2505" s="1" t="s">
        <v>458</v>
      </c>
      <c r="B2505" s="1" t="s">
        <v>1247</v>
      </c>
      <c r="C2505" s="1" t="s">
        <v>2229</v>
      </c>
      <c r="D2505" s="1" t="s">
        <v>1998</v>
      </c>
      <c r="E2505" s="1"/>
      <c r="F2505" s="1" t="s">
        <v>11</v>
      </c>
      <c r="G2505">
        <v>195</v>
      </c>
      <c r="H2505">
        <v>985</v>
      </c>
      <c r="I2505" s="2"/>
      <c r="J2505" s="2">
        <v>45764</v>
      </c>
      <c r="K2505" s="2">
        <v>45779</v>
      </c>
    </row>
    <row r="2506" spans="1:11" x14ac:dyDescent="0.25">
      <c r="A2506" s="1" t="s">
        <v>458</v>
      </c>
      <c r="B2506" s="1" t="s">
        <v>1267</v>
      </c>
      <c r="C2506" s="1" t="s">
        <v>2244</v>
      </c>
      <c r="D2506" s="1" t="s">
        <v>1998</v>
      </c>
      <c r="E2506" s="1"/>
      <c r="F2506" s="1" t="s">
        <v>12</v>
      </c>
      <c r="G2506">
        <v>1</v>
      </c>
      <c r="H2506">
        <v>25</v>
      </c>
      <c r="I2506" s="2"/>
      <c r="J2506" s="2">
        <v>45764</v>
      </c>
      <c r="K2506" s="2">
        <v>45779</v>
      </c>
    </row>
    <row r="2507" spans="1:11" x14ac:dyDescent="0.25">
      <c r="A2507" s="1" t="s">
        <v>458</v>
      </c>
      <c r="B2507" s="1" t="s">
        <v>1206</v>
      </c>
      <c r="C2507" s="1" t="s">
        <v>2196</v>
      </c>
      <c r="D2507" s="1" t="s">
        <v>1998</v>
      </c>
      <c r="E2507" s="1"/>
      <c r="F2507" s="1" t="s">
        <v>11</v>
      </c>
      <c r="G2507">
        <v>5</v>
      </c>
      <c r="H2507">
        <v>5</v>
      </c>
      <c r="I2507" s="2"/>
      <c r="J2507" s="2">
        <v>45764</v>
      </c>
      <c r="K2507" s="2">
        <v>45779</v>
      </c>
    </row>
    <row r="2508" spans="1:11" x14ac:dyDescent="0.25">
      <c r="A2508" s="1" t="s">
        <v>458</v>
      </c>
      <c r="B2508" s="1" t="s">
        <v>1248</v>
      </c>
      <c r="C2508" s="1" t="s">
        <v>2230</v>
      </c>
      <c r="D2508" s="1" t="s">
        <v>1998</v>
      </c>
      <c r="E2508" s="1"/>
      <c r="F2508" s="1" t="s">
        <v>11</v>
      </c>
      <c r="G2508">
        <v>40</v>
      </c>
      <c r="H2508">
        <v>40</v>
      </c>
      <c r="I2508" s="2"/>
      <c r="J2508" s="2">
        <v>45764</v>
      </c>
      <c r="K2508" s="2">
        <v>45779</v>
      </c>
    </row>
    <row r="2509" spans="1:11" x14ac:dyDescent="0.25">
      <c r="A2509" s="1" t="s">
        <v>459</v>
      </c>
      <c r="B2509" s="1" t="s">
        <v>1246</v>
      </c>
      <c r="C2509" s="1" t="s">
        <v>2228</v>
      </c>
      <c r="D2509" s="1" t="s">
        <v>1998</v>
      </c>
      <c r="E2509" s="1"/>
      <c r="F2509" s="1" t="s">
        <v>11</v>
      </c>
      <c r="G2509">
        <v>1540</v>
      </c>
      <c r="H2509">
        <v>1085</v>
      </c>
      <c r="I2509" s="2"/>
      <c r="J2509" s="2">
        <v>45768</v>
      </c>
      <c r="K2509" s="2">
        <v>45779</v>
      </c>
    </row>
    <row r="2510" spans="1:11" x14ac:dyDescent="0.25">
      <c r="A2510" s="1" t="s">
        <v>459</v>
      </c>
      <c r="B2510" s="1" t="s">
        <v>1247</v>
      </c>
      <c r="C2510" s="1" t="s">
        <v>2229</v>
      </c>
      <c r="D2510" s="1" t="s">
        <v>1998</v>
      </c>
      <c r="E2510" s="1"/>
      <c r="F2510" s="1" t="s">
        <v>11</v>
      </c>
      <c r="G2510">
        <v>195</v>
      </c>
      <c r="H2510">
        <v>985</v>
      </c>
      <c r="I2510" s="2"/>
      <c r="J2510" s="2">
        <v>45768</v>
      </c>
      <c r="K2510" s="2">
        <v>45779</v>
      </c>
    </row>
    <row r="2511" spans="1:11" x14ac:dyDescent="0.25">
      <c r="A2511" s="1" t="s">
        <v>459</v>
      </c>
      <c r="B2511" s="1" t="s">
        <v>1267</v>
      </c>
      <c r="C2511" s="1" t="s">
        <v>2244</v>
      </c>
      <c r="D2511" s="1" t="s">
        <v>1998</v>
      </c>
      <c r="E2511" s="1"/>
      <c r="F2511" s="1" t="s">
        <v>12</v>
      </c>
      <c r="G2511">
        <v>1</v>
      </c>
      <c r="H2511">
        <v>30</v>
      </c>
      <c r="I2511" s="2"/>
      <c r="J2511" s="2">
        <v>45768</v>
      </c>
      <c r="K2511" s="2">
        <v>45779</v>
      </c>
    </row>
    <row r="2512" spans="1:11" x14ac:dyDescent="0.25">
      <c r="A2512" s="1" t="s">
        <v>459</v>
      </c>
      <c r="B2512" s="1" t="s">
        <v>1206</v>
      </c>
      <c r="C2512" s="1" t="s">
        <v>2196</v>
      </c>
      <c r="D2512" s="1" t="s">
        <v>1998</v>
      </c>
      <c r="E2512" s="1"/>
      <c r="F2512" s="1" t="s">
        <v>11</v>
      </c>
      <c r="G2512">
        <v>5</v>
      </c>
      <c r="H2512">
        <v>5</v>
      </c>
      <c r="I2512" s="2"/>
      <c r="J2512" s="2">
        <v>45768</v>
      </c>
      <c r="K2512" s="2">
        <v>45779</v>
      </c>
    </row>
    <row r="2513" spans="1:11" x14ac:dyDescent="0.25">
      <c r="A2513" s="1" t="s">
        <v>459</v>
      </c>
      <c r="B2513" s="1" t="s">
        <v>1248</v>
      </c>
      <c r="C2513" s="1" t="s">
        <v>2230</v>
      </c>
      <c r="D2513" s="1" t="s">
        <v>1998</v>
      </c>
      <c r="E2513" s="1"/>
      <c r="F2513" s="1" t="s">
        <v>11</v>
      </c>
      <c r="G2513">
        <v>40</v>
      </c>
      <c r="H2513">
        <v>40</v>
      </c>
      <c r="I2513" s="2"/>
      <c r="J2513" s="2">
        <v>45768</v>
      </c>
      <c r="K2513" s="2">
        <v>45779</v>
      </c>
    </row>
    <row r="2514" spans="1:11" x14ac:dyDescent="0.25">
      <c r="A2514" s="1" t="s">
        <v>460</v>
      </c>
      <c r="B2514" s="1" t="s">
        <v>1246</v>
      </c>
      <c r="C2514" s="1" t="s">
        <v>2228</v>
      </c>
      <c r="D2514" s="1" t="s">
        <v>1998</v>
      </c>
      <c r="E2514" s="1"/>
      <c r="F2514" s="1" t="s">
        <v>11</v>
      </c>
      <c r="G2514">
        <v>1540</v>
      </c>
      <c r="H2514">
        <v>1345</v>
      </c>
      <c r="I2514" s="2"/>
      <c r="J2514" s="2">
        <v>45771</v>
      </c>
      <c r="K2514" s="2">
        <v>45779</v>
      </c>
    </row>
    <row r="2515" spans="1:11" x14ac:dyDescent="0.25">
      <c r="A2515" s="1" t="s">
        <v>460</v>
      </c>
      <c r="B2515" s="1" t="s">
        <v>1247</v>
      </c>
      <c r="C2515" s="1" t="s">
        <v>2229</v>
      </c>
      <c r="D2515" s="1" t="s">
        <v>1998</v>
      </c>
      <c r="E2515" s="1"/>
      <c r="F2515" s="1" t="s">
        <v>11</v>
      </c>
      <c r="G2515">
        <v>195</v>
      </c>
      <c r="H2515">
        <v>500</v>
      </c>
      <c r="I2515" s="2"/>
      <c r="J2515" s="2">
        <v>45771</v>
      </c>
      <c r="K2515" s="2">
        <v>45779</v>
      </c>
    </row>
    <row r="2516" spans="1:11" x14ac:dyDescent="0.25">
      <c r="A2516" s="1" t="s">
        <v>460</v>
      </c>
      <c r="B2516" s="1" t="s">
        <v>1206</v>
      </c>
      <c r="C2516" s="1" t="s">
        <v>2196</v>
      </c>
      <c r="D2516" s="1" t="s">
        <v>1998</v>
      </c>
      <c r="E2516" s="1"/>
      <c r="F2516" s="1" t="s">
        <v>11</v>
      </c>
      <c r="G2516">
        <v>5</v>
      </c>
      <c r="H2516">
        <v>5</v>
      </c>
      <c r="I2516" s="2"/>
      <c r="J2516" s="2">
        <v>45771</v>
      </c>
      <c r="K2516" s="2">
        <v>45779</v>
      </c>
    </row>
    <row r="2517" spans="1:11" x14ac:dyDescent="0.25">
      <c r="A2517" s="1" t="s">
        <v>460</v>
      </c>
      <c r="B2517" s="1" t="s">
        <v>1248</v>
      </c>
      <c r="C2517" s="1" t="s">
        <v>2230</v>
      </c>
      <c r="D2517" s="1" t="s">
        <v>1998</v>
      </c>
      <c r="E2517" s="1"/>
      <c r="F2517" s="1" t="s">
        <v>11</v>
      </c>
      <c r="G2517">
        <v>40</v>
      </c>
      <c r="H2517">
        <v>40</v>
      </c>
      <c r="I2517" s="2"/>
      <c r="J2517" s="2">
        <v>45771</v>
      </c>
      <c r="K2517" s="2">
        <v>45779</v>
      </c>
    </row>
    <row r="2518" spans="1:11" x14ac:dyDescent="0.25">
      <c r="A2518" s="1" t="s">
        <v>461</v>
      </c>
      <c r="B2518" s="1" t="s">
        <v>1246</v>
      </c>
      <c r="C2518" s="1" t="s">
        <v>2228</v>
      </c>
      <c r="D2518" s="1" t="s">
        <v>1998</v>
      </c>
      <c r="E2518" s="1"/>
      <c r="F2518" s="1" t="s">
        <v>11</v>
      </c>
      <c r="G2518">
        <v>1540</v>
      </c>
      <c r="H2518">
        <v>1085</v>
      </c>
      <c r="I2518" s="2"/>
      <c r="J2518" s="2">
        <v>45768</v>
      </c>
      <c r="K2518" s="2">
        <v>45779</v>
      </c>
    </row>
    <row r="2519" spans="1:11" x14ac:dyDescent="0.25">
      <c r="A2519" s="1" t="s">
        <v>461</v>
      </c>
      <c r="B2519" s="1" t="s">
        <v>1247</v>
      </c>
      <c r="C2519" s="1" t="s">
        <v>2229</v>
      </c>
      <c r="D2519" s="1" t="s">
        <v>1998</v>
      </c>
      <c r="E2519" s="1"/>
      <c r="F2519" s="1" t="s">
        <v>11</v>
      </c>
      <c r="G2519">
        <v>195</v>
      </c>
      <c r="H2519">
        <v>985</v>
      </c>
      <c r="I2519" s="2"/>
      <c r="J2519" s="2">
        <v>45768</v>
      </c>
      <c r="K2519" s="2">
        <v>45779</v>
      </c>
    </row>
    <row r="2520" spans="1:11" x14ac:dyDescent="0.25">
      <c r="A2520" s="1" t="s">
        <v>461</v>
      </c>
      <c r="B2520" s="1" t="s">
        <v>1267</v>
      </c>
      <c r="C2520" s="1" t="s">
        <v>2244</v>
      </c>
      <c r="D2520" s="1" t="s">
        <v>1998</v>
      </c>
      <c r="E2520" s="1"/>
      <c r="F2520" s="1" t="s">
        <v>12</v>
      </c>
      <c r="G2520">
        <v>1</v>
      </c>
      <c r="H2520">
        <v>25</v>
      </c>
      <c r="I2520" s="2"/>
      <c r="J2520" s="2">
        <v>45768</v>
      </c>
      <c r="K2520" s="2">
        <v>45779</v>
      </c>
    </row>
    <row r="2521" spans="1:11" x14ac:dyDescent="0.25">
      <c r="A2521" s="1" t="s">
        <v>461</v>
      </c>
      <c r="B2521" s="1" t="s">
        <v>1206</v>
      </c>
      <c r="C2521" s="1" t="s">
        <v>2196</v>
      </c>
      <c r="D2521" s="1" t="s">
        <v>1998</v>
      </c>
      <c r="E2521" s="1"/>
      <c r="F2521" s="1" t="s">
        <v>11</v>
      </c>
      <c r="G2521">
        <v>5</v>
      </c>
      <c r="H2521">
        <v>5</v>
      </c>
      <c r="I2521" s="2"/>
      <c r="J2521" s="2">
        <v>45768</v>
      </c>
      <c r="K2521" s="2">
        <v>45779</v>
      </c>
    </row>
    <row r="2522" spans="1:11" x14ac:dyDescent="0.25">
      <c r="A2522" s="1" t="s">
        <v>461</v>
      </c>
      <c r="B2522" s="1" t="s">
        <v>1248</v>
      </c>
      <c r="C2522" s="1" t="s">
        <v>2230</v>
      </c>
      <c r="D2522" s="1" t="s">
        <v>1998</v>
      </c>
      <c r="E2522" s="1"/>
      <c r="F2522" s="1" t="s">
        <v>11</v>
      </c>
      <c r="G2522">
        <v>40</v>
      </c>
      <c r="H2522">
        <v>40</v>
      </c>
      <c r="I2522" s="2"/>
      <c r="J2522" s="2">
        <v>45768</v>
      </c>
      <c r="K2522" s="2">
        <v>45779</v>
      </c>
    </row>
    <row r="2523" spans="1:11" x14ac:dyDescent="0.25">
      <c r="A2523" s="1" t="s">
        <v>462</v>
      </c>
      <c r="B2523" s="1" t="s">
        <v>1256</v>
      </c>
      <c r="C2523" s="1" t="s">
        <v>2014</v>
      </c>
      <c r="D2523" s="1" t="s">
        <v>1998</v>
      </c>
      <c r="E2523" s="1"/>
      <c r="F2523" s="1" t="s">
        <v>11</v>
      </c>
      <c r="G2523">
        <v>6090</v>
      </c>
      <c r="H2523">
        <v>6090</v>
      </c>
      <c r="I2523" s="2"/>
      <c r="J2523" s="2">
        <v>45749</v>
      </c>
      <c r="K2523" s="2">
        <v>45789</v>
      </c>
    </row>
    <row r="2524" spans="1:11" x14ac:dyDescent="0.25">
      <c r="A2524" s="1" t="s">
        <v>462</v>
      </c>
      <c r="B2524" s="1" t="s">
        <v>1341</v>
      </c>
      <c r="C2524" s="1" t="s">
        <v>2297</v>
      </c>
      <c r="D2524" s="1" t="s">
        <v>1998</v>
      </c>
      <c r="E2524" s="1"/>
      <c r="F2524" s="1" t="s">
        <v>11</v>
      </c>
      <c r="G2524">
        <v>2100</v>
      </c>
      <c r="H2524">
        <v>2100</v>
      </c>
      <c r="I2524" s="2"/>
      <c r="J2524" s="2">
        <v>45749</v>
      </c>
      <c r="K2524" s="2">
        <v>45789</v>
      </c>
    </row>
    <row r="2525" spans="1:11" x14ac:dyDescent="0.25">
      <c r="A2525" s="1" t="s">
        <v>463</v>
      </c>
      <c r="B2525" s="1" t="s">
        <v>1256</v>
      </c>
      <c r="C2525" s="1" t="s">
        <v>2014</v>
      </c>
      <c r="D2525" s="1" t="s">
        <v>1998</v>
      </c>
      <c r="E2525" s="1"/>
      <c r="F2525" s="1" t="s">
        <v>11</v>
      </c>
      <c r="G2525">
        <v>1995</v>
      </c>
      <c r="H2525">
        <v>1995</v>
      </c>
      <c r="I2525" s="2"/>
      <c r="J2525" s="2">
        <v>45749</v>
      </c>
      <c r="K2525" s="2">
        <v>45789</v>
      </c>
    </row>
    <row r="2526" spans="1:11" x14ac:dyDescent="0.25">
      <c r="A2526" s="1" t="s">
        <v>463</v>
      </c>
      <c r="B2526" s="1" t="s">
        <v>1341</v>
      </c>
      <c r="C2526" s="1" t="s">
        <v>2297</v>
      </c>
      <c r="D2526" s="1" t="s">
        <v>1998</v>
      </c>
      <c r="E2526" s="1"/>
      <c r="F2526" s="1" t="s">
        <v>11</v>
      </c>
      <c r="G2526">
        <v>690</v>
      </c>
      <c r="H2526">
        <v>900</v>
      </c>
      <c r="I2526" s="2"/>
      <c r="J2526" s="2">
        <v>45749</v>
      </c>
      <c r="K2526" s="2">
        <v>45789</v>
      </c>
    </row>
    <row r="2527" spans="1:11" x14ac:dyDescent="0.25">
      <c r="A2527" s="1" t="s">
        <v>464</v>
      </c>
      <c r="B2527" s="1" t="s">
        <v>1504</v>
      </c>
      <c r="C2527" s="1" t="s">
        <v>2438</v>
      </c>
      <c r="D2527" s="1" t="s">
        <v>1998</v>
      </c>
      <c r="E2527" s="1"/>
      <c r="F2527" s="1" t="s">
        <v>11</v>
      </c>
      <c r="G2527">
        <v>470</v>
      </c>
      <c r="H2527">
        <v>470</v>
      </c>
      <c r="I2527" s="2"/>
      <c r="J2527" s="2">
        <v>45744</v>
      </c>
      <c r="K2527" s="2">
        <v>45785</v>
      </c>
    </row>
    <row r="2528" spans="1:11" x14ac:dyDescent="0.25">
      <c r="A2528" s="1" t="s">
        <v>464</v>
      </c>
      <c r="B2528" s="1" t="s">
        <v>1568</v>
      </c>
      <c r="C2528" s="1" t="s">
        <v>2489</v>
      </c>
      <c r="D2528" s="1" t="s">
        <v>1998</v>
      </c>
      <c r="E2528" s="1"/>
      <c r="F2528" s="1" t="s">
        <v>11</v>
      </c>
      <c r="G2528">
        <v>3855</v>
      </c>
      <c r="H2528">
        <v>3855</v>
      </c>
      <c r="I2528" s="2"/>
      <c r="J2528" s="2">
        <v>45744</v>
      </c>
      <c r="K2528" s="2">
        <v>45785</v>
      </c>
    </row>
    <row r="2529" spans="1:11" x14ac:dyDescent="0.25">
      <c r="A2529" s="1" t="s">
        <v>464</v>
      </c>
      <c r="B2529" s="1" t="s">
        <v>1569</v>
      </c>
      <c r="C2529" s="1" t="s">
        <v>2490</v>
      </c>
      <c r="D2529" s="1" t="s">
        <v>1998</v>
      </c>
      <c r="E2529" s="1"/>
      <c r="F2529" s="1" t="s">
        <v>11</v>
      </c>
      <c r="G2529">
        <v>30</v>
      </c>
      <c r="H2529">
        <v>30</v>
      </c>
      <c r="I2529" s="2"/>
      <c r="J2529" s="2">
        <v>45744</v>
      </c>
      <c r="K2529" s="2">
        <v>45785</v>
      </c>
    </row>
    <row r="2530" spans="1:11" x14ac:dyDescent="0.25">
      <c r="A2530" s="1" t="s">
        <v>464</v>
      </c>
      <c r="B2530" s="1" t="s">
        <v>1507</v>
      </c>
      <c r="C2530" s="1" t="s">
        <v>2441</v>
      </c>
      <c r="D2530" s="1" t="s">
        <v>1998</v>
      </c>
      <c r="E2530" s="1"/>
      <c r="F2530" s="1" t="s">
        <v>11</v>
      </c>
      <c r="G2530">
        <v>1</v>
      </c>
      <c r="H2530">
        <v>1</v>
      </c>
      <c r="I2530" s="2"/>
      <c r="J2530" s="2">
        <v>45744</v>
      </c>
      <c r="K2530" s="2">
        <v>45785</v>
      </c>
    </row>
    <row r="2531" spans="1:11" x14ac:dyDescent="0.25">
      <c r="A2531" s="1" t="s">
        <v>464</v>
      </c>
      <c r="B2531" s="1" t="s">
        <v>1420</v>
      </c>
      <c r="C2531" s="1" t="s">
        <v>2362</v>
      </c>
      <c r="D2531" s="1" t="s">
        <v>1998</v>
      </c>
      <c r="E2531" s="1"/>
      <c r="F2531" s="1" t="s">
        <v>11</v>
      </c>
      <c r="G2531">
        <v>1</v>
      </c>
      <c r="H2531">
        <v>1</v>
      </c>
      <c r="I2531" s="2"/>
      <c r="J2531" s="2">
        <v>45744</v>
      </c>
      <c r="K2531" s="2">
        <v>45785</v>
      </c>
    </row>
    <row r="2532" spans="1:11" x14ac:dyDescent="0.25">
      <c r="A2532" s="1" t="s">
        <v>464</v>
      </c>
      <c r="B2532" s="1" t="s">
        <v>1421</v>
      </c>
      <c r="C2532" s="1" t="s">
        <v>2363</v>
      </c>
      <c r="D2532" s="1" t="s">
        <v>1998</v>
      </c>
      <c r="E2532" s="1"/>
      <c r="F2532" s="1" t="s">
        <v>11</v>
      </c>
      <c r="G2532">
        <v>1</v>
      </c>
      <c r="H2532">
        <v>1</v>
      </c>
      <c r="I2532" s="2"/>
      <c r="J2532" s="2">
        <v>45744</v>
      </c>
      <c r="K2532" s="2">
        <v>45785</v>
      </c>
    </row>
    <row r="2533" spans="1:11" x14ac:dyDescent="0.25">
      <c r="A2533" s="1" t="s">
        <v>464</v>
      </c>
      <c r="B2533" s="1" t="s">
        <v>1422</v>
      </c>
      <c r="C2533" s="1" t="s">
        <v>2364</v>
      </c>
      <c r="D2533" s="1" t="s">
        <v>1998</v>
      </c>
      <c r="E2533" s="1"/>
      <c r="F2533" s="1" t="s">
        <v>11</v>
      </c>
      <c r="G2533">
        <v>1</v>
      </c>
      <c r="H2533">
        <v>1</v>
      </c>
      <c r="I2533" s="2"/>
      <c r="J2533" s="2">
        <v>45744</v>
      </c>
      <c r="K2533" s="2">
        <v>45785</v>
      </c>
    </row>
    <row r="2534" spans="1:11" x14ac:dyDescent="0.25">
      <c r="A2534" s="1" t="s">
        <v>464</v>
      </c>
      <c r="B2534" s="1" t="s">
        <v>1423</v>
      </c>
      <c r="C2534" s="1" t="s">
        <v>2365</v>
      </c>
      <c r="D2534" s="1" t="s">
        <v>1998</v>
      </c>
      <c r="E2534" s="1"/>
      <c r="F2534" s="1" t="s">
        <v>11</v>
      </c>
      <c r="G2534">
        <v>1</v>
      </c>
      <c r="H2534">
        <v>1</v>
      </c>
      <c r="I2534" s="2"/>
      <c r="J2534" s="2">
        <v>45744</v>
      </c>
      <c r="K2534" s="2">
        <v>45785</v>
      </c>
    </row>
    <row r="2535" spans="1:11" x14ac:dyDescent="0.25">
      <c r="A2535" s="1" t="s">
        <v>464</v>
      </c>
      <c r="B2535" s="1" t="s">
        <v>1508</v>
      </c>
      <c r="C2535" s="1" t="s">
        <v>2442</v>
      </c>
      <c r="D2535" s="1" t="s">
        <v>1998</v>
      </c>
      <c r="E2535" s="1"/>
      <c r="F2535" s="1" t="s">
        <v>11</v>
      </c>
      <c r="G2535">
        <v>20</v>
      </c>
      <c r="H2535">
        <v>20</v>
      </c>
      <c r="I2535" s="2"/>
      <c r="J2535" s="2">
        <v>45744</v>
      </c>
      <c r="K2535" s="2">
        <v>45785</v>
      </c>
    </row>
    <row r="2536" spans="1:11" x14ac:dyDescent="0.25">
      <c r="A2536" s="1" t="s">
        <v>464</v>
      </c>
      <c r="B2536" s="1" t="s">
        <v>1509</v>
      </c>
      <c r="C2536" s="1" t="s">
        <v>2443</v>
      </c>
      <c r="D2536" s="1" t="s">
        <v>1998</v>
      </c>
      <c r="E2536" s="1"/>
      <c r="F2536" s="1" t="s">
        <v>11</v>
      </c>
      <c r="G2536">
        <v>5</v>
      </c>
      <c r="H2536">
        <v>5</v>
      </c>
      <c r="I2536" s="2"/>
      <c r="J2536" s="2">
        <v>45744</v>
      </c>
      <c r="K2536" s="2">
        <v>45785</v>
      </c>
    </row>
    <row r="2537" spans="1:11" x14ac:dyDescent="0.25">
      <c r="A2537" s="1" t="s">
        <v>464</v>
      </c>
      <c r="B2537" s="1" t="s">
        <v>999</v>
      </c>
      <c r="C2537" s="1" t="s">
        <v>2017</v>
      </c>
      <c r="D2537" s="1" t="s">
        <v>1998</v>
      </c>
      <c r="E2537" s="1"/>
      <c r="F2537" s="1" t="s">
        <v>11</v>
      </c>
      <c r="G2537">
        <v>1</v>
      </c>
      <c r="H2537">
        <v>1</v>
      </c>
      <c r="I2537" s="2"/>
      <c r="J2537" s="2">
        <v>45744</v>
      </c>
      <c r="K2537" s="2">
        <v>45785</v>
      </c>
    </row>
    <row r="2538" spans="1:11" x14ac:dyDescent="0.25">
      <c r="A2538" s="1" t="s">
        <v>464</v>
      </c>
      <c r="B2538" s="1" t="s">
        <v>1000</v>
      </c>
      <c r="C2538" s="1" t="s">
        <v>2018</v>
      </c>
      <c r="D2538" s="1" t="s">
        <v>1998</v>
      </c>
      <c r="E2538" s="1"/>
      <c r="F2538" s="1" t="s">
        <v>11</v>
      </c>
      <c r="G2538">
        <v>1</v>
      </c>
      <c r="H2538">
        <v>1</v>
      </c>
      <c r="I2538" s="2"/>
      <c r="J2538" s="2">
        <v>45744</v>
      </c>
      <c r="K2538" s="2">
        <v>45785</v>
      </c>
    </row>
    <row r="2539" spans="1:11" x14ac:dyDescent="0.25">
      <c r="A2539" s="1" t="s">
        <v>464</v>
      </c>
      <c r="B2539" s="1" t="s">
        <v>1001</v>
      </c>
      <c r="C2539" s="1" t="s">
        <v>2019</v>
      </c>
      <c r="D2539" s="1" t="s">
        <v>1998</v>
      </c>
      <c r="E2539" s="1"/>
      <c r="F2539" s="1" t="s">
        <v>11</v>
      </c>
      <c r="G2539">
        <v>1</v>
      </c>
      <c r="H2539">
        <v>1</v>
      </c>
      <c r="I2539" s="2"/>
      <c r="J2539" s="2">
        <v>45744</v>
      </c>
      <c r="K2539" s="2">
        <v>45785</v>
      </c>
    </row>
    <row r="2540" spans="1:11" x14ac:dyDescent="0.25">
      <c r="A2540" s="1" t="s">
        <v>465</v>
      </c>
      <c r="B2540" s="1" t="s">
        <v>1008</v>
      </c>
      <c r="C2540" s="1" t="s">
        <v>2014</v>
      </c>
      <c r="D2540" s="1" t="s">
        <v>1998</v>
      </c>
      <c r="E2540" s="1"/>
      <c r="F2540" s="1" t="s">
        <v>11</v>
      </c>
      <c r="G2540">
        <v>840</v>
      </c>
      <c r="H2540">
        <v>2100</v>
      </c>
      <c r="I2540" s="2"/>
      <c r="J2540" s="2">
        <v>45744</v>
      </c>
      <c r="K2540" s="2">
        <v>45762</v>
      </c>
    </row>
    <row r="2541" spans="1:11" x14ac:dyDescent="0.25">
      <c r="A2541" s="1" t="s">
        <v>465</v>
      </c>
      <c r="B2541" s="1" t="s">
        <v>1009</v>
      </c>
      <c r="C2541" s="1" t="s">
        <v>2026</v>
      </c>
      <c r="D2541" s="1" t="s">
        <v>1998</v>
      </c>
      <c r="E2541" s="1"/>
      <c r="F2541" s="1" t="s">
        <v>11</v>
      </c>
      <c r="G2541">
        <v>1160</v>
      </c>
      <c r="H2541">
        <v>2895</v>
      </c>
      <c r="I2541" s="2"/>
      <c r="J2541" s="2">
        <v>45744</v>
      </c>
      <c r="K2541" s="2">
        <v>45762</v>
      </c>
    </row>
    <row r="2542" spans="1:11" x14ac:dyDescent="0.25">
      <c r="A2542" s="1" t="s">
        <v>465</v>
      </c>
      <c r="B2542" s="1" t="s">
        <v>1010</v>
      </c>
      <c r="C2542" s="1" t="s">
        <v>2027</v>
      </c>
      <c r="D2542" s="1" t="s">
        <v>1998</v>
      </c>
      <c r="E2542" s="1"/>
      <c r="F2542" s="1" t="s">
        <v>11</v>
      </c>
      <c r="G2542">
        <v>490</v>
      </c>
      <c r="H2542">
        <v>1225</v>
      </c>
      <c r="I2542" s="2"/>
      <c r="J2542" s="2">
        <v>45744</v>
      </c>
      <c r="K2542" s="2">
        <v>45762</v>
      </c>
    </row>
    <row r="2543" spans="1:11" x14ac:dyDescent="0.25">
      <c r="A2543" s="1" t="s">
        <v>465</v>
      </c>
      <c r="B2543" s="1" t="s">
        <v>1011</v>
      </c>
      <c r="C2543" s="1" t="s">
        <v>2028</v>
      </c>
      <c r="D2543" s="1" t="s">
        <v>1998</v>
      </c>
      <c r="E2543" s="1"/>
      <c r="F2543" s="1" t="s">
        <v>11</v>
      </c>
      <c r="G2543">
        <v>285</v>
      </c>
      <c r="H2543">
        <v>545</v>
      </c>
      <c r="I2543" s="2"/>
      <c r="J2543" s="2">
        <v>45744</v>
      </c>
      <c r="K2543" s="2">
        <v>45762</v>
      </c>
    </row>
    <row r="2544" spans="1:11" x14ac:dyDescent="0.25">
      <c r="A2544" s="1" t="s">
        <v>465</v>
      </c>
      <c r="B2544" s="1" t="s">
        <v>1012</v>
      </c>
      <c r="C2544" s="1" t="s">
        <v>2029</v>
      </c>
      <c r="D2544" s="1" t="s">
        <v>1998</v>
      </c>
      <c r="E2544" s="1"/>
      <c r="F2544" s="1" t="s">
        <v>11</v>
      </c>
      <c r="G2544">
        <v>130</v>
      </c>
      <c r="H2544">
        <v>165</v>
      </c>
      <c r="I2544" s="2"/>
      <c r="J2544" s="2">
        <v>45744</v>
      </c>
      <c r="K2544" s="2">
        <v>45762</v>
      </c>
    </row>
    <row r="2545" spans="1:11" x14ac:dyDescent="0.25">
      <c r="A2545" s="1" t="s">
        <v>465</v>
      </c>
      <c r="B2545" s="1" t="s">
        <v>1013</v>
      </c>
      <c r="C2545" s="1" t="s">
        <v>2030</v>
      </c>
      <c r="D2545" s="1" t="s">
        <v>1998</v>
      </c>
      <c r="E2545" s="1"/>
      <c r="F2545" s="1" t="s">
        <v>11</v>
      </c>
      <c r="G2545">
        <v>25</v>
      </c>
      <c r="H2545">
        <v>60</v>
      </c>
      <c r="I2545" s="2"/>
      <c r="J2545" s="2">
        <v>45744</v>
      </c>
      <c r="K2545" s="2">
        <v>45762</v>
      </c>
    </row>
    <row r="2546" spans="1:11" x14ac:dyDescent="0.25">
      <c r="A2546" s="1" t="s">
        <v>465</v>
      </c>
      <c r="B2546" s="1" t="s">
        <v>993</v>
      </c>
      <c r="C2546" s="1" t="s">
        <v>2011</v>
      </c>
      <c r="D2546" s="1" t="s">
        <v>1998</v>
      </c>
      <c r="E2546" s="1"/>
      <c r="F2546" s="1" t="s">
        <v>11</v>
      </c>
      <c r="G2546">
        <v>10</v>
      </c>
      <c r="H2546">
        <v>25</v>
      </c>
      <c r="I2546" s="2"/>
      <c r="J2546" s="2">
        <v>45744</v>
      </c>
      <c r="K2546" s="2">
        <v>45762</v>
      </c>
    </row>
    <row r="2547" spans="1:11" x14ac:dyDescent="0.25">
      <c r="A2547" s="1" t="s">
        <v>466</v>
      </c>
      <c r="B2547" s="1" t="s">
        <v>1226</v>
      </c>
      <c r="C2547" s="1" t="s">
        <v>2210</v>
      </c>
      <c r="D2547" s="1" t="s">
        <v>1998</v>
      </c>
      <c r="E2547" s="1"/>
      <c r="F2547" s="1" t="s">
        <v>13</v>
      </c>
      <c r="G2547">
        <v>5</v>
      </c>
      <c r="H2547">
        <v>10</v>
      </c>
      <c r="I2547" s="2">
        <v>45782</v>
      </c>
      <c r="J2547" s="2">
        <v>45765</v>
      </c>
      <c r="K2547" s="2">
        <v>45782</v>
      </c>
    </row>
    <row r="2548" spans="1:11" x14ac:dyDescent="0.25">
      <c r="A2548" s="1" t="s">
        <v>466</v>
      </c>
      <c r="B2548" s="1" t="s">
        <v>1227</v>
      </c>
      <c r="C2548" s="1" t="s">
        <v>2211</v>
      </c>
      <c r="D2548" s="1" t="s">
        <v>1998</v>
      </c>
      <c r="E2548" s="1"/>
      <c r="F2548" s="1" t="s">
        <v>17</v>
      </c>
      <c r="G2548">
        <v>1</v>
      </c>
      <c r="H2548">
        <v>1</v>
      </c>
      <c r="I2548" s="2">
        <v>45782</v>
      </c>
      <c r="J2548" s="2">
        <v>45765</v>
      </c>
      <c r="K2548" s="2">
        <v>45782</v>
      </c>
    </row>
    <row r="2549" spans="1:11" x14ac:dyDescent="0.25">
      <c r="A2549" s="1" t="s">
        <v>466</v>
      </c>
      <c r="B2549" s="1" t="s">
        <v>1228</v>
      </c>
      <c r="C2549" s="1" t="s">
        <v>2212</v>
      </c>
      <c r="D2549" s="1" t="s">
        <v>1998</v>
      </c>
      <c r="E2549" s="1"/>
      <c r="F2549" s="1" t="s">
        <v>17</v>
      </c>
      <c r="G2549">
        <v>1</v>
      </c>
      <c r="H2549">
        <v>1</v>
      </c>
      <c r="I2549" s="2">
        <v>45782</v>
      </c>
      <c r="J2549" s="2">
        <v>45765</v>
      </c>
      <c r="K2549" s="2">
        <v>45782</v>
      </c>
    </row>
    <row r="2550" spans="1:11" x14ac:dyDescent="0.25">
      <c r="A2550" s="1" t="s">
        <v>466</v>
      </c>
      <c r="B2550" s="1" t="s">
        <v>1229</v>
      </c>
      <c r="C2550" s="1" t="s">
        <v>2213</v>
      </c>
      <c r="D2550" s="1" t="s">
        <v>1998</v>
      </c>
      <c r="E2550" s="1"/>
      <c r="F2550" s="1" t="s">
        <v>17</v>
      </c>
      <c r="G2550">
        <v>1</v>
      </c>
      <c r="H2550">
        <v>1</v>
      </c>
      <c r="I2550" s="2">
        <v>45782</v>
      </c>
      <c r="J2550" s="2">
        <v>45765</v>
      </c>
      <c r="K2550" s="2">
        <v>45782</v>
      </c>
    </row>
    <row r="2551" spans="1:11" x14ac:dyDescent="0.25">
      <c r="A2551" s="1" t="s">
        <v>466</v>
      </c>
      <c r="B2551" s="1" t="s">
        <v>1230</v>
      </c>
      <c r="C2551" s="1" t="s">
        <v>2214</v>
      </c>
      <c r="D2551" s="1" t="s">
        <v>1998</v>
      </c>
      <c r="E2551" s="1"/>
      <c r="F2551" s="1" t="s">
        <v>17</v>
      </c>
      <c r="G2551">
        <v>1</v>
      </c>
      <c r="H2551">
        <v>1</v>
      </c>
      <c r="I2551" s="2">
        <v>45782</v>
      </c>
      <c r="J2551" s="2">
        <v>45765</v>
      </c>
      <c r="K2551" s="2">
        <v>45782</v>
      </c>
    </row>
    <row r="2552" spans="1:11" x14ac:dyDescent="0.25">
      <c r="A2552" s="1" t="s">
        <v>466</v>
      </c>
      <c r="B2552" s="1" t="s">
        <v>1367</v>
      </c>
      <c r="C2552" s="1" t="s">
        <v>2317</v>
      </c>
      <c r="D2552" s="1" t="s">
        <v>1998</v>
      </c>
      <c r="E2552" s="1"/>
      <c r="F2552" s="1" t="s">
        <v>19</v>
      </c>
      <c r="G2552">
        <v>1</v>
      </c>
      <c r="H2552">
        <v>1</v>
      </c>
      <c r="I2552" s="2">
        <v>45782</v>
      </c>
      <c r="J2552" s="2">
        <v>45765</v>
      </c>
      <c r="K2552" s="2">
        <v>45782</v>
      </c>
    </row>
    <row r="2553" spans="1:11" x14ac:dyDescent="0.25">
      <c r="A2553" s="1" t="s">
        <v>466</v>
      </c>
      <c r="B2553" s="1" t="s">
        <v>1538</v>
      </c>
      <c r="C2553" s="1" t="s">
        <v>2466</v>
      </c>
      <c r="D2553" s="1" t="s">
        <v>1998</v>
      </c>
      <c r="E2553" s="1"/>
      <c r="F2553" s="1" t="s">
        <v>18</v>
      </c>
      <c r="G2553">
        <v>10</v>
      </c>
      <c r="H2553">
        <v>15</v>
      </c>
      <c r="I2553" s="2">
        <v>45782</v>
      </c>
      <c r="J2553" s="2">
        <v>45765</v>
      </c>
      <c r="K2553" s="2">
        <v>45782</v>
      </c>
    </row>
    <row r="2554" spans="1:11" x14ac:dyDescent="0.25">
      <c r="A2554" s="1" t="s">
        <v>466</v>
      </c>
      <c r="B2554" s="1" t="s">
        <v>1234</v>
      </c>
      <c r="C2554" s="1" t="s">
        <v>2218</v>
      </c>
      <c r="D2554" s="1" t="s">
        <v>1998</v>
      </c>
      <c r="E2554" s="1"/>
      <c r="F2554" s="1" t="s">
        <v>19</v>
      </c>
      <c r="G2554">
        <v>1</v>
      </c>
      <c r="H2554">
        <v>1</v>
      </c>
      <c r="I2554" s="2">
        <v>45782</v>
      </c>
      <c r="J2554" s="2">
        <v>45765</v>
      </c>
      <c r="K2554" s="2">
        <v>45782</v>
      </c>
    </row>
    <row r="2555" spans="1:11" x14ac:dyDescent="0.25">
      <c r="A2555" s="1" t="s">
        <v>466</v>
      </c>
      <c r="B2555" s="1" t="s">
        <v>1388</v>
      </c>
      <c r="C2555" s="1" t="s">
        <v>2337</v>
      </c>
      <c r="D2555" s="1" t="s">
        <v>1998</v>
      </c>
      <c r="E2555" s="1"/>
      <c r="F2555" s="1" t="s">
        <v>17</v>
      </c>
      <c r="G2555">
        <v>1</v>
      </c>
      <c r="H2555">
        <v>1</v>
      </c>
      <c r="I2555" s="2">
        <v>45782</v>
      </c>
      <c r="J2555" s="2">
        <v>45765</v>
      </c>
      <c r="K2555" s="2">
        <v>45782</v>
      </c>
    </row>
    <row r="2556" spans="1:11" x14ac:dyDescent="0.25">
      <c r="A2556" s="1" t="s">
        <v>466</v>
      </c>
      <c r="B2556" s="1" t="s">
        <v>1570</v>
      </c>
      <c r="C2556" s="1" t="s">
        <v>2491</v>
      </c>
      <c r="D2556" s="1" t="s">
        <v>1998</v>
      </c>
      <c r="E2556" s="1"/>
      <c r="F2556" s="1" t="s">
        <v>18</v>
      </c>
      <c r="G2556">
        <v>5</v>
      </c>
      <c r="H2556">
        <v>10</v>
      </c>
      <c r="I2556" s="2">
        <v>45782</v>
      </c>
      <c r="J2556" s="2">
        <v>45765</v>
      </c>
      <c r="K2556" s="2">
        <v>45782</v>
      </c>
    </row>
    <row r="2557" spans="1:11" x14ac:dyDescent="0.25">
      <c r="A2557" s="1" t="s">
        <v>466</v>
      </c>
      <c r="B2557" s="1" t="s">
        <v>1364</v>
      </c>
      <c r="C2557" s="1" t="s">
        <v>2314</v>
      </c>
      <c r="D2557" s="1" t="s">
        <v>1998</v>
      </c>
      <c r="E2557" s="1"/>
      <c r="F2557" s="1" t="s">
        <v>19</v>
      </c>
      <c r="G2557">
        <v>1</v>
      </c>
      <c r="H2557">
        <v>1</v>
      </c>
      <c r="I2557" s="2">
        <v>45782</v>
      </c>
      <c r="J2557" s="2">
        <v>45765</v>
      </c>
      <c r="K2557" s="2">
        <v>45782</v>
      </c>
    </row>
    <row r="2558" spans="1:11" x14ac:dyDescent="0.25">
      <c r="A2558" s="1" t="s">
        <v>466</v>
      </c>
      <c r="B2558" s="1" t="s">
        <v>1571</v>
      </c>
      <c r="C2558" s="1" t="s">
        <v>2492</v>
      </c>
      <c r="D2558" s="1" t="s">
        <v>1998</v>
      </c>
      <c r="E2558" s="1"/>
      <c r="F2558" s="1" t="s">
        <v>12</v>
      </c>
      <c r="G2558">
        <v>1</v>
      </c>
      <c r="H2558">
        <v>1</v>
      </c>
      <c r="I2558" s="2">
        <v>45782</v>
      </c>
      <c r="J2558" s="2">
        <v>45765</v>
      </c>
      <c r="K2558" s="2">
        <v>45782</v>
      </c>
    </row>
    <row r="2559" spans="1:11" x14ac:dyDescent="0.25">
      <c r="A2559" s="1" t="s">
        <v>466</v>
      </c>
      <c r="B2559" s="1" t="s">
        <v>1572</v>
      </c>
      <c r="C2559" s="1" t="s">
        <v>2493</v>
      </c>
      <c r="D2559" s="1" t="s">
        <v>1998</v>
      </c>
      <c r="E2559" s="1"/>
      <c r="F2559" s="1" t="s">
        <v>19</v>
      </c>
      <c r="G2559">
        <v>1</v>
      </c>
      <c r="H2559">
        <v>1</v>
      </c>
      <c r="I2559" s="2">
        <v>45782</v>
      </c>
      <c r="J2559" s="2">
        <v>45765</v>
      </c>
      <c r="K2559" s="2">
        <v>45782</v>
      </c>
    </row>
    <row r="2560" spans="1:11" x14ac:dyDescent="0.25">
      <c r="A2560" s="1" t="s">
        <v>466</v>
      </c>
      <c r="B2560" s="1" t="s">
        <v>1389</v>
      </c>
      <c r="C2560" s="1" t="s">
        <v>2338</v>
      </c>
      <c r="D2560" s="1" t="s">
        <v>1998</v>
      </c>
      <c r="E2560" s="1"/>
      <c r="F2560" s="1" t="s">
        <v>17</v>
      </c>
      <c r="G2560">
        <v>1</v>
      </c>
      <c r="H2560">
        <v>1</v>
      </c>
      <c r="I2560" s="2">
        <v>45782</v>
      </c>
      <c r="J2560" s="2">
        <v>45765</v>
      </c>
      <c r="K2560" s="2">
        <v>45782</v>
      </c>
    </row>
    <row r="2561" spans="1:11" x14ac:dyDescent="0.25">
      <c r="A2561" s="1" t="s">
        <v>466</v>
      </c>
      <c r="B2561" s="1" t="s">
        <v>1573</v>
      </c>
      <c r="C2561" s="1" t="s">
        <v>2494</v>
      </c>
      <c r="D2561" s="1" t="s">
        <v>1998</v>
      </c>
      <c r="E2561" s="1"/>
      <c r="F2561" s="1" t="s">
        <v>20</v>
      </c>
      <c r="G2561">
        <v>1</v>
      </c>
      <c r="H2561">
        <v>1</v>
      </c>
      <c r="I2561" s="2">
        <v>45782</v>
      </c>
      <c r="J2561" s="2">
        <v>45765</v>
      </c>
      <c r="K2561" s="2">
        <v>45782</v>
      </c>
    </row>
    <row r="2562" spans="1:11" x14ac:dyDescent="0.25">
      <c r="A2562" s="1" t="s">
        <v>467</v>
      </c>
      <c r="B2562" s="1" t="s">
        <v>1264</v>
      </c>
      <c r="C2562" s="1" t="s">
        <v>2241</v>
      </c>
      <c r="D2562" s="1" t="s">
        <v>1998</v>
      </c>
      <c r="E2562" s="1"/>
      <c r="F2562" s="1" t="s">
        <v>11</v>
      </c>
      <c r="G2562">
        <v>415</v>
      </c>
      <c r="H2562">
        <v>525</v>
      </c>
      <c r="I2562" s="2">
        <v>45783</v>
      </c>
      <c r="J2562" s="2">
        <v>45757</v>
      </c>
      <c r="K2562" s="2">
        <v>45779</v>
      </c>
    </row>
    <row r="2563" spans="1:11" x14ac:dyDescent="0.25">
      <c r="A2563" s="1" t="s">
        <v>467</v>
      </c>
      <c r="B2563" s="1" t="s">
        <v>1265</v>
      </c>
      <c r="C2563" s="1" t="s">
        <v>2242</v>
      </c>
      <c r="D2563" s="1" t="s">
        <v>1998</v>
      </c>
      <c r="E2563" s="1"/>
      <c r="F2563" s="1" t="s">
        <v>11</v>
      </c>
      <c r="G2563">
        <v>905</v>
      </c>
      <c r="H2563">
        <v>760</v>
      </c>
      <c r="I2563" s="2">
        <v>45783</v>
      </c>
      <c r="J2563" s="2">
        <v>45757</v>
      </c>
      <c r="K2563" s="2">
        <v>45779</v>
      </c>
    </row>
    <row r="2564" spans="1:11" x14ac:dyDescent="0.25">
      <c r="A2564" s="1" t="s">
        <v>467</v>
      </c>
      <c r="B2564" s="1" t="s">
        <v>1267</v>
      </c>
      <c r="C2564" s="1" t="s">
        <v>2244</v>
      </c>
      <c r="D2564" s="1" t="s">
        <v>1998</v>
      </c>
      <c r="E2564" s="1"/>
      <c r="F2564" s="1" t="s">
        <v>12</v>
      </c>
      <c r="G2564">
        <v>1</v>
      </c>
      <c r="H2564">
        <v>20</v>
      </c>
      <c r="I2564" s="2">
        <v>45783</v>
      </c>
      <c r="J2564" s="2">
        <v>45757</v>
      </c>
      <c r="K2564" s="2">
        <v>45779</v>
      </c>
    </row>
    <row r="2565" spans="1:11" x14ac:dyDescent="0.25">
      <c r="A2565" s="1" t="s">
        <v>467</v>
      </c>
      <c r="B2565" s="1" t="s">
        <v>1206</v>
      </c>
      <c r="C2565" s="1" t="s">
        <v>2196</v>
      </c>
      <c r="D2565" s="1" t="s">
        <v>1998</v>
      </c>
      <c r="E2565" s="1"/>
      <c r="F2565" s="1" t="s">
        <v>11</v>
      </c>
      <c r="G2565">
        <v>5</v>
      </c>
      <c r="H2565">
        <v>5</v>
      </c>
      <c r="I2565" s="2">
        <v>45783</v>
      </c>
      <c r="J2565" s="2">
        <v>45757</v>
      </c>
      <c r="K2565" s="2">
        <v>45779</v>
      </c>
    </row>
    <row r="2566" spans="1:11" x14ac:dyDescent="0.25">
      <c r="A2566" s="1" t="s">
        <v>467</v>
      </c>
      <c r="B2566" s="1" t="s">
        <v>1207</v>
      </c>
      <c r="C2566" s="1" t="s">
        <v>2197</v>
      </c>
      <c r="D2566" s="1" t="s">
        <v>1998</v>
      </c>
      <c r="E2566" s="1"/>
      <c r="F2566" s="1" t="s">
        <v>11</v>
      </c>
      <c r="G2566">
        <v>25</v>
      </c>
      <c r="H2566">
        <v>25</v>
      </c>
      <c r="I2566" s="2">
        <v>45783</v>
      </c>
      <c r="J2566" s="2">
        <v>45757</v>
      </c>
      <c r="K2566" s="2">
        <v>45779</v>
      </c>
    </row>
    <row r="2567" spans="1:11" x14ac:dyDescent="0.25">
      <c r="A2567" s="1" t="s">
        <v>467</v>
      </c>
      <c r="B2567" s="1" t="s">
        <v>1208</v>
      </c>
      <c r="C2567" s="1" t="s">
        <v>2198</v>
      </c>
      <c r="D2567" s="1" t="s">
        <v>1998</v>
      </c>
      <c r="E2567" s="1"/>
      <c r="F2567" s="1" t="s">
        <v>11</v>
      </c>
      <c r="G2567">
        <v>1</v>
      </c>
      <c r="H2567">
        <v>1</v>
      </c>
      <c r="I2567" s="2">
        <v>45783</v>
      </c>
      <c r="J2567" s="2">
        <v>45757</v>
      </c>
      <c r="K2567" s="2">
        <v>45779</v>
      </c>
    </row>
    <row r="2568" spans="1:11" x14ac:dyDescent="0.25">
      <c r="A2568" s="1" t="s">
        <v>468</v>
      </c>
      <c r="B2568" s="1" t="s">
        <v>1264</v>
      </c>
      <c r="C2568" s="1" t="s">
        <v>2241</v>
      </c>
      <c r="D2568" s="1" t="s">
        <v>1998</v>
      </c>
      <c r="E2568" s="1"/>
      <c r="F2568" s="1" t="s">
        <v>11</v>
      </c>
      <c r="G2568">
        <v>415</v>
      </c>
      <c r="H2568">
        <v>620</v>
      </c>
      <c r="I2568" s="2"/>
      <c r="J2568" s="2">
        <v>45765</v>
      </c>
      <c r="K2568" s="2">
        <v>45783</v>
      </c>
    </row>
    <row r="2569" spans="1:11" x14ac:dyDescent="0.25">
      <c r="A2569" s="1" t="s">
        <v>468</v>
      </c>
      <c r="B2569" s="1" t="s">
        <v>1265</v>
      </c>
      <c r="C2569" s="1" t="s">
        <v>2242</v>
      </c>
      <c r="D2569" s="1" t="s">
        <v>1998</v>
      </c>
      <c r="E2569" s="1"/>
      <c r="F2569" s="1" t="s">
        <v>11</v>
      </c>
      <c r="G2569">
        <v>905</v>
      </c>
      <c r="H2569">
        <v>635</v>
      </c>
      <c r="I2569" s="2"/>
      <c r="J2569" s="2">
        <v>45765</v>
      </c>
      <c r="K2569" s="2">
        <v>45783</v>
      </c>
    </row>
    <row r="2570" spans="1:11" x14ac:dyDescent="0.25">
      <c r="A2570" s="1" t="s">
        <v>468</v>
      </c>
      <c r="B2570" s="1" t="s">
        <v>1206</v>
      </c>
      <c r="C2570" s="1" t="s">
        <v>2196</v>
      </c>
      <c r="D2570" s="1" t="s">
        <v>1998</v>
      </c>
      <c r="E2570" s="1"/>
      <c r="F2570" s="1" t="s">
        <v>11</v>
      </c>
      <c r="G2570">
        <v>5</v>
      </c>
      <c r="H2570">
        <v>5</v>
      </c>
      <c r="I2570" s="2"/>
      <c r="J2570" s="2">
        <v>45765</v>
      </c>
      <c r="K2570" s="2">
        <v>45783</v>
      </c>
    </row>
    <row r="2571" spans="1:11" x14ac:dyDescent="0.25">
      <c r="A2571" s="1" t="s">
        <v>468</v>
      </c>
      <c r="B2571" s="1" t="s">
        <v>1207</v>
      </c>
      <c r="C2571" s="1" t="s">
        <v>2197</v>
      </c>
      <c r="D2571" s="1" t="s">
        <v>1998</v>
      </c>
      <c r="E2571" s="1"/>
      <c r="F2571" s="1" t="s">
        <v>11</v>
      </c>
      <c r="G2571">
        <v>25</v>
      </c>
      <c r="H2571">
        <v>25</v>
      </c>
      <c r="I2571" s="2"/>
      <c r="J2571" s="2">
        <v>45765</v>
      </c>
      <c r="K2571" s="2">
        <v>45783</v>
      </c>
    </row>
    <row r="2572" spans="1:11" x14ac:dyDescent="0.25">
      <c r="A2572" s="1" t="s">
        <v>468</v>
      </c>
      <c r="B2572" s="1" t="s">
        <v>1208</v>
      </c>
      <c r="C2572" s="1" t="s">
        <v>2198</v>
      </c>
      <c r="D2572" s="1" t="s">
        <v>1998</v>
      </c>
      <c r="E2572" s="1"/>
      <c r="F2572" s="1" t="s">
        <v>11</v>
      </c>
      <c r="G2572">
        <v>1</v>
      </c>
      <c r="H2572">
        <v>5</v>
      </c>
      <c r="I2572" s="2"/>
      <c r="J2572" s="2">
        <v>45765</v>
      </c>
      <c r="K2572" s="2">
        <v>45783</v>
      </c>
    </row>
    <row r="2573" spans="1:11" x14ac:dyDescent="0.25">
      <c r="A2573" s="1" t="s">
        <v>469</v>
      </c>
      <c r="B2573" s="1" t="s">
        <v>995</v>
      </c>
      <c r="C2573" s="1" t="s">
        <v>2013</v>
      </c>
      <c r="D2573" s="1" t="s">
        <v>1998</v>
      </c>
      <c r="E2573" s="1"/>
      <c r="F2573" s="1" t="s">
        <v>11</v>
      </c>
      <c r="G2573">
        <v>145</v>
      </c>
      <c r="H2573">
        <v>10</v>
      </c>
      <c r="I2573" s="2"/>
      <c r="J2573" s="2">
        <v>45747</v>
      </c>
      <c r="K2573" s="2">
        <v>45762</v>
      </c>
    </row>
    <row r="2574" spans="1:11" x14ac:dyDescent="0.25">
      <c r="A2574" s="1" t="s">
        <v>469</v>
      </c>
      <c r="B2574" s="1" t="s">
        <v>1075</v>
      </c>
      <c r="C2574" s="1" t="s">
        <v>2078</v>
      </c>
      <c r="D2574" s="1" t="s">
        <v>1998</v>
      </c>
      <c r="E2574" s="1"/>
      <c r="F2574" s="1" t="s">
        <v>11</v>
      </c>
      <c r="G2574">
        <v>210</v>
      </c>
      <c r="H2574">
        <v>210</v>
      </c>
      <c r="I2574" s="2"/>
      <c r="J2574" s="2">
        <v>45747</v>
      </c>
      <c r="K2574" s="2">
        <v>45762</v>
      </c>
    </row>
    <row r="2575" spans="1:11" x14ac:dyDescent="0.25">
      <c r="A2575" s="1" t="s">
        <v>469</v>
      </c>
      <c r="B2575" s="1" t="s">
        <v>1052</v>
      </c>
      <c r="C2575" s="1" t="s">
        <v>2061</v>
      </c>
      <c r="D2575" s="1" t="s">
        <v>1998</v>
      </c>
      <c r="E2575" s="1"/>
      <c r="F2575" s="1" t="s">
        <v>11</v>
      </c>
      <c r="G2575">
        <v>1945</v>
      </c>
      <c r="H2575">
        <v>1945</v>
      </c>
      <c r="I2575" s="2"/>
      <c r="J2575" s="2">
        <v>45747</v>
      </c>
      <c r="K2575" s="2">
        <v>45762</v>
      </c>
    </row>
    <row r="2576" spans="1:11" x14ac:dyDescent="0.25">
      <c r="A2576" s="1" t="s">
        <v>469</v>
      </c>
      <c r="B2576" s="1" t="s">
        <v>999</v>
      </c>
      <c r="C2576" s="1" t="s">
        <v>2017</v>
      </c>
      <c r="D2576" s="1" t="s">
        <v>1998</v>
      </c>
      <c r="E2576" s="1"/>
      <c r="F2576" s="1" t="s">
        <v>11</v>
      </c>
      <c r="G2576">
        <v>1</v>
      </c>
      <c r="H2576">
        <v>1</v>
      </c>
      <c r="I2576" s="2"/>
      <c r="J2576" s="2">
        <v>45747</v>
      </c>
      <c r="K2576" s="2">
        <v>45762</v>
      </c>
    </row>
    <row r="2577" spans="1:11" x14ac:dyDescent="0.25">
      <c r="A2577" s="1" t="s">
        <v>469</v>
      </c>
      <c r="B2577" s="1" t="s">
        <v>1000</v>
      </c>
      <c r="C2577" s="1" t="s">
        <v>2018</v>
      </c>
      <c r="D2577" s="1" t="s">
        <v>1998</v>
      </c>
      <c r="E2577" s="1"/>
      <c r="F2577" s="1" t="s">
        <v>11</v>
      </c>
      <c r="G2577">
        <v>10</v>
      </c>
      <c r="H2577">
        <v>10</v>
      </c>
      <c r="I2577" s="2"/>
      <c r="J2577" s="2">
        <v>45747</v>
      </c>
      <c r="K2577" s="2">
        <v>45762</v>
      </c>
    </row>
    <row r="2578" spans="1:11" x14ac:dyDescent="0.25">
      <c r="A2578" s="1" t="s">
        <v>469</v>
      </c>
      <c r="B2578" s="1" t="s">
        <v>1001</v>
      </c>
      <c r="C2578" s="1" t="s">
        <v>2019</v>
      </c>
      <c r="D2578" s="1" t="s">
        <v>1998</v>
      </c>
      <c r="E2578" s="1"/>
      <c r="F2578" s="1" t="s">
        <v>11</v>
      </c>
      <c r="G2578">
        <v>5</v>
      </c>
      <c r="H2578">
        <v>5</v>
      </c>
      <c r="I2578" s="2"/>
      <c r="J2578" s="2">
        <v>45747</v>
      </c>
      <c r="K2578" s="2">
        <v>45762</v>
      </c>
    </row>
    <row r="2579" spans="1:11" x14ac:dyDescent="0.25">
      <c r="A2579" s="1" t="s">
        <v>469</v>
      </c>
      <c r="B2579" s="1" t="s">
        <v>1076</v>
      </c>
      <c r="C2579" s="1" t="s">
        <v>2079</v>
      </c>
      <c r="D2579" s="1" t="s">
        <v>1998</v>
      </c>
      <c r="E2579" s="1"/>
      <c r="F2579" s="1" t="s">
        <v>11</v>
      </c>
      <c r="G2579">
        <v>5520</v>
      </c>
      <c r="H2579">
        <v>5520</v>
      </c>
      <c r="I2579" s="2"/>
      <c r="J2579" s="2">
        <v>45747</v>
      </c>
      <c r="K2579" s="2">
        <v>45762</v>
      </c>
    </row>
    <row r="2580" spans="1:11" x14ac:dyDescent="0.25">
      <c r="A2580" s="1" t="s">
        <v>469</v>
      </c>
      <c r="B2580" s="1" t="s">
        <v>1077</v>
      </c>
      <c r="C2580" s="1" t="s">
        <v>2080</v>
      </c>
      <c r="D2580" s="1" t="s">
        <v>1998</v>
      </c>
      <c r="E2580" s="1"/>
      <c r="F2580" s="1" t="s">
        <v>11</v>
      </c>
      <c r="G2580">
        <v>6395</v>
      </c>
      <c r="H2580">
        <v>6395</v>
      </c>
      <c r="I2580" s="2"/>
      <c r="J2580" s="2">
        <v>45747</v>
      </c>
      <c r="K2580" s="2">
        <v>45762</v>
      </c>
    </row>
    <row r="2581" spans="1:11" x14ac:dyDescent="0.25">
      <c r="A2581" s="1" t="s">
        <v>470</v>
      </c>
      <c r="B2581" s="1" t="s">
        <v>995</v>
      </c>
      <c r="C2581" s="1" t="s">
        <v>2013</v>
      </c>
      <c r="D2581" s="1" t="s">
        <v>1998</v>
      </c>
      <c r="E2581" s="1"/>
      <c r="F2581" s="1" t="s">
        <v>11</v>
      </c>
      <c r="G2581">
        <v>145</v>
      </c>
      <c r="H2581">
        <v>10</v>
      </c>
      <c r="I2581" s="2"/>
      <c r="J2581" s="2">
        <v>45747</v>
      </c>
      <c r="K2581" s="2">
        <v>45768</v>
      </c>
    </row>
    <row r="2582" spans="1:11" x14ac:dyDescent="0.25">
      <c r="A2582" s="1" t="s">
        <v>470</v>
      </c>
      <c r="B2582" s="1" t="s">
        <v>1075</v>
      </c>
      <c r="C2582" s="1" t="s">
        <v>2078</v>
      </c>
      <c r="D2582" s="1" t="s">
        <v>1998</v>
      </c>
      <c r="E2582" s="1"/>
      <c r="F2582" s="1" t="s">
        <v>11</v>
      </c>
      <c r="G2582">
        <v>210</v>
      </c>
      <c r="H2582">
        <v>210</v>
      </c>
      <c r="I2582" s="2"/>
      <c r="J2582" s="2">
        <v>45747</v>
      </c>
      <c r="K2582" s="2">
        <v>45768</v>
      </c>
    </row>
    <row r="2583" spans="1:11" x14ac:dyDescent="0.25">
      <c r="A2583" s="1" t="s">
        <v>470</v>
      </c>
      <c r="B2583" s="1" t="s">
        <v>1052</v>
      </c>
      <c r="C2583" s="1" t="s">
        <v>2061</v>
      </c>
      <c r="D2583" s="1" t="s">
        <v>1998</v>
      </c>
      <c r="E2583" s="1"/>
      <c r="F2583" s="1" t="s">
        <v>11</v>
      </c>
      <c r="G2583">
        <v>1945</v>
      </c>
      <c r="H2583">
        <v>1945</v>
      </c>
      <c r="I2583" s="2"/>
      <c r="J2583" s="2">
        <v>45747</v>
      </c>
      <c r="K2583" s="2">
        <v>45768</v>
      </c>
    </row>
    <row r="2584" spans="1:11" x14ac:dyDescent="0.25">
      <c r="A2584" s="1" t="s">
        <v>470</v>
      </c>
      <c r="B2584" s="1" t="s">
        <v>999</v>
      </c>
      <c r="C2584" s="1" t="s">
        <v>2017</v>
      </c>
      <c r="D2584" s="1" t="s">
        <v>1998</v>
      </c>
      <c r="E2584" s="1"/>
      <c r="F2584" s="1" t="s">
        <v>11</v>
      </c>
      <c r="G2584">
        <v>1</v>
      </c>
      <c r="H2584">
        <v>1</v>
      </c>
      <c r="I2584" s="2"/>
      <c r="J2584" s="2">
        <v>45747</v>
      </c>
      <c r="K2584" s="2">
        <v>45768</v>
      </c>
    </row>
    <row r="2585" spans="1:11" x14ac:dyDescent="0.25">
      <c r="A2585" s="1" t="s">
        <v>470</v>
      </c>
      <c r="B2585" s="1" t="s">
        <v>1000</v>
      </c>
      <c r="C2585" s="1" t="s">
        <v>2018</v>
      </c>
      <c r="D2585" s="1" t="s">
        <v>1998</v>
      </c>
      <c r="E2585" s="1"/>
      <c r="F2585" s="1" t="s">
        <v>11</v>
      </c>
      <c r="G2585">
        <v>10</v>
      </c>
      <c r="H2585">
        <v>10</v>
      </c>
      <c r="I2585" s="2"/>
      <c r="J2585" s="2">
        <v>45747</v>
      </c>
      <c r="K2585" s="2">
        <v>45768</v>
      </c>
    </row>
    <row r="2586" spans="1:11" x14ac:dyDescent="0.25">
      <c r="A2586" s="1" t="s">
        <v>470</v>
      </c>
      <c r="B2586" s="1" t="s">
        <v>1001</v>
      </c>
      <c r="C2586" s="1" t="s">
        <v>2019</v>
      </c>
      <c r="D2586" s="1" t="s">
        <v>1998</v>
      </c>
      <c r="E2586" s="1"/>
      <c r="F2586" s="1" t="s">
        <v>11</v>
      </c>
      <c r="G2586">
        <v>5</v>
      </c>
      <c r="H2586">
        <v>5</v>
      </c>
      <c r="I2586" s="2"/>
      <c r="J2586" s="2">
        <v>45747</v>
      </c>
      <c r="K2586" s="2">
        <v>45768</v>
      </c>
    </row>
    <row r="2587" spans="1:11" x14ac:dyDescent="0.25">
      <c r="A2587" s="1" t="s">
        <v>470</v>
      </c>
      <c r="B2587" s="1" t="s">
        <v>1076</v>
      </c>
      <c r="C2587" s="1" t="s">
        <v>2079</v>
      </c>
      <c r="D2587" s="1" t="s">
        <v>1998</v>
      </c>
      <c r="E2587" s="1"/>
      <c r="F2587" s="1" t="s">
        <v>11</v>
      </c>
      <c r="G2587">
        <v>5520</v>
      </c>
      <c r="H2587">
        <v>5520</v>
      </c>
      <c r="I2587" s="2"/>
      <c r="J2587" s="2">
        <v>45747</v>
      </c>
      <c r="K2587" s="2">
        <v>45768</v>
      </c>
    </row>
    <row r="2588" spans="1:11" x14ac:dyDescent="0.25">
      <c r="A2588" s="1" t="s">
        <v>470</v>
      </c>
      <c r="B2588" s="1" t="s">
        <v>1077</v>
      </c>
      <c r="C2588" s="1" t="s">
        <v>2080</v>
      </c>
      <c r="D2588" s="1" t="s">
        <v>1998</v>
      </c>
      <c r="E2588" s="1"/>
      <c r="F2588" s="1" t="s">
        <v>11</v>
      </c>
      <c r="G2588">
        <v>6395</v>
      </c>
      <c r="H2588">
        <v>6395</v>
      </c>
      <c r="I2588" s="2"/>
      <c r="J2588" s="2">
        <v>45747</v>
      </c>
      <c r="K2588" s="2">
        <v>45768</v>
      </c>
    </row>
    <row r="2589" spans="1:11" x14ac:dyDescent="0.25">
      <c r="A2589" s="1" t="s">
        <v>471</v>
      </c>
      <c r="B2589" s="1" t="s">
        <v>1260</v>
      </c>
      <c r="C2589" s="1" t="s">
        <v>2014</v>
      </c>
      <c r="D2589" s="1" t="s">
        <v>1998</v>
      </c>
      <c r="E2589" s="1"/>
      <c r="F2589" s="1" t="s">
        <v>11</v>
      </c>
      <c r="G2589">
        <v>210</v>
      </c>
      <c r="H2589">
        <v>210</v>
      </c>
      <c r="I2589" s="2"/>
      <c r="J2589" s="2">
        <v>45748</v>
      </c>
      <c r="K2589" s="2">
        <v>45785</v>
      </c>
    </row>
    <row r="2590" spans="1:11" x14ac:dyDescent="0.25">
      <c r="A2590" s="1" t="s">
        <v>471</v>
      </c>
      <c r="B2590" s="1" t="s">
        <v>1261</v>
      </c>
      <c r="C2590" s="1" t="s">
        <v>2239</v>
      </c>
      <c r="D2590" s="1" t="s">
        <v>1998</v>
      </c>
      <c r="E2590" s="1"/>
      <c r="F2590" s="1" t="s">
        <v>11</v>
      </c>
      <c r="G2590">
        <v>145</v>
      </c>
      <c r="H2590">
        <v>110</v>
      </c>
      <c r="I2590" s="2"/>
      <c r="J2590" s="2">
        <v>45748</v>
      </c>
      <c r="K2590" s="2">
        <v>45785</v>
      </c>
    </row>
    <row r="2591" spans="1:11" x14ac:dyDescent="0.25">
      <c r="A2591" s="1" t="s">
        <v>471</v>
      </c>
      <c r="B2591" s="1" t="s">
        <v>1261</v>
      </c>
      <c r="C2591" s="1" t="s">
        <v>2239</v>
      </c>
      <c r="D2591" s="1" t="s">
        <v>1998</v>
      </c>
      <c r="E2591" s="1"/>
      <c r="F2591" s="1" t="s">
        <v>11</v>
      </c>
      <c r="G2591">
        <v>110</v>
      </c>
      <c r="H2591">
        <v>110</v>
      </c>
      <c r="I2591" s="2"/>
      <c r="J2591" s="2">
        <v>45748</v>
      </c>
      <c r="K2591" s="2">
        <v>45785</v>
      </c>
    </row>
    <row r="2592" spans="1:11" x14ac:dyDescent="0.25">
      <c r="A2592" s="1" t="s">
        <v>472</v>
      </c>
      <c r="B2592" s="1" t="s">
        <v>1240</v>
      </c>
      <c r="C2592" s="1" t="s">
        <v>2115</v>
      </c>
      <c r="D2592" s="1" t="s">
        <v>1998</v>
      </c>
      <c r="E2592" s="1"/>
      <c r="F2592" s="1" t="s">
        <v>11</v>
      </c>
      <c r="G2592">
        <v>12720</v>
      </c>
      <c r="H2592">
        <v>12720</v>
      </c>
      <c r="I2592" s="2"/>
      <c r="J2592" s="2">
        <v>45748</v>
      </c>
      <c r="K2592" s="2">
        <v>45771</v>
      </c>
    </row>
    <row r="2593" spans="1:11" x14ac:dyDescent="0.25">
      <c r="A2593" s="1" t="s">
        <v>472</v>
      </c>
      <c r="B2593" s="1" t="s">
        <v>1241</v>
      </c>
      <c r="C2593" s="1" t="s">
        <v>2115</v>
      </c>
      <c r="D2593" s="1" t="s">
        <v>1998</v>
      </c>
      <c r="E2593" s="1"/>
      <c r="F2593" s="1" t="s">
        <v>11</v>
      </c>
      <c r="G2593">
        <v>2190</v>
      </c>
      <c r="H2593">
        <v>2190</v>
      </c>
      <c r="I2593" s="2"/>
      <c r="J2593" s="2">
        <v>45748</v>
      </c>
      <c r="K2593" s="2">
        <v>45771</v>
      </c>
    </row>
    <row r="2594" spans="1:11" x14ac:dyDescent="0.25">
      <c r="A2594" s="1" t="s">
        <v>473</v>
      </c>
      <c r="B2594" s="1" t="s">
        <v>1240</v>
      </c>
      <c r="C2594" s="1" t="s">
        <v>2115</v>
      </c>
      <c r="D2594" s="1" t="s">
        <v>1998</v>
      </c>
      <c r="E2594" s="1"/>
      <c r="F2594" s="1" t="s">
        <v>11</v>
      </c>
      <c r="G2594">
        <v>12720</v>
      </c>
      <c r="H2594">
        <v>12720</v>
      </c>
      <c r="I2594" s="2"/>
      <c r="J2594" s="2">
        <v>45748</v>
      </c>
      <c r="K2594" s="2">
        <v>45771</v>
      </c>
    </row>
    <row r="2595" spans="1:11" x14ac:dyDescent="0.25">
      <c r="A2595" s="1" t="s">
        <v>473</v>
      </c>
      <c r="B2595" s="1" t="s">
        <v>1241</v>
      </c>
      <c r="C2595" s="1" t="s">
        <v>2115</v>
      </c>
      <c r="D2595" s="1" t="s">
        <v>1998</v>
      </c>
      <c r="E2595" s="1"/>
      <c r="F2595" s="1" t="s">
        <v>11</v>
      </c>
      <c r="G2595">
        <v>2190</v>
      </c>
      <c r="H2595">
        <v>2190</v>
      </c>
      <c r="I2595" s="2"/>
      <c r="J2595" s="2">
        <v>45748</v>
      </c>
      <c r="K2595" s="2">
        <v>45771</v>
      </c>
    </row>
    <row r="2596" spans="1:11" x14ac:dyDescent="0.25">
      <c r="A2596" s="1" t="s">
        <v>474</v>
      </c>
      <c r="B2596" s="1" t="s">
        <v>1240</v>
      </c>
      <c r="C2596" s="1" t="s">
        <v>2115</v>
      </c>
      <c r="D2596" s="1" t="s">
        <v>1998</v>
      </c>
      <c r="E2596" s="1"/>
      <c r="F2596" s="1" t="s">
        <v>11</v>
      </c>
      <c r="G2596">
        <v>12720</v>
      </c>
      <c r="H2596">
        <v>12720</v>
      </c>
      <c r="I2596" s="2"/>
      <c r="J2596" s="2">
        <v>45768</v>
      </c>
      <c r="K2596" s="2">
        <v>45779</v>
      </c>
    </row>
    <row r="2597" spans="1:11" x14ac:dyDescent="0.25">
      <c r="A2597" s="1" t="s">
        <v>474</v>
      </c>
      <c r="B2597" s="1" t="s">
        <v>1241</v>
      </c>
      <c r="C2597" s="1" t="s">
        <v>2115</v>
      </c>
      <c r="D2597" s="1" t="s">
        <v>1998</v>
      </c>
      <c r="E2597" s="1"/>
      <c r="F2597" s="1" t="s">
        <v>11</v>
      </c>
      <c r="G2597">
        <v>2190</v>
      </c>
      <c r="H2597">
        <v>2190</v>
      </c>
      <c r="I2597" s="2"/>
      <c r="J2597" s="2">
        <v>45768</v>
      </c>
      <c r="K2597" s="2">
        <v>45779</v>
      </c>
    </row>
    <row r="2598" spans="1:11" x14ac:dyDescent="0.25">
      <c r="A2598" s="1" t="s">
        <v>475</v>
      </c>
      <c r="B2598" s="1" t="s">
        <v>1240</v>
      </c>
      <c r="C2598" s="1" t="s">
        <v>2115</v>
      </c>
      <c r="D2598" s="1" t="s">
        <v>1998</v>
      </c>
      <c r="E2598" s="1"/>
      <c r="F2598" s="1" t="s">
        <v>11</v>
      </c>
      <c r="G2598">
        <v>12720</v>
      </c>
      <c r="H2598">
        <v>12720</v>
      </c>
      <c r="I2598" s="2"/>
      <c r="J2598" s="2">
        <v>45768</v>
      </c>
      <c r="K2598" s="2">
        <v>45779</v>
      </c>
    </row>
    <row r="2599" spans="1:11" x14ac:dyDescent="0.25">
      <c r="A2599" s="1" t="s">
        <v>475</v>
      </c>
      <c r="B2599" s="1" t="s">
        <v>1241</v>
      </c>
      <c r="C2599" s="1" t="s">
        <v>2115</v>
      </c>
      <c r="D2599" s="1" t="s">
        <v>1998</v>
      </c>
      <c r="E2599" s="1"/>
      <c r="F2599" s="1" t="s">
        <v>11</v>
      </c>
      <c r="G2599">
        <v>2190</v>
      </c>
      <c r="H2599">
        <v>2190</v>
      </c>
      <c r="I2599" s="2"/>
      <c r="J2599" s="2">
        <v>45768</v>
      </c>
      <c r="K2599" s="2">
        <v>45779</v>
      </c>
    </row>
    <row r="2600" spans="1:11" x14ac:dyDescent="0.25">
      <c r="A2600" s="1" t="s">
        <v>476</v>
      </c>
      <c r="B2600" s="1" t="s">
        <v>1574</v>
      </c>
      <c r="C2600" s="1" t="s">
        <v>2495</v>
      </c>
      <c r="D2600" s="1" t="s">
        <v>1998</v>
      </c>
      <c r="E2600" s="1"/>
      <c r="F2600" s="1" t="s">
        <v>11</v>
      </c>
      <c r="G2600">
        <v>13395</v>
      </c>
      <c r="H2600">
        <v>13395</v>
      </c>
      <c r="I2600" s="2"/>
      <c r="J2600" s="2">
        <v>45777</v>
      </c>
      <c r="K2600" s="2">
        <v>45777</v>
      </c>
    </row>
    <row r="2601" spans="1:11" x14ac:dyDescent="0.25">
      <c r="A2601" s="1" t="s">
        <v>476</v>
      </c>
      <c r="B2601" s="1" t="s">
        <v>1575</v>
      </c>
      <c r="C2601" s="1" t="s">
        <v>2496</v>
      </c>
      <c r="D2601" s="1" t="s">
        <v>1998</v>
      </c>
      <c r="E2601" s="1"/>
      <c r="F2601" s="1" t="s">
        <v>11</v>
      </c>
      <c r="G2601">
        <v>40</v>
      </c>
      <c r="H2601">
        <v>1</v>
      </c>
      <c r="I2601" s="2"/>
      <c r="J2601" s="2">
        <v>45777</v>
      </c>
      <c r="K2601" s="2">
        <v>45777</v>
      </c>
    </row>
    <row r="2602" spans="1:11" x14ac:dyDescent="0.25">
      <c r="A2602" s="1" t="s">
        <v>476</v>
      </c>
      <c r="B2602" s="1" t="s">
        <v>1273</v>
      </c>
      <c r="C2602" s="1" t="s">
        <v>2250</v>
      </c>
      <c r="D2602" s="1" t="s">
        <v>1998</v>
      </c>
      <c r="E2602" s="1"/>
      <c r="F2602" s="1" t="s">
        <v>11</v>
      </c>
      <c r="G2602">
        <v>15</v>
      </c>
      <c r="H2602">
        <v>1</v>
      </c>
      <c r="I2602" s="2"/>
      <c r="J2602" s="2">
        <v>45777</v>
      </c>
      <c r="K2602" s="2">
        <v>45777</v>
      </c>
    </row>
    <row r="2603" spans="1:11" x14ac:dyDescent="0.25">
      <c r="A2603" s="1" t="s">
        <v>476</v>
      </c>
      <c r="B2603" s="1" t="s">
        <v>1027</v>
      </c>
      <c r="C2603" s="1" t="s">
        <v>2040</v>
      </c>
      <c r="D2603" s="1" t="s">
        <v>1998</v>
      </c>
      <c r="E2603" s="1"/>
      <c r="F2603" s="1" t="s">
        <v>11</v>
      </c>
      <c r="G2603">
        <v>15</v>
      </c>
      <c r="H2603">
        <v>1</v>
      </c>
      <c r="I2603" s="2"/>
      <c r="J2603" s="2">
        <v>45777</v>
      </c>
      <c r="K2603" s="2">
        <v>45777</v>
      </c>
    </row>
    <row r="2604" spans="1:11" x14ac:dyDescent="0.25">
      <c r="A2604" s="1" t="s">
        <v>476</v>
      </c>
      <c r="B2604" s="1" t="s">
        <v>1513</v>
      </c>
      <c r="C2604" s="1" t="s">
        <v>2446</v>
      </c>
      <c r="D2604" s="1" t="s">
        <v>1998</v>
      </c>
      <c r="E2604" s="1"/>
      <c r="F2604" s="1" t="s">
        <v>11</v>
      </c>
      <c r="G2604">
        <v>45</v>
      </c>
      <c r="H2604">
        <v>1</v>
      </c>
      <c r="I2604" s="2"/>
      <c r="J2604" s="2">
        <v>45777</v>
      </c>
      <c r="K2604" s="2">
        <v>45777</v>
      </c>
    </row>
    <row r="2605" spans="1:11" x14ac:dyDescent="0.25">
      <c r="A2605" s="1" t="s">
        <v>476</v>
      </c>
      <c r="B2605" s="1" t="s">
        <v>1013</v>
      </c>
      <c r="C2605" s="1" t="s">
        <v>2030</v>
      </c>
      <c r="D2605" s="1" t="s">
        <v>1998</v>
      </c>
      <c r="E2605" s="1"/>
      <c r="F2605" s="1" t="s">
        <v>11</v>
      </c>
      <c r="G2605">
        <v>10</v>
      </c>
      <c r="H2605">
        <v>1</v>
      </c>
      <c r="I2605" s="2"/>
      <c r="J2605" s="2">
        <v>45777</v>
      </c>
      <c r="K2605" s="2">
        <v>45777</v>
      </c>
    </row>
    <row r="2606" spans="1:11" x14ac:dyDescent="0.25">
      <c r="A2606" s="1" t="s">
        <v>476</v>
      </c>
      <c r="B2606" s="1" t="s">
        <v>993</v>
      </c>
      <c r="C2606" s="1" t="s">
        <v>2011</v>
      </c>
      <c r="D2606" s="1" t="s">
        <v>1998</v>
      </c>
      <c r="E2606" s="1"/>
      <c r="F2606" s="1" t="s">
        <v>11</v>
      </c>
      <c r="G2606">
        <v>5</v>
      </c>
      <c r="H2606">
        <v>1</v>
      </c>
      <c r="I2606" s="2"/>
      <c r="J2606" s="2">
        <v>45777</v>
      </c>
      <c r="K2606" s="2">
        <v>45777</v>
      </c>
    </row>
    <row r="2607" spans="1:11" x14ac:dyDescent="0.25">
      <c r="A2607" s="1" t="s">
        <v>476</v>
      </c>
      <c r="B2607" s="1" t="s">
        <v>993</v>
      </c>
      <c r="C2607" s="1" t="s">
        <v>2011</v>
      </c>
      <c r="D2607" s="1" t="s">
        <v>1998</v>
      </c>
      <c r="E2607" s="1"/>
      <c r="F2607" s="1" t="s">
        <v>11</v>
      </c>
      <c r="G2607">
        <v>5</v>
      </c>
      <c r="H2607">
        <v>1</v>
      </c>
      <c r="I2607" s="2"/>
      <c r="J2607" s="2">
        <v>45777</v>
      </c>
      <c r="K2607" s="2">
        <v>45777</v>
      </c>
    </row>
    <row r="2608" spans="1:11" x14ac:dyDescent="0.25">
      <c r="A2608" s="1" t="s">
        <v>476</v>
      </c>
      <c r="B2608" s="1" t="s">
        <v>1275</v>
      </c>
      <c r="C2608" s="1" t="s">
        <v>2252</v>
      </c>
      <c r="D2608" s="1" t="s">
        <v>1998</v>
      </c>
      <c r="E2608" s="1"/>
      <c r="F2608" s="1" t="s">
        <v>11</v>
      </c>
      <c r="G2608">
        <v>20</v>
      </c>
      <c r="H2608">
        <v>1</v>
      </c>
      <c r="I2608" s="2"/>
      <c r="J2608" s="2">
        <v>45777</v>
      </c>
      <c r="K2608" s="2">
        <v>45777</v>
      </c>
    </row>
    <row r="2609" spans="1:11" x14ac:dyDescent="0.25">
      <c r="A2609" s="1" t="s">
        <v>476</v>
      </c>
      <c r="B2609" s="1" t="s">
        <v>1576</v>
      </c>
      <c r="C2609" s="1" t="s">
        <v>2497</v>
      </c>
      <c r="D2609" s="1" t="s">
        <v>1998</v>
      </c>
      <c r="E2609" s="1"/>
      <c r="F2609" s="1" t="s">
        <v>11</v>
      </c>
      <c r="G2609">
        <v>3310</v>
      </c>
      <c r="H2609">
        <v>3310</v>
      </c>
      <c r="I2609" s="2"/>
      <c r="J2609" s="2">
        <v>45777</v>
      </c>
      <c r="K2609" s="2">
        <v>45777</v>
      </c>
    </row>
    <row r="2610" spans="1:11" x14ac:dyDescent="0.25">
      <c r="A2610" s="1" t="s">
        <v>477</v>
      </c>
      <c r="B2610" s="1" t="s">
        <v>995</v>
      </c>
      <c r="C2610" s="1" t="s">
        <v>2013</v>
      </c>
      <c r="D2610" s="1" t="s">
        <v>1998</v>
      </c>
      <c r="E2610" s="1"/>
      <c r="F2610" s="1" t="s">
        <v>11</v>
      </c>
      <c r="G2610">
        <v>85</v>
      </c>
      <c r="H2610">
        <v>85</v>
      </c>
      <c r="I2610" s="2"/>
      <c r="J2610" s="2">
        <v>45747</v>
      </c>
      <c r="K2610" s="2">
        <v>45771</v>
      </c>
    </row>
    <row r="2611" spans="1:11" x14ac:dyDescent="0.25">
      <c r="A2611" s="1" t="s">
        <v>477</v>
      </c>
      <c r="B2611" s="1" t="s">
        <v>1075</v>
      </c>
      <c r="C2611" s="1" t="s">
        <v>2078</v>
      </c>
      <c r="D2611" s="1" t="s">
        <v>1998</v>
      </c>
      <c r="E2611" s="1"/>
      <c r="F2611" s="1" t="s">
        <v>11</v>
      </c>
      <c r="G2611">
        <v>125</v>
      </c>
      <c r="H2611">
        <v>125</v>
      </c>
      <c r="I2611" s="2"/>
      <c r="J2611" s="2">
        <v>45747</v>
      </c>
      <c r="K2611" s="2">
        <v>45771</v>
      </c>
    </row>
    <row r="2612" spans="1:11" x14ac:dyDescent="0.25">
      <c r="A2612" s="1" t="s">
        <v>477</v>
      </c>
      <c r="B2612" s="1" t="s">
        <v>1052</v>
      </c>
      <c r="C2612" s="1" t="s">
        <v>2061</v>
      </c>
      <c r="D2612" s="1" t="s">
        <v>1998</v>
      </c>
      <c r="E2612" s="1"/>
      <c r="F2612" s="1" t="s">
        <v>11</v>
      </c>
      <c r="G2612">
        <v>1160</v>
      </c>
      <c r="H2612">
        <v>1160</v>
      </c>
      <c r="I2612" s="2"/>
      <c r="J2612" s="2">
        <v>45747</v>
      </c>
      <c r="K2612" s="2">
        <v>45771</v>
      </c>
    </row>
    <row r="2613" spans="1:11" x14ac:dyDescent="0.25">
      <c r="A2613" s="1" t="s">
        <v>477</v>
      </c>
      <c r="B2613" s="1" t="s">
        <v>1052</v>
      </c>
      <c r="C2613" s="1" t="s">
        <v>2061</v>
      </c>
      <c r="D2613" s="1" t="s">
        <v>1998</v>
      </c>
      <c r="E2613" s="1"/>
      <c r="F2613" s="1" t="s">
        <v>15</v>
      </c>
      <c r="G2613">
        <v>230</v>
      </c>
      <c r="H2613">
        <v>230</v>
      </c>
      <c r="I2613" s="2"/>
      <c r="J2613" s="2">
        <v>45747</v>
      </c>
      <c r="K2613" s="2">
        <v>45771</v>
      </c>
    </row>
    <row r="2614" spans="1:11" x14ac:dyDescent="0.25">
      <c r="A2614" s="1" t="s">
        <v>477</v>
      </c>
      <c r="B2614" s="1" t="s">
        <v>999</v>
      </c>
      <c r="C2614" s="1" t="s">
        <v>2017</v>
      </c>
      <c r="D2614" s="1" t="s">
        <v>1998</v>
      </c>
      <c r="E2614" s="1"/>
      <c r="F2614" s="1" t="s">
        <v>11</v>
      </c>
      <c r="G2614">
        <v>1</v>
      </c>
      <c r="H2614">
        <v>1</v>
      </c>
      <c r="I2614" s="2"/>
      <c r="J2614" s="2">
        <v>45747</v>
      </c>
      <c r="K2614" s="2">
        <v>45771</v>
      </c>
    </row>
    <row r="2615" spans="1:11" x14ac:dyDescent="0.25">
      <c r="A2615" s="1" t="s">
        <v>477</v>
      </c>
      <c r="B2615" s="1" t="s">
        <v>1000</v>
      </c>
      <c r="C2615" s="1" t="s">
        <v>2018</v>
      </c>
      <c r="D2615" s="1" t="s">
        <v>1998</v>
      </c>
      <c r="E2615" s="1"/>
      <c r="F2615" s="1" t="s">
        <v>11</v>
      </c>
      <c r="G2615">
        <v>5</v>
      </c>
      <c r="H2615">
        <v>5</v>
      </c>
      <c r="I2615" s="2"/>
      <c r="J2615" s="2">
        <v>45747</v>
      </c>
      <c r="K2615" s="2">
        <v>45771</v>
      </c>
    </row>
    <row r="2616" spans="1:11" x14ac:dyDescent="0.25">
      <c r="A2616" s="1" t="s">
        <v>477</v>
      </c>
      <c r="B2616" s="1" t="s">
        <v>1001</v>
      </c>
      <c r="C2616" s="1" t="s">
        <v>2019</v>
      </c>
      <c r="D2616" s="1" t="s">
        <v>1998</v>
      </c>
      <c r="E2616" s="1"/>
      <c r="F2616" s="1" t="s">
        <v>11</v>
      </c>
      <c r="G2616">
        <v>1</v>
      </c>
      <c r="H2616">
        <v>1</v>
      </c>
      <c r="I2616" s="2"/>
      <c r="J2616" s="2">
        <v>45747</v>
      </c>
      <c r="K2616" s="2">
        <v>45771</v>
      </c>
    </row>
    <row r="2617" spans="1:11" x14ac:dyDescent="0.25">
      <c r="A2617" s="1" t="s">
        <v>477</v>
      </c>
      <c r="B2617" s="1" t="s">
        <v>1076</v>
      </c>
      <c r="C2617" s="1" t="s">
        <v>2079</v>
      </c>
      <c r="D2617" s="1" t="s">
        <v>1998</v>
      </c>
      <c r="E2617" s="1"/>
      <c r="F2617" s="1" t="s">
        <v>11</v>
      </c>
      <c r="G2617">
        <v>3290</v>
      </c>
      <c r="H2617">
        <v>3290</v>
      </c>
      <c r="I2617" s="2"/>
      <c r="J2617" s="2">
        <v>45747</v>
      </c>
      <c r="K2617" s="2">
        <v>45771</v>
      </c>
    </row>
    <row r="2618" spans="1:11" x14ac:dyDescent="0.25">
      <c r="A2618" s="1" t="s">
        <v>477</v>
      </c>
      <c r="B2618" s="1" t="s">
        <v>1077</v>
      </c>
      <c r="C2618" s="1" t="s">
        <v>2080</v>
      </c>
      <c r="D2618" s="1" t="s">
        <v>1998</v>
      </c>
      <c r="E2618" s="1"/>
      <c r="F2618" s="1" t="s">
        <v>11</v>
      </c>
      <c r="G2618">
        <v>3810</v>
      </c>
      <c r="H2618">
        <v>3810</v>
      </c>
      <c r="I2618" s="2"/>
      <c r="J2618" s="2">
        <v>45747</v>
      </c>
      <c r="K2618" s="2">
        <v>45771</v>
      </c>
    </row>
    <row r="2619" spans="1:11" x14ac:dyDescent="0.25">
      <c r="A2619" s="1" t="s">
        <v>478</v>
      </c>
      <c r="B2619" s="1" t="s">
        <v>1577</v>
      </c>
      <c r="C2619" s="1" t="s">
        <v>2498</v>
      </c>
      <c r="D2619" s="1" t="s">
        <v>1998</v>
      </c>
      <c r="E2619" s="1"/>
      <c r="F2619" s="1" t="s">
        <v>11</v>
      </c>
      <c r="G2619">
        <v>350</v>
      </c>
      <c r="H2619">
        <v>355</v>
      </c>
      <c r="I2619" s="2">
        <v>45768</v>
      </c>
      <c r="J2619" s="2">
        <v>45762</v>
      </c>
      <c r="K2619" s="2">
        <v>45768</v>
      </c>
    </row>
    <row r="2620" spans="1:11" x14ac:dyDescent="0.25">
      <c r="A2620" s="1" t="s">
        <v>479</v>
      </c>
      <c r="B2620" s="1" t="s">
        <v>1416</v>
      </c>
      <c r="C2620" s="1" t="s">
        <v>2360</v>
      </c>
      <c r="D2620" s="1" t="s">
        <v>1998</v>
      </c>
      <c r="E2620" s="1"/>
      <c r="F2620" s="1" t="s">
        <v>11</v>
      </c>
      <c r="G2620">
        <v>1</v>
      </c>
      <c r="H2620">
        <v>1</v>
      </c>
      <c r="I2620" s="2">
        <v>45784</v>
      </c>
      <c r="J2620" s="2">
        <v>45749</v>
      </c>
      <c r="K2620" s="2">
        <v>45784</v>
      </c>
    </row>
    <row r="2621" spans="1:11" x14ac:dyDescent="0.25">
      <c r="A2621" s="1" t="s">
        <v>479</v>
      </c>
      <c r="B2621" s="1" t="s">
        <v>1419</v>
      </c>
      <c r="C2621" s="1" t="s">
        <v>2361</v>
      </c>
      <c r="D2621" s="1" t="s">
        <v>1998</v>
      </c>
      <c r="E2621" s="1"/>
      <c r="F2621" s="1" t="s">
        <v>11</v>
      </c>
      <c r="G2621">
        <v>1</v>
      </c>
      <c r="H2621">
        <v>1</v>
      </c>
      <c r="I2621" s="2">
        <v>45784</v>
      </c>
      <c r="J2621" s="2">
        <v>45749</v>
      </c>
      <c r="K2621" s="2">
        <v>45784</v>
      </c>
    </row>
    <row r="2622" spans="1:11" x14ac:dyDescent="0.25">
      <c r="A2622" s="1" t="s">
        <v>479</v>
      </c>
      <c r="B2622" s="1" t="s">
        <v>1420</v>
      </c>
      <c r="C2622" s="1" t="s">
        <v>2362</v>
      </c>
      <c r="D2622" s="1" t="s">
        <v>1998</v>
      </c>
      <c r="E2622" s="1"/>
      <c r="F2622" s="1" t="s">
        <v>11</v>
      </c>
      <c r="G2622">
        <v>1</v>
      </c>
      <c r="H2622">
        <v>1</v>
      </c>
      <c r="I2622" s="2">
        <v>45784</v>
      </c>
      <c r="J2622" s="2">
        <v>45749</v>
      </c>
      <c r="K2622" s="2">
        <v>45784</v>
      </c>
    </row>
    <row r="2623" spans="1:11" x14ac:dyDescent="0.25">
      <c r="A2623" s="1" t="s">
        <v>479</v>
      </c>
      <c r="B2623" s="1" t="s">
        <v>1421</v>
      </c>
      <c r="C2623" s="1" t="s">
        <v>2363</v>
      </c>
      <c r="D2623" s="1" t="s">
        <v>1998</v>
      </c>
      <c r="E2623" s="1"/>
      <c r="F2623" s="1" t="s">
        <v>11</v>
      </c>
      <c r="G2623">
        <v>1</v>
      </c>
      <c r="H2623">
        <v>1</v>
      </c>
      <c r="I2623" s="2">
        <v>45784</v>
      </c>
      <c r="J2623" s="2">
        <v>45749</v>
      </c>
      <c r="K2623" s="2">
        <v>45784</v>
      </c>
    </row>
    <row r="2624" spans="1:11" x14ac:dyDescent="0.25">
      <c r="A2624" s="1" t="s">
        <v>479</v>
      </c>
      <c r="B2624" s="1" t="s">
        <v>1422</v>
      </c>
      <c r="C2624" s="1" t="s">
        <v>2364</v>
      </c>
      <c r="D2624" s="1" t="s">
        <v>1998</v>
      </c>
      <c r="E2624" s="1"/>
      <c r="F2624" s="1" t="s">
        <v>11</v>
      </c>
      <c r="G2624">
        <v>1</v>
      </c>
      <c r="H2624">
        <v>1</v>
      </c>
      <c r="I2624" s="2">
        <v>45784</v>
      </c>
      <c r="J2624" s="2">
        <v>45749</v>
      </c>
      <c r="K2624" s="2">
        <v>45784</v>
      </c>
    </row>
    <row r="2625" spans="1:11" x14ac:dyDescent="0.25">
      <c r="A2625" s="1" t="s">
        <v>479</v>
      </c>
      <c r="B2625" s="1" t="s">
        <v>1423</v>
      </c>
      <c r="C2625" s="1" t="s">
        <v>2365</v>
      </c>
      <c r="D2625" s="1" t="s">
        <v>1998</v>
      </c>
      <c r="E2625" s="1"/>
      <c r="F2625" s="1" t="s">
        <v>11</v>
      </c>
      <c r="G2625">
        <v>1</v>
      </c>
      <c r="H2625">
        <v>1</v>
      </c>
      <c r="I2625" s="2">
        <v>45784</v>
      </c>
      <c r="J2625" s="2">
        <v>45749</v>
      </c>
      <c r="K2625" s="2">
        <v>45784</v>
      </c>
    </row>
    <row r="2626" spans="1:11" x14ac:dyDescent="0.25">
      <c r="A2626" s="1" t="s">
        <v>479</v>
      </c>
      <c r="B2626" s="1" t="s">
        <v>1429</v>
      </c>
      <c r="C2626" s="1" t="s">
        <v>2371</v>
      </c>
      <c r="D2626" s="1" t="s">
        <v>1998</v>
      </c>
      <c r="E2626" s="1"/>
      <c r="F2626" s="1" t="s">
        <v>11</v>
      </c>
      <c r="G2626">
        <v>1</v>
      </c>
      <c r="H2626">
        <v>1</v>
      </c>
      <c r="I2626" s="2">
        <v>45784</v>
      </c>
      <c r="J2626" s="2">
        <v>45749</v>
      </c>
      <c r="K2626" s="2">
        <v>45784</v>
      </c>
    </row>
    <row r="2627" spans="1:11" x14ac:dyDescent="0.25">
      <c r="A2627" s="1" t="s">
        <v>480</v>
      </c>
      <c r="B2627" s="1" t="s">
        <v>1415</v>
      </c>
      <c r="C2627" s="1" t="s">
        <v>2359</v>
      </c>
      <c r="D2627" s="1" t="s">
        <v>1998</v>
      </c>
      <c r="E2627" s="1"/>
      <c r="F2627" s="1" t="s">
        <v>11</v>
      </c>
      <c r="G2627">
        <v>1</v>
      </c>
      <c r="H2627">
        <v>1</v>
      </c>
      <c r="I2627" s="2"/>
      <c r="J2627" s="2">
        <v>45775</v>
      </c>
      <c r="K2627" s="2">
        <v>45785</v>
      </c>
    </row>
    <row r="2628" spans="1:11" x14ac:dyDescent="0.25">
      <c r="A2628" s="1" t="s">
        <v>480</v>
      </c>
      <c r="B2628" s="1" t="s">
        <v>1416</v>
      </c>
      <c r="C2628" s="1" t="s">
        <v>2360</v>
      </c>
      <c r="D2628" s="1" t="s">
        <v>1998</v>
      </c>
      <c r="E2628" s="1"/>
      <c r="F2628" s="1" t="s">
        <v>11</v>
      </c>
      <c r="G2628">
        <v>15</v>
      </c>
      <c r="H2628">
        <v>15</v>
      </c>
      <c r="I2628" s="2"/>
      <c r="J2628" s="2">
        <v>45775</v>
      </c>
      <c r="K2628" s="2">
        <v>45785</v>
      </c>
    </row>
    <row r="2629" spans="1:11" x14ac:dyDescent="0.25">
      <c r="A2629" s="1" t="s">
        <v>480</v>
      </c>
      <c r="B2629" s="1" t="s">
        <v>1417</v>
      </c>
      <c r="C2629" s="1" t="s">
        <v>2360</v>
      </c>
      <c r="D2629" s="1" t="s">
        <v>1998</v>
      </c>
      <c r="E2629" s="1"/>
      <c r="F2629" s="1" t="s">
        <v>11</v>
      </c>
      <c r="G2629">
        <v>10</v>
      </c>
      <c r="H2629">
        <v>10</v>
      </c>
      <c r="I2629" s="2"/>
      <c r="J2629" s="2">
        <v>45775</v>
      </c>
      <c r="K2629" s="2">
        <v>45785</v>
      </c>
    </row>
    <row r="2630" spans="1:11" x14ac:dyDescent="0.25">
      <c r="A2630" s="1" t="s">
        <v>480</v>
      </c>
      <c r="B2630" s="1" t="s">
        <v>1578</v>
      </c>
      <c r="C2630" s="1" t="s">
        <v>2115</v>
      </c>
      <c r="D2630" s="1" t="s">
        <v>1998</v>
      </c>
      <c r="E2630" s="1"/>
      <c r="F2630" s="1" t="s">
        <v>11</v>
      </c>
      <c r="G2630">
        <v>4655</v>
      </c>
      <c r="H2630">
        <v>4655</v>
      </c>
      <c r="I2630" s="2"/>
      <c r="J2630" s="2">
        <v>45775</v>
      </c>
      <c r="K2630" s="2">
        <v>45785</v>
      </c>
    </row>
    <row r="2631" spans="1:11" x14ac:dyDescent="0.25">
      <c r="A2631" s="1" t="s">
        <v>480</v>
      </c>
      <c r="B2631" s="1" t="s">
        <v>1419</v>
      </c>
      <c r="C2631" s="1" t="s">
        <v>2361</v>
      </c>
      <c r="D2631" s="1" t="s">
        <v>1998</v>
      </c>
      <c r="E2631" s="1"/>
      <c r="F2631" s="1" t="s">
        <v>11</v>
      </c>
      <c r="G2631">
        <v>1195</v>
      </c>
      <c r="H2631">
        <v>1195</v>
      </c>
      <c r="I2631" s="2"/>
      <c r="J2631" s="2">
        <v>45775</v>
      </c>
      <c r="K2631" s="2">
        <v>45785</v>
      </c>
    </row>
    <row r="2632" spans="1:11" x14ac:dyDescent="0.25">
      <c r="A2632" s="1" t="s">
        <v>480</v>
      </c>
      <c r="B2632" s="1" t="s">
        <v>1507</v>
      </c>
      <c r="C2632" s="1" t="s">
        <v>2441</v>
      </c>
      <c r="D2632" s="1" t="s">
        <v>1998</v>
      </c>
      <c r="E2632" s="1"/>
      <c r="F2632" s="1" t="s">
        <v>11</v>
      </c>
      <c r="G2632">
        <v>1</v>
      </c>
      <c r="H2632">
        <v>1</v>
      </c>
      <c r="I2632" s="2"/>
      <c r="J2632" s="2">
        <v>45775</v>
      </c>
      <c r="K2632" s="2">
        <v>45785</v>
      </c>
    </row>
    <row r="2633" spans="1:11" x14ac:dyDescent="0.25">
      <c r="A2633" s="1" t="s">
        <v>480</v>
      </c>
      <c r="B2633" s="1" t="s">
        <v>1420</v>
      </c>
      <c r="C2633" s="1" t="s">
        <v>2362</v>
      </c>
      <c r="D2633" s="1" t="s">
        <v>1998</v>
      </c>
      <c r="E2633" s="1"/>
      <c r="F2633" s="1" t="s">
        <v>11</v>
      </c>
      <c r="G2633">
        <v>1</v>
      </c>
      <c r="H2633">
        <v>1</v>
      </c>
      <c r="I2633" s="2"/>
      <c r="J2633" s="2">
        <v>45775</v>
      </c>
      <c r="K2633" s="2">
        <v>45785</v>
      </c>
    </row>
    <row r="2634" spans="1:11" x14ac:dyDescent="0.25">
      <c r="A2634" s="1" t="s">
        <v>480</v>
      </c>
      <c r="B2634" s="1" t="s">
        <v>1421</v>
      </c>
      <c r="C2634" s="1" t="s">
        <v>2363</v>
      </c>
      <c r="D2634" s="1" t="s">
        <v>1998</v>
      </c>
      <c r="E2634" s="1"/>
      <c r="F2634" s="1" t="s">
        <v>11</v>
      </c>
      <c r="G2634">
        <v>1</v>
      </c>
      <c r="H2634">
        <v>1</v>
      </c>
      <c r="I2634" s="2"/>
      <c r="J2634" s="2">
        <v>45775</v>
      </c>
      <c r="K2634" s="2">
        <v>45785</v>
      </c>
    </row>
    <row r="2635" spans="1:11" x14ac:dyDescent="0.25">
      <c r="A2635" s="1" t="s">
        <v>480</v>
      </c>
      <c r="B2635" s="1" t="s">
        <v>1422</v>
      </c>
      <c r="C2635" s="1" t="s">
        <v>2364</v>
      </c>
      <c r="D2635" s="1" t="s">
        <v>1998</v>
      </c>
      <c r="E2635" s="1"/>
      <c r="F2635" s="1" t="s">
        <v>11</v>
      </c>
      <c r="G2635">
        <v>1</v>
      </c>
      <c r="H2635">
        <v>1</v>
      </c>
      <c r="I2635" s="2"/>
      <c r="J2635" s="2">
        <v>45775</v>
      </c>
      <c r="K2635" s="2">
        <v>45785</v>
      </c>
    </row>
    <row r="2636" spans="1:11" x14ac:dyDescent="0.25">
      <c r="A2636" s="1" t="s">
        <v>480</v>
      </c>
      <c r="B2636" s="1" t="s">
        <v>1423</v>
      </c>
      <c r="C2636" s="1" t="s">
        <v>2365</v>
      </c>
      <c r="D2636" s="1" t="s">
        <v>1998</v>
      </c>
      <c r="E2636" s="1"/>
      <c r="F2636" s="1" t="s">
        <v>11</v>
      </c>
      <c r="G2636">
        <v>1</v>
      </c>
      <c r="H2636">
        <v>1</v>
      </c>
      <c r="I2636" s="2"/>
      <c r="J2636" s="2">
        <v>45775</v>
      </c>
      <c r="K2636" s="2">
        <v>45785</v>
      </c>
    </row>
    <row r="2637" spans="1:11" x14ac:dyDescent="0.25">
      <c r="A2637" s="1" t="s">
        <v>480</v>
      </c>
      <c r="B2637" s="1" t="s">
        <v>1424</v>
      </c>
      <c r="C2637" s="1" t="s">
        <v>2366</v>
      </c>
      <c r="D2637" s="1" t="s">
        <v>1998</v>
      </c>
      <c r="E2637" s="1"/>
      <c r="F2637" s="1" t="s">
        <v>11</v>
      </c>
      <c r="G2637">
        <v>1</v>
      </c>
      <c r="H2637">
        <v>1</v>
      </c>
      <c r="I2637" s="2"/>
      <c r="J2637" s="2">
        <v>45775</v>
      </c>
      <c r="K2637" s="2">
        <v>45785</v>
      </c>
    </row>
    <row r="2638" spans="1:11" x14ac:dyDescent="0.25">
      <c r="A2638" s="1" t="s">
        <v>480</v>
      </c>
      <c r="B2638" s="1" t="s">
        <v>1425</v>
      </c>
      <c r="C2638" s="1" t="s">
        <v>2367</v>
      </c>
      <c r="D2638" s="1" t="s">
        <v>1998</v>
      </c>
      <c r="E2638" s="1"/>
      <c r="F2638" s="1" t="s">
        <v>11</v>
      </c>
      <c r="G2638">
        <v>1</v>
      </c>
      <c r="H2638">
        <v>1</v>
      </c>
      <c r="I2638" s="2"/>
      <c r="J2638" s="2">
        <v>45775</v>
      </c>
      <c r="K2638" s="2">
        <v>45785</v>
      </c>
    </row>
    <row r="2639" spans="1:11" x14ac:dyDescent="0.25">
      <c r="A2639" s="1" t="s">
        <v>480</v>
      </c>
      <c r="B2639" s="1" t="s">
        <v>1426</v>
      </c>
      <c r="C2639" s="1" t="s">
        <v>2368</v>
      </c>
      <c r="D2639" s="1" t="s">
        <v>1998</v>
      </c>
      <c r="E2639" s="1"/>
      <c r="F2639" s="1" t="s">
        <v>11</v>
      </c>
      <c r="G2639">
        <v>210</v>
      </c>
      <c r="H2639">
        <v>210</v>
      </c>
      <c r="I2639" s="2"/>
      <c r="J2639" s="2">
        <v>45775</v>
      </c>
      <c r="K2639" s="2">
        <v>45785</v>
      </c>
    </row>
    <row r="2640" spans="1:11" x14ac:dyDescent="0.25">
      <c r="A2640" s="1" t="s">
        <v>480</v>
      </c>
      <c r="B2640" s="1" t="s">
        <v>1427</v>
      </c>
      <c r="C2640" s="1" t="s">
        <v>2369</v>
      </c>
      <c r="D2640" s="1" t="s">
        <v>1998</v>
      </c>
      <c r="E2640" s="1"/>
      <c r="F2640" s="1" t="s">
        <v>11</v>
      </c>
      <c r="G2640">
        <v>315</v>
      </c>
      <c r="H2640">
        <v>315</v>
      </c>
      <c r="I2640" s="2"/>
      <c r="J2640" s="2">
        <v>45775</v>
      </c>
      <c r="K2640" s="2">
        <v>45785</v>
      </c>
    </row>
    <row r="2641" spans="1:11" x14ac:dyDescent="0.25">
      <c r="A2641" s="1" t="s">
        <v>480</v>
      </c>
      <c r="B2641" s="1" t="s">
        <v>1428</v>
      </c>
      <c r="C2641" s="1" t="s">
        <v>2370</v>
      </c>
      <c r="D2641" s="1" t="s">
        <v>1998</v>
      </c>
      <c r="E2641" s="1"/>
      <c r="F2641" s="1" t="s">
        <v>11</v>
      </c>
      <c r="G2641">
        <v>155</v>
      </c>
      <c r="H2641">
        <v>155</v>
      </c>
      <c r="I2641" s="2"/>
      <c r="J2641" s="2">
        <v>45775</v>
      </c>
      <c r="K2641" s="2">
        <v>45785</v>
      </c>
    </row>
    <row r="2642" spans="1:11" x14ac:dyDescent="0.25">
      <c r="A2642" s="1" t="s">
        <v>480</v>
      </c>
      <c r="B2642" s="1" t="s">
        <v>1429</v>
      </c>
      <c r="C2642" s="1" t="s">
        <v>2371</v>
      </c>
      <c r="D2642" s="1" t="s">
        <v>1998</v>
      </c>
      <c r="E2642" s="1"/>
      <c r="F2642" s="1" t="s">
        <v>11</v>
      </c>
      <c r="G2642">
        <v>205</v>
      </c>
      <c r="H2642">
        <v>175</v>
      </c>
      <c r="I2642" s="2"/>
      <c r="J2642" s="2">
        <v>45775</v>
      </c>
      <c r="K2642" s="2">
        <v>45785</v>
      </c>
    </row>
    <row r="2643" spans="1:11" x14ac:dyDescent="0.25">
      <c r="A2643" s="1" t="s">
        <v>481</v>
      </c>
      <c r="B2643" s="1" t="s">
        <v>1288</v>
      </c>
      <c r="C2643" s="1" t="s">
        <v>2265</v>
      </c>
      <c r="D2643" s="1" t="s">
        <v>1998</v>
      </c>
      <c r="E2643" s="1"/>
      <c r="F2643" s="1" t="s">
        <v>11</v>
      </c>
      <c r="G2643">
        <v>1510</v>
      </c>
      <c r="H2643">
        <v>1535</v>
      </c>
      <c r="I2643" s="2"/>
      <c r="J2643" s="2">
        <v>45765</v>
      </c>
      <c r="K2643" s="2">
        <v>45785</v>
      </c>
    </row>
    <row r="2644" spans="1:11" x14ac:dyDescent="0.25">
      <c r="A2644" s="1" t="s">
        <v>482</v>
      </c>
      <c r="B2644" s="1" t="s">
        <v>1579</v>
      </c>
      <c r="C2644" s="1" t="s">
        <v>2499</v>
      </c>
      <c r="D2644" s="1" t="s">
        <v>1998</v>
      </c>
      <c r="E2644" s="1"/>
      <c r="F2644" s="1" t="s">
        <v>11</v>
      </c>
      <c r="G2644">
        <v>25</v>
      </c>
      <c r="H2644">
        <v>25</v>
      </c>
      <c r="I2644" s="2"/>
      <c r="J2644" s="2">
        <v>45769</v>
      </c>
      <c r="K2644" s="2">
        <v>45778</v>
      </c>
    </row>
    <row r="2645" spans="1:11" x14ac:dyDescent="0.25">
      <c r="A2645" s="1" t="s">
        <v>482</v>
      </c>
      <c r="B2645" s="1" t="s">
        <v>1579</v>
      </c>
      <c r="C2645" s="1" t="s">
        <v>2499</v>
      </c>
      <c r="D2645" s="1" t="s">
        <v>1998</v>
      </c>
      <c r="E2645" s="1"/>
      <c r="F2645" s="1" t="s">
        <v>11</v>
      </c>
      <c r="G2645">
        <v>10</v>
      </c>
      <c r="H2645">
        <v>10</v>
      </c>
      <c r="I2645" s="2"/>
      <c r="J2645" s="2">
        <v>45769</v>
      </c>
      <c r="K2645" s="2">
        <v>45778</v>
      </c>
    </row>
    <row r="2646" spans="1:11" x14ac:dyDescent="0.25">
      <c r="A2646" s="1" t="s">
        <v>482</v>
      </c>
      <c r="B2646" s="1" t="s">
        <v>1579</v>
      </c>
      <c r="C2646" s="1" t="s">
        <v>2499</v>
      </c>
      <c r="D2646" s="1" t="s">
        <v>1998</v>
      </c>
      <c r="E2646" s="1"/>
      <c r="F2646" s="1" t="s">
        <v>11</v>
      </c>
      <c r="G2646">
        <v>15</v>
      </c>
      <c r="H2646">
        <v>15</v>
      </c>
      <c r="I2646" s="2"/>
      <c r="J2646" s="2">
        <v>45769</v>
      </c>
      <c r="K2646" s="2">
        <v>45778</v>
      </c>
    </row>
    <row r="2647" spans="1:11" x14ac:dyDescent="0.25">
      <c r="A2647" s="1" t="s">
        <v>483</v>
      </c>
      <c r="B2647" s="1" t="s">
        <v>1295</v>
      </c>
      <c r="C2647" s="1" t="s">
        <v>2271</v>
      </c>
      <c r="D2647" s="1" t="s">
        <v>1998</v>
      </c>
      <c r="E2647" s="1"/>
      <c r="F2647" s="1" t="s">
        <v>11</v>
      </c>
      <c r="G2647">
        <v>10</v>
      </c>
      <c r="H2647">
        <v>65</v>
      </c>
      <c r="I2647" s="2"/>
      <c r="J2647" s="2">
        <v>45749</v>
      </c>
      <c r="K2647" s="2">
        <v>45756</v>
      </c>
    </row>
    <row r="2648" spans="1:11" x14ac:dyDescent="0.25">
      <c r="A2648" s="1" t="s">
        <v>483</v>
      </c>
      <c r="B2648" s="1" t="s">
        <v>1296</v>
      </c>
      <c r="C2648" s="1" t="s">
        <v>2224</v>
      </c>
      <c r="D2648" s="1" t="s">
        <v>1998</v>
      </c>
      <c r="E2648" s="1"/>
      <c r="F2648" s="1" t="s">
        <v>11</v>
      </c>
      <c r="G2648">
        <v>40</v>
      </c>
      <c r="H2648">
        <v>40</v>
      </c>
      <c r="I2648" s="2"/>
      <c r="J2648" s="2">
        <v>45749</v>
      </c>
      <c r="K2648" s="2">
        <v>45756</v>
      </c>
    </row>
    <row r="2649" spans="1:11" x14ac:dyDescent="0.25">
      <c r="A2649" s="1" t="s">
        <v>484</v>
      </c>
      <c r="B2649" s="1" t="s">
        <v>1360</v>
      </c>
      <c r="C2649" s="1" t="s">
        <v>2310</v>
      </c>
      <c r="D2649" s="1" t="s">
        <v>1998</v>
      </c>
      <c r="E2649" s="1"/>
      <c r="F2649" s="1" t="s">
        <v>11</v>
      </c>
      <c r="G2649">
        <v>4450</v>
      </c>
      <c r="H2649">
        <v>4450</v>
      </c>
      <c r="I2649" s="2"/>
      <c r="J2649" s="2">
        <v>45749</v>
      </c>
      <c r="K2649" s="2">
        <v>45756</v>
      </c>
    </row>
    <row r="2650" spans="1:11" x14ac:dyDescent="0.25">
      <c r="A2650" s="1" t="s">
        <v>485</v>
      </c>
      <c r="B2650" s="1" t="s">
        <v>1580</v>
      </c>
      <c r="C2650" s="1" t="s">
        <v>2500</v>
      </c>
      <c r="D2650" s="1" t="s">
        <v>1998</v>
      </c>
      <c r="E2650" s="1"/>
      <c r="F2650" s="1" t="s">
        <v>11</v>
      </c>
      <c r="G2650">
        <v>135</v>
      </c>
      <c r="H2650">
        <v>135</v>
      </c>
      <c r="I2650" s="2"/>
      <c r="J2650" s="2">
        <v>45755</v>
      </c>
      <c r="K2650" s="2">
        <v>45764</v>
      </c>
    </row>
    <row r="2651" spans="1:11" x14ac:dyDescent="0.25">
      <c r="A2651" s="1" t="s">
        <v>485</v>
      </c>
      <c r="B2651" s="1" t="s">
        <v>1580</v>
      </c>
      <c r="C2651" s="1" t="s">
        <v>2500</v>
      </c>
      <c r="D2651" s="1" t="s">
        <v>1998</v>
      </c>
      <c r="E2651" s="1"/>
      <c r="F2651" s="1" t="s">
        <v>11</v>
      </c>
      <c r="G2651">
        <v>45</v>
      </c>
      <c r="H2651">
        <v>45</v>
      </c>
      <c r="I2651" s="2"/>
      <c r="J2651" s="2">
        <v>45755</v>
      </c>
      <c r="K2651" s="2">
        <v>45764</v>
      </c>
    </row>
    <row r="2652" spans="1:11" x14ac:dyDescent="0.25">
      <c r="A2652" s="1" t="s">
        <v>486</v>
      </c>
      <c r="B2652" s="1" t="s">
        <v>1581</v>
      </c>
      <c r="C2652" s="1" t="s">
        <v>2501</v>
      </c>
      <c r="D2652" s="1" t="s">
        <v>1998</v>
      </c>
      <c r="E2652" s="1"/>
      <c r="F2652" s="1" t="s">
        <v>11</v>
      </c>
      <c r="G2652">
        <v>35</v>
      </c>
      <c r="H2652">
        <v>45</v>
      </c>
      <c r="I2652" s="2"/>
      <c r="J2652" s="2">
        <v>45758</v>
      </c>
      <c r="K2652" s="2">
        <v>45769</v>
      </c>
    </row>
    <row r="2653" spans="1:11" x14ac:dyDescent="0.25">
      <c r="A2653" s="1" t="s">
        <v>487</v>
      </c>
      <c r="B2653" s="1" t="s">
        <v>1113</v>
      </c>
      <c r="C2653" s="1" t="s">
        <v>2113</v>
      </c>
      <c r="D2653" s="1" t="s">
        <v>1998</v>
      </c>
      <c r="E2653" s="1"/>
      <c r="F2653" s="1" t="s">
        <v>11</v>
      </c>
      <c r="G2653">
        <v>11555</v>
      </c>
      <c r="H2653">
        <v>11555</v>
      </c>
      <c r="I2653" s="2"/>
      <c r="J2653" s="2">
        <v>45749</v>
      </c>
      <c r="K2653" s="2">
        <v>45789</v>
      </c>
    </row>
    <row r="2654" spans="1:11" x14ac:dyDescent="0.25">
      <c r="A2654" s="1" t="s">
        <v>487</v>
      </c>
      <c r="B2654" s="1" t="s">
        <v>1114</v>
      </c>
      <c r="C2654" s="1" t="s">
        <v>2114</v>
      </c>
      <c r="D2654" s="1" t="s">
        <v>1998</v>
      </c>
      <c r="E2654" s="1"/>
      <c r="F2654" s="1" t="s">
        <v>11</v>
      </c>
      <c r="G2654">
        <v>35</v>
      </c>
      <c r="H2654">
        <v>35</v>
      </c>
      <c r="I2654" s="2"/>
      <c r="J2654" s="2">
        <v>45749</v>
      </c>
      <c r="K2654" s="2">
        <v>45789</v>
      </c>
    </row>
    <row r="2655" spans="1:11" x14ac:dyDescent="0.25">
      <c r="A2655" s="1" t="s">
        <v>487</v>
      </c>
      <c r="B2655" s="1" t="s">
        <v>1115</v>
      </c>
      <c r="C2655" s="1" t="s">
        <v>2115</v>
      </c>
      <c r="D2655" s="1" t="s">
        <v>1998</v>
      </c>
      <c r="E2655" s="1"/>
      <c r="F2655" s="1" t="s">
        <v>11</v>
      </c>
      <c r="G2655">
        <v>326695</v>
      </c>
      <c r="H2655">
        <v>326695</v>
      </c>
      <c r="I2655" s="2"/>
      <c r="J2655" s="2">
        <v>45749</v>
      </c>
      <c r="K2655" s="2">
        <v>45789</v>
      </c>
    </row>
    <row r="2656" spans="1:11" x14ac:dyDescent="0.25">
      <c r="A2656" s="1" t="s">
        <v>487</v>
      </c>
      <c r="B2656" s="1" t="s">
        <v>1116</v>
      </c>
      <c r="C2656" s="1" t="s">
        <v>2116</v>
      </c>
      <c r="D2656" s="1" t="s">
        <v>1998</v>
      </c>
      <c r="E2656" s="1"/>
      <c r="F2656" s="1" t="s">
        <v>11</v>
      </c>
      <c r="G2656">
        <v>255845</v>
      </c>
      <c r="H2656">
        <v>255845</v>
      </c>
      <c r="I2656" s="2"/>
      <c r="J2656" s="2">
        <v>45749</v>
      </c>
      <c r="K2656" s="2">
        <v>45789</v>
      </c>
    </row>
    <row r="2657" spans="1:11" x14ac:dyDescent="0.25">
      <c r="A2657" s="1" t="s">
        <v>487</v>
      </c>
      <c r="B2657" s="1" t="s">
        <v>1117</v>
      </c>
      <c r="C2657" s="1" t="s">
        <v>2117</v>
      </c>
      <c r="D2657" s="1" t="s">
        <v>1998</v>
      </c>
      <c r="E2657" s="1"/>
      <c r="F2657" s="1" t="s">
        <v>11</v>
      </c>
      <c r="G2657">
        <v>2475</v>
      </c>
      <c r="H2657">
        <v>1530</v>
      </c>
      <c r="I2657" s="2"/>
      <c r="J2657" s="2">
        <v>45749</v>
      </c>
      <c r="K2657" s="2">
        <v>45789</v>
      </c>
    </row>
    <row r="2658" spans="1:11" x14ac:dyDescent="0.25">
      <c r="A2658" s="1" t="s">
        <v>487</v>
      </c>
      <c r="B2658" s="1" t="s">
        <v>1118</v>
      </c>
      <c r="C2658" s="1" t="s">
        <v>2118</v>
      </c>
      <c r="D2658" s="1" t="s">
        <v>1998</v>
      </c>
      <c r="E2658" s="1"/>
      <c r="F2658" s="1" t="s">
        <v>11</v>
      </c>
      <c r="G2658">
        <v>55710</v>
      </c>
      <c r="H2658">
        <v>46350</v>
      </c>
      <c r="I2658" s="2"/>
      <c r="J2658" s="2">
        <v>45749</v>
      </c>
      <c r="K2658" s="2">
        <v>45789</v>
      </c>
    </row>
    <row r="2659" spans="1:11" x14ac:dyDescent="0.25">
      <c r="A2659" s="1" t="s">
        <v>487</v>
      </c>
      <c r="B2659" s="1" t="s">
        <v>1119</v>
      </c>
      <c r="C2659" s="1" t="s">
        <v>2119</v>
      </c>
      <c r="D2659" s="1" t="s">
        <v>1998</v>
      </c>
      <c r="E2659" s="1"/>
      <c r="F2659" s="1" t="s">
        <v>11</v>
      </c>
      <c r="G2659">
        <v>180</v>
      </c>
      <c r="H2659">
        <v>1</v>
      </c>
      <c r="I2659" s="2"/>
      <c r="J2659" s="2">
        <v>45749</v>
      </c>
      <c r="K2659" s="2">
        <v>45789</v>
      </c>
    </row>
    <row r="2660" spans="1:11" x14ac:dyDescent="0.25">
      <c r="A2660" s="1" t="s">
        <v>487</v>
      </c>
      <c r="B2660" s="1" t="s">
        <v>1120</v>
      </c>
      <c r="C2660" s="1" t="s">
        <v>2120</v>
      </c>
      <c r="D2660" s="1" t="s">
        <v>1998</v>
      </c>
      <c r="E2660" s="1"/>
      <c r="F2660" s="1" t="s">
        <v>11</v>
      </c>
      <c r="G2660">
        <v>210</v>
      </c>
      <c r="H2660">
        <v>1</v>
      </c>
      <c r="I2660" s="2"/>
      <c r="J2660" s="2">
        <v>45749</v>
      </c>
      <c r="K2660" s="2">
        <v>45789</v>
      </c>
    </row>
    <row r="2661" spans="1:11" x14ac:dyDescent="0.25">
      <c r="A2661" s="1" t="s">
        <v>487</v>
      </c>
      <c r="B2661" s="1" t="s">
        <v>1121</v>
      </c>
      <c r="C2661" s="1" t="s">
        <v>2502</v>
      </c>
      <c r="D2661" s="1" t="s">
        <v>1998</v>
      </c>
      <c r="E2661" s="1"/>
      <c r="F2661" s="1" t="s">
        <v>11</v>
      </c>
      <c r="G2661">
        <v>125</v>
      </c>
      <c r="H2661">
        <v>1</v>
      </c>
      <c r="I2661" s="2"/>
      <c r="J2661" s="2">
        <v>45749</v>
      </c>
      <c r="K2661" s="2">
        <v>45789</v>
      </c>
    </row>
    <row r="2662" spans="1:11" x14ac:dyDescent="0.25">
      <c r="A2662" s="1" t="s">
        <v>487</v>
      </c>
      <c r="B2662" s="1" t="s">
        <v>1122</v>
      </c>
      <c r="C2662" s="1" t="s">
        <v>2122</v>
      </c>
      <c r="D2662" s="1" t="s">
        <v>1998</v>
      </c>
      <c r="E2662" s="1"/>
      <c r="F2662" s="1" t="s">
        <v>11</v>
      </c>
      <c r="G2662">
        <v>275</v>
      </c>
      <c r="H2662">
        <v>1</v>
      </c>
      <c r="I2662" s="2"/>
      <c r="J2662" s="2">
        <v>45749</v>
      </c>
      <c r="K2662" s="2">
        <v>45789</v>
      </c>
    </row>
    <row r="2663" spans="1:11" x14ac:dyDescent="0.25">
      <c r="A2663" s="1" t="s">
        <v>488</v>
      </c>
      <c r="B2663" s="1" t="s">
        <v>1216</v>
      </c>
      <c r="C2663" s="1" t="s">
        <v>2204</v>
      </c>
      <c r="D2663" s="1" t="s">
        <v>1998</v>
      </c>
      <c r="E2663" s="1"/>
      <c r="F2663" s="1" t="s">
        <v>11</v>
      </c>
      <c r="G2663">
        <v>435</v>
      </c>
      <c r="H2663">
        <v>435</v>
      </c>
      <c r="I2663" s="2"/>
      <c r="J2663" s="2">
        <v>45749</v>
      </c>
      <c r="K2663" s="2">
        <v>45784</v>
      </c>
    </row>
    <row r="2664" spans="1:11" x14ac:dyDescent="0.25">
      <c r="A2664" s="1" t="s">
        <v>488</v>
      </c>
      <c r="B2664" s="1" t="s">
        <v>1217</v>
      </c>
      <c r="C2664" s="1" t="s">
        <v>2205</v>
      </c>
      <c r="D2664" s="1" t="s">
        <v>1998</v>
      </c>
      <c r="E2664" s="1"/>
      <c r="F2664" s="1" t="s">
        <v>11</v>
      </c>
      <c r="G2664">
        <v>770</v>
      </c>
      <c r="H2664">
        <v>835</v>
      </c>
      <c r="I2664" s="2"/>
      <c r="J2664" s="2">
        <v>45749</v>
      </c>
      <c r="K2664" s="2">
        <v>45784</v>
      </c>
    </row>
    <row r="2665" spans="1:11" x14ac:dyDescent="0.25">
      <c r="A2665" s="1" t="s">
        <v>488</v>
      </c>
      <c r="B2665" s="1" t="s">
        <v>1218</v>
      </c>
      <c r="C2665" s="1" t="s">
        <v>2163</v>
      </c>
      <c r="D2665" s="1" t="s">
        <v>1998</v>
      </c>
      <c r="E2665" s="1"/>
      <c r="F2665" s="1" t="s">
        <v>11</v>
      </c>
      <c r="G2665">
        <v>5005</v>
      </c>
      <c r="H2665">
        <v>5005</v>
      </c>
      <c r="I2665" s="2"/>
      <c r="J2665" s="2">
        <v>45749</v>
      </c>
      <c r="K2665" s="2">
        <v>45784</v>
      </c>
    </row>
    <row r="2666" spans="1:11" x14ac:dyDescent="0.25">
      <c r="A2666" s="1" t="s">
        <v>488</v>
      </c>
      <c r="B2666" s="1" t="s">
        <v>1027</v>
      </c>
      <c r="C2666" s="1" t="s">
        <v>2040</v>
      </c>
      <c r="D2666" s="1" t="s">
        <v>1998</v>
      </c>
      <c r="E2666" s="1"/>
      <c r="F2666" s="1" t="s">
        <v>11</v>
      </c>
      <c r="G2666">
        <v>255</v>
      </c>
      <c r="H2666">
        <v>255</v>
      </c>
      <c r="I2666" s="2"/>
      <c r="J2666" s="2">
        <v>45749</v>
      </c>
      <c r="K2666" s="2">
        <v>45784</v>
      </c>
    </row>
    <row r="2667" spans="1:11" x14ac:dyDescent="0.25">
      <c r="A2667" s="1" t="s">
        <v>488</v>
      </c>
      <c r="B2667" s="1" t="s">
        <v>1013</v>
      </c>
      <c r="C2667" s="1" t="s">
        <v>2030</v>
      </c>
      <c r="D2667" s="1" t="s">
        <v>1998</v>
      </c>
      <c r="E2667" s="1"/>
      <c r="F2667" s="1" t="s">
        <v>11</v>
      </c>
      <c r="G2667">
        <v>60</v>
      </c>
      <c r="H2667">
        <v>110</v>
      </c>
      <c r="I2667" s="2"/>
      <c r="J2667" s="2">
        <v>45749</v>
      </c>
      <c r="K2667" s="2">
        <v>45784</v>
      </c>
    </row>
    <row r="2668" spans="1:11" x14ac:dyDescent="0.25">
      <c r="A2668" s="1" t="s">
        <v>488</v>
      </c>
      <c r="B2668" s="1" t="s">
        <v>993</v>
      </c>
      <c r="C2668" s="1" t="s">
        <v>2011</v>
      </c>
      <c r="D2668" s="1" t="s">
        <v>1998</v>
      </c>
      <c r="E2668" s="1"/>
      <c r="F2668" s="1" t="s">
        <v>11</v>
      </c>
      <c r="G2668">
        <v>20</v>
      </c>
      <c r="H2668">
        <v>20</v>
      </c>
      <c r="I2668" s="2"/>
      <c r="J2668" s="2">
        <v>45749</v>
      </c>
      <c r="K2668" s="2">
        <v>45784</v>
      </c>
    </row>
    <row r="2669" spans="1:11" x14ac:dyDescent="0.25">
      <c r="A2669" s="1" t="s">
        <v>488</v>
      </c>
      <c r="B2669" s="1" t="s">
        <v>993</v>
      </c>
      <c r="C2669" s="1" t="s">
        <v>2011</v>
      </c>
      <c r="D2669" s="1" t="s">
        <v>1998</v>
      </c>
      <c r="E2669" s="1"/>
      <c r="F2669" s="1" t="s">
        <v>11</v>
      </c>
      <c r="G2669">
        <v>40</v>
      </c>
      <c r="H2669">
        <v>40</v>
      </c>
      <c r="I2669" s="2"/>
      <c r="J2669" s="2">
        <v>45749</v>
      </c>
      <c r="K2669" s="2">
        <v>45784</v>
      </c>
    </row>
    <row r="2670" spans="1:11" x14ac:dyDescent="0.25">
      <c r="A2670" s="1" t="s">
        <v>488</v>
      </c>
      <c r="B2670" s="1" t="s">
        <v>1219</v>
      </c>
      <c r="C2670" s="1" t="s">
        <v>2042</v>
      </c>
      <c r="D2670" s="1" t="s">
        <v>1998</v>
      </c>
      <c r="E2670" s="1"/>
      <c r="F2670" s="1" t="s">
        <v>11</v>
      </c>
      <c r="G2670">
        <v>3300</v>
      </c>
      <c r="H2670">
        <v>3300</v>
      </c>
      <c r="I2670" s="2"/>
      <c r="J2670" s="2">
        <v>45749</v>
      </c>
      <c r="K2670" s="2">
        <v>45784</v>
      </c>
    </row>
    <row r="2671" spans="1:11" x14ac:dyDescent="0.25">
      <c r="A2671" s="1" t="s">
        <v>488</v>
      </c>
      <c r="B2671" s="1" t="s">
        <v>1220</v>
      </c>
      <c r="C2671" s="1" t="s">
        <v>2164</v>
      </c>
      <c r="D2671" s="1" t="s">
        <v>1998</v>
      </c>
      <c r="E2671" s="1"/>
      <c r="F2671" s="1" t="s">
        <v>11</v>
      </c>
      <c r="G2671">
        <v>655</v>
      </c>
      <c r="H2671">
        <v>615</v>
      </c>
      <c r="I2671" s="2"/>
      <c r="J2671" s="2">
        <v>45749</v>
      </c>
      <c r="K2671" s="2">
        <v>45784</v>
      </c>
    </row>
    <row r="2672" spans="1:11" x14ac:dyDescent="0.25">
      <c r="A2672" s="1" t="s">
        <v>488</v>
      </c>
      <c r="B2672" s="1" t="s">
        <v>1221</v>
      </c>
      <c r="C2672" s="1" t="s">
        <v>2206</v>
      </c>
      <c r="D2672" s="1" t="s">
        <v>1998</v>
      </c>
      <c r="E2672" s="1"/>
      <c r="F2672" s="1" t="s">
        <v>11</v>
      </c>
      <c r="G2672">
        <v>1040</v>
      </c>
      <c r="H2672">
        <v>1005</v>
      </c>
      <c r="I2672" s="2"/>
      <c r="J2672" s="2">
        <v>45749</v>
      </c>
      <c r="K2672" s="2">
        <v>45784</v>
      </c>
    </row>
    <row r="2673" spans="1:11" x14ac:dyDescent="0.25">
      <c r="A2673" s="1" t="s">
        <v>489</v>
      </c>
      <c r="B2673" s="1" t="s">
        <v>1555</v>
      </c>
      <c r="C2673" s="1" t="s">
        <v>2481</v>
      </c>
      <c r="D2673" s="1" t="s">
        <v>1998</v>
      </c>
      <c r="E2673" s="1"/>
      <c r="F2673" s="1" t="s">
        <v>11</v>
      </c>
      <c r="G2673">
        <v>285</v>
      </c>
      <c r="H2673">
        <v>435</v>
      </c>
      <c r="I2673" s="2"/>
      <c r="J2673" s="2">
        <v>45749</v>
      </c>
      <c r="K2673" s="2">
        <v>45784</v>
      </c>
    </row>
    <row r="2674" spans="1:11" x14ac:dyDescent="0.25">
      <c r="A2674" s="1" t="s">
        <v>489</v>
      </c>
      <c r="B2674" s="1" t="s">
        <v>1027</v>
      </c>
      <c r="C2674" s="1" t="s">
        <v>2040</v>
      </c>
      <c r="D2674" s="1" t="s">
        <v>1998</v>
      </c>
      <c r="E2674" s="1"/>
      <c r="F2674" s="1" t="s">
        <v>11</v>
      </c>
      <c r="G2674">
        <v>25</v>
      </c>
      <c r="H2674">
        <v>125</v>
      </c>
      <c r="I2674" s="2"/>
      <c r="J2674" s="2">
        <v>45749</v>
      </c>
      <c r="K2674" s="2">
        <v>45784</v>
      </c>
    </row>
    <row r="2675" spans="1:11" x14ac:dyDescent="0.25">
      <c r="A2675" s="1" t="s">
        <v>489</v>
      </c>
      <c r="B2675" s="1" t="s">
        <v>1013</v>
      </c>
      <c r="C2675" s="1" t="s">
        <v>2030</v>
      </c>
      <c r="D2675" s="1" t="s">
        <v>1998</v>
      </c>
      <c r="E2675" s="1"/>
      <c r="F2675" s="1" t="s">
        <v>11</v>
      </c>
      <c r="G2675">
        <v>40</v>
      </c>
      <c r="H2675">
        <v>40</v>
      </c>
      <c r="I2675" s="2"/>
      <c r="J2675" s="2">
        <v>45749</v>
      </c>
      <c r="K2675" s="2">
        <v>45784</v>
      </c>
    </row>
    <row r="2676" spans="1:11" x14ac:dyDescent="0.25">
      <c r="A2676" s="1" t="s">
        <v>489</v>
      </c>
      <c r="B2676" s="1" t="s">
        <v>993</v>
      </c>
      <c r="C2676" s="1" t="s">
        <v>2011</v>
      </c>
      <c r="D2676" s="1" t="s">
        <v>1998</v>
      </c>
      <c r="E2676" s="1"/>
      <c r="F2676" s="1" t="s">
        <v>11</v>
      </c>
      <c r="G2676">
        <v>15</v>
      </c>
      <c r="H2676">
        <v>5</v>
      </c>
      <c r="I2676" s="2"/>
      <c r="J2676" s="2">
        <v>45749</v>
      </c>
      <c r="K2676" s="2">
        <v>45784</v>
      </c>
    </row>
    <row r="2677" spans="1:11" x14ac:dyDescent="0.25">
      <c r="A2677" s="1" t="s">
        <v>489</v>
      </c>
      <c r="B2677" s="1" t="s">
        <v>993</v>
      </c>
      <c r="C2677" s="1" t="s">
        <v>2011</v>
      </c>
      <c r="D2677" s="1" t="s">
        <v>1998</v>
      </c>
      <c r="E2677" s="1"/>
      <c r="F2677" s="1" t="s">
        <v>11</v>
      </c>
      <c r="G2677">
        <v>5</v>
      </c>
      <c r="H2677">
        <v>1</v>
      </c>
      <c r="I2677" s="2"/>
      <c r="J2677" s="2">
        <v>45749</v>
      </c>
      <c r="K2677" s="2">
        <v>45784</v>
      </c>
    </row>
    <row r="2678" spans="1:11" x14ac:dyDescent="0.25">
      <c r="A2678" s="1" t="s">
        <v>489</v>
      </c>
      <c r="B2678" s="1" t="s">
        <v>1582</v>
      </c>
      <c r="C2678" s="1" t="s">
        <v>2223</v>
      </c>
      <c r="D2678" s="1" t="s">
        <v>1998</v>
      </c>
      <c r="E2678" s="1"/>
      <c r="F2678" s="1" t="s">
        <v>11</v>
      </c>
      <c r="G2678">
        <v>1420</v>
      </c>
      <c r="H2678">
        <v>1420</v>
      </c>
      <c r="I2678" s="2"/>
      <c r="J2678" s="2">
        <v>45749</v>
      </c>
      <c r="K2678" s="2">
        <v>45784</v>
      </c>
    </row>
    <row r="2679" spans="1:11" x14ac:dyDescent="0.25">
      <c r="A2679" s="1" t="s">
        <v>489</v>
      </c>
      <c r="B2679" s="1" t="s">
        <v>1583</v>
      </c>
      <c r="C2679" s="1" t="s">
        <v>2503</v>
      </c>
      <c r="D2679" s="1" t="s">
        <v>1998</v>
      </c>
      <c r="E2679" s="1"/>
      <c r="F2679" s="1" t="s">
        <v>11</v>
      </c>
      <c r="G2679">
        <v>3880</v>
      </c>
      <c r="H2679">
        <v>3880</v>
      </c>
      <c r="I2679" s="2"/>
      <c r="J2679" s="2">
        <v>45749</v>
      </c>
      <c r="K2679" s="2">
        <v>45784</v>
      </c>
    </row>
    <row r="2680" spans="1:11" x14ac:dyDescent="0.25">
      <c r="A2680" s="1" t="s">
        <v>490</v>
      </c>
      <c r="B2680" s="1" t="s">
        <v>1361</v>
      </c>
      <c r="C2680" s="1" t="s">
        <v>2311</v>
      </c>
      <c r="D2680" s="1" t="s">
        <v>1998</v>
      </c>
      <c r="E2680" s="1"/>
      <c r="F2680" s="1" t="s">
        <v>11</v>
      </c>
      <c r="G2680">
        <v>70</v>
      </c>
      <c r="H2680">
        <v>70</v>
      </c>
      <c r="I2680" s="2"/>
      <c r="J2680" s="2">
        <v>45779</v>
      </c>
      <c r="K2680" s="2">
        <v>45779</v>
      </c>
    </row>
    <row r="2681" spans="1:11" x14ac:dyDescent="0.25">
      <c r="A2681" s="1" t="s">
        <v>490</v>
      </c>
      <c r="B2681" s="1" t="s">
        <v>1362</v>
      </c>
      <c r="C2681" s="1" t="s">
        <v>2312</v>
      </c>
      <c r="D2681" s="1" t="s">
        <v>1998</v>
      </c>
      <c r="E2681" s="1"/>
      <c r="F2681" s="1" t="s">
        <v>11</v>
      </c>
      <c r="G2681">
        <v>125</v>
      </c>
      <c r="H2681">
        <v>125</v>
      </c>
      <c r="I2681" s="2"/>
      <c r="J2681" s="2">
        <v>45779</v>
      </c>
      <c r="K2681" s="2">
        <v>45779</v>
      </c>
    </row>
    <row r="2682" spans="1:11" x14ac:dyDescent="0.25">
      <c r="A2682" s="1" t="s">
        <v>490</v>
      </c>
      <c r="B2682" s="1" t="s">
        <v>1363</v>
      </c>
      <c r="C2682" s="1" t="s">
        <v>2313</v>
      </c>
      <c r="D2682" s="1" t="s">
        <v>1998</v>
      </c>
      <c r="E2682" s="1"/>
      <c r="F2682" s="1" t="s">
        <v>11</v>
      </c>
      <c r="G2682">
        <v>1</v>
      </c>
      <c r="H2682">
        <v>1</v>
      </c>
      <c r="I2682" s="2"/>
      <c r="J2682" s="2">
        <v>45779</v>
      </c>
      <c r="K2682" s="2">
        <v>45779</v>
      </c>
    </row>
    <row r="2683" spans="1:11" x14ac:dyDescent="0.25">
      <c r="A2683" s="1" t="s">
        <v>490</v>
      </c>
      <c r="B2683" s="1" t="s">
        <v>1234</v>
      </c>
      <c r="C2683" s="1" t="s">
        <v>2218</v>
      </c>
      <c r="D2683" s="1" t="s">
        <v>1998</v>
      </c>
      <c r="E2683" s="1"/>
      <c r="F2683" s="1" t="s">
        <v>11</v>
      </c>
      <c r="G2683">
        <v>1</v>
      </c>
      <c r="H2683">
        <v>1</v>
      </c>
      <c r="I2683" s="2"/>
      <c r="J2683" s="2">
        <v>45779</v>
      </c>
      <c r="K2683" s="2">
        <v>45779</v>
      </c>
    </row>
    <row r="2684" spans="1:11" x14ac:dyDescent="0.25">
      <c r="A2684" s="1" t="s">
        <v>490</v>
      </c>
      <c r="B2684" s="1" t="s">
        <v>1364</v>
      </c>
      <c r="C2684" s="1" t="s">
        <v>2314</v>
      </c>
      <c r="D2684" s="1" t="s">
        <v>1998</v>
      </c>
      <c r="E2684" s="1"/>
      <c r="F2684" s="1" t="s">
        <v>11</v>
      </c>
      <c r="G2684">
        <v>1</v>
      </c>
      <c r="H2684">
        <v>1</v>
      </c>
      <c r="I2684" s="2"/>
      <c r="J2684" s="2">
        <v>45779</v>
      </c>
      <c r="K2684" s="2">
        <v>45779</v>
      </c>
    </row>
    <row r="2685" spans="1:11" x14ac:dyDescent="0.25">
      <c r="A2685" s="1" t="s">
        <v>491</v>
      </c>
      <c r="B2685" s="1" t="s">
        <v>1379</v>
      </c>
      <c r="C2685" s="1" t="s">
        <v>2328</v>
      </c>
      <c r="D2685" s="1" t="s">
        <v>1998</v>
      </c>
      <c r="E2685" s="1"/>
      <c r="F2685" s="1" t="s">
        <v>11</v>
      </c>
      <c r="G2685">
        <v>2475</v>
      </c>
      <c r="H2685">
        <v>2440</v>
      </c>
      <c r="I2685" s="2"/>
      <c r="J2685" s="2">
        <v>45750</v>
      </c>
      <c r="K2685" s="2">
        <v>45786</v>
      </c>
    </row>
    <row r="2686" spans="1:11" x14ac:dyDescent="0.25">
      <c r="A2686" s="1" t="s">
        <v>491</v>
      </c>
      <c r="B2686" s="1" t="s">
        <v>1380</v>
      </c>
      <c r="C2686" s="1" t="s">
        <v>2329</v>
      </c>
      <c r="D2686" s="1" t="s">
        <v>1998</v>
      </c>
      <c r="E2686" s="1"/>
      <c r="F2686" s="1" t="s">
        <v>11</v>
      </c>
      <c r="G2686">
        <v>2040</v>
      </c>
      <c r="H2686">
        <v>2010</v>
      </c>
      <c r="I2686" s="2"/>
      <c r="J2686" s="2">
        <v>45750</v>
      </c>
      <c r="K2686" s="2">
        <v>45786</v>
      </c>
    </row>
    <row r="2687" spans="1:11" x14ac:dyDescent="0.25">
      <c r="A2687" s="1" t="s">
        <v>491</v>
      </c>
      <c r="B2687" s="1" t="s">
        <v>1381</v>
      </c>
      <c r="C2687" s="1" t="s">
        <v>2330</v>
      </c>
      <c r="D2687" s="1" t="s">
        <v>1998</v>
      </c>
      <c r="E2687" s="1"/>
      <c r="F2687" s="1" t="s">
        <v>11</v>
      </c>
      <c r="G2687">
        <v>1065</v>
      </c>
      <c r="H2687">
        <v>1455</v>
      </c>
      <c r="I2687" s="2"/>
      <c r="J2687" s="2">
        <v>45750</v>
      </c>
      <c r="K2687" s="2">
        <v>45786</v>
      </c>
    </row>
    <row r="2688" spans="1:11" x14ac:dyDescent="0.25">
      <c r="A2688" s="1" t="s">
        <v>491</v>
      </c>
      <c r="B2688" s="1" t="s">
        <v>1382</v>
      </c>
      <c r="C2688" s="1" t="s">
        <v>2331</v>
      </c>
      <c r="D2688" s="1" t="s">
        <v>1998</v>
      </c>
      <c r="E2688" s="1"/>
      <c r="F2688" s="1" t="s">
        <v>11</v>
      </c>
      <c r="G2688">
        <v>980</v>
      </c>
      <c r="H2688">
        <v>965</v>
      </c>
      <c r="I2688" s="2"/>
      <c r="J2688" s="2">
        <v>45750</v>
      </c>
      <c r="K2688" s="2">
        <v>45786</v>
      </c>
    </row>
    <row r="2689" spans="1:11" x14ac:dyDescent="0.25">
      <c r="A2689" s="1" t="s">
        <v>491</v>
      </c>
      <c r="B2689" s="1" t="s">
        <v>1383</v>
      </c>
      <c r="C2689" s="1" t="s">
        <v>2332</v>
      </c>
      <c r="D2689" s="1" t="s">
        <v>1998</v>
      </c>
      <c r="E2689" s="1"/>
      <c r="F2689" s="1" t="s">
        <v>11</v>
      </c>
      <c r="G2689">
        <v>875</v>
      </c>
      <c r="H2689">
        <v>860</v>
      </c>
      <c r="I2689" s="2"/>
      <c r="J2689" s="2">
        <v>45750</v>
      </c>
      <c r="K2689" s="2">
        <v>45786</v>
      </c>
    </row>
    <row r="2690" spans="1:11" x14ac:dyDescent="0.25">
      <c r="A2690" s="1" t="s">
        <v>491</v>
      </c>
      <c r="B2690" s="1" t="s">
        <v>1012</v>
      </c>
      <c r="C2690" s="1" t="s">
        <v>2029</v>
      </c>
      <c r="D2690" s="1" t="s">
        <v>1998</v>
      </c>
      <c r="E2690" s="1"/>
      <c r="F2690" s="1" t="s">
        <v>11</v>
      </c>
      <c r="G2690">
        <v>80</v>
      </c>
      <c r="H2690">
        <v>125</v>
      </c>
      <c r="I2690" s="2"/>
      <c r="J2690" s="2">
        <v>45750</v>
      </c>
      <c r="K2690" s="2">
        <v>45786</v>
      </c>
    </row>
    <row r="2691" spans="1:11" x14ac:dyDescent="0.25">
      <c r="A2691" s="1" t="s">
        <v>491</v>
      </c>
      <c r="B2691" s="1" t="s">
        <v>1013</v>
      </c>
      <c r="C2691" s="1" t="s">
        <v>2030</v>
      </c>
      <c r="D2691" s="1" t="s">
        <v>1998</v>
      </c>
      <c r="E2691" s="1"/>
      <c r="F2691" s="1" t="s">
        <v>11</v>
      </c>
      <c r="G2691">
        <v>55</v>
      </c>
      <c r="H2691">
        <v>85</v>
      </c>
      <c r="I2691" s="2"/>
      <c r="J2691" s="2">
        <v>45750</v>
      </c>
      <c r="K2691" s="2">
        <v>45786</v>
      </c>
    </row>
    <row r="2692" spans="1:11" x14ac:dyDescent="0.25">
      <c r="A2692" s="1" t="s">
        <v>491</v>
      </c>
      <c r="B2692" s="1" t="s">
        <v>993</v>
      </c>
      <c r="C2692" s="1" t="s">
        <v>2011</v>
      </c>
      <c r="D2692" s="1" t="s">
        <v>1998</v>
      </c>
      <c r="E2692" s="1"/>
      <c r="F2692" s="1" t="s">
        <v>11</v>
      </c>
      <c r="G2692">
        <v>20</v>
      </c>
      <c r="H2692">
        <v>20</v>
      </c>
      <c r="I2692" s="2"/>
      <c r="J2692" s="2">
        <v>45750</v>
      </c>
      <c r="K2692" s="2">
        <v>45786</v>
      </c>
    </row>
    <row r="2693" spans="1:11" x14ac:dyDescent="0.25">
      <c r="A2693" s="1" t="s">
        <v>492</v>
      </c>
      <c r="B2693" s="1" t="s">
        <v>1041</v>
      </c>
      <c r="C2693" s="1" t="s">
        <v>2051</v>
      </c>
      <c r="D2693" s="1" t="s">
        <v>1998</v>
      </c>
      <c r="E2693" s="1"/>
      <c r="F2693" s="1" t="s">
        <v>11</v>
      </c>
      <c r="G2693">
        <v>120</v>
      </c>
      <c r="H2693">
        <v>120</v>
      </c>
      <c r="I2693" s="2"/>
      <c r="J2693" s="2">
        <v>45750</v>
      </c>
      <c r="K2693" s="2">
        <v>45785</v>
      </c>
    </row>
    <row r="2694" spans="1:11" x14ac:dyDescent="0.25">
      <c r="A2694" s="1" t="s">
        <v>492</v>
      </c>
      <c r="B2694" s="1" t="s">
        <v>1042</v>
      </c>
      <c r="C2694" s="1" t="s">
        <v>2052</v>
      </c>
      <c r="D2694" s="1" t="s">
        <v>1998</v>
      </c>
      <c r="E2694" s="1"/>
      <c r="F2694" s="1" t="s">
        <v>11</v>
      </c>
      <c r="G2694">
        <v>1895</v>
      </c>
      <c r="H2694">
        <v>1855</v>
      </c>
      <c r="I2694" s="2"/>
      <c r="J2694" s="2">
        <v>45750</v>
      </c>
      <c r="K2694" s="2">
        <v>45785</v>
      </c>
    </row>
    <row r="2695" spans="1:11" x14ac:dyDescent="0.25">
      <c r="A2695" s="1" t="s">
        <v>492</v>
      </c>
      <c r="B2695" s="1" t="s">
        <v>1043</v>
      </c>
      <c r="C2695" s="1" t="s">
        <v>2053</v>
      </c>
      <c r="D2695" s="1" t="s">
        <v>1998</v>
      </c>
      <c r="E2695" s="1"/>
      <c r="F2695" s="1" t="s">
        <v>11</v>
      </c>
      <c r="G2695">
        <v>1890</v>
      </c>
      <c r="H2695">
        <v>1845</v>
      </c>
      <c r="I2695" s="2"/>
      <c r="J2695" s="2">
        <v>45750</v>
      </c>
      <c r="K2695" s="2">
        <v>45785</v>
      </c>
    </row>
    <row r="2696" spans="1:11" x14ac:dyDescent="0.25">
      <c r="A2696" s="1" t="s">
        <v>492</v>
      </c>
      <c r="B2696" s="1" t="s">
        <v>1044</v>
      </c>
      <c r="C2696" s="1" t="s">
        <v>2027</v>
      </c>
      <c r="D2696" s="1" t="s">
        <v>1998</v>
      </c>
      <c r="E2696" s="1"/>
      <c r="F2696" s="1" t="s">
        <v>11</v>
      </c>
      <c r="G2696">
        <v>1320</v>
      </c>
      <c r="H2696">
        <v>1305</v>
      </c>
      <c r="I2696" s="2"/>
      <c r="J2696" s="2">
        <v>45750</v>
      </c>
      <c r="K2696" s="2">
        <v>45785</v>
      </c>
    </row>
    <row r="2697" spans="1:11" x14ac:dyDescent="0.25">
      <c r="A2697" s="1" t="s">
        <v>492</v>
      </c>
      <c r="B2697" s="1" t="s">
        <v>1045</v>
      </c>
      <c r="C2697" s="1" t="s">
        <v>2054</v>
      </c>
      <c r="D2697" s="1" t="s">
        <v>1998</v>
      </c>
      <c r="E2697" s="1"/>
      <c r="F2697" s="1" t="s">
        <v>11</v>
      </c>
      <c r="G2697">
        <v>1285</v>
      </c>
      <c r="H2697">
        <v>1315</v>
      </c>
      <c r="I2697" s="2"/>
      <c r="J2697" s="2">
        <v>45750</v>
      </c>
      <c r="K2697" s="2">
        <v>45785</v>
      </c>
    </row>
    <row r="2698" spans="1:11" x14ac:dyDescent="0.25">
      <c r="A2698" s="1" t="s">
        <v>492</v>
      </c>
      <c r="B2698" s="1" t="s">
        <v>1012</v>
      </c>
      <c r="C2698" s="1" t="s">
        <v>2029</v>
      </c>
      <c r="D2698" s="1" t="s">
        <v>1998</v>
      </c>
      <c r="E2698" s="1"/>
      <c r="F2698" s="1" t="s">
        <v>11</v>
      </c>
      <c r="G2698">
        <v>160</v>
      </c>
      <c r="H2698">
        <v>10</v>
      </c>
      <c r="I2698" s="2"/>
      <c r="J2698" s="2">
        <v>45750</v>
      </c>
      <c r="K2698" s="2">
        <v>45785</v>
      </c>
    </row>
    <row r="2699" spans="1:11" x14ac:dyDescent="0.25">
      <c r="A2699" s="1" t="s">
        <v>492</v>
      </c>
      <c r="B2699" s="1" t="s">
        <v>1046</v>
      </c>
      <c r="C2699" s="1" t="s">
        <v>2055</v>
      </c>
      <c r="D2699" s="1" t="s">
        <v>1998</v>
      </c>
      <c r="E2699" s="1"/>
      <c r="F2699" s="1" t="s">
        <v>11</v>
      </c>
      <c r="G2699">
        <v>15</v>
      </c>
      <c r="H2699">
        <v>15</v>
      </c>
      <c r="I2699" s="2"/>
      <c r="J2699" s="2">
        <v>45750</v>
      </c>
      <c r="K2699" s="2">
        <v>45785</v>
      </c>
    </row>
    <row r="2700" spans="1:11" x14ac:dyDescent="0.25">
      <c r="A2700" s="1" t="s">
        <v>492</v>
      </c>
      <c r="B2700" s="1" t="s">
        <v>1013</v>
      </c>
      <c r="C2700" s="1" t="s">
        <v>2030</v>
      </c>
      <c r="D2700" s="1" t="s">
        <v>1998</v>
      </c>
      <c r="E2700" s="1"/>
      <c r="F2700" s="1" t="s">
        <v>11</v>
      </c>
      <c r="G2700">
        <v>115</v>
      </c>
      <c r="H2700">
        <v>10</v>
      </c>
      <c r="I2700" s="2"/>
      <c r="J2700" s="2">
        <v>45750</v>
      </c>
      <c r="K2700" s="2">
        <v>45785</v>
      </c>
    </row>
    <row r="2701" spans="1:11" x14ac:dyDescent="0.25">
      <c r="A2701" s="1" t="s">
        <v>492</v>
      </c>
      <c r="B2701" s="1" t="s">
        <v>993</v>
      </c>
      <c r="C2701" s="1" t="s">
        <v>2011</v>
      </c>
      <c r="D2701" s="1" t="s">
        <v>1998</v>
      </c>
      <c r="E2701" s="1"/>
      <c r="F2701" s="1" t="s">
        <v>11</v>
      </c>
      <c r="G2701">
        <v>40</v>
      </c>
      <c r="H2701">
        <v>40</v>
      </c>
      <c r="I2701" s="2"/>
      <c r="J2701" s="2">
        <v>45750</v>
      </c>
      <c r="K2701" s="2">
        <v>45785</v>
      </c>
    </row>
    <row r="2702" spans="1:11" x14ac:dyDescent="0.25">
      <c r="A2702" s="1" t="s">
        <v>493</v>
      </c>
      <c r="B2702" s="1" t="s">
        <v>1166</v>
      </c>
      <c r="C2702" s="1" t="s">
        <v>2160</v>
      </c>
      <c r="D2702" s="1" t="s">
        <v>1998</v>
      </c>
      <c r="E2702" s="1"/>
      <c r="F2702" s="1" t="s">
        <v>11</v>
      </c>
      <c r="G2702">
        <v>285</v>
      </c>
      <c r="H2702">
        <v>285</v>
      </c>
      <c r="I2702" s="2"/>
      <c r="J2702" s="2">
        <v>45750</v>
      </c>
      <c r="K2702" s="2">
        <v>45779</v>
      </c>
    </row>
    <row r="2703" spans="1:11" x14ac:dyDescent="0.25">
      <c r="A2703" s="1" t="s">
        <v>493</v>
      </c>
      <c r="B2703" s="1" t="s">
        <v>1167</v>
      </c>
      <c r="C2703" s="1" t="s">
        <v>2161</v>
      </c>
      <c r="D2703" s="1" t="s">
        <v>1998</v>
      </c>
      <c r="E2703" s="1"/>
      <c r="F2703" s="1" t="s">
        <v>11</v>
      </c>
      <c r="G2703">
        <v>1820</v>
      </c>
      <c r="H2703">
        <v>1820</v>
      </c>
      <c r="I2703" s="2"/>
      <c r="J2703" s="2">
        <v>45750</v>
      </c>
      <c r="K2703" s="2">
        <v>45779</v>
      </c>
    </row>
    <row r="2704" spans="1:11" x14ac:dyDescent="0.25">
      <c r="A2704" s="1" t="s">
        <v>493</v>
      </c>
      <c r="B2704" s="1" t="s">
        <v>1168</v>
      </c>
      <c r="C2704" s="1" t="s">
        <v>2162</v>
      </c>
      <c r="D2704" s="1" t="s">
        <v>1998</v>
      </c>
      <c r="E2704" s="1"/>
      <c r="F2704" s="1" t="s">
        <v>11</v>
      </c>
      <c r="G2704">
        <v>305</v>
      </c>
      <c r="H2704">
        <v>305</v>
      </c>
      <c r="I2704" s="2"/>
      <c r="J2704" s="2">
        <v>45750</v>
      </c>
      <c r="K2704" s="2">
        <v>45779</v>
      </c>
    </row>
    <row r="2705" spans="1:11" x14ac:dyDescent="0.25">
      <c r="A2705" s="1" t="s">
        <v>493</v>
      </c>
      <c r="B2705" s="1" t="s">
        <v>1169</v>
      </c>
      <c r="C2705" s="1" t="s">
        <v>2163</v>
      </c>
      <c r="D2705" s="1" t="s">
        <v>1998</v>
      </c>
      <c r="E2705" s="1"/>
      <c r="F2705" s="1" t="s">
        <v>11</v>
      </c>
      <c r="G2705">
        <v>5200</v>
      </c>
      <c r="H2705">
        <v>5200</v>
      </c>
      <c r="I2705" s="2"/>
      <c r="J2705" s="2">
        <v>45750</v>
      </c>
      <c r="K2705" s="2">
        <v>45779</v>
      </c>
    </row>
    <row r="2706" spans="1:11" x14ac:dyDescent="0.25">
      <c r="A2706" s="1" t="s">
        <v>493</v>
      </c>
      <c r="B2706" s="1" t="s">
        <v>1039</v>
      </c>
      <c r="C2706" s="1" t="s">
        <v>2049</v>
      </c>
      <c r="D2706" s="1" t="s">
        <v>1998</v>
      </c>
      <c r="E2706" s="1"/>
      <c r="F2706" s="1" t="s">
        <v>11</v>
      </c>
      <c r="G2706">
        <v>5</v>
      </c>
      <c r="H2706">
        <v>15</v>
      </c>
      <c r="I2706" s="2"/>
      <c r="J2706" s="2">
        <v>45750</v>
      </c>
      <c r="K2706" s="2">
        <v>45779</v>
      </c>
    </row>
    <row r="2707" spans="1:11" x14ac:dyDescent="0.25">
      <c r="A2707" s="1" t="s">
        <v>493</v>
      </c>
      <c r="B2707" s="1" t="s">
        <v>1087</v>
      </c>
      <c r="C2707" s="1" t="s">
        <v>2090</v>
      </c>
      <c r="D2707" s="1" t="s">
        <v>1998</v>
      </c>
      <c r="E2707" s="1"/>
      <c r="F2707" s="1" t="s">
        <v>11</v>
      </c>
      <c r="G2707">
        <v>20</v>
      </c>
      <c r="H2707">
        <v>20</v>
      </c>
      <c r="I2707" s="2"/>
      <c r="J2707" s="2">
        <v>45750</v>
      </c>
      <c r="K2707" s="2">
        <v>45779</v>
      </c>
    </row>
    <row r="2708" spans="1:11" x14ac:dyDescent="0.25">
      <c r="A2708" s="1" t="s">
        <v>493</v>
      </c>
      <c r="B2708" s="1" t="s">
        <v>1040</v>
      </c>
      <c r="C2708" s="1" t="s">
        <v>2050</v>
      </c>
      <c r="D2708" s="1" t="s">
        <v>1998</v>
      </c>
      <c r="E2708" s="1"/>
      <c r="F2708" s="1" t="s">
        <v>11</v>
      </c>
      <c r="G2708">
        <v>20</v>
      </c>
      <c r="H2708">
        <v>20</v>
      </c>
      <c r="I2708" s="2"/>
      <c r="J2708" s="2">
        <v>45750</v>
      </c>
      <c r="K2708" s="2">
        <v>45779</v>
      </c>
    </row>
    <row r="2709" spans="1:11" x14ac:dyDescent="0.25">
      <c r="A2709" s="1" t="s">
        <v>493</v>
      </c>
      <c r="B2709" s="1" t="s">
        <v>1040</v>
      </c>
      <c r="C2709" s="1" t="s">
        <v>2050</v>
      </c>
      <c r="D2709" s="1" t="s">
        <v>1998</v>
      </c>
      <c r="E2709" s="1"/>
      <c r="F2709" s="1" t="s">
        <v>11</v>
      </c>
      <c r="G2709">
        <v>5</v>
      </c>
      <c r="H2709">
        <v>5</v>
      </c>
      <c r="I2709" s="2"/>
      <c r="J2709" s="2">
        <v>45750</v>
      </c>
      <c r="K2709" s="2">
        <v>45779</v>
      </c>
    </row>
    <row r="2710" spans="1:11" x14ac:dyDescent="0.25">
      <c r="A2710" s="1" t="s">
        <v>493</v>
      </c>
      <c r="B2710" s="1" t="s">
        <v>1027</v>
      </c>
      <c r="C2710" s="1" t="s">
        <v>2040</v>
      </c>
      <c r="D2710" s="1" t="s">
        <v>1998</v>
      </c>
      <c r="E2710" s="1"/>
      <c r="F2710" s="1" t="s">
        <v>12</v>
      </c>
      <c r="G2710">
        <v>1</v>
      </c>
      <c r="H2710">
        <v>125</v>
      </c>
      <c r="I2710" s="2"/>
      <c r="J2710" s="2">
        <v>45750</v>
      </c>
      <c r="K2710" s="2">
        <v>45779</v>
      </c>
    </row>
    <row r="2711" spans="1:11" x14ac:dyDescent="0.25">
      <c r="A2711" s="1" t="s">
        <v>493</v>
      </c>
      <c r="B2711" s="1" t="s">
        <v>1013</v>
      </c>
      <c r="C2711" s="1" t="s">
        <v>2030</v>
      </c>
      <c r="D2711" s="1" t="s">
        <v>1998</v>
      </c>
      <c r="E2711" s="1"/>
      <c r="F2711" s="1" t="s">
        <v>11</v>
      </c>
      <c r="G2711">
        <v>20</v>
      </c>
      <c r="H2711">
        <v>20</v>
      </c>
      <c r="I2711" s="2"/>
      <c r="J2711" s="2">
        <v>45750</v>
      </c>
      <c r="K2711" s="2">
        <v>45779</v>
      </c>
    </row>
    <row r="2712" spans="1:11" x14ac:dyDescent="0.25">
      <c r="A2712" s="1" t="s">
        <v>493</v>
      </c>
      <c r="B2712" s="1" t="s">
        <v>1013</v>
      </c>
      <c r="C2712" s="1" t="s">
        <v>2030</v>
      </c>
      <c r="D2712" s="1" t="s">
        <v>1998</v>
      </c>
      <c r="E2712" s="1"/>
      <c r="F2712" s="1" t="s">
        <v>12</v>
      </c>
      <c r="G2712">
        <v>1</v>
      </c>
      <c r="H2712">
        <v>30</v>
      </c>
      <c r="I2712" s="2"/>
      <c r="J2712" s="2">
        <v>45750</v>
      </c>
      <c r="K2712" s="2">
        <v>45779</v>
      </c>
    </row>
    <row r="2713" spans="1:11" x14ac:dyDescent="0.25">
      <c r="A2713" s="1" t="s">
        <v>493</v>
      </c>
      <c r="B2713" s="1" t="s">
        <v>993</v>
      </c>
      <c r="C2713" s="1" t="s">
        <v>2011</v>
      </c>
      <c r="D2713" s="1" t="s">
        <v>1998</v>
      </c>
      <c r="E2713" s="1"/>
      <c r="F2713" s="1" t="s">
        <v>11</v>
      </c>
      <c r="G2713">
        <v>5</v>
      </c>
      <c r="H2713">
        <v>5</v>
      </c>
      <c r="I2713" s="2"/>
      <c r="J2713" s="2">
        <v>45750</v>
      </c>
      <c r="K2713" s="2">
        <v>45779</v>
      </c>
    </row>
    <row r="2714" spans="1:11" x14ac:dyDescent="0.25">
      <c r="A2714" s="1" t="s">
        <v>493</v>
      </c>
      <c r="B2714" s="1" t="s">
        <v>993</v>
      </c>
      <c r="C2714" s="1" t="s">
        <v>2011</v>
      </c>
      <c r="D2714" s="1" t="s">
        <v>1998</v>
      </c>
      <c r="E2714" s="1"/>
      <c r="F2714" s="1" t="s">
        <v>11</v>
      </c>
      <c r="G2714">
        <v>15</v>
      </c>
      <c r="H2714">
        <v>15</v>
      </c>
      <c r="I2714" s="2"/>
      <c r="J2714" s="2">
        <v>45750</v>
      </c>
      <c r="K2714" s="2">
        <v>45779</v>
      </c>
    </row>
    <row r="2715" spans="1:11" x14ac:dyDescent="0.25">
      <c r="A2715" s="1" t="s">
        <v>493</v>
      </c>
      <c r="B2715" s="1" t="s">
        <v>1170</v>
      </c>
      <c r="C2715" s="1" t="s">
        <v>2164</v>
      </c>
      <c r="D2715" s="1" t="s">
        <v>1998</v>
      </c>
      <c r="E2715" s="1"/>
      <c r="F2715" s="1" t="s">
        <v>11</v>
      </c>
      <c r="G2715">
        <v>170</v>
      </c>
      <c r="H2715">
        <v>160</v>
      </c>
      <c r="I2715" s="2"/>
      <c r="J2715" s="2">
        <v>45750</v>
      </c>
      <c r="K2715" s="2">
        <v>45779</v>
      </c>
    </row>
    <row r="2716" spans="1:11" x14ac:dyDescent="0.25">
      <c r="A2716" s="1" t="s">
        <v>493</v>
      </c>
      <c r="B2716" s="1" t="s">
        <v>1171</v>
      </c>
      <c r="C2716" s="1" t="s">
        <v>2165</v>
      </c>
      <c r="D2716" s="1" t="s">
        <v>1998</v>
      </c>
      <c r="E2716" s="1"/>
      <c r="F2716" s="1" t="s">
        <v>11</v>
      </c>
      <c r="G2716">
        <v>5160</v>
      </c>
      <c r="H2716">
        <v>5075</v>
      </c>
      <c r="I2716" s="2"/>
      <c r="J2716" s="2">
        <v>45750</v>
      </c>
      <c r="K2716" s="2">
        <v>45779</v>
      </c>
    </row>
    <row r="2717" spans="1:11" x14ac:dyDescent="0.25">
      <c r="A2717" s="1" t="s">
        <v>494</v>
      </c>
      <c r="B2717" s="1" t="s">
        <v>1021</v>
      </c>
      <c r="C2717" s="1" t="s">
        <v>2038</v>
      </c>
      <c r="D2717" s="1" t="s">
        <v>1998</v>
      </c>
      <c r="E2717" s="1"/>
      <c r="F2717" s="1" t="s">
        <v>11</v>
      </c>
      <c r="G2717">
        <v>12210</v>
      </c>
      <c r="H2717">
        <v>12685</v>
      </c>
      <c r="I2717" s="2"/>
      <c r="J2717" s="2">
        <v>45749</v>
      </c>
      <c r="K2717" s="2">
        <v>45772</v>
      </c>
    </row>
    <row r="2718" spans="1:11" x14ac:dyDescent="0.25">
      <c r="A2718" s="1" t="s">
        <v>494</v>
      </c>
      <c r="B2718" s="1" t="s">
        <v>1022</v>
      </c>
      <c r="C2718" s="1" t="s">
        <v>2039</v>
      </c>
      <c r="D2718" s="1" t="s">
        <v>1998</v>
      </c>
      <c r="E2718" s="1"/>
      <c r="F2718" s="1" t="s">
        <v>11</v>
      </c>
      <c r="G2718">
        <v>11240</v>
      </c>
      <c r="H2718">
        <v>11675</v>
      </c>
      <c r="I2718" s="2"/>
      <c r="J2718" s="2">
        <v>45749</v>
      </c>
      <c r="K2718" s="2">
        <v>45772</v>
      </c>
    </row>
    <row r="2719" spans="1:11" x14ac:dyDescent="0.25">
      <c r="A2719" s="1" t="s">
        <v>494</v>
      </c>
      <c r="B2719" s="1" t="s">
        <v>1173</v>
      </c>
      <c r="C2719" s="1" t="s">
        <v>2167</v>
      </c>
      <c r="D2719" s="1" t="s">
        <v>1998</v>
      </c>
      <c r="E2719" s="1"/>
      <c r="F2719" s="1" t="s">
        <v>11</v>
      </c>
      <c r="G2719">
        <v>285</v>
      </c>
      <c r="H2719">
        <v>365</v>
      </c>
      <c r="I2719" s="2"/>
      <c r="J2719" s="2">
        <v>45749</v>
      </c>
      <c r="K2719" s="2">
        <v>45772</v>
      </c>
    </row>
    <row r="2720" spans="1:11" x14ac:dyDescent="0.25">
      <c r="A2720" s="1" t="s">
        <v>494</v>
      </c>
      <c r="B2720" s="1" t="s">
        <v>999</v>
      </c>
      <c r="C2720" s="1" t="s">
        <v>2017</v>
      </c>
      <c r="D2720" s="1" t="s">
        <v>1998</v>
      </c>
      <c r="E2720" s="1"/>
      <c r="F2720" s="1" t="s">
        <v>11</v>
      </c>
      <c r="G2720">
        <v>1</v>
      </c>
      <c r="H2720">
        <v>1</v>
      </c>
      <c r="I2720" s="2"/>
      <c r="J2720" s="2">
        <v>45749</v>
      </c>
      <c r="K2720" s="2">
        <v>45772</v>
      </c>
    </row>
    <row r="2721" spans="1:11" x14ac:dyDescent="0.25">
      <c r="A2721" s="1" t="s">
        <v>494</v>
      </c>
      <c r="B2721" s="1" t="s">
        <v>1000</v>
      </c>
      <c r="C2721" s="1" t="s">
        <v>2018</v>
      </c>
      <c r="D2721" s="1" t="s">
        <v>1998</v>
      </c>
      <c r="E2721" s="1"/>
      <c r="F2721" s="1" t="s">
        <v>11</v>
      </c>
      <c r="G2721">
        <v>1</v>
      </c>
      <c r="H2721">
        <v>1</v>
      </c>
      <c r="I2721" s="2"/>
      <c r="J2721" s="2">
        <v>45749</v>
      </c>
      <c r="K2721" s="2">
        <v>45772</v>
      </c>
    </row>
    <row r="2722" spans="1:11" x14ac:dyDescent="0.25">
      <c r="A2722" s="1" t="s">
        <v>494</v>
      </c>
      <c r="B2722" s="1" t="s">
        <v>1001</v>
      </c>
      <c r="C2722" s="1" t="s">
        <v>2019</v>
      </c>
      <c r="D2722" s="1" t="s">
        <v>1998</v>
      </c>
      <c r="E2722" s="1"/>
      <c r="F2722" s="1" t="s">
        <v>11</v>
      </c>
      <c r="G2722">
        <v>1</v>
      </c>
      <c r="H2722">
        <v>1</v>
      </c>
      <c r="I2722" s="2"/>
      <c r="J2722" s="2">
        <v>45749</v>
      </c>
      <c r="K2722" s="2">
        <v>45772</v>
      </c>
    </row>
    <row r="2723" spans="1:11" x14ac:dyDescent="0.25">
      <c r="A2723" s="1" t="s">
        <v>495</v>
      </c>
      <c r="B2723" s="1" t="s">
        <v>1444</v>
      </c>
      <c r="C2723" s="1" t="s">
        <v>2383</v>
      </c>
      <c r="D2723" s="1" t="s">
        <v>1998</v>
      </c>
      <c r="E2723" s="1"/>
      <c r="F2723" s="1" t="s">
        <v>11</v>
      </c>
      <c r="G2723">
        <v>1</v>
      </c>
      <c r="H2723">
        <v>1</v>
      </c>
      <c r="I2723" s="2"/>
      <c r="J2723" s="2">
        <v>45751</v>
      </c>
      <c r="K2723" s="2">
        <v>45785</v>
      </c>
    </row>
    <row r="2724" spans="1:11" x14ac:dyDescent="0.25">
      <c r="A2724" s="1" t="s">
        <v>495</v>
      </c>
      <c r="B2724" s="1" t="s">
        <v>1445</v>
      </c>
      <c r="C2724" s="1" t="s">
        <v>2384</v>
      </c>
      <c r="D2724" s="1" t="s">
        <v>1998</v>
      </c>
      <c r="E2724" s="1"/>
      <c r="F2724" s="1" t="s">
        <v>11</v>
      </c>
      <c r="G2724">
        <v>1</v>
      </c>
      <c r="H2724">
        <v>1</v>
      </c>
      <c r="I2724" s="2"/>
      <c r="J2724" s="2">
        <v>45751</v>
      </c>
      <c r="K2724" s="2">
        <v>45785</v>
      </c>
    </row>
    <row r="2725" spans="1:11" x14ac:dyDescent="0.25">
      <c r="A2725" s="1" t="s">
        <v>495</v>
      </c>
      <c r="B2725" s="1" t="s">
        <v>1446</v>
      </c>
      <c r="C2725" s="1" t="s">
        <v>2385</v>
      </c>
      <c r="D2725" s="1" t="s">
        <v>1998</v>
      </c>
      <c r="E2725" s="1"/>
      <c r="F2725" s="1" t="s">
        <v>11</v>
      </c>
      <c r="G2725">
        <v>1</v>
      </c>
      <c r="H2725">
        <v>1</v>
      </c>
      <c r="I2725" s="2"/>
      <c r="J2725" s="2">
        <v>45751</v>
      </c>
      <c r="K2725" s="2">
        <v>45785</v>
      </c>
    </row>
    <row r="2726" spans="1:11" x14ac:dyDescent="0.25">
      <c r="A2726" s="1" t="s">
        <v>495</v>
      </c>
      <c r="B2726" s="1" t="s">
        <v>1447</v>
      </c>
      <c r="C2726" s="1" t="s">
        <v>2161</v>
      </c>
      <c r="D2726" s="1" t="s">
        <v>1998</v>
      </c>
      <c r="E2726" s="1"/>
      <c r="F2726" s="1" t="s">
        <v>11</v>
      </c>
      <c r="G2726">
        <v>1</v>
      </c>
      <c r="H2726">
        <v>1</v>
      </c>
      <c r="I2726" s="2"/>
      <c r="J2726" s="2">
        <v>45751</v>
      </c>
      <c r="K2726" s="2">
        <v>45785</v>
      </c>
    </row>
    <row r="2727" spans="1:11" x14ac:dyDescent="0.25">
      <c r="A2727" s="1" t="s">
        <v>495</v>
      </c>
      <c r="B2727" s="1" t="s">
        <v>1448</v>
      </c>
      <c r="C2727" s="1" t="s">
        <v>2386</v>
      </c>
      <c r="D2727" s="1" t="s">
        <v>1998</v>
      </c>
      <c r="E2727" s="1"/>
      <c r="F2727" s="1" t="s">
        <v>11</v>
      </c>
      <c r="G2727">
        <v>1</v>
      </c>
      <c r="H2727">
        <v>1</v>
      </c>
      <c r="I2727" s="2"/>
      <c r="J2727" s="2">
        <v>45751</v>
      </c>
      <c r="K2727" s="2">
        <v>45785</v>
      </c>
    </row>
    <row r="2728" spans="1:11" x14ac:dyDescent="0.25">
      <c r="A2728" s="1" t="s">
        <v>495</v>
      </c>
      <c r="B2728" s="1" t="s">
        <v>1449</v>
      </c>
      <c r="C2728" s="1" t="s">
        <v>2387</v>
      </c>
      <c r="D2728" s="1" t="s">
        <v>1998</v>
      </c>
      <c r="E2728" s="1"/>
      <c r="F2728" s="1" t="s">
        <v>11</v>
      </c>
      <c r="G2728">
        <v>20</v>
      </c>
      <c r="H2728">
        <v>20</v>
      </c>
      <c r="I2728" s="2"/>
      <c r="J2728" s="2">
        <v>45751</v>
      </c>
      <c r="K2728" s="2">
        <v>45785</v>
      </c>
    </row>
    <row r="2729" spans="1:11" x14ac:dyDescent="0.25">
      <c r="A2729" s="1" t="s">
        <v>495</v>
      </c>
      <c r="B2729" s="1" t="s">
        <v>1449</v>
      </c>
      <c r="C2729" s="1" t="s">
        <v>2387</v>
      </c>
      <c r="D2729" s="1" t="s">
        <v>1998</v>
      </c>
      <c r="E2729" s="1"/>
      <c r="F2729" s="1" t="s">
        <v>11</v>
      </c>
      <c r="G2729">
        <v>15</v>
      </c>
      <c r="H2729">
        <v>5</v>
      </c>
      <c r="I2729" s="2"/>
      <c r="J2729" s="2">
        <v>45751</v>
      </c>
      <c r="K2729" s="2">
        <v>45785</v>
      </c>
    </row>
    <row r="2730" spans="1:11" x14ac:dyDescent="0.25">
      <c r="A2730" s="1" t="s">
        <v>495</v>
      </c>
      <c r="B2730" s="1" t="s">
        <v>1450</v>
      </c>
      <c r="C2730" s="1" t="s">
        <v>2388</v>
      </c>
      <c r="D2730" s="1" t="s">
        <v>1998</v>
      </c>
      <c r="E2730" s="1"/>
      <c r="F2730" s="1" t="s">
        <v>11</v>
      </c>
      <c r="G2730">
        <v>1</v>
      </c>
      <c r="H2730">
        <v>1</v>
      </c>
      <c r="I2730" s="2"/>
      <c r="J2730" s="2">
        <v>45751</v>
      </c>
      <c r="K2730" s="2">
        <v>45785</v>
      </c>
    </row>
    <row r="2731" spans="1:11" x14ac:dyDescent="0.25">
      <c r="A2731" s="1" t="s">
        <v>496</v>
      </c>
      <c r="B2731" s="1" t="s">
        <v>1584</v>
      </c>
      <c r="C2731" s="1" t="s">
        <v>2014</v>
      </c>
      <c r="D2731" s="1" t="s">
        <v>1998</v>
      </c>
      <c r="E2731" s="1"/>
      <c r="F2731" s="1" t="s">
        <v>11</v>
      </c>
      <c r="G2731">
        <v>7865</v>
      </c>
      <c r="H2731">
        <v>7865</v>
      </c>
      <c r="I2731" s="2"/>
      <c r="J2731" s="2">
        <v>45756</v>
      </c>
      <c r="K2731" s="2">
        <v>45772</v>
      </c>
    </row>
    <row r="2732" spans="1:11" x14ac:dyDescent="0.25">
      <c r="A2732" s="1" t="s">
        <v>496</v>
      </c>
      <c r="B2732" s="1" t="s">
        <v>1585</v>
      </c>
      <c r="C2732" s="1" t="s">
        <v>2504</v>
      </c>
      <c r="D2732" s="1" t="s">
        <v>1998</v>
      </c>
      <c r="E2732" s="1"/>
      <c r="F2732" s="1" t="s">
        <v>11</v>
      </c>
      <c r="G2732">
        <v>250</v>
      </c>
      <c r="H2732">
        <v>250</v>
      </c>
      <c r="I2732" s="2"/>
      <c r="J2732" s="2">
        <v>45756</v>
      </c>
      <c r="K2732" s="2">
        <v>45772</v>
      </c>
    </row>
    <row r="2733" spans="1:11" x14ac:dyDescent="0.25">
      <c r="A2733" s="1" t="s">
        <v>496</v>
      </c>
      <c r="B2733" s="1" t="s">
        <v>1027</v>
      </c>
      <c r="C2733" s="1" t="s">
        <v>2040</v>
      </c>
      <c r="D2733" s="1" t="s">
        <v>1998</v>
      </c>
      <c r="E2733" s="1"/>
      <c r="F2733" s="1" t="s">
        <v>12</v>
      </c>
      <c r="G2733">
        <v>1</v>
      </c>
      <c r="H2733">
        <v>150</v>
      </c>
      <c r="I2733" s="2"/>
      <c r="J2733" s="2">
        <v>45756</v>
      </c>
      <c r="K2733" s="2">
        <v>45772</v>
      </c>
    </row>
    <row r="2734" spans="1:11" x14ac:dyDescent="0.25">
      <c r="A2734" s="1" t="s">
        <v>496</v>
      </c>
      <c r="B2734" s="1" t="s">
        <v>1513</v>
      </c>
      <c r="C2734" s="1" t="s">
        <v>2446</v>
      </c>
      <c r="D2734" s="1" t="s">
        <v>1998</v>
      </c>
      <c r="E2734" s="1"/>
      <c r="F2734" s="1" t="s">
        <v>11</v>
      </c>
      <c r="G2734">
        <v>25</v>
      </c>
      <c r="H2734">
        <v>25</v>
      </c>
      <c r="I2734" s="2"/>
      <c r="J2734" s="2">
        <v>45756</v>
      </c>
      <c r="K2734" s="2">
        <v>45772</v>
      </c>
    </row>
    <row r="2735" spans="1:11" x14ac:dyDescent="0.25">
      <c r="A2735" s="1" t="s">
        <v>496</v>
      </c>
      <c r="B2735" s="1" t="s">
        <v>1013</v>
      </c>
      <c r="C2735" s="1" t="s">
        <v>2030</v>
      </c>
      <c r="D2735" s="1" t="s">
        <v>1998</v>
      </c>
      <c r="E2735" s="1"/>
      <c r="F2735" s="1" t="s">
        <v>12</v>
      </c>
      <c r="G2735">
        <v>1</v>
      </c>
      <c r="H2735">
        <v>70</v>
      </c>
      <c r="I2735" s="2"/>
      <c r="J2735" s="2">
        <v>45756</v>
      </c>
      <c r="K2735" s="2">
        <v>45772</v>
      </c>
    </row>
    <row r="2736" spans="1:11" x14ac:dyDescent="0.25">
      <c r="A2736" s="1" t="s">
        <v>496</v>
      </c>
      <c r="B2736" s="1" t="s">
        <v>1586</v>
      </c>
      <c r="C2736" s="1" t="s">
        <v>2505</v>
      </c>
      <c r="D2736" s="1" t="s">
        <v>1998</v>
      </c>
      <c r="E2736" s="1"/>
      <c r="F2736" s="1" t="s">
        <v>11</v>
      </c>
      <c r="G2736">
        <v>1170</v>
      </c>
      <c r="H2736">
        <v>1170</v>
      </c>
      <c r="I2736" s="2"/>
      <c r="J2736" s="2">
        <v>45756</v>
      </c>
      <c r="K2736" s="2">
        <v>45772</v>
      </c>
    </row>
    <row r="2737" spans="1:11" x14ac:dyDescent="0.25">
      <c r="A2737" s="1" t="s">
        <v>497</v>
      </c>
      <c r="B2737" s="1" t="s">
        <v>1264</v>
      </c>
      <c r="C2737" s="1" t="s">
        <v>2241</v>
      </c>
      <c r="D2737" s="1" t="s">
        <v>1998</v>
      </c>
      <c r="E2737" s="1"/>
      <c r="F2737" s="1" t="s">
        <v>12</v>
      </c>
      <c r="G2737">
        <v>1</v>
      </c>
      <c r="H2737">
        <v>60</v>
      </c>
      <c r="I2737" s="2"/>
      <c r="J2737" s="2">
        <v>45763</v>
      </c>
      <c r="K2737" s="2">
        <v>45777</v>
      </c>
    </row>
    <row r="2738" spans="1:11" x14ac:dyDescent="0.25">
      <c r="A2738" s="1" t="s">
        <v>497</v>
      </c>
      <c r="B2738" s="1" t="s">
        <v>1265</v>
      </c>
      <c r="C2738" s="1" t="s">
        <v>2242</v>
      </c>
      <c r="D2738" s="1" t="s">
        <v>1998</v>
      </c>
      <c r="E2738" s="1"/>
      <c r="F2738" s="1" t="s">
        <v>11</v>
      </c>
      <c r="G2738">
        <v>1520</v>
      </c>
      <c r="H2738">
        <v>1535</v>
      </c>
      <c r="I2738" s="2"/>
      <c r="J2738" s="2">
        <v>45763</v>
      </c>
      <c r="K2738" s="2">
        <v>45777</v>
      </c>
    </row>
    <row r="2739" spans="1:11" x14ac:dyDescent="0.25">
      <c r="A2739" s="1" t="s">
        <v>497</v>
      </c>
      <c r="B2739" s="1" t="s">
        <v>1267</v>
      </c>
      <c r="C2739" s="1" t="s">
        <v>2244</v>
      </c>
      <c r="D2739" s="1" t="s">
        <v>1998</v>
      </c>
      <c r="E2739" s="1"/>
      <c r="F2739" s="1" t="s">
        <v>11</v>
      </c>
      <c r="G2739">
        <v>45</v>
      </c>
      <c r="H2739">
        <v>50</v>
      </c>
      <c r="I2739" s="2"/>
      <c r="J2739" s="2">
        <v>45763</v>
      </c>
      <c r="K2739" s="2">
        <v>45777</v>
      </c>
    </row>
    <row r="2740" spans="1:11" x14ac:dyDescent="0.25">
      <c r="A2740" s="1" t="s">
        <v>497</v>
      </c>
      <c r="B2740" s="1" t="s">
        <v>1206</v>
      </c>
      <c r="C2740" s="1" t="s">
        <v>2196</v>
      </c>
      <c r="D2740" s="1" t="s">
        <v>1998</v>
      </c>
      <c r="E2740" s="1"/>
      <c r="F2740" s="1" t="s">
        <v>11</v>
      </c>
      <c r="G2740">
        <v>5</v>
      </c>
      <c r="H2740">
        <v>5</v>
      </c>
      <c r="I2740" s="2"/>
      <c r="J2740" s="2">
        <v>45763</v>
      </c>
      <c r="K2740" s="2">
        <v>45777</v>
      </c>
    </row>
    <row r="2741" spans="1:11" x14ac:dyDescent="0.25">
      <c r="A2741" s="1" t="s">
        <v>497</v>
      </c>
      <c r="B2741" s="1" t="s">
        <v>1266</v>
      </c>
      <c r="C2741" s="1" t="s">
        <v>2243</v>
      </c>
      <c r="D2741" s="1" t="s">
        <v>1998</v>
      </c>
      <c r="E2741" s="1"/>
      <c r="F2741" s="1" t="s">
        <v>11</v>
      </c>
      <c r="G2741">
        <v>10</v>
      </c>
      <c r="H2741">
        <v>10</v>
      </c>
      <c r="I2741" s="2"/>
      <c r="J2741" s="2">
        <v>45763</v>
      </c>
      <c r="K2741" s="2">
        <v>45777</v>
      </c>
    </row>
    <row r="2742" spans="1:11" x14ac:dyDescent="0.25">
      <c r="A2742" s="1" t="s">
        <v>498</v>
      </c>
      <c r="B2742" s="1" t="s">
        <v>1587</v>
      </c>
      <c r="C2742" s="1" t="s">
        <v>2506</v>
      </c>
      <c r="D2742" s="1" t="s">
        <v>1998</v>
      </c>
      <c r="E2742" s="1"/>
      <c r="F2742" s="1" t="s">
        <v>11</v>
      </c>
      <c r="G2742">
        <v>855</v>
      </c>
      <c r="H2742">
        <v>855</v>
      </c>
      <c r="I2742" s="2"/>
      <c r="J2742" s="2">
        <v>45763</v>
      </c>
      <c r="K2742" s="2">
        <v>45763</v>
      </c>
    </row>
    <row r="2743" spans="1:11" x14ac:dyDescent="0.25">
      <c r="A2743" s="1" t="s">
        <v>498</v>
      </c>
      <c r="B2743" s="1" t="s">
        <v>1206</v>
      </c>
      <c r="C2743" s="1" t="s">
        <v>2196</v>
      </c>
      <c r="D2743" s="1" t="s">
        <v>1998</v>
      </c>
      <c r="E2743" s="1"/>
      <c r="F2743" s="1" t="s">
        <v>11</v>
      </c>
      <c r="G2743">
        <v>1</v>
      </c>
      <c r="H2743">
        <v>1</v>
      </c>
      <c r="I2743" s="2"/>
      <c r="J2743" s="2">
        <v>45763</v>
      </c>
      <c r="K2743" s="2">
        <v>45763</v>
      </c>
    </row>
    <row r="2744" spans="1:11" x14ac:dyDescent="0.25">
      <c r="A2744" s="1" t="s">
        <v>498</v>
      </c>
      <c r="B2744" s="1" t="s">
        <v>1359</v>
      </c>
      <c r="C2744" s="1" t="s">
        <v>2309</v>
      </c>
      <c r="D2744" s="1" t="s">
        <v>1998</v>
      </c>
      <c r="E2744" s="1"/>
      <c r="F2744" s="1" t="s">
        <v>11</v>
      </c>
      <c r="G2744">
        <v>40</v>
      </c>
      <c r="H2744">
        <v>40</v>
      </c>
      <c r="I2744" s="2"/>
      <c r="J2744" s="2">
        <v>45763</v>
      </c>
      <c r="K2744" s="2">
        <v>45763</v>
      </c>
    </row>
    <row r="2745" spans="1:11" x14ac:dyDescent="0.25">
      <c r="A2745" s="1" t="s">
        <v>498</v>
      </c>
      <c r="B2745" s="1" t="s">
        <v>1266</v>
      </c>
      <c r="C2745" s="1" t="s">
        <v>2243</v>
      </c>
      <c r="D2745" s="1" t="s">
        <v>1998</v>
      </c>
      <c r="E2745" s="1"/>
      <c r="F2745" s="1" t="s">
        <v>11</v>
      </c>
      <c r="G2745">
        <v>1</v>
      </c>
      <c r="H2745">
        <v>1</v>
      </c>
      <c r="I2745" s="2"/>
      <c r="J2745" s="2">
        <v>45763</v>
      </c>
      <c r="K2745" s="2">
        <v>45763</v>
      </c>
    </row>
    <row r="2746" spans="1:11" x14ac:dyDescent="0.25">
      <c r="A2746" s="1" t="s">
        <v>498</v>
      </c>
      <c r="B2746" s="1" t="s">
        <v>1280</v>
      </c>
      <c r="C2746" s="1" t="s">
        <v>2257</v>
      </c>
      <c r="D2746" s="1" t="s">
        <v>1998</v>
      </c>
      <c r="E2746" s="1"/>
      <c r="F2746" s="1" t="s">
        <v>11</v>
      </c>
      <c r="G2746">
        <v>10</v>
      </c>
      <c r="H2746">
        <v>10</v>
      </c>
      <c r="I2746" s="2"/>
      <c r="J2746" s="2">
        <v>45763</v>
      </c>
      <c r="K2746" s="2">
        <v>45763</v>
      </c>
    </row>
    <row r="2747" spans="1:11" x14ac:dyDescent="0.25">
      <c r="A2747" s="1" t="s">
        <v>499</v>
      </c>
      <c r="B2747" s="1" t="s">
        <v>1588</v>
      </c>
      <c r="C2747" s="1" t="s">
        <v>2002</v>
      </c>
      <c r="D2747" s="1" t="s">
        <v>1998</v>
      </c>
      <c r="E2747" s="1"/>
      <c r="F2747" s="1" t="s">
        <v>11</v>
      </c>
      <c r="G2747">
        <v>10</v>
      </c>
      <c r="H2747">
        <v>10</v>
      </c>
      <c r="I2747" s="2">
        <v>45789</v>
      </c>
      <c r="J2747" s="2">
        <v>45763</v>
      </c>
      <c r="K2747" s="2">
        <v>45789</v>
      </c>
    </row>
    <row r="2748" spans="1:11" x14ac:dyDescent="0.25">
      <c r="A2748" s="1" t="s">
        <v>500</v>
      </c>
      <c r="B2748" s="1" t="s">
        <v>1260</v>
      </c>
      <c r="C2748" s="1" t="s">
        <v>2014</v>
      </c>
      <c r="D2748" s="1" t="s">
        <v>1998</v>
      </c>
      <c r="E2748" s="1"/>
      <c r="F2748" s="1" t="s">
        <v>11</v>
      </c>
      <c r="G2748">
        <v>15</v>
      </c>
      <c r="H2748">
        <v>15</v>
      </c>
      <c r="I2748" s="2"/>
      <c r="J2748" s="2">
        <v>45761</v>
      </c>
      <c r="K2748" s="2">
        <v>45786</v>
      </c>
    </row>
    <row r="2749" spans="1:11" x14ac:dyDescent="0.25">
      <c r="A2749" s="1" t="s">
        <v>500</v>
      </c>
      <c r="B2749" s="1" t="s">
        <v>1260</v>
      </c>
      <c r="C2749" s="1" t="s">
        <v>2014</v>
      </c>
      <c r="D2749" s="1" t="s">
        <v>1998</v>
      </c>
      <c r="E2749" s="1"/>
      <c r="F2749" s="1" t="s">
        <v>11</v>
      </c>
      <c r="G2749">
        <v>40</v>
      </c>
      <c r="H2749">
        <v>40</v>
      </c>
      <c r="I2749" s="2"/>
      <c r="J2749" s="2">
        <v>45761</v>
      </c>
      <c r="K2749" s="2">
        <v>45786</v>
      </c>
    </row>
    <row r="2750" spans="1:11" x14ac:dyDescent="0.25">
      <c r="A2750" s="1" t="s">
        <v>500</v>
      </c>
      <c r="B2750" s="1" t="s">
        <v>1261</v>
      </c>
      <c r="C2750" s="1" t="s">
        <v>2239</v>
      </c>
      <c r="D2750" s="1" t="s">
        <v>1998</v>
      </c>
      <c r="E2750" s="1"/>
      <c r="F2750" s="1" t="s">
        <v>11</v>
      </c>
      <c r="G2750">
        <v>10</v>
      </c>
      <c r="H2750">
        <v>10</v>
      </c>
      <c r="I2750" s="2"/>
      <c r="J2750" s="2">
        <v>45761</v>
      </c>
      <c r="K2750" s="2">
        <v>45786</v>
      </c>
    </row>
    <row r="2751" spans="1:11" x14ac:dyDescent="0.25">
      <c r="A2751" s="1" t="s">
        <v>501</v>
      </c>
      <c r="B2751" s="1" t="s">
        <v>1349</v>
      </c>
      <c r="C2751" s="1" t="s">
        <v>2302</v>
      </c>
      <c r="D2751" s="1" t="s">
        <v>1998</v>
      </c>
      <c r="E2751" s="1"/>
      <c r="F2751" s="1" t="s">
        <v>11</v>
      </c>
      <c r="G2751">
        <v>180</v>
      </c>
      <c r="H2751">
        <v>10</v>
      </c>
      <c r="I2751" s="2"/>
      <c r="J2751" s="2">
        <v>45750</v>
      </c>
      <c r="K2751" s="2">
        <v>45756</v>
      </c>
    </row>
    <row r="2752" spans="1:11" x14ac:dyDescent="0.25">
      <c r="A2752" s="1" t="s">
        <v>501</v>
      </c>
      <c r="B2752" s="1" t="s">
        <v>1350</v>
      </c>
      <c r="C2752" s="1" t="s">
        <v>2303</v>
      </c>
      <c r="D2752" s="1" t="s">
        <v>1998</v>
      </c>
      <c r="E2752" s="1"/>
      <c r="F2752" s="1" t="s">
        <v>11</v>
      </c>
      <c r="G2752">
        <v>675</v>
      </c>
      <c r="H2752">
        <v>800</v>
      </c>
      <c r="I2752" s="2"/>
      <c r="J2752" s="2">
        <v>45750</v>
      </c>
      <c r="K2752" s="2">
        <v>45756</v>
      </c>
    </row>
    <row r="2753" spans="1:11" x14ac:dyDescent="0.25">
      <c r="A2753" s="1" t="s">
        <v>501</v>
      </c>
      <c r="B2753" s="1" t="s">
        <v>1206</v>
      </c>
      <c r="C2753" s="1" t="s">
        <v>2196</v>
      </c>
      <c r="D2753" s="1" t="s">
        <v>1998</v>
      </c>
      <c r="E2753" s="1"/>
      <c r="F2753" s="1" t="s">
        <v>11</v>
      </c>
      <c r="G2753">
        <v>1</v>
      </c>
      <c r="H2753">
        <v>1</v>
      </c>
      <c r="I2753" s="2"/>
      <c r="J2753" s="2">
        <v>45750</v>
      </c>
      <c r="K2753" s="2">
        <v>45756</v>
      </c>
    </row>
    <row r="2754" spans="1:11" x14ac:dyDescent="0.25">
      <c r="A2754" s="1" t="s">
        <v>501</v>
      </c>
      <c r="B2754" s="1" t="s">
        <v>1280</v>
      </c>
      <c r="C2754" s="1" t="s">
        <v>2257</v>
      </c>
      <c r="D2754" s="1" t="s">
        <v>1998</v>
      </c>
      <c r="E2754" s="1"/>
      <c r="F2754" s="1" t="s">
        <v>11</v>
      </c>
      <c r="G2754">
        <v>10</v>
      </c>
      <c r="H2754">
        <v>10</v>
      </c>
      <c r="I2754" s="2"/>
      <c r="J2754" s="2">
        <v>45750</v>
      </c>
      <c r="K2754" s="2">
        <v>45756</v>
      </c>
    </row>
    <row r="2755" spans="1:11" x14ac:dyDescent="0.25">
      <c r="A2755" s="1" t="s">
        <v>502</v>
      </c>
      <c r="B2755" s="1" t="s">
        <v>1349</v>
      </c>
      <c r="C2755" s="1" t="s">
        <v>2302</v>
      </c>
      <c r="D2755" s="1" t="s">
        <v>1998</v>
      </c>
      <c r="E2755" s="1"/>
      <c r="F2755" s="1" t="s">
        <v>11</v>
      </c>
      <c r="G2755">
        <v>180</v>
      </c>
      <c r="H2755">
        <v>10</v>
      </c>
      <c r="I2755" s="2"/>
      <c r="J2755" s="2">
        <v>45750</v>
      </c>
      <c r="K2755" s="2">
        <v>45756</v>
      </c>
    </row>
    <row r="2756" spans="1:11" x14ac:dyDescent="0.25">
      <c r="A2756" s="1" t="s">
        <v>502</v>
      </c>
      <c r="B2756" s="1" t="s">
        <v>1350</v>
      </c>
      <c r="C2756" s="1" t="s">
        <v>2303</v>
      </c>
      <c r="D2756" s="1" t="s">
        <v>1998</v>
      </c>
      <c r="E2756" s="1"/>
      <c r="F2756" s="1" t="s">
        <v>11</v>
      </c>
      <c r="G2756">
        <v>675</v>
      </c>
      <c r="H2756">
        <v>800</v>
      </c>
      <c r="I2756" s="2"/>
      <c r="J2756" s="2">
        <v>45750</v>
      </c>
      <c r="K2756" s="2">
        <v>45756</v>
      </c>
    </row>
    <row r="2757" spans="1:11" x14ac:dyDescent="0.25">
      <c r="A2757" s="1" t="s">
        <v>502</v>
      </c>
      <c r="B2757" s="1" t="s">
        <v>1206</v>
      </c>
      <c r="C2757" s="1" t="s">
        <v>2196</v>
      </c>
      <c r="D2757" s="1" t="s">
        <v>1998</v>
      </c>
      <c r="E2757" s="1"/>
      <c r="F2757" s="1" t="s">
        <v>11</v>
      </c>
      <c r="G2757">
        <v>1</v>
      </c>
      <c r="H2757">
        <v>1</v>
      </c>
      <c r="I2757" s="2"/>
      <c r="J2757" s="2">
        <v>45750</v>
      </c>
      <c r="K2757" s="2">
        <v>45756</v>
      </c>
    </row>
    <row r="2758" spans="1:11" x14ac:dyDescent="0.25">
      <c r="A2758" s="1" t="s">
        <v>502</v>
      </c>
      <c r="B2758" s="1" t="s">
        <v>1280</v>
      </c>
      <c r="C2758" s="1" t="s">
        <v>2257</v>
      </c>
      <c r="D2758" s="1" t="s">
        <v>1998</v>
      </c>
      <c r="E2758" s="1"/>
      <c r="F2758" s="1" t="s">
        <v>11</v>
      </c>
      <c r="G2758">
        <v>10</v>
      </c>
      <c r="H2758">
        <v>10</v>
      </c>
      <c r="I2758" s="2"/>
      <c r="J2758" s="2">
        <v>45750</v>
      </c>
      <c r="K2758" s="2">
        <v>45756</v>
      </c>
    </row>
    <row r="2759" spans="1:11" x14ac:dyDescent="0.25">
      <c r="A2759" s="1" t="s">
        <v>503</v>
      </c>
      <c r="B2759" s="1" t="s">
        <v>1349</v>
      </c>
      <c r="C2759" s="1" t="s">
        <v>2302</v>
      </c>
      <c r="D2759" s="1" t="s">
        <v>1998</v>
      </c>
      <c r="E2759" s="1"/>
      <c r="F2759" s="1" t="s">
        <v>11</v>
      </c>
      <c r="G2759">
        <v>180</v>
      </c>
      <c r="H2759">
        <v>10</v>
      </c>
      <c r="I2759" s="2"/>
      <c r="J2759" s="2">
        <v>45750</v>
      </c>
      <c r="K2759" s="2">
        <v>45756</v>
      </c>
    </row>
    <row r="2760" spans="1:11" x14ac:dyDescent="0.25">
      <c r="A2760" s="1" t="s">
        <v>503</v>
      </c>
      <c r="B2760" s="1" t="s">
        <v>1350</v>
      </c>
      <c r="C2760" s="1" t="s">
        <v>2303</v>
      </c>
      <c r="D2760" s="1" t="s">
        <v>1998</v>
      </c>
      <c r="E2760" s="1"/>
      <c r="F2760" s="1" t="s">
        <v>11</v>
      </c>
      <c r="G2760">
        <v>675</v>
      </c>
      <c r="H2760">
        <v>800</v>
      </c>
      <c r="I2760" s="2"/>
      <c r="J2760" s="2">
        <v>45750</v>
      </c>
      <c r="K2760" s="2">
        <v>45756</v>
      </c>
    </row>
    <row r="2761" spans="1:11" x14ac:dyDescent="0.25">
      <c r="A2761" s="1" t="s">
        <v>503</v>
      </c>
      <c r="B2761" s="1" t="s">
        <v>1206</v>
      </c>
      <c r="C2761" s="1" t="s">
        <v>2196</v>
      </c>
      <c r="D2761" s="1" t="s">
        <v>1998</v>
      </c>
      <c r="E2761" s="1"/>
      <c r="F2761" s="1" t="s">
        <v>11</v>
      </c>
      <c r="G2761">
        <v>1</v>
      </c>
      <c r="H2761">
        <v>1</v>
      </c>
      <c r="I2761" s="2"/>
      <c r="J2761" s="2">
        <v>45750</v>
      </c>
      <c r="K2761" s="2">
        <v>45756</v>
      </c>
    </row>
    <row r="2762" spans="1:11" x14ac:dyDescent="0.25">
      <c r="A2762" s="1" t="s">
        <v>503</v>
      </c>
      <c r="B2762" s="1" t="s">
        <v>1280</v>
      </c>
      <c r="C2762" s="1" t="s">
        <v>2257</v>
      </c>
      <c r="D2762" s="1" t="s">
        <v>1998</v>
      </c>
      <c r="E2762" s="1"/>
      <c r="F2762" s="1" t="s">
        <v>11</v>
      </c>
      <c r="G2762">
        <v>10</v>
      </c>
      <c r="H2762">
        <v>10</v>
      </c>
      <c r="I2762" s="2"/>
      <c r="J2762" s="2">
        <v>45750</v>
      </c>
      <c r="K2762" s="2">
        <v>45756</v>
      </c>
    </row>
    <row r="2763" spans="1:11" x14ac:dyDescent="0.25">
      <c r="A2763" s="1" t="s">
        <v>504</v>
      </c>
      <c r="B2763" s="1" t="s">
        <v>1589</v>
      </c>
      <c r="C2763" s="1" t="s">
        <v>2507</v>
      </c>
      <c r="D2763" s="1" t="s">
        <v>1998</v>
      </c>
      <c r="E2763" s="1"/>
      <c r="F2763" s="1" t="s">
        <v>11</v>
      </c>
      <c r="G2763">
        <v>4370</v>
      </c>
      <c r="H2763">
        <v>4370</v>
      </c>
      <c r="I2763" s="2"/>
      <c r="J2763" s="2">
        <v>45751</v>
      </c>
      <c r="K2763" s="2">
        <v>45784</v>
      </c>
    </row>
    <row r="2764" spans="1:11" x14ac:dyDescent="0.25">
      <c r="A2764" s="1" t="s">
        <v>504</v>
      </c>
      <c r="B2764" s="1" t="s">
        <v>1590</v>
      </c>
      <c r="C2764" s="1" t="s">
        <v>2508</v>
      </c>
      <c r="D2764" s="1" t="s">
        <v>1998</v>
      </c>
      <c r="E2764" s="1"/>
      <c r="F2764" s="1" t="s">
        <v>11</v>
      </c>
      <c r="G2764">
        <v>125</v>
      </c>
      <c r="H2764">
        <v>135</v>
      </c>
      <c r="I2764" s="2"/>
      <c r="J2764" s="2">
        <v>45751</v>
      </c>
      <c r="K2764" s="2">
        <v>45784</v>
      </c>
    </row>
    <row r="2765" spans="1:11" x14ac:dyDescent="0.25">
      <c r="A2765" s="1" t="s">
        <v>504</v>
      </c>
      <c r="B2765" s="1" t="s">
        <v>991</v>
      </c>
      <c r="C2765" s="1" t="s">
        <v>2009</v>
      </c>
      <c r="D2765" s="1" t="s">
        <v>1998</v>
      </c>
      <c r="E2765" s="1"/>
      <c r="F2765" s="1" t="s">
        <v>12</v>
      </c>
      <c r="G2765">
        <v>1</v>
      </c>
      <c r="H2765">
        <v>50</v>
      </c>
      <c r="I2765" s="2"/>
      <c r="J2765" s="2">
        <v>45751</v>
      </c>
      <c r="K2765" s="2">
        <v>45784</v>
      </c>
    </row>
    <row r="2766" spans="1:11" x14ac:dyDescent="0.25">
      <c r="A2766" s="1" t="s">
        <v>504</v>
      </c>
      <c r="B2766" s="1" t="s">
        <v>992</v>
      </c>
      <c r="C2766" s="1" t="s">
        <v>2010</v>
      </c>
      <c r="D2766" s="1" t="s">
        <v>1998</v>
      </c>
      <c r="E2766" s="1"/>
      <c r="F2766" s="1" t="s">
        <v>12</v>
      </c>
      <c r="G2766">
        <v>1</v>
      </c>
      <c r="H2766">
        <v>120</v>
      </c>
      <c r="I2766" s="2"/>
      <c r="J2766" s="2">
        <v>45751</v>
      </c>
      <c r="K2766" s="2">
        <v>45784</v>
      </c>
    </row>
    <row r="2767" spans="1:11" x14ac:dyDescent="0.25">
      <c r="A2767" s="1" t="s">
        <v>505</v>
      </c>
      <c r="B2767" s="1" t="s">
        <v>1195</v>
      </c>
      <c r="C2767" s="1" t="s">
        <v>2186</v>
      </c>
      <c r="D2767" s="1" t="s">
        <v>1998</v>
      </c>
      <c r="E2767" s="1"/>
      <c r="F2767" s="1" t="s">
        <v>11</v>
      </c>
      <c r="G2767">
        <v>855</v>
      </c>
      <c r="H2767">
        <v>855</v>
      </c>
      <c r="I2767" s="2"/>
      <c r="J2767" s="2">
        <v>45755</v>
      </c>
      <c r="K2767" s="2">
        <v>45778</v>
      </c>
    </row>
    <row r="2768" spans="1:11" x14ac:dyDescent="0.25">
      <c r="A2768" s="1" t="s">
        <v>506</v>
      </c>
      <c r="B2768" s="1" t="s">
        <v>1591</v>
      </c>
      <c r="C2768" s="1" t="s">
        <v>2509</v>
      </c>
      <c r="D2768" s="1" t="s">
        <v>1998</v>
      </c>
      <c r="E2768" s="1"/>
      <c r="F2768" s="1" t="s">
        <v>11</v>
      </c>
      <c r="G2768">
        <v>435</v>
      </c>
      <c r="H2768">
        <v>435</v>
      </c>
      <c r="I2768" s="2"/>
      <c r="J2768" s="2">
        <v>45755</v>
      </c>
      <c r="K2768" s="2">
        <v>45777</v>
      </c>
    </row>
    <row r="2769" spans="1:11" x14ac:dyDescent="0.25">
      <c r="A2769" s="1" t="s">
        <v>506</v>
      </c>
      <c r="B2769" s="1" t="s">
        <v>1343</v>
      </c>
      <c r="C2769" s="1" t="s">
        <v>2298</v>
      </c>
      <c r="D2769" s="1" t="s">
        <v>1998</v>
      </c>
      <c r="E2769" s="1"/>
      <c r="F2769" s="1" t="s">
        <v>11</v>
      </c>
      <c r="G2769">
        <v>35</v>
      </c>
      <c r="H2769">
        <v>35</v>
      </c>
      <c r="I2769" s="2"/>
      <c r="J2769" s="2">
        <v>45755</v>
      </c>
      <c r="K2769" s="2">
        <v>45777</v>
      </c>
    </row>
    <row r="2770" spans="1:11" x14ac:dyDescent="0.25">
      <c r="A2770" s="1" t="s">
        <v>506</v>
      </c>
      <c r="B2770" s="1" t="s">
        <v>1267</v>
      </c>
      <c r="C2770" s="1" t="s">
        <v>2244</v>
      </c>
      <c r="D2770" s="1" t="s">
        <v>1998</v>
      </c>
      <c r="E2770" s="1"/>
      <c r="F2770" s="1" t="s">
        <v>12</v>
      </c>
      <c r="G2770">
        <v>1</v>
      </c>
      <c r="H2770">
        <v>10</v>
      </c>
      <c r="I2770" s="2"/>
      <c r="J2770" s="2">
        <v>45755</v>
      </c>
      <c r="K2770" s="2">
        <v>45777</v>
      </c>
    </row>
    <row r="2771" spans="1:11" x14ac:dyDescent="0.25">
      <c r="A2771" s="1" t="s">
        <v>507</v>
      </c>
      <c r="B2771" s="1" t="s">
        <v>1349</v>
      </c>
      <c r="C2771" s="1" t="s">
        <v>2302</v>
      </c>
      <c r="D2771" s="1" t="s">
        <v>1998</v>
      </c>
      <c r="E2771" s="1"/>
      <c r="F2771" s="1" t="s">
        <v>11</v>
      </c>
      <c r="G2771">
        <v>100</v>
      </c>
      <c r="H2771">
        <v>100</v>
      </c>
      <c r="I2771" s="2"/>
      <c r="J2771" s="2">
        <v>45755</v>
      </c>
      <c r="K2771" s="2">
        <v>45757</v>
      </c>
    </row>
    <row r="2772" spans="1:11" x14ac:dyDescent="0.25">
      <c r="A2772" s="1" t="s">
        <v>507</v>
      </c>
      <c r="B2772" s="1" t="s">
        <v>1350</v>
      </c>
      <c r="C2772" s="1" t="s">
        <v>2303</v>
      </c>
      <c r="D2772" s="1" t="s">
        <v>1998</v>
      </c>
      <c r="E2772" s="1"/>
      <c r="F2772" s="1" t="s">
        <v>11</v>
      </c>
      <c r="G2772">
        <v>730</v>
      </c>
      <c r="H2772">
        <v>735</v>
      </c>
      <c r="I2772" s="2"/>
      <c r="J2772" s="2">
        <v>45755</v>
      </c>
      <c r="K2772" s="2">
        <v>45757</v>
      </c>
    </row>
    <row r="2773" spans="1:11" x14ac:dyDescent="0.25">
      <c r="A2773" s="1" t="s">
        <v>507</v>
      </c>
      <c r="B2773" s="1" t="s">
        <v>1206</v>
      </c>
      <c r="C2773" s="1" t="s">
        <v>2196</v>
      </c>
      <c r="D2773" s="1" t="s">
        <v>1998</v>
      </c>
      <c r="E2773" s="1"/>
      <c r="F2773" s="1" t="s">
        <v>11</v>
      </c>
      <c r="G2773">
        <v>1</v>
      </c>
      <c r="H2773">
        <v>1</v>
      </c>
      <c r="I2773" s="2"/>
      <c r="J2773" s="2">
        <v>45755</v>
      </c>
      <c r="K2773" s="2">
        <v>45757</v>
      </c>
    </row>
    <row r="2774" spans="1:11" x14ac:dyDescent="0.25">
      <c r="A2774" s="1" t="s">
        <v>507</v>
      </c>
      <c r="B2774" s="1" t="s">
        <v>1351</v>
      </c>
      <c r="C2774" s="1" t="s">
        <v>2304</v>
      </c>
      <c r="D2774" s="1" t="s">
        <v>1998</v>
      </c>
      <c r="E2774" s="1"/>
      <c r="F2774" s="1" t="s">
        <v>11</v>
      </c>
      <c r="G2774">
        <v>15</v>
      </c>
      <c r="H2774">
        <v>15</v>
      </c>
      <c r="I2774" s="2"/>
      <c r="J2774" s="2">
        <v>45755</v>
      </c>
      <c r="K2774" s="2">
        <v>45757</v>
      </c>
    </row>
    <row r="2775" spans="1:11" x14ac:dyDescent="0.25">
      <c r="A2775" s="1" t="s">
        <v>508</v>
      </c>
      <c r="B2775" s="1" t="s">
        <v>1349</v>
      </c>
      <c r="C2775" s="1" t="s">
        <v>2302</v>
      </c>
      <c r="D2775" s="1" t="s">
        <v>1998</v>
      </c>
      <c r="E2775" s="1"/>
      <c r="F2775" s="1" t="s">
        <v>11</v>
      </c>
      <c r="G2775">
        <v>100</v>
      </c>
      <c r="H2775">
        <v>55</v>
      </c>
      <c r="I2775" s="2"/>
      <c r="J2775" s="2">
        <v>45763</v>
      </c>
      <c r="K2775" s="2">
        <v>45764</v>
      </c>
    </row>
    <row r="2776" spans="1:11" x14ac:dyDescent="0.25">
      <c r="A2776" s="1" t="s">
        <v>508</v>
      </c>
      <c r="B2776" s="1" t="s">
        <v>1350</v>
      </c>
      <c r="C2776" s="1" t="s">
        <v>2303</v>
      </c>
      <c r="D2776" s="1" t="s">
        <v>1998</v>
      </c>
      <c r="E2776" s="1"/>
      <c r="F2776" s="1" t="s">
        <v>11</v>
      </c>
      <c r="G2776">
        <v>730</v>
      </c>
      <c r="H2776">
        <v>765</v>
      </c>
      <c r="I2776" s="2"/>
      <c r="J2776" s="2">
        <v>45763</v>
      </c>
      <c r="K2776" s="2">
        <v>45764</v>
      </c>
    </row>
    <row r="2777" spans="1:11" x14ac:dyDescent="0.25">
      <c r="A2777" s="1" t="s">
        <v>508</v>
      </c>
      <c r="B2777" s="1" t="s">
        <v>1206</v>
      </c>
      <c r="C2777" s="1" t="s">
        <v>2196</v>
      </c>
      <c r="D2777" s="1" t="s">
        <v>1998</v>
      </c>
      <c r="E2777" s="1"/>
      <c r="F2777" s="1" t="s">
        <v>11</v>
      </c>
      <c r="G2777">
        <v>1</v>
      </c>
      <c r="H2777">
        <v>1</v>
      </c>
      <c r="I2777" s="2"/>
      <c r="J2777" s="2">
        <v>45763</v>
      </c>
      <c r="K2777" s="2">
        <v>45764</v>
      </c>
    </row>
    <row r="2778" spans="1:11" x14ac:dyDescent="0.25">
      <c r="A2778" s="1" t="s">
        <v>508</v>
      </c>
      <c r="B2778" s="1" t="s">
        <v>1351</v>
      </c>
      <c r="C2778" s="1" t="s">
        <v>2304</v>
      </c>
      <c r="D2778" s="1" t="s">
        <v>1998</v>
      </c>
      <c r="E2778" s="1"/>
      <c r="F2778" s="1" t="s">
        <v>11</v>
      </c>
      <c r="G2778">
        <v>15</v>
      </c>
      <c r="H2778">
        <v>15</v>
      </c>
      <c r="I2778" s="2"/>
      <c r="J2778" s="2">
        <v>45763</v>
      </c>
      <c r="K2778" s="2">
        <v>45764</v>
      </c>
    </row>
    <row r="2779" spans="1:11" x14ac:dyDescent="0.25">
      <c r="A2779" s="1" t="s">
        <v>509</v>
      </c>
      <c r="B2779" s="1" t="s">
        <v>1349</v>
      </c>
      <c r="C2779" s="1" t="s">
        <v>2302</v>
      </c>
      <c r="D2779" s="1" t="s">
        <v>1998</v>
      </c>
      <c r="E2779" s="1"/>
      <c r="F2779" s="1" t="s">
        <v>11</v>
      </c>
      <c r="G2779">
        <v>100</v>
      </c>
      <c r="H2779">
        <v>155</v>
      </c>
      <c r="I2779" s="2"/>
      <c r="J2779" s="2">
        <v>45763</v>
      </c>
      <c r="K2779" s="2">
        <v>45771</v>
      </c>
    </row>
    <row r="2780" spans="1:11" x14ac:dyDescent="0.25">
      <c r="A2780" s="1" t="s">
        <v>509</v>
      </c>
      <c r="B2780" s="1" t="s">
        <v>1350</v>
      </c>
      <c r="C2780" s="1" t="s">
        <v>2303</v>
      </c>
      <c r="D2780" s="1" t="s">
        <v>1998</v>
      </c>
      <c r="E2780" s="1"/>
      <c r="F2780" s="1" t="s">
        <v>11</v>
      </c>
      <c r="G2780">
        <v>730</v>
      </c>
      <c r="H2780">
        <v>690</v>
      </c>
      <c r="I2780" s="2"/>
      <c r="J2780" s="2">
        <v>45763</v>
      </c>
      <c r="K2780" s="2">
        <v>45771</v>
      </c>
    </row>
    <row r="2781" spans="1:11" x14ac:dyDescent="0.25">
      <c r="A2781" s="1" t="s">
        <v>509</v>
      </c>
      <c r="B2781" s="1" t="s">
        <v>1206</v>
      </c>
      <c r="C2781" s="1" t="s">
        <v>2196</v>
      </c>
      <c r="D2781" s="1" t="s">
        <v>1998</v>
      </c>
      <c r="E2781" s="1"/>
      <c r="F2781" s="1" t="s">
        <v>11</v>
      </c>
      <c r="G2781">
        <v>1</v>
      </c>
      <c r="H2781">
        <v>1</v>
      </c>
      <c r="I2781" s="2"/>
      <c r="J2781" s="2">
        <v>45763</v>
      </c>
      <c r="K2781" s="2">
        <v>45771</v>
      </c>
    </row>
    <row r="2782" spans="1:11" x14ac:dyDescent="0.25">
      <c r="A2782" s="1" t="s">
        <v>509</v>
      </c>
      <c r="B2782" s="1" t="s">
        <v>1351</v>
      </c>
      <c r="C2782" s="1" t="s">
        <v>2304</v>
      </c>
      <c r="D2782" s="1" t="s">
        <v>1998</v>
      </c>
      <c r="E2782" s="1"/>
      <c r="F2782" s="1" t="s">
        <v>11</v>
      </c>
      <c r="G2782">
        <v>15</v>
      </c>
      <c r="H2782">
        <v>15</v>
      </c>
      <c r="I2782" s="2"/>
      <c r="J2782" s="2">
        <v>45763</v>
      </c>
      <c r="K2782" s="2">
        <v>45771</v>
      </c>
    </row>
    <row r="2783" spans="1:11" x14ac:dyDescent="0.25">
      <c r="A2783" s="1" t="s">
        <v>510</v>
      </c>
      <c r="B2783" s="1" t="s">
        <v>1349</v>
      </c>
      <c r="C2783" s="1" t="s">
        <v>2302</v>
      </c>
      <c r="D2783" s="1" t="s">
        <v>1998</v>
      </c>
      <c r="E2783" s="1"/>
      <c r="F2783" s="1" t="s">
        <v>11</v>
      </c>
      <c r="G2783">
        <v>100</v>
      </c>
      <c r="H2783">
        <v>55</v>
      </c>
      <c r="I2783" s="2"/>
      <c r="J2783" s="2">
        <v>45763</v>
      </c>
      <c r="K2783" s="2">
        <v>45771</v>
      </c>
    </row>
    <row r="2784" spans="1:11" x14ac:dyDescent="0.25">
      <c r="A2784" s="1" t="s">
        <v>510</v>
      </c>
      <c r="B2784" s="1" t="s">
        <v>1350</v>
      </c>
      <c r="C2784" s="1" t="s">
        <v>2303</v>
      </c>
      <c r="D2784" s="1" t="s">
        <v>1998</v>
      </c>
      <c r="E2784" s="1"/>
      <c r="F2784" s="1" t="s">
        <v>11</v>
      </c>
      <c r="G2784">
        <v>730</v>
      </c>
      <c r="H2784">
        <v>765</v>
      </c>
      <c r="I2784" s="2"/>
      <c r="J2784" s="2">
        <v>45763</v>
      </c>
      <c r="K2784" s="2">
        <v>45771</v>
      </c>
    </row>
    <row r="2785" spans="1:11" x14ac:dyDescent="0.25">
      <c r="A2785" s="1" t="s">
        <v>510</v>
      </c>
      <c r="B2785" s="1" t="s">
        <v>1206</v>
      </c>
      <c r="C2785" s="1" t="s">
        <v>2196</v>
      </c>
      <c r="D2785" s="1" t="s">
        <v>1998</v>
      </c>
      <c r="E2785" s="1"/>
      <c r="F2785" s="1" t="s">
        <v>11</v>
      </c>
      <c r="G2785">
        <v>1</v>
      </c>
      <c r="H2785">
        <v>1</v>
      </c>
      <c r="I2785" s="2"/>
      <c r="J2785" s="2">
        <v>45763</v>
      </c>
      <c r="K2785" s="2">
        <v>45771</v>
      </c>
    </row>
    <row r="2786" spans="1:11" x14ac:dyDescent="0.25">
      <c r="A2786" s="1" t="s">
        <v>510</v>
      </c>
      <c r="B2786" s="1" t="s">
        <v>1351</v>
      </c>
      <c r="C2786" s="1" t="s">
        <v>2304</v>
      </c>
      <c r="D2786" s="1" t="s">
        <v>1998</v>
      </c>
      <c r="E2786" s="1"/>
      <c r="F2786" s="1" t="s">
        <v>11</v>
      </c>
      <c r="G2786">
        <v>15</v>
      </c>
      <c r="H2786">
        <v>15</v>
      </c>
      <c r="I2786" s="2"/>
      <c r="J2786" s="2">
        <v>45763</v>
      </c>
      <c r="K2786" s="2">
        <v>45771</v>
      </c>
    </row>
    <row r="2787" spans="1:11" x14ac:dyDescent="0.25">
      <c r="A2787" s="1" t="s">
        <v>511</v>
      </c>
      <c r="B2787" s="1" t="s">
        <v>1349</v>
      </c>
      <c r="C2787" s="1" t="s">
        <v>2302</v>
      </c>
      <c r="D2787" s="1" t="s">
        <v>1998</v>
      </c>
      <c r="E2787" s="1"/>
      <c r="F2787" s="1" t="s">
        <v>11</v>
      </c>
      <c r="G2787">
        <v>100</v>
      </c>
      <c r="H2787">
        <v>55</v>
      </c>
      <c r="I2787" s="2"/>
      <c r="J2787" s="2">
        <v>45763</v>
      </c>
      <c r="K2787" s="2">
        <v>45772</v>
      </c>
    </row>
    <row r="2788" spans="1:11" x14ac:dyDescent="0.25">
      <c r="A2788" s="1" t="s">
        <v>511</v>
      </c>
      <c r="B2788" s="1" t="s">
        <v>1350</v>
      </c>
      <c r="C2788" s="1" t="s">
        <v>2303</v>
      </c>
      <c r="D2788" s="1" t="s">
        <v>1998</v>
      </c>
      <c r="E2788" s="1"/>
      <c r="F2788" s="1" t="s">
        <v>11</v>
      </c>
      <c r="G2788">
        <v>730</v>
      </c>
      <c r="H2788">
        <v>765</v>
      </c>
      <c r="I2788" s="2"/>
      <c r="J2788" s="2">
        <v>45763</v>
      </c>
      <c r="K2788" s="2">
        <v>45772</v>
      </c>
    </row>
    <row r="2789" spans="1:11" x14ac:dyDescent="0.25">
      <c r="A2789" s="1" t="s">
        <v>511</v>
      </c>
      <c r="B2789" s="1" t="s">
        <v>1206</v>
      </c>
      <c r="C2789" s="1" t="s">
        <v>2196</v>
      </c>
      <c r="D2789" s="1" t="s">
        <v>1998</v>
      </c>
      <c r="E2789" s="1"/>
      <c r="F2789" s="1" t="s">
        <v>11</v>
      </c>
      <c r="G2789">
        <v>1</v>
      </c>
      <c r="H2789">
        <v>1</v>
      </c>
      <c r="I2789" s="2"/>
      <c r="J2789" s="2">
        <v>45763</v>
      </c>
      <c r="K2789" s="2">
        <v>45772</v>
      </c>
    </row>
    <row r="2790" spans="1:11" x14ac:dyDescent="0.25">
      <c r="A2790" s="1" t="s">
        <v>511</v>
      </c>
      <c r="B2790" s="1" t="s">
        <v>1351</v>
      </c>
      <c r="C2790" s="1" t="s">
        <v>2304</v>
      </c>
      <c r="D2790" s="1" t="s">
        <v>1998</v>
      </c>
      <c r="E2790" s="1"/>
      <c r="F2790" s="1" t="s">
        <v>11</v>
      </c>
      <c r="G2790">
        <v>15</v>
      </c>
      <c r="H2790">
        <v>15</v>
      </c>
      <c r="I2790" s="2"/>
      <c r="J2790" s="2">
        <v>45763</v>
      </c>
      <c r="K2790" s="2">
        <v>45772</v>
      </c>
    </row>
    <row r="2791" spans="1:11" x14ac:dyDescent="0.25">
      <c r="A2791" s="1" t="s">
        <v>512</v>
      </c>
      <c r="B2791" s="1" t="s">
        <v>1349</v>
      </c>
      <c r="C2791" s="1" t="s">
        <v>2302</v>
      </c>
      <c r="D2791" s="1" t="s">
        <v>1998</v>
      </c>
      <c r="E2791" s="1"/>
      <c r="F2791" s="1" t="s">
        <v>11</v>
      </c>
      <c r="G2791">
        <v>100</v>
      </c>
      <c r="H2791">
        <v>55</v>
      </c>
      <c r="I2791" s="2"/>
      <c r="J2791" s="2">
        <v>45770</v>
      </c>
      <c r="K2791" s="2">
        <v>45772</v>
      </c>
    </row>
    <row r="2792" spans="1:11" x14ac:dyDescent="0.25">
      <c r="A2792" s="1" t="s">
        <v>512</v>
      </c>
      <c r="B2792" s="1" t="s">
        <v>1350</v>
      </c>
      <c r="C2792" s="1" t="s">
        <v>2303</v>
      </c>
      <c r="D2792" s="1" t="s">
        <v>1998</v>
      </c>
      <c r="E2792" s="1"/>
      <c r="F2792" s="1" t="s">
        <v>11</v>
      </c>
      <c r="G2792">
        <v>730</v>
      </c>
      <c r="H2792">
        <v>765</v>
      </c>
      <c r="I2792" s="2"/>
      <c r="J2792" s="2">
        <v>45770</v>
      </c>
      <c r="K2792" s="2">
        <v>45772</v>
      </c>
    </row>
    <row r="2793" spans="1:11" x14ac:dyDescent="0.25">
      <c r="A2793" s="1" t="s">
        <v>512</v>
      </c>
      <c r="B2793" s="1" t="s">
        <v>1206</v>
      </c>
      <c r="C2793" s="1" t="s">
        <v>2196</v>
      </c>
      <c r="D2793" s="1" t="s">
        <v>1998</v>
      </c>
      <c r="E2793" s="1"/>
      <c r="F2793" s="1" t="s">
        <v>11</v>
      </c>
      <c r="G2793">
        <v>1</v>
      </c>
      <c r="H2793">
        <v>1</v>
      </c>
      <c r="I2793" s="2"/>
      <c r="J2793" s="2">
        <v>45770</v>
      </c>
      <c r="K2793" s="2">
        <v>45772</v>
      </c>
    </row>
    <row r="2794" spans="1:11" x14ac:dyDescent="0.25">
      <c r="A2794" s="1" t="s">
        <v>512</v>
      </c>
      <c r="B2794" s="1" t="s">
        <v>1351</v>
      </c>
      <c r="C2794" s="1" t="s">
        <v>2304</v>
      </c>
      <c r="D2794" s="1" t="s">
        <v>1998</v>
      </c>
      <c r="E2794" s="1"/>
      <c r="F2794" s="1" t="s">
        <v>11</v>
      </c>
      <c r="G2794">
        <v>15</v>
      </c>
      <c r="H2794">
        <v>15</v>
      </c>
      <c r="I2794" s="2"/>
      <c r="J2794" s="2">
        <v>45770</v>
      </c>
      <c r="K2794" s="2">
        <v>45772</v>
      </c>
    </row>
    <row r="2795" spans="1:11" x14ac:dyDescent="0.25">
      <c r="A2795" s="1" t="s">
        <v>513</v>
      </c>
      <c r="B2795" s="1" t="s">
        <v>1349</v>
      </c>
      <c r="C2795" s="1" t="s">
        <v>2302</v>
      </c>
      <c r="D2795" s="1" t="s">
        <v>1998</v>
      </c>
      <c r="E2795" s="1"/>
      <c r="F2795" s="1" t="s">
        <v>11</v>
      </c>
      <c r="G2795">
        <v>100</v>
      </c>
      <c r="H2795">
        <v>55</v>
      </c>
      <c r="I2795" s="2"/>
      <c r="J2795" s="2">
        <v>45770</v>
      </c>
      <c r="K2795" s="2">
        <v>45772</v>
      </c>
    </row>
    <row r="2796" spans="1:11" x14ac:dyDescent="0.25">
      <c r="A2796" s="1" t="s">
        <v>513</v>
      </c>
      <c r="B2796" s="1" t="s">
        <v>1350</v>
      </c>
      <c r="C2796" s="1" t="s">
        <v>2303</v>
      </c>
      <c r="D2796" s="1" t="s">
        <v>1998</v>
      </c>
      <c r="E2796" s="1"/>
      <c r="F2796" s="1" t="s">
        <v>11</v>
      </c>
      <c r="G2796">
        <v>730</v>
      </c>
      <c r="H2796">
        <v>765</v>
      </c>
      <c r="I2796" s="2"/>
      <c r="J2796" s="2">
        <v>45770</v>
      </c>
      <c r="K2796" s="2">
        <v>45772</v>
      </c>
    </row>
    <row r="2797" spans="1:11" x14ac:dyDescent="0.25">
      <c r="A2797" s="1" t="s">
        <v>513</v>
      </c>
      <c r="B2797" s="1" t="s">
        <v>1206</v>
      </c>
      <c r="C2797" s="1" t="s">
        <v>2196</v>
      </c>
      <c r="D2797" s="1" t="s">
        <v>1998</v>
      </c>
      <c r="E2797" s="1"/>
      <c r="F2797" s="1" t="s">
        <v>11</v>
      </c>
      <c r="G2797">
        <v>1</v>
      </c>
      <c r="H2797">
        <v>1</v>
      </c>
      <c r="I2797" s="2"/>
      <c r="J2797" s="2">
        <v>45770</v>
      </c>
      <c r="K2797" s="2">
        <v>45772</v>
      </c>
    </row>
    <row r="2798" spans="1:11" x14ac:dyDescent="0.25">
      <c r="A2798" s="1" t="s">
        <v>513</v>
      </c>
      <c r="B2798" s="1" t="s">
        <v>1351</v>
      </c>
      <c r="C2798" s="1" t="s">
        <v>2304</v>
      </c>
      <c r="D2798" s="1" t="s">
        <v>1998</v>
      </c>
      <c r="E2798" s="1"/>
      <c r="F2798" s="1" t="s">
        <v>11</v>
      </c>
      <c r="G2798">
        <v>15</v>
      </c>
      <c r="H2798">
        <v>15</v>
      </c>
      <c r="I2798" s="2"/>
      <c r="J2798" s="2">
        <v>45770</v>
      </c>
      <c r="K2798" s="2">
        <v>45772</v>
      </c>
    </row>
    <row r="2799" spans="1:11" x14ac:dyDescent="0.25">
      <c r="A2799" s="1" t="s">
        <v>514</v>
      </c>
      <c r="B2799" s="1" t="s">
        <v>1349</v>
      </c>
      <c r="C2799" s="1" t="s">
        <v>2302</v>
      </c>
      <c r="D2799" s="1" t="s">
        <v>1998</v>
      </c>
      <c r="E2799" s="1"/>
      <c r="F2799" s="1" t="s">
        <v>11</v>
      </c>
      <c r="G2799">
        <v>100</v>
      </c>
      <c r="H2799">
        <v>55</v>
      </c>
      <c r="I2799" s="2"/>
      <c r="J2799" s="2">
        <v>45779</v>
      </c>
      <c r="K2799" s="2">
        <v>45784</v>
      </c>
    </row>
    <row r="2800" spans="1:11" x14ac:dyDescent="0.25">
      <c r="A2800" s="1" t="s">
        <v>514</v>
      </c>
      <c r="B2800" s="1" t="s">
        <v>1350</v>
      </c>
      <c r="C2800" s="1" t="s">
        <v>2303</v>
      </c>
      <c r="D2800" s="1" t="s">
        <v>1998</v>
      </c>
      <c r="E2800" s="1"/>
      <c r="F2800" s="1" t="s">
        <v>11</v>
      </c>
      <c r="G2800">
        <v>730</v>
      </c>
      <c r="H2800">
        <v>765</v>
      </c>
      <c r="I2800" s="2"/>
      <c r="J2800" s="2">
        <v>45779</v>
      </c>
      <c r="K2800" s="2">
        <v>45784</v>
      </c>
    </row>
    <row r="2801" spans="1:11" x14ac:dyDescent="0.25">
      <c r="A2801" s="1" t="s">
        <v>514</v>
      </c>
      <c r="B2801" s="1" t="s">
        <v>1206</v>
      </c>
      <c r="C2801" s="1" t="s">
        <v>2196</v>
      </c>
      <c r="D2801" s="1" t="s">
        <v>1998</v>
      </c>
      <c r="E2801" s="1"/>
      <c r="F2801" s="1" t="s">
        <v>11</v>
      </c>
      <c r="G2801">
        <v>1</v>
      </c>
      <c r="H2801">
        <v>1</v>
      </c>
      <c r="I2801" s="2"/>
      <c r="J2801" s="2">
        <v>45779</v>
      </c>
      <c r="K2801" s="2">
        <v>45784</v>
      </c>
    </row>
    <row r="2802" spans="1:11" x14ac:dyDescent="0.25">
      <c r="A2802" s="1" t="s">
        <v>514</v>
      </c>
      <c r="B2802" s="1" t="s">
        <v>1351</v>
      </c>
      <c r="C2802" s="1" t="s">
        <v>2304</v>
      </c>
      <c r="D2802" s="1" t="s">
        <v>1998</v>
      </c>
      <c r="E2802" s="1"/>
      <c r="F2802" s="1" t="s">
        <v>11</v>
      </c>
      <c r="G2802">
        <v>15</v>
      </c>
      <c r="H2802">
        <v>15</v>
      </c>
      <c r="I2802" s="2"/>
      <c r="J2802" s="2">
        <v>45779</v>
      </c>
      <c r="K2802" s="2">
        <v>45784</v>
      </c>
    </row>
    <row r="2803" spans="1:11" x14ac:dyDescent="0.25">
      <c r="A2803" s="1" t="s">
        <v>515</v>
      </c>
      <c r="B2803" s="1" t="s">
        <v>1204</v>
      </c>
      <c r="C2803" s="1" t="s">
        <v>2194</v>
      </c>
      <c r="D2803" s="1" t="s">
        <v>1998</v>
      </c>
      <c r="E2803" s="1"/>
      <c r="F2803" s="1" t="s">
        <v>11</v>
      </c>
      <c r="G2803">
        <v>130</v>
      </c>
      <c r="H2803">
        <v>115</v>
      </c>
      <c r="I2803" s="2"/>
      <c r="J2803" s="2">
        <v>45754</v>
      </c>
      <c r="K2803" s="2">
        <v>45756</v>
      </c>
    </row>
    <row r="2804" spans="1:11" x14ac:dyDescent="0.25">
      <c r="A2804" s="1" t="s">
        <v>515</v>
      </c>
      <c r="B2804" s="1" t="s">
        <v>1439</v>
      </c>
      <c r="C2804" s="1" t="s">
        <v>2378</v>
      </c>
      <c r="D2804" s="1" t="s">
        <v>1998</v>
      </c>
      <c r="E2804" s="1"/>
      <c r="F2804" s="1" t="s">
        <v>12</v>
      </c>
      <c r="G2804">
        <v>1</v>
      </c>
      <c r="H2804">
        <v>50</v>
      </c>
      <c r="I2804" s="2"/>
      <c r="J2804" s="2">
        <v>45754</v>
      </c>
      <c r="K2804" s="2">
        <v>45756</v>
      </c>
    </row>
    <row r="2805" spans="1:11" x14ac:dyDescent="0.25">
      <c r="A2805" s="1" t="s">
        <v>515</v>
      </c>
      <c r="B2805" s="1" t="s">
        <v>1206</v>
      </c>
      <c r="C2805" s="1" t="s">
        <v>2196</v>
      </c>
      <c r="D2805" s="1" t="s">
        <v>1998</v>
      </c>
      <c r="E2805" s="1"/>
      <c r="F2805" s="1" t="s">
        <v>11</v>
      </c>
      <c r="G2805">
        <v>1</v>
      </c>
      <c r="H2805">
        <v>1</v>
      </c>
      <c r="I2805" s="2"/>
      <c r="J2805" s="2">
        <v>45754</v>
      </c>
      <c r="K2805" s="2">
        <v>45756</v>
      </c>
    </row>
    <row r="2806" spans="1:11" x14ac:dyDescent="0.25">
      <c r="A2806" s="1" t="s">
        <v>515</v>
      </c>
      <c r="B2806" s="1" t="s">
        <v>1351</v>
      </c>
      <c r="C2806" s="1" t="s">
        <v>2304</v>
      </c>
      <c r="D2806" s="1" t="s">
        <v>1998</v>
      </c>
      <c r="E2806" s="1"/>
      <c r="F2806" s="1" t="s">
        <v>11</v>
      </c>
      <c r="G2806">
        <v>1</v>
      </c>
      <c r="H2806">
        <v>1</v>
      </c>
      <c r="I2806" s="2"/>
      <c r="J2806" s="2">
        <v>45754</v>
      </c>
      <c r="K2806" s="2">
        <v>45756</v>
      </c>
    </row>
    <row r="2807" spans="1:11" x14ac:dyDescent="0.25">
      <c r="A2807" s="1" t="s">
        <v>516</v>
      </c>
      <c r="B2807" s="1" t="s">
        <v>1592</v>
      </c>
      <c r="C2807" s="1" t="s">
        <v>2510</v>
      </c>
      <c r="D2807" s="1" t="s">
        <v>1998</v>
      </c>
      <c r="E2807" s="1"/>
      <c r="F2807" s="1" t="s">
        <v>11</v>
      </c>
      <c r="G2807">
        <v>620</v>
      </c>
      <c r="H2807">
        <v>620</v>
      </c>
      <c r="I2807" s="2">
        <v>45784</v>
      </c>
      <c r="J2807" s="2">
        <v>45779</v>
      </c>
      <c r="K2807" s="2">
        <v>45784</v>
      </c>
    </row>
    <row r="2808" spans="1:11" x14ac:dyDescent="0.25">
      <c r="A2808" s="1" t="s">
        <v>516</v>
      </c>
      <c r="B2808" s="1" t="s">
        <v>1593</v>
      </c>
      <c r="C2808" s="1" t="s">
        <v>2511</v>
      </c>
      <c r="D2808" s="1" t="s">
        <v>1998</v>
      </c>
      <c r="E2808" s="1"/>
      <c r="F2808" s="1" t="s">
        <v>11</v>
      </c>
      <c r="G2808">
        <v>250</v>
      </c>
      <c r="H2808">
        <v>250</v>
      </c>
      <c r="I2808" s="2">
        <v>45784</v>
      </c>
      <c r="J2808" s="2">
        <v>45779</v>
      </c>
      <c r="K2808" s="2">
        <v>45784</v>
      </c>
    </row>
    <row r="2809" spans="1:11" x14ac:dyDescent="0.25">
      <c r="A2809" s="1" t="s">
        <v>516</v>
      </c>
      <c r="B2809" s="1" t="s">
        <v>1593</v>
      </c>
      <c r="C2809" s="1" t="s">
        <v>2511</v>
      </c>
      <c r="D2809" s="1" t="s">
        <v>1998</v>
      </c>
      <c r="E2809" s="1"/>
      <c r="F2809" s="1" t="s">
        <v>16</v>
      </c>
      <c r="G2809">
        <v>15</v>
      </c>
      <c r="H2809">
        <v>15</v>
      </c>
      <c r="I2809" s="2">
        <v>45784</v>
      </c>
      <c r="J2809" s="2">
        <v>45779</v>
      </c>
      <c r="K2809" s="2">
        <v>45784</v>
      </c>
    </row>
    <row r="2810" spans="1:11" x14ac:dyDescent="0.25">
      <c r="A2810" s="1" t="s">
        <v>516</v>
      </c>
      <c r="B2810" s="1" t="s">
        <v>1594</v>
      </c>
      <c r="C2810" s="1" t="s">
        <v>2512</v>
      </c>
      <c r="D2810" s="1" t="s">
        <v>1998</v>
      </c>
      <c r="E2810" s="1"/>
      <c r="F2810" s="1" t="s">
        <v>11</v>
      </c>
      <c r="G2810">
        <v>280</v>
      </c>
      <c r="H2810">
        <v>280</v>
      </c>
      <c r="I2810" s="2">
        <v>45784</v>
      </c>
      <c r="J2810" s="2">
        <v>45779</v>
      </c>
      <c r="K2810" s="2">
        <v>45784</v>
      </c>
    </row>
    <row r="2811" spans="1:11" x14ac:dyDescent="0.25">
      <c r="A2811" s="1" t="s">
        <v>516</v>
      </c>
      <c r="B2811" s="1" t="s">
        <v>1595</v>
      </c>
      <c r="C2811" s="1" t="s">
        <v>2513</v>
      </c>
      <c r="D2811" s="1" t="s">
        <v>1998</v>
      </c>
      <c r="E2811" s="1"/>
      <c r="F2811" s="1" t="s">
        <v>11</v>
      </c>
      <c r="G2811">
        <v>635</v>
      </c>
      <c r="H2811">
        <v>635</v>
      </c>
      <c r="I2811" s="2">
        <v>45784</v>
      </c>
      <c r="J2811" s="2">
        <v>45779</v>
      </c>
      <c r="K2811" s="2">
        <v>45784</v>
      </c>
    </row>
    <row r="2812" spans="1:11" x14ac:dyDescent="0.25">
      <c r="A2812" s="1" t="s">
        <v>516</v>
      </c>
      <c r="B2812" s="1" t="s">
        <v>1596</v>
      </c>
      <c r="C2812" s="1" t="s">
        <v>2514</v>
      </c>
      <c r="D2812" s="1" t="s">
        <v>1998</v>
      </c>
      <c r="E2812" s="1"/>
      <c r="F2812" s="1" t="s">
        <v>11</v>
      </c>
      <c r="G2812">
        <v>505</v>
      </c>
      <c r="H2812">
        <v>505</v>
      </c>
      <c r="I2812" s="2">
        <v>45784</v>
      </c>
      <c r="J2812" s="2">
        <v>45779</v>
      </c>
      <c r="K2812" s="2">
        <v>45784</v>
      </c>
    </row>
    <row r="2813" spans="1:11" x14ac:dyDescent="0.25">
      <c r="A2813" s="1" t="s">
        <v>517</v>
      </c>
      <c r="B2813" s="1" t="s">
        <v>1003</v>
      </c>
      <c r="C2813" s="1" t="s">
        <v>2021</v>
      </c>
      <c r="D2813" s="1" t="s">
        <v>1998</v>
      </c>
      <c r="E2813" s="1"/>
      <c r="F2813" s="1" t="s">
        <v>11</v>
      </c>
      <c r="G2813">
        <v>1670</v>
      </c>
      <c r="H2813">
        <v>1670</v>
      </c>
      <c r="I2813" s="2"/>
      <c r="J2813" s="2">
        <v>45755</v>
      </c>
      <c r="K2813" s="2">
        <v>45768</v>
      </c>
    </row>
    <row r="2814" spans="1:11" x14ac:dyDescent="0.25">
      <c r="A2814" s="1" t="s">
        <v>518</v>
      </c>
      <c r="B2814" s="1" t="s">
        <v>1003</v>
      </c>
      <c r="C2814" s="1" t="s">
        <v>2021</v>
      </c>
      <c r="D2814" s="1" t="s">
        <v>1998</v>
      </c>
      <c r="E2814" s="1"/>
      <c r="F2814" s="1" t="s">
        <v>11</v>
      </c>
      <c r="G2814">
        <v>1670</v>
      </c>
      <c r="H2814">
        <v>350</v>
      </c>
      <c r="I2814" s="2"/>
      <c r="J2814" s="2">
        <v>45756</v>
      </c>
      <c r="K2814" s="2">
        <v>45775</v>
      </c>
    </row>
    <row r="2815" spans="1:11" x14ac:dyDescent="0.25">
      <c r="A2815" s="1" t="s">
        <v>519</v>
      </c>
      <c r="B2815" s="1" t="s">
        <v>1195</v>
      </c>
      <c r="C2815" s="1" t="s">
        <v>2186</v>
      </c>
      <c r="D2815" s="1" t="s">
        <v>1998</v>
      </c>
      <c r="E2815" s="1"/>
      <c r="F2815" s="1" t="s">
        <v>11</v>
      </c>
      <c r="G2815">
        <v>855</v>
      </c>
      <c r="H2815">
        <v>885</v>
      </c>
      <c r="I2815" s="2"/>
      <c r="J2815" s="2">
        <v>45763</v>
      </c>
      <c r="K2815" s="2">
        <v>45784</v>
      </c>
    </row>
    <row r="2816" spans="1:11" x14ac:dyDescent="0.25">
      <c r="A2816" s="1" t="s">
        <v>520</v>
      </c>
      <c r="B2816" s="1" t="s">
        <v>1195</v>
      </c>
      <c r="C2816" s="1" t="s">
        <v>2186</v>
      </c>
      <c r="D2816" s="1" t="s">
        <v>1998</v>
      </c>
      <c r="E2816" s="1"/>
      <c r="F2816" s="1" t="s">
        <v>11</v>
      </c>
      <c r="G2816">
        <v>750</v>
      </c>
      <c r="H2816">
        <v>880</v>
      </c>
      <c r="I2816" s="2"/>
      <c r="J2816" s="2">
        <v>45765</v>
      </c>
      <c r="K2816" s="2">
        <v>45786</v>
      </c>
    </row>
    <row r="2817" spans="1:11" x14ac:dyDescent="0.25">
      <c r="A2817" s="1" t="s">
        <v>520</v>
      </c>
      <c r="B2817" s="1" t="s">
        <v>1195</v>
      </c>
      <c r="C2817" s="1" t="s">
        <v>2186</v>
      </c>
      <c r="D2817" s="1" t="s">
        <v>1998</v>
      </c>
      <c r="E2817" s="1"/>
      <c r="F2817" s="1" t="s">
        <v>11</v>
      </c>
      <c r="G2817">
        <v>1</v>
      </c>
      <c r="H2817">
        <v>1</v>
      </c>
      <c r="I2817" s="2"/>
      <c r="J2817" s="2">
        <v>45765</v>
      </c>
      <c r="K2817" s="2">
        <v>45786</v>
      </c>
    </row>
    <row r="2818" spans="1:11" x14ac:dyDescent="0.25">
      <c r="A2818" s="1" t="s">
        <v>521</v>
      </c>
      <c r="B2818" s="1" t="s">
        <v>1298</v>
      </c>
      <c r="C2818" s="1" t="s">
        <v>2273</v>
      </c>
      <c r="D2818" s="1" t="s">
        <v>1998</v>
      </c>
      <c r="E2818" s="1"/>
      <c r="F2818" s="1" t="s">
        <v>11</v>
      </c>
      <c r="G2818">
        <v>30</v>
      </c>
      <c r="H2818">
        <v>75</v>
      </c>
      <c r="I2818" s="2"/>
      <c r="J2818" s="2">
        <v>45783</v>
      </c>
      <c r="K2818" s="2">
        <v>45786</v>
      </c>
    </row>
    <row r="2819" spans="1:11" x14ac:dyDescent="0.25">
      <c r="A2819" s="1" t="s">
        <v>521</v>
      </c>
      <c r="B2819" s="1" t="s">
        <v>1299</v>
      </c>
      <c r="C2819" s="1" t="s">
        <v>2223</v>
      </c>
      <c r="D2819" s="1" t="s">
        <v>1998</v>
      </c>
      <c r="E2819" s="1"/>
      <c r="F2819" s="1" t="s">
        <v>11</v>
      </c>
      <c r="G2819">
        <v>130</v>
      </c>
      <c r="H2819">
        <v>130</v>
      </c>
      <c r="I2819" s="2"/>
      <c r="J2819" s="2">
        <v>45783</v>
      </c>
      <c r="K2819" s="2">
        <v>45786</v>
      </c>
    </row>
    <row r="2820" spans="1:11" x14ac:dyDescent="0.25">
      <c r="A2820" s="1" t="s">
        <v>521</v>
      </c>
      <c r="B2820" s="1" t="s">
        <v>1300</v>
      </c>
      <c r="C2820" s="1" t="s">
        <v>2002</v>
      </c>
      <c r="D2820" s="1" t="s">
        <v>1998</v>
      </c>
      <c r="E2820" s="1"/>
      <c r="F2820" s="1" t="s">
        <v>11</v>
      </c>
      <c r="G2820">
        <v>80</v>
      </c>
      <c r="H2820">
        <v>80</v>
      </c>
      <c r="I2820" s="2"/>
      <c r="J2820" s="2">
        <v>45783</v>
      </c>
      <c r="K2820" s="2">
        <v>45786</v>
      </c>
    </row>
    <row r="2821" spans="1:11" x14ac:dyDescent="0.25">
      <c r="A2821" s="1" t="s">
        <v>521</v>
      </c>
      <c r="B2821" s="1" t="s">
        <v>1301</v>
      </c>
      <c r="C2821" s="1" t="s">
        <v>2002</v>
      </c>
      <c r="D2821" s="1" t="s">
        <v>1998</v>
      </c>
      <c r="E2821" s="1"/>
      <c r="F2821" s="1" t="s">
        <v>11</v>
      </c>
      <c r="G2821">
        <v>70</v>
      </c>
      <c r="H2821">
        <v>70</v>
      </c>
      <c r="I2821" s="2"/>
      <c r="J2821" s="2">
        <v>45783</v>
      </c>
      <c r="K2821" s="2">
        <v>45786</v>
      </c>
    </row>
    <row r="2822" spans="1:11" x14ac:dyDescent="0.25">
      <c r="A2822" s="1" t="s">
        <v>522</v>
      </c>
      <c r="B2822" s="1" t="s">
        <v>1223</v>
      </c>
      <c r="C2822" s="1" t="s">
        <v>2207</v>
      </c>
      <c r="D2822" s="1" t="s">
        <v>1998</v>
      </c>
      <c r="E2822" s="1"/>
      <c r="F2822" s="1" t="s">
        <v>11</v>
      </c>
      <c r="G2822">
        <v>130</v>
      </c>
      <c r="H2822">
        <v>130</v>
      </c>
      <c r="I2822" s="2"/>
      <c r="J2822" s="2">
        <v>45761</v>
      </c>
      <c r="K2822" s="2">
        <v>45772</v>
      </c>
    </row>
    <row r="2823" spans="1:11" x14ac:dyDescent="0.25">
      <c r="A2823" s="1" t="s">
        <v>522</v>
      </c>
      <c r="B2823" s="1" t="s">
        <v>1224</v>
      </c>
      <c r="C2823" s="1" t="s">
        <v>2208</v>
      </c>
      <c r="D2823" s="1" t="s">
        <v>1998</v>
      </c>
      <c r="E2823" s="1"/>
      <c r="F2823" s="1" t="s">
        <v>11</v>
      </c>
      <c r="G2823">
        <v>1865</v>
      </c>
      <c r="H2823">
        <v>1865</v>
      </c>
      <c r="I2823" s="2"/>
      <c r="J2823" s="2">
        <v>45761</v>
      </c>
      <c r="K2823" s="2">
        <v>45772</v>
      </c>
    </row>
    <row r="2824" spans="1:11" x14ac:dyDescent="0.25">
      <c r="A2824" s="1" t="s">
        <v>522</v>
      </c>
      <c r="B2824" s="1" t="s">
        <v>1225</v>
      </c>
      <c r="C2824" s="1" t="s">
        <v>2209</v>
      </c>
      <c r="D2824" s="1" t="s">
        <v>1998</v>
      </c>
      <c r="E2824" s="1"/>
      <c r="F2824" s="1" t="s">
        <v>11</v>
      </c>
      <c r="G2824">
        <v>1410</v>
      </c>
      <c r="H2824">
        <v>1410</v>
      </c>
      <c r="I2824" s="2"/>
      <c r="J2824" s="2">
        <v>45761</v>
      </c>
      <c r="K2824" s="2">
        <v>45772</v>
      </c>
    </row>
    <row r="2825" spans="1:11" x14ac:dyDescent="0.25">
      <c r="A2825" s="1" t="s">
        <v>523</v>
      </c>
      <c r="B2825" s="1" t="s">
        <v>1226</v>
      </c>
      <c r="C2825" s="1" t="s">
        <v>2210</v>
      </c>
      <c r="D2825" s="1" t="s">
        <v>1998</v>
      </c>
      <c r="E2825" s="1"/>
      <c r="F2825" s="1" t="s">
        <v>11</v>
      </c>
      <c r="G2825">
        <v>15</v>
      </c>
      <c r="H2825">
        <v>15</v>
      </c>
      <c r="I2825" s="2"/>
      <c r="J2825" s="2">
        <v>45756</v>
      </c>
      <c r="K2825" s="2">
        <v>45763</v>
      </c>
    </row>
    <row r="2826" spans="1:11" x14ac:dyDescent="0.25">
      <c r="A2826" s="1" t="s">
        <v>523</v>
      </c>
      <c r="B2826" s="1" t="s">
        <v>1227</v>
      </c>
      <c r="C2826" s="1" t="s">
        <v>2211</v>
      </c>
      <c r="D2826" s="1" t="s">
        <v>1998</v>
      </c>
      <c r="E2826" s="1"/>
      <c r="F2826" s="1" t="s">
        <v>11</v>
      </c>
      <c r="G2826">
        <v>1</v>
      </c>
      <c r="H2826">
        <v>1</v>
      </c>
      <c r="I2826" s="2"/>
      <c r="J2826" s="2">
        <v>45756</v>
      </c>
      <c r="K2826" s="2">
        <v>45763</v>
      </c>
    </row>
    <row r="2827" spans="1:11" x14ac:dyDescent="0.25">
      <c r="A2827" s="1" t="s">
        <v>523</v>
      </c>
      <c r="B2827" s="1" t="s">
        <v>1228</v>
      </c>
      <c r="C2827" s="1" t="s">
        <v>2212</v>
      </c>
      <c r="D2827" s="1" t="s">
        <v>1998</v>
      </c>
      <c r="E2827" s="1"/>
      <c r="F2827" s="1" t="s">
        <v>11</v>
      </c>
      <c r="G2827">
        <v>1</v>
      </c>
      <c r="H2827">
        <v>1</v>
      </c>
      <c r="I2827" s="2"/>
      <c r="J2827" s="2">
        <v>45756</v>
      </c>
      <c r="K2827" s="2">
        <v>45763</v>
      </c>
    </row>
    <row r="2828" spans="1:11" x14ac:dyDescent="0.25">
      <c r="A2828" s="1" t="s">
        <v>523</v>
      </c>
      <c r="B2828" s="1" t="s">
        <v>1229</v>
      </c>
      <c r="C2828" s="1" t="s">
        <v>2213</v>
      </c>
      <c r="D2828" s="1" t="s">
        <v>1998</v>
      </c>
      <c r="E2828" s="1"/>
      <c r="F2828" s="1" t="s">
        <v>11</v>
      </c>
      <c r="G2828">
        <v>10</v>
      </c>
      <c r="H2828">
        <v>10</v>
      </c>
      <c r="I2828" s="2"/>
      <c r="J2828" s="2">
        <v>45756</v>
      </c>
      <c r="K2828" s="2">
        <v>45763</v>
      </c>
    </row>
    <row r="2829" spans="1:11" x14ac:dyDescent="0.25">
      <c r="A2829" s="1" t="s">
        <v>523</v>
      </c>
      <c r="B2829" s="1" t="s">
        <v>1230</v>
      </c>
      <c r="C2829" s="1" t="s">
        <v>2214</v>
      </c>
      <c r="D2829" s="1" t="s">
        <v>1998</v>
      </c>
      <c r="E2829" s="1"/>
      <c r="F2829" s="1" t="s">
        <v>11</v>
      </c>
      <c r="G2829">
        <v>1</v>
      </c>
      <c r="H2829">
        <v>1</v>
      </c>
      <c r="I2829" s="2"/>
      <c r="J2829" s="2">
        <v>45756</v>
      </c>
      <c r="K2829" s="2">
        <v>45763</v>
      </c>
    </row>
    <row r="2830" spans="1:11" x14ac:dyDescent="0.25">
      <c r="A2830" s="1" t="s">
        <v>523</v>
      </c>
      <c r="B2830" s="1" t="s">
        <v>1597</v>
      </c>
      <c r="C2830" s="1" t="s">
        <v>2515</v>
      </c>
      <c r="D2830" s="1" t="s">
        <v>1998</v>
      </c>
      <c r="E2830" s="1"/>
      <c r="F2830" s="1" t="s">
        <v>11</v>
      </c>
      <c r="G2830">
        <v>1</v>
      </c>
      <c r="H2830">
        <v>1</v>
      </c>
      <c r="I2830" s="2"/>
      <c r="J2830" s="2">
        <v>45756</v>
      </c>
      <c r="K2830" s="2">
        <v>45763</v>
      </c>
    </row>
    <row r="2831" spans="1:11" x14ac:dyDescent="0.25">
      <c r="A2831" s="1" t="s">
        <v>523</v>
      </c>
      <c r="B2831" s="1" t="s">
        <v>1367</v>
      </c>
      <c r="C2831" s="1" t="s">
        <v>2317</v>
      </c>
      <c r="D2831" s="1" t="s">
        <v>1998</v>
      </c>
      <c r="E2831" s="1"/>
      <c r="F2831" s="1" t="s">
        <v>11</v>
      </c>
      <c r="G2831">
        <v>1</v>
      </c>
      <c r="H2831">
        <v>1</v>
      </c>
      <c r="I2831" s="2"/>
      <c r="J2831" s="2">
        <v>45756</v>
      </c>
      <c r="K2831" s="2">
        <v>45763</v>
      </c>
    </row>
    <row r="2832" spans="1:11" x14ac:dyDescent="0.25">
      <c r="A2832" s="1" t="s">
        <v>523</v>
      </c>
      <c r="B2832" s="1" t="s">
        <v>1232</v>
      </c>
      <c r="C2832" s="1" t="s">
        <v>2216</v>
      </c>
      <c r="D2832" s="1" t="s">
        <v>1998</v>
      </c>
      <c r="E2832" s="1"/>
      <c r="F2832" s="1" t="s">
        <v>11</v>
      </c>
      <c r="G2832">
        <v>1</v>
      </c>
      <c r="H2832">
        <v>1</v>
      </c>
      <c r="I2832" s="2"/>
      <c r="J2832" s="2">
        <v>45756</v>
      </c>
      <c r="K2832" s="2">
        <v>45763</v>
      </c>
    </row>
    <row r="2833" spans="1:11" x14ac:dyDescent="0.25">
      <c r="A2833" s="1" t="s">
        <v>523</v>
      </c>
      <c r="B2833" s="1" t="s">
        <v>1538</v>
      </c>
      <c r="C2833" s="1" t="s">
        <v>2466</v>
      </c>
      <c r="D2833" s="1" t="s">
        <v>1998</v>
      </c>
      <c r="E2833" s="1"/>
      <c r="F2833" s="1" t="s">
        <v>11</v>
      </c>
      <c r="G2833">
        <v>20</v>
      </c>
      <c r="H2833">
        <v>20</v>
      </c>
      <c r="I2833" s="2"/>
      <c r="J2833" s="2">
        <v>45756</v>
      </c>
      <c r="K2833" s="2">
        <v>45763</v>
      </c>
    </row>
    <row r="2834" spans="1:11" x14ac:dyDescent="0.25">
      <c r="A2834" s="1" t="s">
        <v>523</v>
      </c>
      <c r="B2834" s="1" t="s">
        <v>1234</v>
      </c>
      <c r="C2834" s="1" t="s">
        <v>2218</v>
      </c>
      <c r="D2834" s="1" t="s">
        <v>1998</v>
      </c>
      <c r="E2834" s="1"/>
      <c r="F2834" s="1" t="s">
        <v>11</v>
      </c>
      <c r="G2834">
        <v>1</v>
      </c>
      <c r="H2834">
        <v>1</v>
      </c>
      <c r="I2834" s="2"/>
      <c r="J2834" s="2">
        <v>45756</v>
      </c>
      <c r="K2834" s="2">
        <v>45763</v>
      </c>
    </row>
    <row r="2835" spans="1:11" x14ac:dyDescent="0.25">
      <c r="A2835" s="1" t="s">
        <v>523</v>
      </c>
      <c r="B2835" s="1" t="s">
        <v>1570</v>
      </c>
      <c r="C2835" s="1" t="s">
        <v>2491</v>
      </c>
      <c r="D2835" s="1" t="s">
        <v>1998</v>
      </c>
      <c r="E2835" s="1"/>
      <c r="F2835" s="1" t="s">
        <v>11</v>
      </c>
      <c r="G2835">
        <v>10</v>
      </c>
      <c r="H2835">
        <v>10</v>
      </c>
      <c r="I2835" s="2"/>
      <c r="J2835" s="2">
        <v>45756</v>
      </c>
      <c r="K2835" s="2">
        <v>45763</v>
      </c>
    </row>
    <row r="2836" spans="1:11" x14ac:dyDescent="0.25">
      <c r="A2836" s="1" t="s">
        <v>523</v>
      </c>
      <c r="B2836" s="1" t="s">
        <v>1364</v>
      </c>
      <c r="C2836" s="1" t="s">
        <v>2314</v>
      </c>
      <c r="D2836" s="1" t="s">
        <v>1998</v>
      </c>
      <c r="E2836" s="1"/>
      <c r="F2836" s="1" t="s">
        <v>11</v>
      </c>
      <c r="G2836">
        <v>1</v>
      </c>
      <c r="H2836">
        <v>1</v>
      </c>
      <c r="I2836" s="2"/>
      <c r="J2836" s="2">
        <v>45756</v>
      </c>
      <c r="K2836" s="2">
        <v>45763</v>
      </c>
    </row>
    <row r="2837" spans="1:11" x14ac:dyDescent="0.25">
      <c r="A2837" s="1" t="s">
        <v>524</v>
      </c>
      <c r="B2837" s="1" t="s">
        <v>1123</v>
      </c>
      <c r="C2837" s="1" t="s">
        <v>2123</v>
      </c>
      <c r="D2837" s="1" t="s">
        <v>1998</v>
      </c>
      <c r="E2837" s="1"/>
      <c r="F2837" s="1" t="s">
        <v>11</v>
      </c>
      <c r="G2837">
        <v>145</v>
      </c>
      <c r="H2837">
        <v>145</v>
      </c>
      <c r="I2837" s="2">
        <v>45782</v>
      </c>
      <c r="J2837" s="2">
        <v>45775</v>
      </c>
      <c r="K2837" s="2">
        <v>45782</v>
      </c>
    </row>
    <row r="2838" spans="1:11" x14ac:dyDescent="0.25">
      <c r="A2838" s="1" t="s">
        <v>524</v>
      </c>
      <c r="B2838" s="1" t="s">
        <v>1598</v>
      </c>
      <c r="C2838" s="1" t="s">
        <v>2124</v>
      </c>
      <c r="D2838" s="1" t="s">
        <v>1998</v>
      </c>
      <c r="E2838" s="1"/>
      <c r="F2838" s="1" t="s">
        <v>11</v>
      </c>
      <c r="G2838">
        <v>375</v>
      </c>
      <c r="H2838">
        <v>375</v>
      </c>
      <c r="I2838" s="2">
        <v>45782</v>
      </c>
      <c r="J2838" s="2">
        <v>45775</v>
      </c>
      <c r="K2838" s="2">
        <v>45782</v>
      </c>
    </row>
    <row r="2839" spans="1:11" x14ac:dyDescent="0.25">
      <c r="A2839" s="1" t="s">
        <v>524</v>
      </c>
      <c r="B2839" s="1" t="s">
        <v>1125</v>
      </c>
      <c r="C2839" s="1" t="s">
        <v>2125</v>
      </c>
      <c r="D2839" s="1" t="s">
        <v>1998</v>
      </c>
      <c r="E2839" s="1"/>
      <c r="F2839" s="1" t="s">
        <v>11</v>
      </c>
      <c r="G2839">
        <v>215</v>
      </c>
      <c r="H2839">
        <v>215</v>
      </c>
      <c r="I2839" s="2">
        <v>45782</v>
      </c>
      <c r="J2839" s="2">
        <v>45775</v>
      </c>
      <c r="K2839" s="2">
        <v>45782</v>
      </c>
    </row>
    <row r="2840" spans="1:11" x14ac:dyDescent="0.25">
      <c r="A2840" s="1" t="s">
        <v>524</v>
      </c>
      <c r="B2840" s="1" t="s">
        <v>1126</v>
      </c>
      <c r="C2840" s="1" t="s">
        <v>2126</v>
      </c>
      <c r="D2840" s="1" t="s">
        <v>1998</v>
      </c>
      <c r="E2840" s="1"/>
      <c r="F2840" s="1" t="s">
        <v>11</v>
      </c>
      <c r="G2840">
        <v>15</v>
      </c>
      <c r="H2840">
        <v>15</v>
      </c>
      <c r="I2840" s="2">
        <v>45782</v>
      </c>
      <c r="J2840" s="2">
        <v>45775</v>
      </c>
      <c r="K2840" s="2">
        <v>45782</v>
      </c>
    </row>
    <row r="2841" spans="1:11" x14ac:dyDescent="0.25">
      <c r="A2841" s="1" t="s">
        <v>524</v>
      </c>
      <c r="B2841" s="1" t="s">
        <v>1599</v>
      </c>
      <c r="C2841" s="1" t="s">
        <v>2516</v>
      </c>
      <c r="D2841" s="1" t="s">
        <v>1998</v>
      </c>
      <c r="E2841" s="1"/>
      <c r="F2841" s="1" t="s">
        <v>11</v>
      </c>
      <c r="G2841">
        <v>390</v>
      </c>
      <c r="H2841">
        <v>390</v>
      </c>
      <c r="I2841" s="2">
        <v>45782</v>
      </c>
      <c r="J2841" s="2">
        <v>45775</v>
      </c>
      <c r="K2841" s="2">
        <v>45782</v>
      </c>
    </row>
    <row r="2842" spans="1:11" x14ac:dyDescent="0.25">
      <c r="A2842" s="1" t="s">
        <v>524</v>
      </c>
      <c r="B2842" s="1" t="s">
        <v>1128</v>
      </c>
      <c r="C2842" s="1" t="s">
        <v>2128</v>
      </c>
      <c r="D2842" s="1" t="s">
        <v>1998</v>
      </c>
      <c r="E2842" s="1"/>
      <c r="F2842" s="1" t="s">
        <v>11</v>
      </c>
      <c r="G2842">
        <v>15</v>
      </c>
      <c r="H2842">
        <v>15</v>
      </c>
      <c r="I2842" s="2">
        <v>45782</v>
      </c>
      <c r="J2842" s="2">
        <v>45775</v>
      </c>
      <c r="K2842" s="2">
        <v>45782</v>
      </c>
    </row>
    <row r="2843" spans="1:11" x14ac:dyDescent="0.25">
      <c r="A2843" s="1" t="s">
        <v>524</v>
      </c>
      <c r="B2843" s="1" t="s">
        <v>1129</v>
      </c>
      <c r="C2843" s="1" t="s">
        <v>2129</v>
      </c>
      <c r="D2843" s="1" t="s">
        <v>1998</v>
      </c>
      <c r="E2843" s="1"/>
      <c r="F2843" s="1" t="s">
        <v>11</v>
      </c>
      <c r="G2843">
        <v>20</v>
      </c>
      <c r="H2843">
        <v>20</v>
      </c>
      <c r="I2843" s="2">
        <v>45782</v>
      </c>
      <c r="J2843" s="2">
        <v>45775</v>
      </c>
      <c r="K2843" s="2">
        <v>45782</v>
      </c>
    </row>
    <row r="2844" spans="1:11" x14ac:dyDescent="0.25">
      <c r="A2844" s="1" t="s">
        <v>524</v>
      </c>
      <c r="B2844" s="1" t="s">
        <v>1130</v>
      </c>
      <c r="C2844" s="1" t="s">
        <v>2130</v>
      </c>
      <c r="D2844" s="1" t="s">
        <v>1998</v>
      </c>
      <c r="E2844" s="1"/>
      <c r="F2844" s="1" t="s">
        <v>11</v>
      </c>
      <c r="G2844">
        <v>120</v>
      </c>
      <c r="H2844">
        <v>120</v>
      </c>
      <c r="I2844" s="2">
        <v>45782</v>
      </c>
      <c r="J2844" s="2">
        <v>45775</v>
      </c>
      <c r="K2844" s="2">
        <v>45782</v>
      </c>
    </row>
    <row r="2845" spans="1:11" x14ac:dyDescent="0.25">
      <c r="A2845" s="1" t="s">
        <v>524</v>
      </c>
      <c r="B2845" s="1" t="s">
        <v>1600</v>
      </c>
      <c r="C2845" s="1" t="s">
        <v>2517</v>
      </c>
      <c r="D2845" s="1" t="s">
        <v>1998</v>
      </c>
      <c r="E2845" s="1"/>
      <c r="F2845" s="1" t="s">
        <v>11</v>
      </c>
      <c r="G2845">
        <v>60</v>
      </c>
      <c r="H2845">
        <v>60</v>
      </c>
      <c r="I2845" s="2">
        <v>45782</v>
      </c>
      <c r="J2845" s="2">
        <v>45775</v>
      </c>
      <c r="K2845" s="2">
        <v>45782</v>
      </c>
    </row>
    <row r="2846" spans="1:11" x14ac:dyDescent="0.25">
      <c r="A2846" s="1" t="s">
        <v>524</v>
      </c>
      <c r="B2846" s="1" t="s">
        <v>1601</v>
      </c>
      <c r="C2846" s="1" t="s">
        <v>2518</v>
      </c>
      <c r="D2846" s="1" t="s">
        <v>1998</v>
      </c>
      <c r="E2846" s="1"/>
      <c r="F2846" s="1" t="s">
        <v>11</v>
      </c>
      <c r="G2846">
        <v>20</v>
      </c>
      <c r="H2846">
        <v>20</v>
      </c>
      <c r="I2846" s="2">
        <v>45782</v>
      </c>
      <c r="J2846" s="2">
        <v>45775</v>
      </c>
      <c r="K2846" s="2">
        <v>45782</v>
      </c>
    </row>
    <row r="2847" spans="1:11" x14ac:dyDescent="0.25">
      <c r="A2847" s="1" t="s">
        <v>524</v>
      </c>
      <c r="B2847" s="1" t="s">
        <v>1133</v>
      </c>
      <c r="C2847" s="1" t="s">
        <v>2133</v>
      </c>
      <c r="D2847" s="1" t="s">
        <v>1998</v>
      </c>
      <c r="E2847" s="1"/>
      <c r="F2847" s="1" t="s">
        <v>11</v>
      </c>
      <c r="G2847">
        <v>40</v>
      </c>
      <c r="H2847">
        <v>40</v>
      </c>
      <c r="I2847" s="2">
        <v>45782</v>
      </c>
      <c r="J2847" s="2">
        <v>45775</v>
      </c>
      <c r="K2847" s="2">
        <v>45782</v>
      </c>
    </row>
    <row r="2848" spans="1:11" x14ac:dyDescent="0.25">
      <c r="A2848" s="1" t="s">
        <v>524</v>
      </c>
      <c r="B2848" s="1" t="s">
        <v>1134</v>
      </c>
      <c r="C2848" s="1" t="s">
        <v>2134</v>
      </c>
      <c r="D2848" s="1" t="s">
        <v>1998</v>
      </c>
      <c r="E2848" s="1"/>
      <c r="F2848" s="1" t="s">
        <v>11</v>
      </c>
      <c r="G2848">
        <v>35</v>
      </c>
      <c r="H2848">
        <v>35</v>
      </c>
      <c r="I2848" s="2">
        <v>45782</v>
      </c>
      <c r="J2848" s="2">
        <v>45775</v>
      </c>
      <c r="K2848" s="2">
        <v>45782</v>
      </c>
    </row>
    <row r="2849" spans="1:11" x14ac:dyDescent="0.25">
      <c r="A2849" s="1" t="s">
        <v>524</v>
      </c>
      <c r="B2849" s="1" t="s">
        <v>1602</v>
      </c>
      <c r="C2849" s="1" t="s">
        <v>2519</v>
      </c>
      <c r="D2849" s="1" t="s">
        <v>1998</v>
      </c>
      <c r="E2849" s="1"/>
      <c r="F2849" s="1" t="s">
        <v>11</v>
      </c>
      <c r="G2849">
        <v>180</v>
      </c>
      <c r="H2849">
        <v>180</v>
      </c>
      <c r="I2849" s="2">
        <v>45782</v>
      </c>
      <c r="J2849" s="2">
        <v>45775</v>
      </c>
      <c r="K2849" s="2">
        <v>45782</v>
      </c>
    </row>
    <row r="2850" spans="1:11" x14ac:dyDescent="0.25">
      <c r="A2850" s="1" t="s">
        <v>525</v>
      </c>
      <c r="B2850" s="1" t="s">
        <v>1603</v>
      </c>
      <c r="C2850" s="1" t="s">
        <v>2520</v>
      </c>
      <c r="D2850" s="1" t="s">
        <v>1998</v>
      </c>
      <c r="E2850" s="1"/>
      <c r="F2850" s="1" t="s">
        <v>11</v>
      </c>
      <c r="G2850">
        <v>35</v>
      </c>
      <c r="H2850">
        <v>35</v>
      </c>
      <c r="I2850" s="2"/>
      <c r="J2850" s="2">
        <v>45777</v>
      </c>
      <c r="K2850" s="2">
        <v>45789</v>
      </c>
    </row>
    <row r="2851" spans="1:11" x14ac:dyDescent="0.25">
      <c r="A2851" s="1" t="s">
        <v>526</v>
      </c>
      <c r="B2851" s="1" t="s">
        <v>1518</v>
      </c>
      <c r="C2851" s="1" t="s">
        <v>2451</v>
      </c>
      <c r="D2851" s="1" t="s">
        <v>1998</v>
      </c>
      <c r="E2851" s="1"/>
      <c r="F2851" s="1" t="s">
        <v>11</v>
      </c>
      <c r="G2851">
        <v>155</v>
      </c>
      <c r="H2851">
        <v>155</v>
      </c>
      <c r="I2851" s="2"/>
      <c r="J2851" s="2">
        <v>45761</v>
      </c>
      <c r="K2851" s="2">
        <v>45789</v>
      </c>
    </row>
    <row r="2852" spans="1:11" x14ac:dyDescent="0.25">
      <c r="A2852" s="1" t="s">
        <v>527</v>
      </c>
      <c r="B2852" s="1" t="s">
        <v>1604</v>
      </c>
      <c r="C2852" s="1" t="s">
        <v>2521</v>
      </c>
      <c r="D2852" s="1" t="s">
        <v>1998</v>
      </c>
      <c r="E2852" s="1"/>
      <c r="F2852" s="1" t="s">
        <v>11</v>
      </c>
      <c r="G2852">
        <v>2575</v>
      </c>
      <c r="H2852">
        <v>2575</v>
      </c>
      <c r="I2852" s="2">
        <v>45789</v>
      </c>
      <c r="J2852" s="2">
        <v>45775</v>
      </c>
      <c r="K2852" s="2">
        <v>45789</v>
      </c>
    </row>
    <row r="2853" spans="1:11" x14ac:dyDescent="0.25">
      <c r="A2853" s="1" t="s">
        <v>527</v>
      </c>
      <c r="B2853" s="1" t="s">
        <v>1605</v>
      </c>
      <c r="C2853" s="1" t="s">
        <v>2522</v>
      </c>
      <c r="D2853" s="1" t="s">
        <v>1998</v>
      </c>
      <c r="E2853" s="1"/>
      <c r="F2853" s="1" t="s">
        <v>11</v>
      </c>
      <c r="G2853">
        <v>2570</v>
      </c>
      <c r="H2853">
        <v>2570</v>
      </c>
      <c r="I2853" s="2">
        <v>45789</v>
      </c>
      <c r="J2853" s="2">
        <v>45775</v>
      </c>
      <c r="K2853" s="2">
        <v>45789</v>
      </c>
    </row>
    <row r="2854" spans="1:11" x14ac:dyDescent="0.25">
      <c r="A2854" s="1" t="s">
        <v>527</v>
      </c>
      <c r="B2854" s="1" t="s">
        <v>1606</v>
      </c>
      <c r="C2854" s="1" t="s">
        <v>2014</v>
      </c>
      <c r="D2854" s="1" t="s">
        <v>1998</v>
      </c>
      <c r="E2854" s="1"/>
      <c r="F2854" s="1" t="s">
        <v>11</v>
      </c>
      <c r="G2854">
        <v>1840</v>
      </c>
      <c r="H2854">
        <v>1840</v>
      </c>
      <c r="I2854" s="2">
        <v>45789</v>
      </c>
      <c r="J2854" s="2">
        <v>45775</v>
      </c>
      <c r="K2854" s="2">
        <v>45789</v>
      </c>
    </row>
    <row r="2855" spans="1:11" x14ac:dyDescent="0.25">
      <c r="A2855" s="1" t="s">
        <v>528</v>
      </c>
      <c r="B2855" s="1" t="s">
        <v>1604</v>
      </c>
      <c r="C2855" s="1" t="s">
        <v>2521</v>
      </c>
      <c r="D2855" s="1" t="s">
        <v>1998</v>
      </c>
      <c r="E2855" s="1"/>
      <c r="F2855" s="1" t="s">
        <v>11</v>
      </c>
      <c r="G2855">
        <v>2575</v>
      </c>
      <c r="H2855">
        <v>2575</v>
      </c>
      <c r="I2855" s="2"/>
      <c r="J2855" s="2">
        <v>45775</v>
      </c>
      <c r="K2855" s="2">
        <v>45789</v>
      </c>
    </row>
    <row r="2856" spans="1:11" x14ac:dyDescent="0.25">
      <c r="A2856" s="1" t="s">
        <v>528</v>
      </c>
      <c r="B2856" s="1" t="s">
        <v>1605</v>
      </c>
      <c r="C2856" s="1" t="s">
        <v>2522</v>
      </c>
      <c r="D2856" s="1" t="s">
        <v>1998</v>
      </c>
      <c r="E2856" s="1"/>
      <c r="F2856" s="1" t="s">
        <v>11</v>
      </c>
      <c r="G2856">
        <v>2570</v>
      </c>
      <c r="H2856">
        <v>2570</v>
      </c>
      <c r="I2856" s="2"/>
      <c r="J2856" s="2">
        <v>45775</v>
      </c>
      <c r="K2856" s="2">
        <v>45789</v>
      </c>
    </row>
    <row r="2857" spans="1:11" x14ac:dyDescent="0.25">
      <c r="A2857" s="1" t="s">
        <v>528</v>
      </c>
      <c r="B2857" s="1" t="s">
        <v>1606</v>
      </c>
      <c r="C2857" s="1" t="s">
        <v>2014</v>
      </c>
      <c r="D2857" s="1" t="s">
        <v>1998</v>
      </c>
      <c r="E2857" s="1"/>
      <c r="F2857" s="1" t="s">
        <v>11</v>
      </c>
      <c r="G2857">
        <v>1840</v>
      </c>
      <c r="H2857">
        <v>1840</v>
      </c>
      <c r="I2857" s="2"/>
      <c r="J2857" s="2">
        <v>45775</v>
      </c>
      <c r="K2857" s="2">
        <v>45789</v>
      </c>
    </row>
    <row r="2858" spans="1:11" x14ac:dyDescent="0.25">
      <c r="A2858" s="1" t="s">
        <v>528</v>
      </c>
      <c r="B2858" s="1" t="s">
        <v>1606</v>
      </c>
      <c r="C2858" s="1" t="s">
        <v>2014</v>
      </c>
      <c r="D2858" s="1" t="s">
        <v>1998</v>
      </c>
      <c r="E2858" s="1"/>
      <c r="F2858" s="1" t="s">
        <v>11</v>
      </c>
      <c r="G2858">
        <v>10</v>
      </c>
      <c r="H2858">
        <v>10</v>
      </c>
      <c r="I2858" s="2"/>
      <c r="J2858" s="2">
        <v>45775</v>
      </c>
      <c r="K2858" s="2">
        <v>45789</v>
      </c>
    </row>
    <row r="2859" spans="1:11" x14ac:dyDescent="0.25">
      <c r="A2859" s="1" t="s">
        <v>529</v>
      </c>
      <c r="B2859" s="1" t="s">
        <v>1604</v>
      </c>
      <c r="C2859" s="1" t="s">
        <v>2521</v>
      </c>
      <c r="D2859" s="1" t="s">
        <v>1998</v>
      </c>
      <c r="E2859" s="1"/>
      <c r="F2859" s="1" t="s">
        <v>11</v>
      </c>
      <c r="G2859">
        <v>2575</v>
      </c>
      <c r="H2859">
        <v>2575</v>
      </c>
      <c r="I2859" s="2"/>
      <c r="J2859" s="2">
        <v>45775</v>
      </c>
      <c r="K2859" s="2">
        <v>45789</v>
      </c>
    </row>
    <row r="2860" spans="1:11" x14ac:dyDescent="0.25">
      <c r="A2860" s="1" t="s">
        <v>529</v>
      </c>
      <c r="B2860" s="1" t="s">
        <v>1605</v>
      </c>
      <c r="C2860" s="1" t="s">
        <v>2522</v>
      </c>
      <c r="D2860" s="1" t="s">
        <v>1998</v>
      </c>
      <c r="E2860" s="1"/>
      <c r="F2860" s="1" t="s">
        <v>11</v>
      </c>
      <c r="G2860">
        <v>2570</v>
      </c>
      <c r="H2860">
        <v>2570</v>
      </c>
      <c r="I2860" s="2"/>
      <c r="J2860" s="2">
        <v>45775</v>
      </c>
      <c r="K2860" s="2">
        <v>45789</v>
      </c>
    </row>
    <row r="2861" spans="1:11" x14ac:dyDescent="0.25">
      <c r="A2861" s="1" t="s">
        <v>529</v>
      </c>
      <c r="B2861" s="1" t="s">
        <v>1606</v>
      </c>
      <c r="C2861" s="1" t="s">
        <v>2014</v>
      </c>
      <c r="D2861" s="1" t="s">
        <v>1998</v>
      </c>
      <c r="E2861" s="1"/>
      <c r="F2861" s="1" t="s">
        <v>11</v>
      </c>
      <c r="G2861">
        <v>1840</v>
      </c>
      <c r="H2861">
        <v>1840</v>
      </c>
      <c r="I2861" s="2"/>
      <c r="J2861" s="2">
        <v>45775</v>
      </c>
      <c r="K2861" s="2">
        <v>45789</v>
      </c>
    </row>
    <row r="2862" spans="1:11" x14ac:dyDescent="0.25">
      <c r="A2862" s="1" t="s">
        <v>529</v>
      </c>
      <c r="B2862" s="1" t="s">
        <v>1606</v>
      </c>
      <c r="C2862" s="1" t="s">
        <v>2014</v>
      </c>
      <c r="D2862" s="1" t="s">
        <v>1998</v>
      </c>
      <c r="E2862" s="1"/>
      <c r="F2862" s="1" t="s">
        <v>11</v>
      </c>
      <c r="G2862">
        <v>10</v>
      </c>
      <c r="H2862">
        <v>10</v>
      </c>
      <c r="I2862" s="2"/>
      <c r="J2862" s="2">
        <v>45775</v>
      </c>
      <c r="K2862" s="2">
        <v>45789</v>
      </c>
    </row>
    <row r="2863" spans="1:11" x14ac:dyDescent="0.25">
      <c r="A2863" s="1" t="s">
        <v>530</v>
      </c>
      <c r="B2863" s="1" t="s">
        <v>1264</v>
      </c>
      <c r="C2863" s="1" t="s">
        <v>2241</v>
      </c>
      <c r="D2863" s="1" t="s">
        <v>1998</v>
      </c>
      <c r="E2863" s="1"/>
      <c r="F2863" s="1" t="s">
        <v>21</v>
      </c>
      <c r="G2863">
        <v>30</v>
      </c>
      <c r="H2863">
        <v>30</v>
      </c>
      <c r="I2863" s="2"/>
      <c r="J2863" s="2">
        <v>45762</v>
      </c>
      <c r="K2863" s="2">
        <v>45762</v>
      </c>
    </row>
    <row r="2864" spans="1:11" x14ac:dyDescent="0.25">
      <c r="A2864" s="1" t="s">
        <v>530</v>
      </c>
      <c r="B2864" s="1" t="s">
        <v>1607</v>
      </c>
      <c r="C2864" s="1" t="s">
        <v>2523</v>
      </c>
      <c r="D2864" s="1" t="s">
        <v>1998</v>
      </c>
      <c r="E2864" s="1"/>
      <c r="F2864" s="1" t="s">
        <v>23</v>
      </c>
      <c r="G2864">
        <v>65</v>
      </c>
      <c r="H2864">
        <v>65</v>
      </c>
      <c r="I2864" s="2"/>
      <c r="J2864" s="2">
        <v>45762</v>
      </c>
      <c r="K2864" s="2">
        <v>45762</v>
      </c>
    </row>
    <row r="2865" spans="1:11" x14ac:dyDescent="0.25">
      <c r="A2865" s="1" t="s">
        <v>530</v>
      </c>
      <c r="B2865" s="1" t="s">
        <v>1267</v>
      </c>
      <c r="C2865" s="1" t="s">
        <v>2244</v>
      </c>
      <c r="D2865" s="1" t="s">
        <v>1998</v>
      </c>
      <c r="E2865" s="1"/>
      <c r="F2865" s="1" t="s">
        <v>24</v>
      </c>
      <c r="G2865">
        <v>1</v>
      </c>
      <c r="H2865">
        <v>1</v>
      </c>
      <c r="I2865" s="2"/>
      <c r="J2865" s="2">
        <v>45762</v>
      </c>
      <c r="K2865" s="2">
        <v>45762</v>
      </c>
    </row>
    <row r="2866" spans="1:11" x14ac:dyDescent="0.25">
      <c r="A2866" s="1" t="s">
        <v>530</v>
      </c>
      <c r="B2866" s="1" t="s">
        <v>1206</v>
      </c>
      <c r="C2866" s="1" t="s">
        <v>2196</v>
      </c>
      <c r="D2866" s="1" t="s">
        <v>1998</v>
      </c>
      <c r="E2866" s="1"/>
      <c r="F2866" s="1" t="s">
        <v>25</v>
      </c>
      <c r="G2866">
        <v>1</v>
      </c>
      <c r="H2866">
        <v>1</v>
      </c>
      <c r="I2866" s="2"/>
      <c r="J2866" s="2">
        <v>45762</v>
      </c>
      <c r="K2866" s="2">
        <v>45762</v>
      </c>
    </row>
    <row r="2867" spans="1:11" x14ac:dyDescent="0.25">
      <c r="A2867" s="1" t="s">
        <v>530</v>
      </c>
      <c r="B2867" s="1" t="s">
        <v>1359</v>
      </c>
      <c r="C2867" s="1" t="s">
        <v>2309</v>
      </c>
      <c r="D2867" s="1" t="s">
        <v>1998</v>
      </c>
      <c r="E2867" s="1"/>
      <c r="F2867" s="1" t="s">
        <v>26</v>
      </c>
      <c r="G2867">
        <v>20</v>
      </c>
      <c r="H2867">
        <v>20</v>
      </c>
      <c r="I2867" s="2"/>
      <c r="J2867" s="2">
        <v>45762</v>
      </c>
      <c r="K2867" s="2">
        <v>45762</v>
      </c>
    </row>
    <row r="2868" spans="1:11" x14ac:dyDescent="0.25">
      <c r="A2868" s="1" t="s">
        <v>530</v>
      </c>
      <c r="B2868" s="1" t="s">
        <v>1608</v>
      </c>
      <c r="C2868" s="1" t="s">
        <v>2524</v>
      </c>
      <c r="D2868" s="1" t="s">
        <v>1998</v>
      </c>
      <c r="E2868" s="1"/>
      <c r="F2868" s="1" t="s">
        <v>27</v>
      </c>
      <c r="G2868">
        <v>1</v>
      </c>
      <c r="H2868">
        <v>1</v>
      </c>
      <c r="I2868" s="2"/>
      <c r="J2868" s="2">
        <v>45762</v>
      </c>
      <c r="K2868" s="2">
        <v>45762</v>
      </c>
    </row>
    <row r="2869" spans="1:11" x14ac:dyDescent="0.25">
      <c r="A2869" s="1" t="s">
        <v>531</v>
      </c>
      <c r="B2869" s="1" t="s">
        <v>1609</v>
      </c>
      <c r="C2869" s="1" t="s">
        <v>2525</v>
      </c>
      <c r="D2869" s="1" t="s">
        <v>1998</v>
      </c>
      <c r="E2869" s="1"/>
      <c r="F2869" s="1" t="s">
        <v>11</v>
      </c>
      <c r="G2869">
        <v>2515</v>
      </c>
      <c r="H2869">
        <v>2515</v>
      </c>
      <c r="I2869" s="2"/>
      <c r="J2869" s="2">
        <v>45757</v>
      </c>
      <c r="K2869" s="2">
        <v>45789</v>
      </c>
    </row>
    <row r="2870" spans="1:11" x14ac:dyDescent="0.25">
      <c r="A2870" s="1" t="s">
        <v>531</v>
      </c>
      <c r="B2870" s="1" t="s">
        <v>1609</v>
      </c>
      <c r="C2870" s="1" t="s">
        <v>2525</v>
      </c>
      <c r="D2870" s="1" t="s">
        <v>1998</v>
      </c>
      <c r="E2870" s="1"/>
      <c r="F2870" s="1" t="s">
        <v>11</v>
      </c>
      <c r="G2870">
        <v>715</v>
      </c>
      <c r="H2870">
        <v>715</v>
      </c>
      <c r="I2870" s="2"/>
      <c r="J2870" s="2">
        <v>45757</v>
      </c>
      <c r="K2870" s="2">
        <v>45789</v>
      </c>
    </row>
    <row r="2871" spans="1:11" x14ac:dyDescent="0.25">
      <c r="A2871" s="1" t="s">
        <v>532</v>
      </c>
      <c r="B2871" s="1" t="s">
        <v>1252</v>
      </c>
      <c r="C2871" s="1" t="s">
        <v>2039</v>
      </c>
      <c r="D2871" s="1" t="s">
        <v>1998</v>
      </c>
      <c r="E2871" s="1"/>
      <c r="F2871" s="1" t="s">
        <v>11</v>
      </c>
      <c r="G2871">
        <v>1655</v>
      </c>
      <c r="H2871">
        <v>1460</v>
      </c>
      <c r="I2871" s="2"/>
      <c r="J2871" s="2">
        <v>45758</v>
      </c>
      <c r="K2871" s="2">
        <v>45787</v>
      </c>
    </row>
    <row r="2872" spans="1:11" x14ac:dyDescent="0.25">
      <c r="A2872" s="1" t="s">
        <v>532</v>
      </c>
      <c r="B2872" s="1" t="s">
        <v>1253</v>
      </c>
      <c r="C2872" s="1" t="s">
        <v>2234</v>
      </c>
      <c r="D2872" s="1" t="s">
        <v>1998</v>
      </c>
      <c r="E2872" s="1"/>
      <c r="F2872" s="1" t="s">
        <v>11</v>
      </c>
      <c r="G2872">
        <v>1370</v>
      </c>
      <c r="H2872">
        <v>1370</v>
      </c>
      <c r="I2872" s="2"/>
      <c r="J2872" s="2">
        <v>45758</v>
      </c>
      <c r="K2872" s="2">
        <v>45787</v>
      </c>
    </row>
    <row r="2873" spans="1:11" x14ac:dyDescent="0.25">
      <c r="A2873" s="1" t="s">
        <v>532</v>
      </c>
      <c r="B2873" s="1" t="s">
        <v>1254</v>
      </c>
      <c r="C2873" s="1" t="s">
        <v>2001</v>
      </c>
      <c r="D2873" s="1" t="s">
        <v>1998</v>
      </c>
      <c r="E2873" s="1"/>
      <c r="F2873" s="1" t="s">
        <v>11</v>
      </c>
      <c r="G2873">
        <v>740</v>
      </c>
      <c r="H2873">
        <v>655</v>
      </c>
      <c r="I2873" s="2"/>
      <c r="J2873" s="2">
        <v>45758</v>
      </c>
      <c r="K2873" s="2">
        <v>45787</v>
      </c>
    </row>
    <row r="2874" spans="1:11" x14ac:dyDescent="0.25">
      <c r="A2874" s="1" t="s">
        <v>533</v>
      </c>
      <c r="B2874" s="1" t="s">
        <v>1610</v>
      </c>
      <c r="C2874" s="1" t="s">
        <v>2115</v>
      </c>
      <c r="D2874" s="1" t="s">
        <v>1998</v>
      </c>
      <c r="E2874" s="1"/>
      <c r="F2874" s="1" t="s">
        <v>11</v>
      </c>
      <c r="G2874">
        <v>1335</v>
      </c>
      <c r="H2874">
        <v>1335</v>
      </c>
      <c r="I2874" s="2"/>
      <c r="J2874" s="2">
        <v>45783</v>
      </c>
      <c r="K2874" s="2">
        <v>45783</v>
      </c>
    </row>
    <row r="2875" spans="1:11" x14ac:dyDescent="0.25">
      <c r="A2875" s="1" t="s">
        <v>534</v>
      </c>
      <c r="B2875" s="1" t="s">
        <v>1216</v>
      </c>
      <c r="C2875" s="1" t="s">
        <v>2204</v>
      </c>
      <c r="D2875" s="1" t="s">
        <v>1998</v>
      </c>
      <c r="E2875" s="1"/>
      <c r="F2875" s="1" t="s">
        <v>11</v>
      </c>
      <c r="G2875">
        <v>500</v>
      </c>
      <c r="H2875">
        <v>1</v>
      </c>
      <c r="I2875" s="2"/>
      <c r="J2875" s="2">
        <v>45755</v>
      </c>
      <c r="K2875" s="2">
        <v>45789</v>
      </c>
    </row>
    <row r="2876" spans="1:11" x14ac:dyDescent="0.25">
      <c r="A2876" s="1" t="s">
        <v>534</v>
      </c>
      <c r="B2876" s="1" t="s">
        <v>1217</v>
      </c>
      <c r="C2876" s="1" t="s">
        <v>2205</v>
      </c>
      <c r="D2876" s="1" t="s">
        <v>1998</v>
      </c>
      <c r="E2876" s="1"/>
      <c r="F2876" s="1" t="s">
        <v>11</v>
      </c>
      <c r="G2876">
        <v>885</v>
      </c>
      <c r="H2876">
        <v>890</v>
      </c>
      <c r="I2876" s="2"/>
      <c r="J2876" s="2">
        <v>45755</v>
      </c>
      <c r="K2876" s="2">
        <v>45789</v>
      </c>
    </row>
    <row r="2877" spans="1:11" x14ac:dyDescent="0.25">
      <c r="A2877" s="1" t="s">
        <v>534</v>
      </c>
      <c r="B2877" s="1" t="s">
        <v>1218</v>
      </c>
      <c r="C2877" s="1" t="s">
        <v>2163</v>
      </c>
      <c r="D2877" s="1" t="s">
        <v>1998</v>
      </c>
      <c r="E2877" s="1"/>
      <c r="F2877" s="1" t="s">
        <v>11</v>
      </c>
      <c r="G2877">
        <v>5755</v>
      </c>
      <c r="H2877">
        <v>5755</v>
      </c>
      <c r="I2877" s="2"/>
      <c r="J2877" s="2">
        <v>45755</v>
      </c>
      <c r="K2877" s="2">
        <v>45789</v>
      </c>
    </row>
    <row r="2878" spans="1:11" x14ac:dyDescent="0.25">
      <c r="A2878" s="1" t="s">
        <v>534</v>
      </c>
      <c r="B2878" s="1" t="s">
        <v>1027</v>
      </c>
      <c r="C2878" s="1" t="s">
        <v>2040</v>
      </c>
      <c r="D2878" s="1" t="s">
        <v>1998</v>
      </c>
      <c r="E2878" s="1"/>
      <c r="F2878" s="1" t="s">
        <v>11</v>
      </c>
      <c r="G2878">
        <v>290</v>
      </c>
      <c r="H2878">
        <v>385</v>
      </c>
      <c r="I2878" s="2"/>
      <c r="J2878" s="2">
        <v>45755</v>
      </c>
      <c r="K2878" s="2">
        <v>45789</v>
      </c>
    </row>
    <row r="2879" spans="1:11" x14ac:dyDescent="0.25">
      <c r="A2879" s="1" t="s">
        <v>534</v>
      </c>
      <c r="B2879" s="1" t="s">
        <v>1013</v>
      </c>
      <c r="C2879" s="1" t="s">
        <v>2030</v>
      </c>
      <c r="D2879" s="1" t="s">
        <v>1998</v>
      </c>
      <c r="E2879" s="1"/>
      <c r="F2879" s="1" t="s">
        <v>11</v>
      </c>
      <c r="G2879">
        <v>65</v>
      </c>
      <c r="H2879">
        <v>160</v>
      </c>
      <c r="I2879" s="2"/>
      <c r="J2879" s="2">
        <v>45755</v>
      </c>
      <c r="K2879" s="2">
        <v>45789</v>
      </c>
    </row>
    <row r="2880" spans="1:11" x14ac:dyDescent="0.25">
      <c r="A2880" s="1" t="s">
        <v>534</v>
      </c>
      <c r="B2880" s="1" t="s">
        <v>993</v>
      </c>
      <c r="C2880" s="1" t="s">
        <v>2011</v>
      </c>
      <c r="D2880" s="1" t="s">
        <v>1998</v>
      </c>
      <c r="E2880" s="1"/>
      <c r="F2880" s="1" t="s">
        <v>11</v>
      </c>
      <c r="G2880">
        <v>25</v>
      </c>
      <c r="H2880">
        <v>25</v>
      </c>
      <c r="I2880" s="2"/>
      <c r="J2880" s="2">
        <v>45755</v>
      </c>
      <c r="K2880" s="2">
        <v>45789</v>
      </c>
    </row>
    <row r="2881" spans="1:11" x14ac:dyDescent="0.25">
      <c r="A2881" s="1" t="s">
        <v>534</v>
      </c>
      <c r="B2881" s="1" t="s">
        <v>993</v>
      </c>
      <c r="C2881" s="1" t="s">
        <v>2011</v>
      </c>
      <c r="D2881" s="1" t="s">
        <v>1998</v>
      </c>
      <c r="E2881" s="1"/>
      <c r="F2881" s="1" t="s">
        <v>11</v>
      </c>
      <c r="G2881">
        <v>50</v>
      </c>
      <c r="H2881">
        <v>80</v>
      </c>
      <c r="I2881" s="2"/>
      <c r="J2881" s="2">
        <v>45755</v>
      </c>
      <c r="K2881" s="2">
        <v>45789</v>
      </c>
    </row>
    <row r="2882" spans="1:11" x14ac:dyDescent="0.25">
      <c r="A2882" s="1" t="s">
        <v>534</v>
      </c>
      <c r="B2882" s="1" t="s">
        <v>1219</v>
      </c>
      <c r="C2882" s="1" t="s">
        <v>2042</v>
      </c>
      <c r="D2882" s="1" t="s">
        <v>1998</v>
      </c>
      <c r="E2882" s="1"/>
      <c r="F2882" s="1" t="s">
        <v>11</v>
      </c>
      <c r="G2882">
        <v>3795</v>
      </c>
      <c r="H2882">
        <v>3795</v>
      </c>
      <c r="I2882" s="2"/>
      <c r="J2882" s="2">
        <v>45755</v>
      </c>
      <c r="K2882" s="2">
        <v>45789</v>
      </c>
    </row>
    <row r="2883" spans="1:11" x14ac:dyDescent="0.25">
      <c r="A2883" s="1" t="s">
        <v>534</v>
      </c>
      <c r="B2883" s="1" t="s">
        <v>1220</v>
      </c>
      <c r="C2883" s="1" t="s">
        <v>2164</v>
      </c>
      <c r="D2883" s="1" t="s">
        <v>1998</v>
      </c>
      <c r="E2883" s="1"/>
      <c r="F2883" s="1" t="s">
        <v>11</v>
      </c>
      <c r="G2883">
        <v>755</v>
      </c>
      <c r="H2883">
        <v>755</v>
      </c>
      <c r="I2883" s="2"/>
      <c r="J2883" s="2">
        <v>45755</v>
      </c>
      <c r="K2883" s="2">
        <v>45789</v>
      </c>
    </row>
    <row r="2884" spans="1:11" x14ac:dyDescent="0.25">
      <c r="A2884" s="1" t="s">
        <v>534</v>
      </c>
      <c r="B2884" s="1" t="s">
        <v>1221</v>
      </c>
      <c r="C2884" s="1" t="s">
        <v>2206</v>
      </c>
      <c r="D2884" s="1" t="s">
        <v>1998</v>
      </c>
      <c r="E2884" s="1"/>
      <c r="F2884" s="1" t="s">
        <v>11</v>
      </c>
      <c r="G2884">
        <v>1195</v>
      </c>
      <c r="H2884">
        <v>1195</v>
      </c>
      <c r="I2884" s="2"/>
      <c r="J2884" s="2">
        <v>45755</v>
      </c>
      <c r="K2884" s="2">
        <v>45789</v>
      </c>
    </row>
    <row r="2885" spans="1:11" x14ac:dyDescent="0.25">
      <c r="A2885" s="1" t="s">
        <v>535</v>
      </c>
      <c r="B2885" s="1" t="s">
        <v>1604</v>
      </c>
      <c r="C2885" s="1" t="s">
        <v>2521</v>
      </c>
      <c r="D2885" s="1" t="s">
        <v>1998</v>
      </c>
      <c r="E2885" s="1"/>
      <c r="F2885" s="1" t="s">
        <v>11</v>
      </c>
      <c r="G2885">
        <v>2575</v>
      </c>
      <c r="H2885">
        <v>2575</v>
      </c>
      <c r="I2885" s="2"/>
      <c r="J2885" s="2">
        <v>45785</v>
      </c>
      <c r="K2885" s="2">
        <v>45787</v>
      </c>
    </row>
    <row r="2886" spans="1:11" x14ac:dyDescent="0.25">
      <c r="A2886" s="1" t="s">
        <v>535</v>
      </c>
      <c r="B2886" s="1" t="s">
        <v>1605</v>
      </c>
      <c r="C2886" s="1" t="s">
        <v>2522</v>
      </c>
      <c r="D2886" s="1" t="s">
        <v>1998</v>
      </c>
      <c r="E2886" s="1"/>
      <c r="F2886" s="1" t="s">
        <v>11</v>
      </c>
      <c r="G2886">
        <v>2570</v>
      </c>
      <c r="H2886">
        <v>2570</v>
      </c>
      <c r="I2886" s="2"/>
      <c r="J2886" s="2">
        <v>45785</v>
      </c>
      <c r="K2886" s="2">
        <v>45787</v>
      </c>
    </row>
    <row r="2887" spans="1:11" x14ac:dyDescent="0.25">
      <c r="A2887" s="1" t="s">
        <v>535</v>
      </c>
      <c r="B2887" s="1" t="s">
        <v>1606</v>
      </c>
      <c r="C2887" s="1" t="s">
        <v>2014</v>
      </c>
      <c r="D2887" s="1" t="s">
        <v>1998</v>
      </c>
      <c r="E2887" s="1"/>
      <c r="F2887" s="1" t="s">
        <v>11</v>
      </c>
      <c r="G2887">
        <v>1840</v>
      </c>
      <c r="H2887">
        <v>1840</v>
      </c>
      <c r="I2887" s="2"/>
      <c r="J2887" s="2">
        <v>45785</v>
      </c>
      <c r="K2887" s="2">
        <v>45787</v>
      </c>
    </row>
    <row r="2888" spans="1:11" x14ac:dyDescent="0.25">
      <c r="A2888" s="1" t="s">
        <v>536</v>
      </c>
      <c r="B2888" s="1" t="s">
        <v>995</v>
      </c>
      <c r="C2888" s="1" t="s">
        <v>2013</v>
      </c>
      <c r="D2888" s="1" t="s">
        <v>1998</v>
      </c>
      <c r="E2888" s="1"/>
      <c r="F2888" s="1" t="s">
        <v>11</v>
      </c>
      <c r="G2888">
        <v>5</v>
      </c>
      <c r="H2888">
        <v>1</v>
      </c>
      <c r="I2888" s="2"/>
      <c r="J2888" s="2">
        <v>45756</v>
      </c>
      <c r="K2888" s="2">
        <v>45765</v>
      </c>
    </row>
    <row r="2889" spans="1:11" x14ac:dyDescent="0.25">
      <c r="A2889" s="1" t="s">
        <v>536</v>
      </c>
      <c r="B2889" s="1" t="s">
        <v>1611</v>
      </c>
      <c r="C2889" s="1" t="s">
        <v>2526</v>
      </c>
      <c r="D2889" s="1" t="s">
        <v>1998</v>
      </c>
      <c r="E2889" s="1"/>
      <c r="F2889" s="1" t="s">
        <v>11</v>
      </c>
      <c r="G2889">
        <v>505</v>
      </c>
      <c r="H2889">
        <v>505</v>
      </c>
      <c r="I2889" s="2"/>
      <c r="J2889" s="2">
        <v>45756</v>
      </c>
      <c r="K2889" s="2">
        <v>45765</v>
      </c>
    </row>
    <row r="2890" spans="1:11" x14ac:dyDescent="0.25">
      <c r="A2890" s="1" t="s">
        <v>536</v>
      </c>
      <c r="B2890" s="1" t="s">
        <v>1612</v>
      </c>
      <c r="C2890" s="1" t="s">
        <v>2527</v>
      </c>
      <c r="D2890" s="1" t="s">
        <v>1998</v>
      </c>
      <c r="E2890" s="1"/>
      <c r="F2890" s="1" t="s">
        <v>11</v>
      </c>
      <c r="G2890">
        <v>45</v>
      </c>
      <c r="H2890">
        <v>45</v>
      </c>
      <c r="I2890" s="2"/>
      <c r="J2890" s="2">
        <v>45756</v>
      </c>
      <c r="K2890" s="2">
        <v>45765</v>
      </c>
    </row>
    <row r="2891" spans="1:11" x14ac:dyDescent="0.25">
      <c r="A2891" s="1" t="s">
        <v>536</v>
      </c>
      <c r="B2891" s="1" t="s">
        <v>1613</v>
      </c>
      <c r="C2891" s="1" t="s">
        <v>2528</v>
      </c>
      <c r="D2891" s="1" t="s">
        <v>1998</v>
      </c>
      <c r="E2891" s="1"/>
      <c r="F2891" s="1" t="s">
        <v>11</v>
      </c>
      <c r="G2891">
        <v>890</v>
      </c>
      <c r="H2891">
        <v>890</v>
      </c>
      <c r="I2891" s="2"/>
      <c r="J2891" s="2">
        <v>45756</v>
      </c>
      <c r="K2891" s="2">
        <v>45765</v>
      </c>
    </row>
    <row r="2892" spans="1:11" x14ac:dyDescent="0.25">
      <c r="A2892" s="1" t="s">
        <v>536</v>
      </c>
      <c r="B2892" s="1" t="s">
        <v>999</v>
      </c>
      <c r="C2892" s="1" t="s">
        <v>2017</v>
      </c>
      <c r="D2892" s="1" t="s">
        <v>1998</v>
      </c>
      <c r="E2892" s="1"/>
      <c r="F2892" s="1" t="s">
        <v>11</v>
      </c>
      <c r="G2892">
        <v>1</v>
      </c>
      <c r="H2892">
        <v>1</v>
      </c>
      <c r="I2892" s="2"/>
      <c r="J2892" s="2">
        <v>45756</v>
      </c>
      <c r="K2892" s="2">
        <v>45765</v>
      </c>
    </row>
    <row r="2893" spans="1:11" x14ac:dyDescent="0.25">
      <c r="A2893" s="1" t="s">
        <v>536</v>
      </c>
      <c r="B2893" s="1" t="s">
        <v>1000</v>
      </c>
      <c r="C2893" s="1" t="s">
        <v>2018</v>
      </c>
      <c r="D2893" s="1" t="s">
        <v>1998</v>
      </c>
      <c r="E2893" s="1"/>
      <c r="F2893" s="1" t="s">
        <v>11</v>
      </c>
      <c r="G2893">
        <v>1</v>
      </c>
      <c r="H2893">
        <v>1</v>
      </c>
      <c r="I2893" s="2"/>
      <c r="J2893" s="2">
        <v>45756</v>
      </c>
      <c r="K2893" s="2">
        <v>45765</v>
      </c>
    </row>
    <row r="2894" spans="1:11" x14ac:dyDescent="0.25">
      <c r="A2894" s="1" t="s">
        <v>536</v>
      </c>
      <c r="B2894" s="1" t="s">
        <v>1001</v>
      </c>
      <c r="C2894" s="1" t="s">
        <v>2019</v>
      </c>
      <c r="D2894" s="1" t="s">
        <v>1998</v>
      </c>
      <c r="E2894" s="1"/>
      <c r="F2894" s="1" t="s">
        <v>11</v>
      </c>
      <c r="G2894">
        <v>1</v>
      </c>
      <c r="H2894">
        <v>1</v>
      </c>
      <c r="I2894" s="2"/>
      <c r="J2894" s="2">
        <v>45756</v>
      </c>
      <c r="K2894" s="2">
        <v>45765</v>
      </c>
    </row>
    <row r="2895" spans="1:11" x14ac:dyDescent="0.25">
      <c r="A2895" s="1" t="s">
        <v>537</v>
      </c>
      <c r="B2895" s="1" t="s">
        <v>995</v>
      </c>
      <c r="C2895" s="1" t="s">
        <v>2013</v>
      </c>
      <c r="D2895" s="1" t="s">
        <v>1998</v>
      </c>
      <c r="E2895" s="1"/>
      <c r="F2895" s="1" t="s">
        <v>11</v>
      </c>
      <c r="G2895">
        <v>5</v>
      </c>
      <c r="H2895">
        <v>5</v>
      </c>
      <c r="I2895" s="2"/>
      <c r="J2895" s="2">
        <v>45756</v>
      </c>
      <c r="K2895" s="2">
        <v>45771</v>
      </c>
    </row>
    <row r="2896" spans="1:11" x14ac:dyDescent="0.25">
      <c r="A2896" s="1" t="s">
        <v>537</v>
      </c>
      <c r="B2896" s="1" t="s">
        <v>1614</v>
      </c>
      <c r="C2896" s="1" t="s">
        <v>2529</v>
      </c>
      <c r="D2896" s="1" t="s">
        <v>1998</v>
      </c>
      <c r="E2896" s="1"/>
      <c r="F2896" s="1" t="s">
        <v>11</v>
      </c>
      <c r="G2896">
        <v>145</v>
      </c>
      <c r="H2896">
        <v>145</v>
      </c>
      <c r="I2896" s="2"/>
      <c r="J2896" s="2">
        <v>45756</v>
      </c>
      <c r="K2896" s="2">
        <v>45771</v>
      </c>
    </row>
    <row r="2897" spans="1:11" x14ac:dyDescent="0.25">
      <c r="A2897" s="1" t="s">
        <v>537</v>
      </c>
      <c r="B2897" s="1" t="s">
        <v>1615</v>
      </c>
      <c r="C2897" s="1" t="s">
        <v>2530</v>
      </c>
      <c r="D2897" s="1" t="s">
        <v>1998</v>
      </c>
      <c r="E2897" s="1"/>
      <c r="F2897" s="1" t="s">
        <v>11</v>
      </c>
      <c r="G2897">
        <v>30</v>
      </c>
      <c r="H2897">
        <v>30</v>
      </c>
      <c r="I2897" s="2"/>
      <c r="J2897" s="2">
        <v>45756</v>
      </c>
      <c r="K2897" s="2">
        <v>45771</v>
      </c>
    </row>
    <row r="2898" spans="1:11" x14ac:dyDescent="0.25">
      <c r="A2898" s="1" t="s">
        <v>537</v>
      </c>
      <c r="B2898" s="1" t="s">
        <v>1616</v>
      </c>
      <c r="C2898" s="1" t="s">
        <v>2531</v>
      </c>
      <c r="D2898" s="1" t="s">
        <v>1998</v>
      </c>
      <c r="E2898" s="1"/>
      <c r="F2898" s="1" t="s">
        <v>11</v>
      </c>
      <c r="G2898">
        <v>290</v>
      </c>
      <c r="H2898">
        <v>290</v>
      </c>
      <c r="I2898" s="2"/>
      <c r="J2898" s="2">
        <v>45756</v>
      </c>
      <c r="K2898" s="2">
        <v>45771</v>
      </c>
    </row>
    <row r="2899" spans="1:11" x14ac:dyDescent="0.25">
      <c r="A2899" s="1" t="s">
        <v>537</v>
      </c>
      <c r="B2899" s="1" t="s">
        <v>999</v>
      </c>
      <c r="C2899" s="1" t="s">
        <v>2017</v>
      </c>
      <c r="D2899" s="1" t="s">
        <v>1998</v>
      </c>
      <c r="E2899" s="1"/>
      <c r="F2899" s="1" t="s">
        <v>11</v>
      </c>
      <c r="G2899">
        <v>1</v>
      </c>
      <c r="H2899">
        <v>1</v>
      </c>
      <c r="I2899" s="2"/>
      <c r="J2899" s="2">
        <v>45756</v>
      </c>
      <c r="K2899" s="2">
        <v>45771</v>
      </c>
    </row>
    <row r="2900" spans="1:11" x14ac:dyDescent="0.25">
      <c r="A2900" s="1" t="s">
        <v>537</v>
      </c>
      <c r="B2900" s="1" t="s">
        <v>1000</v>
      </c>
      <c r="C2900" s="1" t="s">
        <v>2018</v>
      </c>
      <c r="D2900" s="1" t="s">
        <v>1998</v>
      </c>
      <c r="E2900" s="1"/>
      <c r="F2900" s="1" t="s">
        <v>11</v>
      </c>
      <c r="G2900">
        <v>1</v>
      </c>
      <c r="H2900">
        <v>1</v>
      </c>
      <c r="I2900" s="2"/>
      <c r="J2900" s="2">
        <v>45756</v>
      </c>
      <c r="K2900" s="2">
        <v>45771</v>
      </c>
    </row>
    <row r="2901" spans="1:11" x14ac:dyDescent="0.25">
      <c r="A2901" s="1" t="s">
        <v>537</v>
      </c>
      <c r="B2901" s="1" t="s">
        <v>1001</v>
      </c>
      <c r="C2901" s="1" t="s">
        <v>2019</v>
      </c>
      <c r="D2901" s="1" t="s">
        <v>1998</v>
      </c>
      <c r="E2901" s="1"/>
      <c r="F2901" s="1" t="s">
        <v>11</v>
      </c>
      <c r="G2901">
        <v>1</v>
      </c>
      <c r="H2901">
        <v>1</v>
      </c>
      <c r="I2901" s="2"/>
      <c r="J2901" s="2">
        <v>45756</v>
      </c>
      <c r="K2901" s="2">
        <v>45771</v>
      </c>
    </row>
    <row r="2902" spans="1:11" x14ac:dyDescent="0.25">
      <c r="A2902" s="1" t="s">
        <v>538</v>
      </c>
      <c r="B2902" s="1" t="s">
        <v>1604</v>
      </c>
      <c r="C2902" s="1" t="s">
        <v>2521</v>
      </c>
      <c r="D2902" s="1" t="s">
        <v>1998</v>
      </c>
      <c r="E2902" s="1"/>
      <c r="F2902" s="1" t="s">
        <v>11</v>
      </c>
      <c r="G2902">
        <v>2575</v>
      </c>
      <c r="H2902">
        <v>2575</v>
      </c>
      <c r="I2902" s="2"/>
      <c r="J2902" s="2">
        <v>45785</v>
      </c>
      <c r="K2902" s="2">
        <v>45785</v>
      </c>
    </row>
    <row r="2903" spans="1:11" x14ac:dyDescent="0.25">
      <c r="A2903" s="1" t="s">
        <v>538</v>
      </c>
      <c r="B2903" s="1" t="s">
        <v>1605</v>
      </c>
      <c r="C2903" s="1" t="s">
        <v>2522</v>
      </c>
      <c r="D2903" s="1" t="s">
        <v>1998</v>
      </c>
      <c r="E2903" s="1"/>
      <c r="F2903" s="1" t="s">
        <v>11</v>
      </c>
      <c r="G2903">
        <v>2570</v>
      </c>
      <c r="H2903">
        <v>2570</v>
      </c>
      <c r="I2903" s="2"/>
      <c r="J2903" s="2">
        <v>45785</v>
      </c>
      <c r="K2903" s="2">
        <v>45785</v>
      </c>
    </row>
    <row r="2904" spans="1:11" x14ac:dyDescent="0.25">
      <c r="A2904" s="1" t="s">
        <v>538</v>
      </c>
      <c r="B2904" s="1" t="s">
        <v>1606</v>
      </c>
      <c r="C2904" s="1" t="s">
        <v>2014</v>
      </c>
      <c r="D2904" s="1" t="s">
        <v>1998</v>
      </c>
      <c r="E2904" s="1"/>
      <c r="F2904" s="1" t="s">
        <v>11</v>
      </c>
      <c r="G2904">
        <v>1840</v>
      </c>
      <c r="H2904">
        <v>1840</v>
      </c>
      <c r="I2904" s="2"/>
      <c r="J2904" s="2">
        <v>45785</v>
      </c>
      <c r="K2904" s="2">
        <v>45785</v>
      </c>
    </row>
    <row r="2905" spans="1:11" x14ac:dyDescent="0.25">
      <c r="A2905" s="1" t="s">
        <v>539</v>
      </c>
      <c r="B2905" s="1" t="s">
        <v>1016</v>
      </c>
      <c r="C2905" s="1" t="s">
        <v>2033</v>
      </c>
      <c r="D2905" s="1" t="s">
        <v>1998</v>
      </c>
      <c r="E2905" s="1"/>
      <c r="F2905" s="1" t="s">
        <v>11</v>
      </c>
      <c r="G2905">
        <v>30</v>
      </c>
      <c r="H2905">
        <v>25</v>
      </c>
      <c r="I2905" s="2"/>
      <c r="J2905" s="2">
        <v>45757</v>
      </c>
      <c r="K2905" s="2">
        <v>45775</v>
      </c>
    </row>
    <row r="2906" spans="1:11" x14ac:dyDescent="0.25">
      <c r="A2906" s="1" t="s">
        <v>539</v>
      </c>
      <c r="B2906" s="1" t="s">
        <v>1017</v>
      </c>
      <c r="C2906" s="1" t="s">
        <v>2034</v>
      </c>
      <c r="D2906" s="1" t="s">
        <v>1998</v>
      </c>
      <c r="E2906" s="1"/>
      <c r="F2906" s="1" t="s">
        <v>11</v>
      </c>
      <c r="G2906">
        <v>80</v>
      </c>
      <c r="H2906">
        <v>200</v>
      </c>
      <c r="I2906" s="2"/>
      <c r="J2906" s="2">
        <v>45757</v>
      </c>
      <c r="K2906" s="2">
        <v>45775</v>
      </c>
    </row>
    <row r="2907" spans="1:11" x14ac:dyDescent="0.25">
      <c r="A2907" s="1" t="s">
        <v>539</v>
      </c>
      <c r="B2907" s="1" t="s">
        <v>1018</v>
      </c>
      <c r="C2907" s="1" t="s">
        <v>2035</v>
      </c>
      <c r="D2907" s="1" t="s">
        <v>1998</v>
      </c>
      <c r="E2907" s="1"/>
      <c r="F2907" s="1" t="s">
        <v>11</v>
      </c>
      <c r="G2907">
        <v>350</v>
      </c>
      <c r="H2907">
        <v>275</v>
      </c>
      <c r="I2907" s="2"/>
      <c r="J2907" s="2">
        <v>45757</v>
      </c>
      <c r="K2907" s="2">
        <v>45775</v>
      </c>
    </row>
    <row r="2908" spans="1:11" x14ac:dyDescent="0.25">
      <c r="A2908" s="1" t="s">
        <v>539</v>
      </c>
      <c r="B2908" s="1" t="s">
        <v>999</v>
      </c>
      <c r="C2908" s="1" t="s">
        <v>2017</v>
      </c>
      <c r="D2908" s="1" t="s">
        <v>1998</v>
      </c>
      <c r="E2908" s="1"/>
      <c r="F2908" s="1" t="s">
        <v>11</v>
      </c>
      <c r="G2908">
        <v>1</v>
      </c>
      <c r="H2908">
        <v>1</v>
      </c>
      <c r="I2908" s="2"/>
      <c r="J2908" s="2">
        <v>45757</v>
      </c>
      <c r="K2908" s="2">
        <v>45775</v>
      </c>
    </row>
    <row r="2909" spans="1:11" x14ac:dyDescent="0.25">
      <c r="A2909" s="1" t="s">
        <v>539</v>
      </c>
      <c r="B2909" s="1" t="s">
        <v>1000</v>
      </c>
      <c r="C2909" s="1" t="s">
        <v>2018</v>
      </c>
      <c r="D2909" s="1" t="s">
        <v>1998</v>
      </c>
      <c r="E2909" s="1"/>
      <c r="F2909" s="1" t="s">
        <v>11</v>
      </c>
      <c r="G2909">
        <v>1</v>
      </c>
      <c r="H2909">
        <v>1</v>
      </c>
      <c r="I2909" s="2"/>
      <c r="J2909" s="2">
        <v>45757</v>
      </c>
      <c r="K2909" s="2">
        <v>45775</v>
      </c>
    </row>
    <row r="2910" spans="1:11" x14ac:dyDescent="0.25">
      <c r="A2910" s="1" t="s">
        <v>539</v>
      </c>
      <c r="B2910" s="1" t="s">
        <v>1001</v>
      </c>
      <c r="C2910" s="1" t="s">
        <v>2019</v>
      </c>
      <c r="D2910" s="1" t="s">
        <v>1998</v>
      </c>
      <c r="E2910" s="1"/>
      <c r="F2910" s="1" t="s">
        <v>11</v>
      </c>
      <c r="G2910">
        <v>1</v>
      </c>
      <c r="H2910">
        <v>1</v>
      </c>
      <c r="I2910" s="2"/>
      <c r="J2910" s="2">
        <v>45757</v>
      </c>
      <c r="K2910" s="2">
        <v>45775</v>
      </c>
    </row>
    <row r="2911" spans="1:11" x14ac:dyDescent="0.25">
      <c r="A2911" s="1" t="s">
        <v>539</v>
      </c>
      <c r="B2911" s="1" t="s">
        <v>1019</v>
      </c>
      <c r="C2911" s="1" t="s">
        <v>2036</v>
      </c>
      <c r="D2911" s="1" t="s">
        <v>1998</v>
      </c>
      <c r="E2911" s="1"/>
      <c r="F2911" s="1" t="s">
        <v>11</v>
      </c>
      <c r="G2911">
        <v>1240</v>
      </c>
      <c r="H2911">
        <v>3135</v>
      </c>
      <c r="I2911" s="2"/>
      <c r="J2911" s="2">
        <v>45757</v>
      </c>
      <c r="K2911" s="2">
        <v>45775</v>
      </c>
    </row>
    <row r="2912" spans="1:11" x14ac:dyDescent="0.25">
      <c r="A2912" s="1" t="s">
        <v>539</v>
      </c>
      <c r="B2912" s="1" t="s">
        <v>1020</v>
      </c>
      <c r="C2912" s="1" t="s">
        <v>2037</v>
      </c>
      <c r="D2912" s="1" t="s">
        <v>1998</v>
      </c>
      <c r="E2912" s="1"/>
      <c r="F2912" s="1" t="s">
        <v>11</v>
      </c>
      <c r="G2912">
        <v>3310</v>
      </c>
      <c r="H2912">
        <v>8375</v>
      </c>
      <c r="I2912" s="2"/>
      <c r="J2912" s="2">
        <v>45757</v>
      </c>
      <c r="K2912" s="2">
        <v>45775</v>
      </c>
    </row>
    <row r="2913" spans="1:11" x14ac:dyDescent="0.25">
      <c r="A2913" s="1" t="s">
        <v>540</v>
      </c>
      <c r="B2913" s="1" t="s">
        <v>1617</v>
      </c>
      <c r="C2913" s="1" t="s">
        <v>2532</v>
      </c>
      <c r="D2913" s="1" t="s">
        <v>1998</v>
      </c>
      <c r="E2913" s="1"/>
      <c r="F2913" s="1" t="s">
        <v>11</v>
      </c>
      <c r="G2913">
        <v>635</v>
      </c>
      <c r="H2913">
        <v>635</v>
      </c>
      <c r="I2913" s="2"/>
      <c r="J2913" s="2">
        <v>45756</v>
      </c>
      <c r="K2913" s="2">
        <v>45775</v>
      </c>
    </row>
    <row r="2914" spans="1:11" x14ac:dyDescent="0.25">
      <c r="A2914" s="1" t="s">
        <v>541</v>
      </c>
      <c r="B2914" s="1" t="s">
        <v>1618</v>
      </c>
      <c r="C2914" s="1" t="s">
        <v>2533</v>
      </c>
      <c r="D2914" s="1" t="s">
        <v>1998</v>
      </c>
      <c r="E2914" s="1"/>
      <c r="F2914" s="1" t="s">
        <v>11</v>
      </c>
      <c r="G2914">
        <v>45</v>
      </c>
      <c r="H2914">
        <v>75</v>
      </c>
      <c r="I2914" s="2"/>
      <c r="J2914" s="2">
        <v>45761</v>
      </c>
      <c r="K2914" s="2">
        <v>45771</v>
      </c>
    </row>
    <row r="2915" spans="1:11" x14ac:dyDescent="0.25">
      <c r="A2915" s="1" t="s">
        <v>542</v>
      </c>
      <c r="B2915" s="1" t="s">
        <v>1385</v>
      </c>
      <c r="C2915" s="1" t="s">
        <v>2334</v>
      </c>
      <c r="D2915" s="1" t="s">
        <v>1998</v>
      </c>
      <c r="E2915" s="1"/>
      <c r="F2915" s="1" t="s">
        <v>11</v>
      </c>
      <c r="G2915">
        <v>5</v>
      </c>
      <c r="H2915">
        <v>5</v>
      </c>
      <c r="I2915" s="2"/>
      <c r="J2915" s="2">
        <v>45758</v>
      </c>
      <c r="K2915" s="2">
        <v>45785</v>
      </c>
    </row>
    <row r="2916" spans="1:11" x14ac:dyDescent="0.25">
      <c r="A2916" s="1" t="s">
        <v>542</v>
      </c>
      <c r="B2916" s="1" t="s">
        <v>1619</v>
      </c>
      <c r="C2916" s="1" t="s">
        <v>2534</v>
      </c>
      <c r="D2916" s="1" t="s">
        <v>1998</v>
      </c>
      <c r="E2916" s="1"/>
      <c r="F2916" s="1" t="s">
        <v>11</v>
      </c>
      <c r="G2916">
        <v>5</v>
      </c>
      <c r="H2916">
        <v>5</v>
      </c>
      <c r="I2916" s="2"/>
      <c r="J2916" s="2">
        <v>45758</v>
      </c>
      <c r="K2916" s="2">
        <v>45785</v>
      </c>
    </row>
    <row r="2917" spans="1:11" x14ac:dyDescent="0.25">
      <c r="A2917" s="1" t="s">
        <v>542</v>
      </c>
      <c r="B2917" s="1" t="s">
        <v>1620</v>
      </c>
      <c r="C2917" s="1" t="s">
        <v>2535</v>
      </c>
      <c r="D2917" s="1" t="s">
        <v>1998</v>
      </c>
      <c r="E2917" s="1"/>
      <c r="F2917" s="1" t="s">
        <v>11</v>
      </c>
      <c r="G2917">
        <v>15</v>
      </c>
      <c r="H2917">
        <v>15</v>
      </c>
      <c r="I2917" s="2"/>
      <c r="J2917" s="2">
        <v>45758</v>
      </c>
      <c r="K2917" s="2">
        <v>45785</v>
      </c>
    </row>
    <row r="2918" spans="1:11" x14ac:dyDescent="0.25">
      <c r="A2918" s="1" t="s">
        <v>542</v>
      </c>
      <c r="B2918" s="1" t="s">
        <v>1228</v>
      </c>
      <c r="C2918" s="1" t="s">
        <v>2212</v>
      </c>
      <c r="D2918" s="1" t="s">
        <v>1998</v>
      </c>
      <c r="E2918" s="1"/>
      <c r="F2918" s="1" t="s">
        <v>11</v>
      </c>
      <c r="G2918">
        <v>1</v>
      </c>
      <c r="H2918">
        <v>1</v>
      </c>
      <c r="I2918" s="2"/>
      <c r="J2918" s="2">
        <v>45758</v>
      </c>
      <c r="K2918" s="2">
        <v>45785</v>
      </c>
    </row>
    <row r="2919" spans="1:11" x14ac:dyDescent="0.25">
      <c r="A2919" s="1" t="s">
        <v>542</v>
      </c>
      <c r="B2919" s="1" t="s">
        <v>1229</v>
      </c>
      <c r="C2919" s="1" t="s">
        <v>2213</v>
      </c>
      <c r="D2919" s="1" t="s">
        <v>1998</v>
      </c>
      <c r="E2919" s="1"/>
      <c r="F2919" s="1" t="s">
        <v>11</v>
      </c>
      <c r="G2919">
        <v>5</v>
      </c>
      <c r="H2919">
        <v>5</v>
      </c>
      <c r="I2919" s="2"/>
      <c r="J2919" s="2">
        <v>45758</v>
      </c>
      <c r="K2919" s="2">
        <v>45785</v>
      </c>
    </row>
    <row r="2920" spans="1:11" x14ac:dyDescent="0.25">
      <c r="A2920" s="1" t="s">
        <v>542</v>
      </c>
      <c r="B2920" s="1" t="s">
        <v>1621</v>
      </c>
      <c r="C2920" s="1" t="s">
        <v>2536</v>
      </c>
      <c r="D2920" s="1" t="s">
        <v>1998</v>
      </c>
      <c r="E2920" s="1"/>
      <c r="F2920" s="1" t="s">
        <v>11</v>
      </c>
      <c r="G2920">
        <v>1</v>
      </c>
      <c r="H2920">
        <v>1</v>
      </c>
      <c r="I2920" s="2"/>
      <c r="J2920" s="2">
        <v>45758</v>
      </c>
      <c r="K2920" s="2">
        <v>45785</v>
      </c>
    </row>
    <row r="2921" spans="1:11" x14ac:dyDescent="0.25">
      <c r="A2921" s="1" t="s">
        <v>542</v>
      </c>
      <c r="B2921" s="1" t="s">
        <v>1622</v>
      </c>
      <c r="C2921" s="1" t="s">
        <v>2537</v>
      </c>
      <c r="D2921" s="1" t="s">
        <v>1998</v>
      </c>
      <c r="E2921" s="1"/>
      <c r="F2921" s="1" t="s">
        <v>11</v>
      </c>
      <c r="G2921">
        <v>5</v>
      </c>
      <c r="H2921">
        <v>5</v>
      </c>
      <c r="I2921" s="2"/>
      <c r="J2921" s="2">
        <v>45758</v>
      </c>
      <c r="K2921" s="2">
        <v>45785</v>
      </c>
    </row>
    <row r="2922" spans="1:11" x14ac:dyDescent="0.25">
      <c r="A2922" s="1" t="s">
        <v>542</v>
      </c>
      <c r="B2922" s="1" t="s">
        <v>1230</v>
      </c>
      <c r="C2922" s="1" t="s">
        <v>2214</v>
      </c>
      <c r="D2922" s="1" t="s">
        <v>1998</v>
      </c>
      <c r="E2922" s="1"/>
      <c r="F2922" s="1" t="s">
        <v>11</v>
      </c>
      <c r="G2922">
        <v>1</v>
      </c>
      <c r="H2922">
        <v>1</v>
      </c>
      <c r="I2922" s="2"/>
      <c r="J2922" s="2">
        <v>45758</v>
      </c>
      <c r="K2922" s="2">
        <v>45785</v>
      </c>
    </row>
    <row r="2923" spans="1:11" x14ac:dyDescent="0.25">
      <c r="A2923" s="1" t="s">
        <v>542</v>
      </c>
      <c r="B2923" s="1" t="s">
        <v>1367</v>
      </c>
      <c r="C2923" s="1" t="s">
        <v>2317</v>
      </c>
      <c r="D2923" s="1" t="s">
        <v>1998</v>
      </c>
      <c r="E2923" s="1"/>
      <c r="F2923" s="1" t="s">
        <v>11</v>
      </c>
      <c r="G2923">
        <v>1</v>
      </c>
      <c r="H2923">
        <v>1</v>
      </c>
      <c r="I2923" s="2"/>
      <c r="J2923" s="2">
        <v>45758</v>
      </c>
      <c r="K2923" s="2">
        <v>45785</v>
      </c>
    </row>
    <row r="2924" spans="1:11" x14ac:dyDescent="0.25">
      <c r="A2924" s="1" t="s">
        <v>542</v>
      </c>
      <c r="B2924" s="1" t="s">
        <v>1232</v>
      </c>
      <c r="C2924" s="1" t="s">
        <v>2216</v>
      </c>
      <c r="D2924" s="1" t="s">
        <v>1998</v>
      </c>
      <c r="E2924" s="1"/>
      <c r="F2924" s="1" t="s">
        <v>11</v>
      </c>
      <c r="G2924">
        <v>1</v>
      </c>
      <c r="H2924">
        <v>1</v>
      </c>
      <c r="I2924" s="2"/>
      <c r="J2924" s="2">
        <v>45758</v>
      </c>
      <c r="K2924" s="2">
        <v>45785</v>
      </c>
    </row>
    <row r="2925" spans="1:11" x14ac:dyDescent="0.25">
      <c r="A2925" s="1" t="s">
        <v>542</v>
      </c>
      <c r="B2925" s="1" t="s">
        <v>1234</v>
      </c>
      <c r="C2925" s="1" t="s">
        <v>2218</v>
      </c>
      <c r="D2925" s="1" t="s">
        <v>1998</v>
      </c>
      <c r="E2925" s="1"/>
      <c r="F2925" s="1" t="s">
        <v>11</v>
      </c>
      <c r="G2925">
        <v>1</v>
      </c>
      <c r="H2925">
        <v>1</v>
      </c>
      <c r="I2925" s="2"/>
      <c r="J2925" s="2">
        <v>45758</v>
      </c>
      <c r="K2925" s="2">
        <v>45785</v>
      </c>
    </row>
    <row r="2926" spans="1:11" x14ac:dyDescent="0.25">
      <c r="A2926" s="1" t="s">
        <v>542</v>
      </c>
      <c r="B2926" s="1" t="s">
        <v>1570</v>
      </c>
      <c r="C2926" s="1" t="s">
        <v>2491</v>
      </c>
      <c r="D2926" s="1" t="s">
        <v>1998</v>
      </c>
      <c r="E2926" s="1"/>
      <c r="F2926" s="1" t="s">
        <v>11</v>
      </c>
      <c r="G2926">
        <v>15</v>
      </c>
      <c r="H2926">
        <v>15</v>
      </c>
      <c r="I2926" s="2"/>
      <c r="J2926" s="2">
        <v>45758</v>
      </c>
      <c r="K2926" s="2">
        <v>45785</v>
      </c>
    </row>
    <row r="2927" spans="1:11" x14ac:dyDescent="0.25">
      <c r="A2927" s="1" t="s">
        <v>542</v>
      </c>
      <c r="B2927" s="1" t="s">
        <v>1570</v>
      </c>
      <c r="C2927" s="1" t="s">
        <v>2491</v>
      </c>
      <c r="D2927" s="1" t="s">
        <v>1998</v>
      </c>
      <c r="E2927" s="1"/>
      <c r="F2927" s="1" t="s">
        <v>12</v>
      </c>
      <c r="G2927">
        <v>1</v>
      </c>
      <c r="H2927">
        <v>1</v>
      </c>
      <c r="I2927" s="2"/>
      <c r="J2927" s="2">
        <v>45758</v>
      </c>
      <c r="K2927" s="2">
        <v>45785</v>
      </c>
    </row>
    <row r="2928" spans="1:11" x14ac:dyDescent="0.25">
      <c r="A2928" s="1" t="s">
        <v>542</v>
      </c>
      <c r="B2928" s="1" t="s">
        <v>1364</v>
      </c>
      <c r="C2928" s="1" t="s">
        <v>2314</v>
      </c>
      <c r="D2928" s="1" t="s">
        <v>1998</v>
      </c>
      <c r="E2928" s="1"/>
      <c r="F2928" s="1" t="s">
        <v>11</v>
      </c>
      <c r="G2928">
        <v>1</v>
      </c>
      <c r="H2928">
        <v>1</v>
      </c>
      <c r="I2928" s="2"/>
      <c r="J2928" s="2">
        <v>45758</v>
      </c>
      <c r="K2928" s="2">
        <v>45785</v>
      </c>
    </row>
    <row r="2929" spans="1:11" x14ac:dyDescent="0.25">
      <c r="A2929" s="1" t="s">
        <v>542</v>
      </c>
      <c r="B2929" s="1" t="s">
        <v>1390</v>
      </c>
      <c r="C2929" s="1" t="s">
        <v>2339</v>
      </c>
      <c r="D2929" s="1" t="s">
        <v>1998</v>
      </c>
      <c r="E2929" s="1"/>
      <c r="F2929" s="1" t="s">
        <v>11</v>
      </c>
      <c r="G2929">
        <v>1</v>
      </c>
      <c r="H2929">
        <v>1</v>
      </c>
      <c r="I2929" s="2"/>
      <c r="J2929" s="2">
        <v>45758</v>
      </c>
      <c r="K2929" s="2">
        <v>45785</v>
      </c>
    </row>
    <row r="2930" spans="1:11" x14ac:dyDescent="0.25">
      <c r="A2930" s="1" t="s">
        <v>542</v>
      </c>
      <c r="B2930" s="1" t="s">
        <v>1393</v>
      </c>
      <c r="C2930" s="1" t="s">
        <v>2342</v>
      </c>
      <c r="D2930" s="1" t="s">
        <v>1998</v>
      </c>
      <c r="E2930" s="1"/>
      <c r="F2930" s="1" t="s">
        <v>11</v>
      </c>
      <c r="G2930">
        <v>105</v>
      </c>
      <c r="H2930">
        <v>105</v>
      </c>
      <c r="I2930" s="2"/>
      <c r="J2930" s="2">
        <v>45758</v>
      </c>
      <c r="K2930" s="2">
        <v>45785</v>
      </c>
    </row>
    <row r="2931" spans="1:11" x14ac:dyDescent="0.25">
      <c r="A2931" s="1" t="s">
        <v>543</v>
      </c>
      <c r="B2931" s="1" t="s">
        <v>1623</v>
      </c>
      <c r="C2931" s="1" t="s">
        <v>2538</v>
      </c>
      <c r="D2931" s="1" t="s">
        <v>1998</v>
      </c>
      <c r="E2931" s="1"/>
      <c r="F2931" s="1" t="s">
        <v>11</v>
      </c>
      <c r="G2931">
        <v>1</v>
      </c>
      <c r="H2931">
        <v>1</v>
      </c>
      <c r="I2931" s="2"/>
      <c r="J2931" s="2">
        <v>45756</v>
      </c>
      <c r="K2931" s="2">
        <v>45782</v>
      </c>
    </row>
    <row r="2932" spans="1:11" x14ac:dyDescent="0.25">
      <c r="A2932" s="1" t="s">
        <v>543</v>
      </c>
      <c r="B2932" s="1" t="s">
        <v>1624</v>
      </c>
      <c r="C2932" s="1" t="s">
        <v>2539</v>
      </c>
      <c r="D2932" s="1" t="s">
        <v>1998</v>
      </c>
      <c r="E2932" s="1"/>
      <c r="F2932" s="1" t="s">
        <v>11</v>
      </c>
      <c r="G2932">
        <v>1</v>
      </c>
      <c r="H2932">
        <v>1</v>
      </c>
      <c r="I2932" s="2"/>
      <c r="J2932" s="2">
        <v>45756</v>
      </c>
      <c r="K2932" s="2">
        <v>45782</v>
      </c>
    </row>
    <row r="2933" spans="1:11" x14ac:dyDescent="0.25">
      <c r="A2933" s="1" t="s">
        <v>543</v>
      </c>
      <c r="B2933" s="1" t="s">
        <v>1625</v>
      </c>
      <c r="C2933" s="1" t="s">
        <v>2540</v>
      </c>
      <c r="D2933" s="1" t="s">
        <v>1998</v>
      </c>
      <c r="E2933" s="1"/>
      <c r="F2933" s="1" t="s">
        <v>11</v>
      </c>
      <c r="G2933">
        <v>55</v>
      </c>
      <c r="H2933">
        <v>60</v>
      </c>
      <c r="I2933" s="2"/>
      <c r="J2933" s="2">
        <v>45756</v>
      </c>
      <c r="K2933" s="2">
        <v>45782</v>
      </c>
    </row>
    <row r="2934" spans="1:11" x14ac:dyDescent="0.25">
      <c r="A2934" s="1" t="s">
        <v>543</v>
      </c>
      <c r="B2934" s="1" t="s">
        <v>1625</v>
      </c>
      <c r="C2934" s="1" t="s">
        <v>2540</v>
      </c>
      <c r="D2934" s="1" t="s">
        <v>1998</v>
      </c>
      <c r="E2934" s="1"/>
      <c r="F2934" s="1" t="s">
        <v>11</v>
      </c>
      <c r="G2934">
        <v>25</v>
      </c>
      <c r="H2934">
        <v>120</v>
      </c>
      <c r="I2934" s="2"/>
      <c r="J2934" s="2">
        <v>45756</v>
      </c>
      <c r="K2934" s="2">
        <v>45782</v>
      </c>
    </row>
    <row r="2935" spans="1:11" x14ac:dyDescent="0.25">
      <c r="A2935" s="1" t="s">
        <v>543</v>
      </c>
      <c r="B2935" s="1" t="s">
        <v>1625</v>
      </c>
      <c r="C2935" s="1" t="s">
        <v>2540</v>
      </c>
      <c r="D2935" s="1" t="s">
        <v>1998</v>
      </c>
      <c r="E2935" s="1"/>
      <c r="F2935" s="1" t="s">
        <v>14</v>
      </c>
      <c r="G2935">
        <v>50</v>
      </c>
      <c r="H2935">
        <v>30</v>
      </c>
      <c r="I2935" s="2"/>
      <c r="J2935" s="2">
        <v>45756</v>
      </c>
      <c r="K2935" s="2">
        <v>45782</v>
      </c>
    </row>
    <row r="2936" spans="1:11" x14ac:dyDescent="0.25">
      <c r="A2936" s="1" t="s">
        <v>543</v>
      </c>
      <c r="B2936" s="1" t="s">
        <v>1625</v>
      </c>
      <c r="C2936" s="1" t="s">
        <v>2540</v>
      </c>
      <c r="D2936" s="1" t="s">
        <v>1998</v>
      </c>
      <c r="E2936" s="1"/>
      <c r="F2936" s="1" t="s">
        <v>14</v>
      </c>
      <c r="G2936">
        <v>30</v>
      </c>
      <c r="H2936">
        <v>30</v>
      </c>
      <c r="I2936" s="2"/>
      <c r="J2936" s="2">
        <v>45756</v>
      </c>
      <c r="K2936" s="2">
        <v>45782</v>
      </c>
    </row>
    <row r="2937" spans="1:11" x14ac:dyDescent="0.25">
      <c r="A2937" s="1" t="s">
        <v>543</v>
      </c>
      <c r="B2937" s="1" t="s">
        <v>1626</v>
      </c>
      <c r="C2937" s="1" t="s">
        <v>2541</v>
      </c>
      <c r="D2937" s="1" t="s">
        <v>1998</v>
      </c>
      <c r="E2937" s="1"/>
      <c r="F2937" s="1" t="s">
        <v>11</v>
      </c>
      <c r="G2937">
        <v>5</v>
      </c>
      <c r="H2937">
        <v>5</v>
      </c>
      <c r="I2937" s="2"/>
      <c r="J2937" s="2">
        <v>45756</v>
      </c>
      <c r="K2937" s="2">
        <v>45782</v>
      </c>
    </row>
    <row r="2938" spans="1:11" x14ac:dyDescent="0.25">
      <c r="A2938" s="1" t="s">
        <v>543</v>
      </c>
      <c r="B2938" s="1" t="s">
        <v>1627</v>
      </c>
      <c r="C2938" s="1" t="s">
        <v>2542</v>
      </c>
      <c r="D2938" s="1" t="s">
        <v>1998</v>
      </c>
      <c r="E2938" s="1"/>
      <c r="F2938" s="1" t="s">
        <v>11</v>
      </c>
      <c r="G2938">
        <v>25</v>
      </c>
      <c r="H2938">
        <v>25</v>
      </c>
      <c r="I2938" s="2"/>
      <c r="J2938" s="2">
        <v>45756</v>
      </c>
      <c r="K2938" s="2">
        <v>45782</v>
      </c>
    </row>
    <row r="2939" spans="1:11" x14ac:dyDescent="0.25">
      <c r="A2939" s="1" t="s">
        <v>543</v>
      </c>
      <c r="B2939" s="1" t="s">
        <v>1628</v>
      </c>
      <c r="C2939" s="1" t="s">
        <v>2543</v>
      </c>
      <c r="D2939" s="1" t="s">
        <v>1998</v>
      </c>
      <c r="E2939" s="1"/>
      <c r="F2939" s="1" t="s">
        <v>11</v>
      </c>
      <c r="G2939">
        <v>650</v>
      </c>
      <c r="H2939">
        <v>650</v>
      </c>
      <c r="I2939" s="2"/>
      <c r="J2939" s="2">
        <v>45756</v>
      </c>
      <c r="K2939" s="2">
        <v>45782</v>
      </c>
    </row>
    <row r="2940" spans="1:11" x14ac:dyDescent="0.25">
      <c r="A2940" s="1" t="s">
        <v>544</v>
      </c>
      <c r="B2940" s="1" t="s">
        <v>1209</v>
      </c>
      <c r="C2940" s="1" t="s">
        <v>2199</v>
      </c>
      <c r="D2940" s="1" t="s">
        <v>1998</v>
      </c>
      <c r="E2940" s="1"/>
      <c r="F2940" s="1" t="s">
        <v>11</v>
      </c>
      <c r="G2940">
        <v>150</v>
      </c>
      <c r="H2940">
        <v>1</v>
      </c>
      <c r="I2940" s="2"/>
      <c r="J2940" s="2">
        <v>45756</v>
      </c>
      <c r="K2940" s="2">
        <v>45775</v>
      </c>
    </row>
    <row r="2941" spans="1:11" x14ac:dyDescent="0.25">
      <c r="A2941" s="1" t="s">
        <v>544</v>
      </c>
      <c r="B2941" s="1" t="s">
        <v>1210</v>
      </c>
      <c r="C2941" s="1" t="s">
        <v>2115</v>
      </c>
      <c r="D2941" s="1" t="s">
        <v>1998</v>
      </c>
      <c r="E2941" s="1"/>
      <c r="F2941" s="1" t="s">
        <v>11</v>
      </c>
      <c r="G2941">
        <v>3120</v>
      </c>
      <c r="H2941">
        <v>3120</v>
      </c>
      <c r="I2941" s="2"/>
      <c r="J2941" s="2">
        <v>45756</v>
      </c>
      <c r="K2941" s="2">
        <v>45775</v>
      </c>
    </row>
    <row r="2942" spans="1:11" x14ac:dyDescent="0.25">
      <c r="A2942" s="1" t="s">
        <v>544</v>
      </c>
      <c r="B2942" s="1" t="s">
        <v>1211</v>
      </c>
      <c r="C2942" s="1" t="s">
        <v>2200</v>
      </c>
      <c r="D2942" s="1" t="s">
        <v>1998</v>
      </c>
      <c r="E2942" s="1"/>
      <c r="F2942" s="1" t="s">
        <v>11</v>
      </c>
      <c r="G2942">
        <v>1375</v>
      </c>
      <c r="H2942">
        <v>1375</v>
      </c>
      <c r="I2942" s="2"/>
      <c r="J2942" s="2">
        <v>45756</v>
      </c>
      <c r="K2942" s="2">
        <v>45775</v>
      </c>
    </row>
    <row r="2943" spans="1:11" x14ac:dyDescent="0.25">
      <c r="A2943" s="1" t="s">
        <v>544</v>
      </c>
      <c r="B2943" s="1" t="s">
        <v>1211</v>
      </c>
      <c r="C2943" s="1" t="s">
        <v>2200</v>
      </c>
      <c r="D2943" s="1" t="s">
        <v>1998</v>
      </c>
      <c r="E2943" s="1"/>
      <c r="F2943" s="1" t="s">
        <v>11</v>
      </c>
      <c r="G2943">
        <v>100</v>
      </c>
      <c r="H2943">
        <v>100</v>
      </c>
      <c r="I2943" s="2"/>
      <c r="J2943" s="2">
        <v>45756</v>
      </c>
      <c r="K2943" s="2">
        <v>45775</v>
      </c>
    </row>
    <row r="2944" spans="1:11" x14ac:dyDescent="0.25">
      <c r="A2944" s="1" t="s">
        <v>544</v>
      </c>
      <c r="B2944" s="1" t="s">
        <v>1212</v>
      </c>
      <c r="C2944" s="1" t="s">
        <v>2201</v>
      </c>
      <c r="D2944" s="1" t="s">
        <v>1998</v>
      </c>
      <c r="E2944" s="1"/>
      <c r="F2944" s="1" t="s">
        <v>11</v>
      </c>
      <c r="G2944">
        <v>905</v>
      </c>
      <c r="H2944">
        <v>905</v>
      </c>
      <c r="I2944" s="2"/>
      <c r="J2944" s="2">
        <v>45756</v>
      </c>
      <c r="K2944" s="2">
        <v>45775</v>
      </c>
    </row>
    <row r="2945" spans="1:11" x14ac:dyDescent="0.25">
      <c r="A2945" s="1" t="s">
        <v>544</v>
      </c>
      <c r="B2945" s="1" t="s">
        <v>1212</v>
      </c>
      <c r="C2945" s="1" t="s">
        <v>2201</v>
      </c>
      <c r="D2945" s="1" t="s">
        <v>1998</v>
      </c>
      <c r="E2945" s="1"/>
      <c r="F2945" s="1" t="s">
        <v>11</v>
      </c>
      <c r="G2945">
        <v>65</v>
      </c>
      <c r="H2945">
        <v>65</v>
      </c>
      <c r="I2945" s="2"/>
      <c r="J2945" s="2">
        <v>45756</v>
      </c>
      <c r="K2945" s="2">
        <v>45775</v>
      </c>
    </row>
    <row r="2946" spans="1:11" x14ac:dyDescent="0.25">
      <c r="A2946" s="1" t="s">
        <v>545</v>
      </c>
      <c r="B2946" s="1" t="s">
        <v>1629</v>
      </c>
      <c r="C2946" s="1" t="s">
        <v>2544</v>
      </c>
      <c r="D2946" s="1" t="s">
        <v>1998</v>
      </c>
      <c r="E2946" s="1"/>
      <c r="F2946" s="1" t="s">
        <v>11</v>
      </c>
      <c r="G2946">
        <v>210</v>
      </c>
      <c r="H2946">
        <v>210</v>
      </c>
      <c r="I2946" s="2"/>
      <c r="J2946" s="2">
        <v>45769</v>
      </c>
      <c r="K2946" s="2">
        <v>45789</v>
      </c>
    </row>
    <row r="2947" spans="1:11" x14ac:dyDescent="0.25">
      <c r="A2947" s="1" t="s">
        <v>545</v>
      </c>
      <c r="B2947" s="1" t="s">
        <v>1629</v>
      </c>
      <c r="C2947" s="1" t="s">
        <v>2544</v>
      </c>
      <c r="D2947" s="1" t="s">
        <v>1998</v>
      </c>
      <c r="E2947" s="1"/>
      <c r="F2947" s="1" t="s">
        <v>15</v>
      </c>
      <c r="G2947">
        <v>275</v>
      </c>
      <c r="H2947">
        <v>85</v>
      </c>
      <c r="I2947" s="2"/>
      <c r="J2947" s="2">
        <v>45769</v>
      </c>
      <c r="K2947" s="2">
        <v>45789</v>
      </c>
    </row>
    <row r="2948" spans="1:11" x14ac:dyDescent="0.25">
      <c r="A2948" s="1" t="s">
        <v>545</v>
      </c>
      <c r="B2948" s="1" t="s">
        <v>1630</v>
      </c>
      <c r="C2948" s="1" t="s">
        <v>2545</v>
      </c>
      <c r="D2948" s="1" t="s">
        <v>1998</v>
      </c>
      <c r="E2948" s="1"/>
      <c r="F2948" s="1" t="s">
        <v>11</v>
      </c>
      <c r="G2948">
        <v>2890</v>
      </c>
      <c r="H2948">
        <v>2890</v>
      </c>
      <c r="I2948" s="2"/>
      <c r="J2948" s="2">
        <v>45769</v>
      </c>
      <c r="K2948" s="2">
        <v>45789</v>
      </c>
    </row>
    <row r="2949" spans="1:11" x14ac:dyDescent="0.25">
      <c r="A2949" s="1" t="s">
        <v>545</v>
      </c>
      <c r="B2949" s="1" t="s">
        <v>1631</v>
      </c>
      <c r="C2949" s="1" t="s">
        <v>2546</v>
      </c>
      <c r="D2949" s="1" t="s">
        <v>1998</v>
      </c>
      <c r="E2949" s="1"/>
      <c r="F2949" s="1" t="s">
        <v>11</v>
      </c>
      <c r="G2949">
        <v>2600</v>
      </c>
      <c r="H2949">
        <v>2600</v>
      </c>
      <c r="I2949" s="2"/>
      <c r="J2949" s="2">
        <v>45769</v>
      </c>
      <c r="K2949" s="2">
        <v>45789</v>
      </c>
    </row>
    <row r="2950" spans="1:11" x14ac:dyDescent="0.25">
      <c r="A2950" s="1" t="s">
        <v>546</v>
      </c>
      <c r="B2950" s="1" t="s">
        <v>1632</v>
      </c>
      <c r="C2950" s="1" t="s">
        <v>2547</v>
      </c>
      <c r="D2950" s="1" t="s">
        <v>1998</v>
      </c>
      <c r="E2950" s="1"/>
      <c r="F2950" s="1" t="s">
        <v>11</v>
      </c>
      <c r="G2950">
        <v>425</v>
      </c>
      <c r="H2950">
        <v>425</v>
      </c>
      <c r="I2950" s="2"/>
      <c r="J2950" s="2">
        <v>45779</v>
      </c>
      <c r="K2950" s="2">
        <v>45786</v>
      </c>
    </row>
    <row r="2951" spans="1:11" x14ac:dyDescent="0.25">
      <c r="A2951" s="1" t="s">
        <v>547</v>
      </c>
      <c r="B2951" s="1" t="s">
        <v>1632</v>
      </c>
      <c r="C2951" s="1" t="s">
        <v>2547</v>
      </c>
      <c r="D2951" s="1" t="s">
        <v>1998</v>
      </c>
      <c r="E2951" s="1"/>
      <c r="F2951" s="1" t="s">
        <v>11</v>
      </c>
      <c r="G2951">
        <v>920</v>
      </c>
      <c r="H2951">
        <v>925</v>
      </c>
      <c r="I2951" s="2"/>
      <c r="J2951" s="2">
        <v>45776</v>
      </c>
      <c r="K2951" s="2">
        <v>45782</v>
      </c>
    </row>
    <row r="2952" spans="1:11" x14ac:dyDescent="0.25">
      <c r="A2952" s="1" t="s">
        <v>548</v>
      </c>
      <c r="B2952" s="1" t="s">
        <v>1632</v>
      </c>
      <c r="C2952" s="1" t="s">
        <v>2547</v>
      </c>
      <c r="D2952" s="1" t="s">
        <v>1998</v>
      </c>
      <c r="E2952" s="1"/>
      <c r="F2952" s="1" t="s">
        <v>11</v>
      </c>
      <c r="G2952">
        <v>1255</v>
      </c>
      <c r="H2952">
        <v>1275</v>
      </c>
      <c r="I2952" s="2"/>
      <c r="J2952" s="2">
        <v>45776</v>
      </c>
      <c r="K2952" s="2">
        <v>45784</v>
      </c>
    </row>
    <row r="2953" spans="1:11" x14ac:dyDescent="0.25">
      <c r="A2953" s="1" t="s">
        <v>549</v>
      </c>
      <c r="B2953" s="1" t="s">
        <v>1204</v>
      </c>
      <c r="C2953" s="1" t="s">
        <v>2194</v>
      </c>
      <c r="D2953" s="1" t="s">
        <v>1998</v>
      </c>
      <c r="E2953" s="1"/>
      <c r="F2953" s="1" t="s">
        <v>11</v>
      </c>
      <c r="G2953">
        <v>1050</v>
      </c>
      <c r="H2953">
        <v>1115</v>
      </c>
      <c r="I2953" s="2"/>
      <c r="J2953" s="2">
        <v>45761</v>
      </c>
      <c r="K2953" s="2">
        <v>45763</v>
      </c>
    </row>
    <row r="2954" spans="1:11" x14ac:dyDescent="0.25">
      <c r="A2954" s="1" t="s">
        <v>549</v>
      </c>
      <c r="B2954" s="1" t="s">
        <v>1439</v>
      </c>
      <c r="C2954" s="1" t="s">
        <v>2378</v>
      </c>
      <c r="D2954" s="1" t="s">
        <v>1998</v>
      </c>
      <c r="E2954" s="1"/>
      <c r="F2954" s="1" t="s">
        <v>11</v>
      </c>
      <c r="G2954">
        <v>1350</v>
      </c>
      <c r="H2954">
        <v>1080</v>
      </c>
      <c r="I2954" s="2"/>
      <c r="J2954" s="2">
        <v>45761</v>
      </c>
      <c r="K2954" s="2">
        <v>45763</v>
      </c>
    </row>
    <row r="2955" spans="1:11" x14ac:dyDescent="0.25">
      <c r="A2955" s="1" t="s">
        <v>549</v>
      </c>
      <c r="B2955" s="1" t="s">
        <v>1206</v>
      </c>
      <c r="C2955" s="1" t="s">
        <v>2196</v>
      </c>
      <c r="D2955" s="1" t="s">
        <v>1998</v>
      </c>
      <c r="E2955" s="1"/>
      <c r="F2955" s="1" t="s">
        <v>11</v>
      </c>
      <c r="G2955">
        <v>5</v>
      </c>
      <c r="H2955">
        <v>5</v>
      </c>
      <c r="I2955" s="2"/>
      <c r="J2955" s="2">
        <v>45761</v>
      </c>
      <c r="K2955" s="2">
        <v>45763</v>
      </c>
    </row>
    <row r="2956" spans="1:11" x14ac:dyDescent="0.25">
      <c r="A2956" s="1" t="s">
        <v>549</v>
      </c>
      <c r="B2956" s="1" t="s">
        <v>1280</v>
      </c>
      <c r="C2956" s="1" t="s">
        <v>2257</v>
      </c>
      <c r="D2956" s="1" t="s">
        <v>1998</v>
      </c>
      <c r="E2956" s="1"/>
      <c r="F2956" s="1" t="s">
        <v>11</v>
      </c>
      <c r="G2956">
        <v>15</v>
      </c>
      <c r="H2956">
        <v>15</v>
      </c>
      <c r="I2956" s="2"/>
      <c r="J2956" s="2">
        <v>45761</v>
      </c>
      <c r="K2956" s="2">
        <v>45763</v>
      </c>
    </row>
    <row r="2957" spans="1:11" x14ac:dyDescent="0.25">
      <c r="A2957" s="1" t="s">
        <v>550</v>
      </c>
      <c r="B2957" s="1" t="s">
        <v>995</v>
      </c>
      <c r="C2957" s="1" t="s">
        <v>2013</v>
      </c>
      <c r="D2957" s="1" t="s">
        <v>1998</v>
      </c>
      <c r="E2957" s="1"/>
      <c r="F2957" s="1" t="s">
        <v>11</v>
      </c>
      <c r="G2957">
        <v>145</v>
      </c>
      <c r="H2957">
        <v>10</v>
      </c>
      <c r="I2957" s="2"/>
      <c r="J2957" s="2">
        <v>45765</v>
      </c>
      <c r="K2957" s="2">
        <v>45789</v>
      </c>
    </row>
    <row r="2958" spans="1:11" x14ac:dyDescent="0.25">
      <c r="A2958" s="1" t="s">
        <v>550</v>
      </c>
      <c r="B2958" s="1" t="s">
        <v>1075</v>
      </c>
      <c r="C2958" s="1" t="s">
        <v>2078</v>
      </c>
      <c r="D2958" s="1" t="s">
        <v>1998</v>
      </c>
      <c r="E2958" s="1"/>
      <c r="F2958" s="1" t="s">
        <v>11</v>
      </c>
      <c r="G2958">
        <v>210</v>
      </c>
      <c r="H2958">
        <v>210</v>
      </c>
      <c r="I2958" s="2"/>
      <c r="J2958" s="2">
        <v>45765</v>
      </c>
      <c r="K2958" s="2">
        <v>45789</v>
      </c>
    </row>
    <row r="2959" spans="1:11" x14ac:dyDescent="0.25">
      <c r="A2959" s="1" t="s">
        <v>550</v>
      </c>
      <c r="B2959" s="1" t="s">
        <v>1052</v>
      </c>
      <c r="C2959" s="1" t="s">
        <v>2061</v>
      </c>
      <c r="D2959" s="1" t="s">
        <v>1998</v>
      </c>
      <c r="E2959" s="1"/>
      <c r="F2959" s="1" t="s">
        <v>11</v>
      </c>
      <c r="G2959">
        <v>1945</v>
      </c>
      <c r="H2959">
        <v>1945</v>
      </c>
      <c r="I2959" s="2"/>
      <c r="J2959" s="2">
        <v>45765</v>
      </c>
      <c r="K2959" s="2">
        <v>45789</v>
      </c>
    </row>
    <row r="2960" spans="1:11" x14ac:dyDescent="0.25">
      <c r="A2960" s="1" t="s">
        <v>550</v>
      </c>
      <c r="B2960" s="1" t="s">
        <v>999</v>
      </c>
      <c r="C2960" s="1" t="s">
        <v>2017</v>
      </c>
      <c r="D2960" s="1" t="s">
        <v>1998</v>
      </c>
      <c r="E2960" s="1"/>
      <c r="F2960" s="1" t="s">
        <v>11</v>
      </c>
      <c r="G2960">
        <v>1</v>
      </c>
      <c r="H2960">
        <v>1</v>
      </c>
      <c r="I2960" s="2"/>
      <c r="J2960" s="2">
        <v>45765</v>
      </c>
      <c r="K2960" s="2">
        <v>45789</v>
      </c>
    </row>
    <row r="2961" spans="1:11" x14ac:dyDescent="0.25">
      <c r="A2961" s="1" t="s">
        <v>550</v>
      </c>
      <c r="B2961" s="1" t="s">
        <v>1000</v>
      </c>
      <c r="C2961" s="1" t="s">
        <v>2018</v>
      </c>
      <c r="D2961" s="1" t="s">
        <v>1998</v>
      </c>
      <c r="E2961" s="1"/>
      <c r="F2961" s="1" t="s">
        <v>11</v>
      </c>
      <c r="G2961">
        <v>10</v>
      </c>
      <c r="H2961">
        <v>10</v>
      </c>
      <c r="I2961" s="2"/>
      <c r="J2961" s="2">
        <v>45765</v>
      </c>
      <c r="K2961" s="2">
        <v>45789</v>
      </c>
    </row>
    <row r="2962" spans="1:11" x14ac:dyDescent="0.25">
      <c r="A2962" s="1" t="s">
        <v>550</v>
      </c>
      <c r="B2962" s="1" t="s">
        <v>1001</v>
      </c>
      <c r="C2962" s="1" t="s">
        <v>2019</v>
      </c>
      <c r="D2962" s="1" t="s">
        <v>1998</v>
      </c>
      <c r="E2962" s="1"/>
      <c r="F2962" s="1" t="s">
        <v>11</v>
      </c>
      <c r="G2962">
        <v>5</v>
      </c>
      <c r="H2962">
        <v>5</v>
      </c>
      <c r="I2962" s="2"/>
      <c r="J2962" s="2">
        <v>45765</v>
      </c>
      <c r="K2962" s="2">
        <v>45789</v>
      </c>
    </row>
    <row r="2963" spans="1:11" x14ac:dyDescent="0.25">
      <c r="A2963" s="1" t="s">
        <v>550</v>
      </c>
      <c r="B2963" s="1" t="s">
        <v>1076</v>
      </c>
      <c r="C2963" s="1" t="s">
        <v>2079</v>
      </c>
      <c r="D2963" s="1" t="s">
        <v>1998</v>
      </c>
      <c r="E2963" s="1"/>
      <c r="F2963" s="1" t="s">
        <v>11</v>
      </c>
      <c r="G2963">
        <v>5520</v>
      </c>
      <c r="H2963">
        <v>5520</v>
      </c>
      <c r="I2963" s="2"/>
      <c r="J2963" s="2">
        <v>45765</v>
      </c>
      <c r="K2963" s="2">
        <v>45789</v>
      </c>
    </row>
    <row r="2964" spans="1:11" x14ac:dyDescent="0.25">
      <c r="A2964" s="1" t="s">
        <v>550</v>
      </c>
      <c r="B2964" s="1" t="s">
        <v>1077</v>
      </c>
      <c r="C2964" s="1" t="s">
        <v>2080</v>
      </c>
      <c r="D2964" s="1" t="s">
        <v>1998</v>
      </c>
      <c r="E2964" s="1"/>
      <c r="F2964" s="1" t="s">
        <v>11</v>
      </c>
      <c r="G2964">
        <v>6395</v>
      </c>
      <c r="H2964">
        <v>6395</v>
      </c>
      <c r="I2964" s="2"/>
      <c r="J2964" s="2">
        <v>45765</v>
      </c>
      <c r="K2964" s="2">
        <v>45789</v>
      </c>
    </row>
    <row r="2965" spans="1:11" x14ac:dyDescent="0.25">
      <c r="A2965" s="1" t="s">
        <v>551</v>
      </c>
      <c r="B2965" s="1" t="s">
        <v>1633</v>
      </c>
      <c r="C2965" s="1" t="s">
        <v>2548</v>
      </c>
      <c r="D2965" s="1" t="s">
        <v>1998</v>
      </c>
      <c r="E2965" s="1"/>
      <c r="F2965" s="1" t="s">
        <v>11</v>
      </c>
      <c r="G2965">
        <v>17135</v>
      </c>
      <c r="H2965">
        <v>17135</v>
      </c>
      <c r="I2965" s="2">
        <v>45783</v>
      </c>
      <c r="J2965" s="2">
        <v>45757</v>
      </c>
      <c r="K2965" s="2">
        <v>45783</v>
      </c>
    </row>
    <row r="2966" spans="1:11" x14ac:dyDescent="0.25">
      <c r="A2966" s="1" t="s">
        <v>551</v>
      </c>
      <c r="B2966" s="1" t="s">
        <v>1634</v>
      </c>
      <c r="C2966" s="1" t="s">
        <v>2549</v>
      </c>
      <c r="D2966" s="1" t="s">
        <v>1998</v>
      </c>
      <c r="E2966" s="1"/>
      <c r="F2966" s="1" t="s">
        <v>11</v>
      </c>
      <c r="G2966">
        <v>1</v>
      </c>
      <c r="H2966">
        <v>1</v>
      </c>
      <c r="I2966" s="2">
        <v>45783</v>
      </c>
      <c r="J2966" s="2">
        <v>45757</v>
      </c>
      <c r="K2966" s="2">
        <v>45783</v>
      </c>
    </row>
    <row r="2967" spans="1:11" x14ac:dyDescent="0.25">
      <c r="A2967" s="1" t="s">
        <v>551</v>
      </c>
      <c r="B2967" s="1" t="s">
        <v>1634</v>
      </c>
      <c r="C2967" s="1" t="s">
        <v>2549</v>
      </c>
      <c r="D2967" s="1" t="s">
        <v>1998</v>
      </c>
      <c r="E2967" s="1"/>
      <c r="F2967" s="1" t="s">
        <v>11</v>
      </c>
      <c r="G2967">
        <v>1</v>
      </c>
      <c r="H2967">
        <v>1</v>
      </c>
      <c r="I2967" s="2">
        <v>45783</v>
      </c>
      <c r="J2967" s="2">
        <v>45757</v>
      </c>
      <c r="K2967" s="2">
        <v>45783</v>
      </c>
    </row>
    <row r="2968" spans="1:11" x14ac:dyDescent="0.25">
      <c r="A2968" s="1" t="s">
        <v>551</v>
      </c>
      <c r="B2968" s="1" t="s">
        <v>1635</v>
      </c>
      <c r="C2968" s="1" t="s">
        <v>2550</v>
      </c>
      <c r="D2968" s="1" t="s">
        <v>1998</v>
      </c>
      <c r="E2968" s="1"/>
      <c r="F2968" s="1" t="s">
        <v>11</v>
      </c>
      <c r="G2968">
        <v>20</v>
      </c>
      <c r="H2968">
        <v>20</v>
      </c>
      <c r="I2968" s="2">
        <v>45783</v>
      </c>
      <c r="J2968" s="2">
        <v>45757</v>
      </c>
      <c r="K2968" s="2">
        <v>45783</v>
      </c>
    </row>
    <row r="2969" spans="1:11" x14ac:dyDescent="0.25">
      <c r="A2969" s="1" t="s">
        <v>551</v>
      </c>
      <c r="B2969" s="1" t="s">
        <v>1635</v>
      </c>
      <c r="C2969" s="1" t="s">
        <v>2550</v>
      </c>
      <c r="D2969" s="1" t="s">
        <v>1998</v>
      </c>
      <c r="E2969" s="1"/>
      <c r="F2969" s="1" t="s">
        <v>11</v>
      </c>
      <c r="G2969">
        <v>20</v>
      </c>
      <c r="H2969">
        <v>20</v>
      </c>
      <c r="I2969" s="2">
        <v>45783</v>
      </c>
      <c r="J2969" s="2">
        <v>45757</v>
      </c>
      <c r="K2969" s="2">
        <v>45783</v>
      </c>
    </row>
    <row r="2970" spans="1:11" x14ac:dyDescent="0.25">
      <c r="A2970" s="1" t="s">
        <v>551</v>
      </c>
      <c r="B2970" s="1" t="s">
        <v>1636</v>
      </c>
      <c r="C2970" s="1" t="s">
        <v>2551</v>
      </c>
      <c r="D2970" s="1" t="s">
        <v>1998</v>
      </c>
      <c r="E2970" s="1"/>
      <c r="F2970" s="1" t="s">
        <v>11</v>
      </c>
      <c r="G2970">
        <v>200</v>
      </c>
      <c r="H2970">
        <v>200</v>
      </c>
      <c r="I2970" s="2">
        <v>45783</v>
      </c>
      <c r="J2970" s="2">
        <v>45757</v>
      </c>
      <c r="K2970" s="2">
        <v>45783</v>
      </c>
    </row>
    <row r="2971" spans="1:11" x14ac:dyDescent="0.25">
      <c r="A2971" s="1" t="s">
        <v>551</v>
      </c>
      <c r="B2971" s="1" t="s">
        <v>1637</v>
      </c>
      <c r="C2971" s="1" t="s">
        <v>2552</v>
      </c>
      <c r="D2971" s="1" t="s">
        <v>1998</v>
      </c>
      <c r="E2971" s="1"/>
      <c r="F2971" s="1" t="s">
        <v>11</v>
      </c>
      <c r="G2971">
        <v>200</v>
      </c>
      <c r="H2971">
        <v>200</v>
      </c>
      <c r="I2971" s="2">
        <v>45783</v>
      </c>
      <c r="J2971" s="2">
        <v>45757</v>
      </c>
      <c r="K2971" s="2">
        <v>45783</v>
      </c>
    </row>
    <row r="2972" spans="1:11" x14ac:dyDescent="0.25">
      <c r="A2972" s="1" t="s">
        <v>552</v>
      </c>
      <c r="B2972" s="1" t="s">
        <v>1633</v>
      </c>
      <c r="C2972" s="1" t="s">
        <v>2548</v>
      </c>
      <c r="D2972" s="1" t="s">
        <v>1998</v>
      </c>
      <c r="E2972" s="1"/>
      <c r="F2972" s="1" t="s">
        <v>11</v>
      </c>
      <c r="G2972">
        <v>18705</v>
      </c>
      <c r="H2972">
        <v>18705</v>
      </c>
      <c r="I2972" s="2">
        <v>45783</v>
      </c>
      <c r="J2972" s="2">
        <v>45757</v>
      </c>
      <c r="K2972" s="2">
        <v>45783</v>
      </c>
    </row>
    <row r="2973" spans="1:11" x14ac:dyDescent="0.25">
      <c r="A2973" s="1" t="s">
        <v>552</v>
      </c>
      <c r="B2973" s="1" t="s">
        <v>1634</v>
      </c>
      <c r="C2973" s="1" t="s">
        <v>2549</v>
      </c>
      <c r="D2973" s="1" t="s">
        <v>1998</v>
      </c>
      <c r="E2973" s="1"/>
      <c r="F2973" s="1" t="s">
        <v>11</v>
      </c>
      <c r="G2973">
        <v>1</v>
      </c>
      <c r="H2973">
        <v>1</v>
      </c>
      <c r="I2973" s="2">
        <v>45783</v>
      </c>
      <c r="J2973" s="2">
        <v>45757</v>
      </c>
      <c r="K2973" s="2">
        <v>45783</v>
      </c>
    </row>
    <row r="2974" spans="1:11" x14ac:dyDescent="0.25">
      <c r="A2974" s="1" t="s">
        <v>552</v>
      </c>
      <c r="B2974" s="1" t="s">
        <v>1634</v>
      </c>
      <c r="C2974" s="1" t="s">
        <v>2549</v>
      </c>
      <c r="D2974" s="1" t="s">
        <v>1998</v>
      </c>
      <c r="E2974" s="1"/>
      <c r="F2974" s="1" t="s">
        <v>11</v>
      </c>
      <c r="G2974">
        <v>1</v>
      </c>
      <c r="H2974">
        <v>1</v>
      </c>
      <c r="I2974" s="2">
        <v>45783</v>
      </c>
      <c r="J2974" s="2">
        <v>45757</v>
      </c>
      <c r="K2974" s="2">
        <v>45783</v>
      </c>
    </row>
    <row r="2975" spans="1:11" x14ac:dyDescent="0.25">
      <c r="A2975" s="1" t="s">
        <v>552</v>
      </c>
      <c r="B2975" s="1" t="s">
        <v>1635</v>
      </c>
      <c r="C2975" s="1" t="s">
        <v>2550</v>
      </c>
      <c r="D2975" s="1" t="s">
        <v>1998</v>
      </c>
      <c r="E2975" s="1"/>
      <c r="F2975" s="1" t="s">
        <v>11</v>
      </c>
      <c r="G2975">
        <v>20</v>
      </c>
      <c r="H2975">
        <v>20</v>
      </c>
      <c r="I2975" s="2">
        <v>45783</v>
      </c>
      <c r="J2975" s="2">
        <v>45757</v>
      </c>
      <c r="K2975" s="2">
        <v>45783</v>
      </c>
    </row>
    <row r="2976" spans="1:11" x14ac:dyDescent="0.25">
      <c r="A2976" s="1" t="s">
        <v>552</v>
      </c>
      <c r="B2976" s="1" t="s">
        <v>1635</v>
      </c>
      <c r="C2976" s="1" t="s">
        <v>2550</v>
      </c>
      <c r="D2976" s="1" t="s">
        <v>1998</v>
      </c>
      <c r="E2976" s="1"/>
      <c r="F2976" s="1" t="s">
        <v>11</v>
      </c>
      <c r="G2976">
        <v>20</v>
      </c>
      <c r="H2976">
        <v>20</v>
      </c>
      <c r="I2976" s="2">
        <v>45783</v>
      </c>
      <c r="J2976" s="2">
        <v>45757</v>
      </c>
      <c r="K2976" s="2">
        <v>45783</v>
      </c>
    </row>
    <row r="2977" spans="1:11" x14ac:dyDescent="0.25">
      <c r="A2977" s="1" t="s">
        <v>552</v>
      </c>
      <c r="B2977" s="1" t="s">
        <v>1636</v>
      </c>
      <c r="C2977" s="1" t="s">
        <v>2551</v>
      </c>
      <c r="D2977" s="1" t="s">
        <v>1998</v>
      </c>
      <c r="E2977" s="1"/>
      <c r="F2977" s="1" t="s">
        <v>11</v>
      </c>
      <c r="G2977">
        <v>220</v>
      </c>
      <c r="H2977">
        <v>220</v>
      </c>
      <c r="I2977" s="2">
        <v>45783</v>
      </c>
      <c r="J2977" s="2">
        <v>45757</v>
      </c>
      <c r="K2977" s="2">
        <v>45783</v>
      </c>
    </row>
    <row r="2978" spans="1:11" x14ac:dyDescent="0.25">
      <c r="A2978" s="1" t="s">
        <v>552</v>
      </c>
      <c r="B2978" s="1" t="s">
        <v>1637</v>
      </c>
      <c r="C2978" s="1" t="s">
        <v>2552</v>
      </c>
      <c r="D2978" s="1" t="s">
        <v>1998</v>
      </c>
      <c r="E2978" s="1"/>
      <c r="F2978" s="1" t="s">
        <v>11</v>
      </c>
      <c r="G2978">
        <v>220</v>
      </c>
      <c r="H2978">
        <v>220</v>
      </c>
      <c r="I2978" s="2">
        <v>45783</v>
      </c>
      <c r="J2978" s="2">
        <v>45757</v>
      </c>
      <c r="K2978" s="2">
        <v>45783</v>
      </c>
    </row>
    <row r="2979" spans="1:11" x14ac:dyDescent="0.25">
      <c r="A2979" s="1" t="s">
        <v>553</v>
      </c>
      <c r="B2979" s="1" t="s">
        <v>1156</v>
      </c>
      <c r="C2979" s="1" t="s">
        <v>2150</v>
      </c>
      <c r="D2979" s="1" t="s">
        <v>1998</v>
      </c>
      <c r="E2979" s="1"/>
      <c r="F2979" s="1" t="s">
        <v>11</v>
      </c>
      <c r="G2979">
        <v>60</v>
      </c>
      <c r="H2979">
        <v>65</v>
      </c>
      <c r="I2979" s="2"/>
      <c r="J2979" s="2">
        <v>45756</v>
      </c>
      <c r="K2979" s="2">
        <v>45757</v>
      </c>
    </row>
    <row r="2980" spans="1:11" x14ac:dyDescent="0.25">
      <c r="A2980" s="1" t="s">
        <v>553</v>
      </c>
      <c r="B2980" s="1" t="s">
        <v>1539</v>
      </c>
      <c r="C2980" s="1" t="s">
        <v>2467</v>
      </c>
      <c r="D2980" s="1" t="s">
        <v>1998</v>
      </c>
      <c r="E2980" s="1"/>
      <c r="F2980" s="1" t="s">
        <v>11</v>
      </c>
      <c r="G2980">
        <v>5</v>
      </c>
      <c r="H2980">
        <v>5</v>
      </c>
      <c r="I2980" s="2"/>
      <c r="J2980" s="2">
        <v>45756</v>
      </c>
      <c r="K2980" s="2">
        <v>45757</v>
      </c>
    </row>
    <row r="2981" spans="1:11" x14ac:dyDescent="0.25">
      <c r="A2981" s="1" t="s">
        <v>554</v>
      </c>
      <c r="B2981" s="1" t="s">
        <v>1016</v>
      </c>
      <c r="C2981" s="1" t="s">
        <v>2033</v>
      </c>
      <c r="D2981" s="1" t="s">
        <v>1998</v>
      </c>
      <c r="E2981" s="1"/>
      <c r="F2981" s="1" t="s">
        <v>11</v>
      </c>
      <c r="G2981">
        <v>75</v>
      </c>
      <c r="H2981">
        <v>40</v>
      </c>
      <c r="I2981" s="2"/>
      <c r="J2981" s="2">
        <v>45757</v>
      </c>
      <c r="K2981" s="2">
        <v>45776</v>
      </c>
    </row>
    <row r="2982" spans="1:11" x14ac:dyDescent="0.25">
      <c r="A2982" s="1" t="s">
        <v>554</v>
      </c>
      <c r="B2982" s="1" t="s">
        <v>1017</v>
      </c>
      <c r="C2982" s="1" t="s">
        <v>2034</v>
      </c>
      <c r="D2982" s="1" t="s">
        <v>1998</v>
      </c>
      <c r="E2982" s="1"/>
      <c r="F2982" s="1" t="s">
        <v>11</v>
      </c>
      <c r="G2982">
        <v>200</v>
      </c>
      <c r="H2982">
        <v>200</v>
      </c>
      <c r="I2982" s="2"/>
      <c r="J2982" s="2">
        <v>45757</v>
      </c>
      <c r="K2982" s="2">
        <v>45776</v>
      </c>
    </row>
    <row r="2983" spans="1:11" x14ac:dyDescent="0.25">
      <c r="A2983" s="1" t="s">
        <v>554</v>
      </c>
      <c r="B2983" s="1" t="s">
        <v>1018</v>
      </c>
      <c r="C2983" s="1" t="s">
        <v>2035</v>
      </c>
      <c r="D2983" s="1" t="s">
        <v>1998</v>
      </c>
      <c r="E2983" s="1"/>
      <c r="F2983" s="1" t="s">
        <v>11</v>
      </c>
      <c r="G2983">
        <v>885</v>
      </c>
      <c r="H2983">
        <v>890</v>
      </c>
      <c r="I2983" s="2"/>
      <c r="J2983" s="2">
        <v>45757</v>
      </c>
      <c r="K2983" s="2">
        <v>45776</v>
      </c>
    </row>
    <row r="2984" spans="1:11" x14ac:dyDescent="0.25">
      <c r="A2984" s="1" t="s">
        <v>554</v>
      </c>
      <c r="B2984" s="1" t="s">
        <v>1018</v>
      </c>
      <c r="C2984" s="1" t="s">
        <v>2035</v>
      </c>
      <c r="D2984" s="1" t="s">
        <v>1998</v>
      </c>
      <c r="E2984" s="1"/>
      <c r="F2984" s="1" t="s">
        <v>11</v>
      </c>
      <c r="G2984">
        <v>105</v>
      </c>
      <c r="H2984">
        <v>105</v>
      </c>
      <c r="I2984" s="2"/>
      <c r="J2984" s="2">
        <v>45757</v>
      </c>
      <c r="K2984" s="2">
        <v>45776</v>
      </c>
    </row>
    <row r="2985" spans="1:11" x14ac:dyDescent="0.25">
      <c r="A2985" s="1" t="s">
        <v>554</v>
      </c>
      <c r="B2985" s="1" t="s">
        <v>999</v>
      </c>
      <c r="C2985" s="1" t="s">
        <v>2017</v>
      </c>
      <c r="D2985" s="1" t="s">
        <v>1998</v>
      </c>
      <c r="E2985" s="1"/>
      <c r="F2985" s="1" t="s">
        <v>11</v>
      </c>
      <c r="G2985">
        <v>1</v>
      </c>
      <c r="H2985">
        <v>1</v>
      </c>
      <c r="I2985" s="2"/>
      <c r="J2985" s="2">
        <v>45757</v>
      </c>
      <c r="K2985" s="2">
        <v>45776</v>
      </c>
    </row>
    <row r="2986" spans="1:11" x14ac:dyDescent="0.25">
      <c r="A2986" s="1" t="s">
        <v>554</v>
      </c>
      <c r="B2986" s="1" t="s">
        <v>1000</v>
      </c>
      <c r="C2986" s="1" t="s">
        <v>2018</v>
      </c>
      <c r="D2986" s="1" t="s">
        <v>1998</v>
      </c>
      <c r="E2986" s="1"/>
      <c r="F2986" s="1" t="s">
        <v>11</v>
      </c>
      <c r="G2986">
        <v>5</v>
      </c>
      <c r="H2986">
        <v>5</v>
      </c>
      <c r="I2986" s="2"/>
      <c r="J2986" s="2">
        <v>45757</v>
      </c>
      <c r="K2986" s="2">
        <v>45776</v>
      </c>
    </row>
    <row r="2987" spans="1:11" x14ac:dyDescent="0.25">
      <c r="A2987" s="1" t="s">
        <v>554</v>
      </c>
      <c r="B2987" s="1" t="s">
        <v>1001</v>
      </c>
      <c r="C2987" s="1" t="s">
        <v>2019</v>
      </c>
      <c r="D2987" s="1" t="s">
        <v>1998</v>
      </c>
      <c r="E2987" s="1"/>
      <c r="F2987" s="1" t="s">
        <v>11</v>
      </c>
      <c r="G2987">
        <v>5</v>
      </c>
      <c r="H2987">
        <v>5</v>
      </c>
      <c r="I2987" s="2"/>
      <c r="J2987" s="2">
        <v>45757</v>
      </c>
      <c r="K2987" s="2">
        <v>45776</v>
      </c>
    </row>
    <row r="2988" spans="1:11" x14ac:dyDescent="0.25">
      <c r="A2988" s="1" t="s">
        <v>554</v>
      </c>
      <c r="B2988" s="1" t="s">
        <v>1019</v>
      </c>
      <c r="C2988" s="1" t="s">
        <v>2036</v>
      </c>
      <c r="D2988" s="1" t="s">
        <v>1998</v>
      </c>
      <c r="E2988" s="1"/>
      <c r="F2988" s="1" t="s">
        <v>11</v>
      </c>
      <c r="G2988">
        <v>3135</v>
      </c>
      <c r="H2988">
        <v>3135</v>
      </c>
      <c r="I2988" s="2"/>
      <c r="J2988" s="2">
        <v>45757</v>
      </c>
      <c r="K2988" s="2">
        <v>45776</v>
      </c>
    </row>
    <row r="2989" spans="1:11" x14ac:dyDescent="0.25">
      <c r="A2989" s="1" t="s">
        <v>554</v>
      </c>
      <c r="B2989" s="1" t="s">
        <v>1020</v>
      </c>
      <c r="C2989" s="1" t="s">
        <v>2037</v>
      </c>
      <c r="D2989" s="1" t="s">
        <v>1998</v>
      </c>
      <c r="E2989" s="1"/>
      <c r="F2989" s="1" t="s">
        <v>11</v>
      </c>
      <c r="G2989">
        <v>8375</v>
      </c>
      <c r="H2989">
        <v>8375</v>
      </c>
      <c r="I2989" s="2"/>
      <c r="J2989" s="2">
        <v>45757</v>
      </c>
      <c r="K2989" s="2">
        <v>45776</v>
      </c>
    </row>
    <row r="2990" spans="1:11" x14ac:dyDescent="0.25">
      <c r="A2990" s="1" t="s">
        <v>555</v>
      </c>
      <c r="B2990" s="1" t="s">
        <v>1016</v>
      </c>
      <c r="C2990" s="1" t="s">
        <v>2033</v>
      </c>
      <c r="D2990" s="1" t="s">
        <v>1998</v>
      </c>
      <c r="E2990" s="1"/>
      <c r="F2990" s="1" t="s">
        <v>11</v>
      </c>
      <c r="G2990">
        <v>75</v>
      </c>
      <c r="H2990">
        <v>50</v>
      </c>
      <c r="I2990" s="2"/>
      <c r="J2990" s="2">
        <v>45764</v>
      </c>
      <c r="K2990" s="2">
        <v>45778</v>
      </c>
    </row>
    <row r="2991" spans="1:11" x14ac:dyDescent="0.25">
      <c r="A2991" s="1" t="s">
        <v>555</v>
      </c>
      <c r="B2991" s="1" t="s">
        <v>1017</v>
      </c>
      <c r="C2991" s="1" t="s">
        <v>2034</v>
      </c>
      <c r="D2991" s="1" t="s">
        <v>1998</v>
      </c>
      <c r="E2991" s="1"/>
      <c r="F2991" s="1" t="s">
        <v>11</v>
      </c>
      <c r="G2991">
        <v>200</v>
      </c>
      <c r="H2991">
        <v>200</v>
      </c>
      <c r="I2991" s="2"/>
      <c r="J2991" s="2">
        <v>45764</v>
      </c>
      <c r="K2991" s="2">
        <v>45778</v>
      </c>
    </row>
    <row r="2992" spans="1:11" x14ac:dyDescent="0.25">
      <c r="A2992" s="1" t="s">
        <v>555</v>
      </c>
      <c r="B2992" s="1" t="s">
        <v>1018</v>
      </c>
      <c r="C2992" s="1" t="s">
        <v>2035</v>
      </c>
      <c r="D2992" s="1" t="s">
        <v>1998</v>
      </c>
      <c r="E2992" s="1"/>
      <c r="F2992" s="1" t="s">
        <v>11</v>
      </c>
      <c r="G2992">
        <v>885</v>
      </c>
      <c r="H2992">
        <v>945</v>
      </c>
      <c r="I2992" s="2"/>
      <c r="J2992" s="2">
        <v>45764</v>
      </c>
      <c r="K2992" s="2">
        <v>45778</v>
      </c>
    </row>
    <row r="2993" spans="1:11" x14ac:dyDescent="0.25">
      <c r="A2993" s="1" t="s">
        <v>555</v>
      </c>
      <c r="B2993" s="1" t="s">
        <v>999</v>
      </c>
      <c r="C2993" s="1" t="s">
        <v>2017</v>
      </c>
      <c r="D2993" s="1" t="s">
        <v>1998</v>
      </c>
      <c r="E2993" s="1"/>
      <c r="F2993" s="1" t="s">
        <v>11</v>
      </c>
      <c r="G2993">
        <v>1</v>
      </c>
      <c r="H2993">
        <v>1</v>
      </c>
      <c r="I2993" s="2"/>
      <c r="J2993" s="2">
        <v>45764</v>
      </c>
      <c r="K2993" s="2">
        <v>45778</v>
      </c>
    </row>
    <row r="2994" spans="1:11" x14ac:dyDescent="0.25">
      <c r="A2994" s="1" t="s">
        <v>555</v>
      </c>
      <c r="B2994" s="1" t="s">
        <v>1000</v>
      </c>
      <c r="C2994" s="1" t="s">
        <v>2018</v>
      </c>
      <c r="D2994" s="1" t="s">
        <v>1998</v>
      </c>
      <c r="E2994" s="1"/>
      <c r="F2994" s="1" t="s">
        <v>11</v>
      </c>
      <c r="G2994">
        <v>5</v>
      </c>
      <c r="H2994">
        <v>5</v>
      </c>
      <c r="I2994" s="2"/>
      <c r="J2994" s="2">
        <v>45764</v>
      </c>
      <c r="K2994" s="2">
        <v>45778</v>
      </c>
    </row>
    <row r="2995" spans="1:11" x14ac:dyDescent="0.25">
      <c r="A2995" s="1" t="s">
        <v>555</v>
      </c>
      <c r="B2995" s="1" t="s">
        <v>1001</v>
      </c>
      <c r="C2995" s="1" t="s">
        <v>2019</v>
      </c>
      <c r="D2995" s="1" t="s">
        <v>1998</v>
      </c>
      <c r="E2995" s="1"/>
      <c r="F2995" s="1" t="s">
        <v>11</v>
      </c>
      <c r="G2995">
        <v>5</v>
      </c>
      <c r="H2995">
        <v>5</v>
      </c>
      <c r="I2995" s="2"/>
      <c r="J2995" s="2">
        <v>45764</v>
      </c>
      <c r="K2995" s="2">
        <v>45778</v>
      </c>
    </row>
    <row r="2996" spans="1:11" x14ac:dyDescent="0.25">
      <c r="A2996" s="1" t="s">
        <v>555</v>
      </c>
      <c r="B2996" s="1" t="s">
        <v>1019</v>
      </c>
      <c r="C2996" s="1" t="s">
        <v>2036</v>
      </c>
      <c r="D2996" s="1" t="s">
        <v>1998</v>
      </c>
      <c r="E2996" s="1"/>
      <c r="F2996" s="1" t="s">
        <v>11</v>
      </c>
      <c r="G2996">
        <v>3135</v>
      </c>
      <c r="H2996">
        <v>3135</v>
      </c>
      <c r="I2996" s="2"/>
      <c r="J2996" s="2">
        <v>45764</v>
      </c>
      <c r="K2996" s="2">
        <v>45778</v>
      </c>
    </row>
    <row r="2997" spans="1:11" x14ac:dyDescent="0.25">
      <c r="A2997" s="1" t="s">
        <v>555</v>
      </c>
      <c r="B2997" s="1" t="s">
        <v>1020</v>
      </c>
      <c r="C2997" s="1" t="s">
        <v>2037</v>
      </c>
      <c r="D2997" s="1" t="s">
        <v>1998</v>
      </c>
      <c r="E2997" s="1"/>
      <c r="F2997" s="1" t="s">
        <v>11</v>
      </c>
      <c r="G2997">
        <v>8375</v>
      </c>
      <c r="H2997">
        <v>8375</v>
      </c>
      <c r="I2997" s="2"/>
      <c r="J2997" s="2">
        <v>45764</v>
      </c>
      <c r="K2997" s="2">
        <v>45778</v>
      </c>
    </row>
    <row r="2998" spans="1:11" x14ac:dyDescent="0.25">
      <c r="A2998" s="1" t="s">
        <v>556</v>
      </c>
      <c r="B2998" s="1" t="s">
        <v>1204</v>
      </c>
      <c r="C2998" s="1" t="s">
        <v>2194</v>
      </c>
      <c r="D2998" s="1" t="s">
        <v>1998</v>
      </c>
      <c r="E2998" s="1"/>
      <c r="F2998" s="1" t="s">
        <v>11</v>
      </c>
      <c r="G2998">
        <v>110</v>
      </c>
      <c r="H2998">
        <v>100</v>
      </c>
      <c r="I2998" s="2"/>
      <c r="J2998" s="2">
        <v>45761</v>
      </c>
      <c r="K2998" s="2">
        <v>45761</v>
      </c>
    </row>
    <row r="2999" spans="1:11" x14ac:dyDescent="0.25">
      <c r="A2999" s="1" t="s">
        <v>556</v>
      </c>
      <c r="B2999" s="1" t="s">
        <v>1206</v>
      </c>
      <c r="C2999" s="1" t="s">
        <v>2196</v>
      </c>
      <c r="D2999" s="1" t="s">
        <v>1998</v>
      </c>
      <c r="E2999" s="1"/>
      <c r="F2999" s="1" t="s">
        <v>11</v>
      </c>
      <c r="G2999">
        <v>1</v>
      </c>
      <c r="H2999">
        <v>1</v>
      </c>
      <c r="I2999" s="2"/>
      <c r="J2999" s="2">
        <v>45761</v>
      </c>
      <c r="K2999" s="2">
        <v>45761</v>
      </c>
    </row>
    <row r="3000" spans="1:11" x14ac:dyDescent="0.25">
      <c r="A3000" s="1" t="s">
        <v>556</v>
      </c>
      <c r="B3000" s="1" t="s">
        <v>1351</v>
      </c>
      <c r="C3000" s="1" t="s">
        <v>2304</v>
      </c>
      <c r="D3000" s="1" t="s">
        <v>1998</v>
      </c>
      <c r="E3000" s="1"/>
      <c r="F3000" s="1" t="s">
        <v>11</v>
      </c>
      <c r="G3000">
        <v>1</v>
      </c>
      <c r="H3000">
        <v>1</v>
      </c>
      <c r="I3000" s="2"/>
      <c r="J3000" s="2">
        <v>45761</v>
      </c>
      <c r="K3000" s="2">
        <v>45761</v>
      </c>
    </row>
    <row r="3001" spans="1:11" x14ac:dyDescent="0.25">
      <c r="A3001" s="1" t="s">
        <v>557</v>
      </c>
      <c r="B3001" s="1" t="s">
        <v>1264</v>
      </c>
      <c r="C3001" s="1" t="s">
        <v>2241</v>
      </c>
      <c r="D3001" s="1" t="s">
        <v>1998</v>
      </c>
      <c r="E3001" s="1"/>
      <c r="F3001" s="1" t="s">
        <v>11</v>
      </c>
      <c r="G3001">
        <v>415</v>
      </c>
      <c r="H3001">
        <v>495</v>
      </c>
      <c r="I3001" s="2"/>
      <c r="J3001" s="2">
        <v>45765</v>
      </c>
      <c r="K3001" s="2">
        <v>45779</v>
      </c>
    </row>
    <row r="3002" spans="1:11" x14ac:dyDescent="0.25">
      <c r="A3002" s="1" t="s">
        <v>557</v>
      </c>
      <c r="B3002" s="1" t="s">
        <v>1265</v>
      </c>
      <c r="C3002" s="1" t="s">
        <v>2242</v>
      </c>
      <c r="D3002" s="1" t="s">
        <v>1998</v>
      </c>
      <c r="E3002" s="1"/>
      <c r="F3002" s="1" t="s">
        <v>11</v>
      </c>
      <c r="G3002">
        <v>905</v>
      </c>
      <c r="H3002">
        <v>195</v>
      </c>
      <c r="I3002" s="2"/>
      <c r="J3002" s="2">
        <v>45765</v>
      </c>
      <c r="K3002" s="2">
        <v>45779</v>
      </c>
    </row>
    <row r="3003" spans="1:11" x14ac:dyDescent="0.25">
      <c r="A3003" s="1" t="s">
        <v>557</v>
      </c>
      <c r="B3003" s="1" t="s">
        <v>1267</v>
      </c>
      <c r="C3003" s="1" t="s">
        <v>2244</v>
      </c>
      <c r="D3003" s="1" t="s">
        <v>1998</v>
      </c>
      <c r="E3003" s="1"/>
      <c r="F3003" s="1" t="s">
        <v>12</v>
      </c>
      <c r="G3003">
        <v>1</v>
      </c>
      <c r="H3003">
        <v>20</v>
      </c>
      <c r="I3003" s="2"/>
      <c r="J3003" s="2">
        <v>45765</v>
      </c>
      <c r="K3003" s="2">
        <v>45779</v>
      </c>
    </row>
    <row r="3004" spans="1:11" x14ac:dyDescent="0.25">
      <c r="A3004" s="1" t="s">
        <v>557</v>
      </c>
      <c r="B3004" s="1" t="s">
        <v>1206</v>
      </c>
      <c r="C3004" s="1" t="s">
        <v>2196</v>
      </c>
      <c r="D3004" s="1" t="s">
        <v>1998</v>
      </c>
      <c r="E3004" s="1"/>
      <c r="F3004" s="1" t="s">
        <v>11</v>
      </c>
      <c r="G3004">
        <v>5</v>
      </c>
      <c r="H3004">
        <v>5</v>
      </c>
      <c r="I3004" s="2"/>
      <c r="J3004" s="2">
        <v>45765</v>
      </c>
      <c r="K3004" s="2">
        <v>45779</v>
      </c>
    </row>
    <row r="3005" spans="1:11" x14ac:dyDescent="0.25">
      <c r="A3005" s="1" t="s">
        <v>557</v>
      </c>
      <c r="B3005" s="1" t="s">
        <v>1207</v>
      </c>
      <c r="C3005" s="1" t="s">
        <v>2197</v>
      </c>
      <c r="D3005" s="1" t="s">
        <v>1998</v>
      </c>
      <c r="E3005" s="1"/>
      <c r="F3005" s="1" t="s">
        <v>11</v>
      </c>
      <c r="G3005">
        <v>25</v>
      </c>
      <c r="H3005">
        <v>25</v>
      </c>
      <c r="I3005" s="2"/>
      <c r="J3005" s="2">
        <v>45765</v>
      </c>
      <c r="K3005" s="2">
        <v>45779</v>
      </c>
    </row>
    <row r="3006" spans="1:11" x14ac:dyDescent="0.25">
      <c r="A3006" s="1" t="s">
        <v>557</v>
      </c>
      <c r="B3006" s="1" t="s">
        <v>1208</v>
      </c>
      <c r="C3006" s="1" t="s">
        <v>2198</v>
      </c>
      <c r="D3006" s="1" t="s">
        <v>1998</v>
      </c>
      <c r="E3006" s="1"/>
      <c r="F3006" s="1" t="s">
        <v>11</v>
      </c>
      <c r="G3006">
        <v>1</v>
      </c>
      <c r="H3006">
        <v>1</v>
      </c>
      <c r="I3006" s="2"/>
      <c r="J3006" s="2">
        <v>45765</v>
      </c>
      <c r="K3006" s="2">
        <v>45779</v>
      </c>
    </row>
    <row r="3007" spans="1:11" x14ac:dyDescent="0.25">
      <c r="A3007" s="1" t="s">
        <v>558</v>
      </c>
      <c r="B3007" s="1" t="s">
        <v>1264</v>
      </c>
      <c r="C3007" s="1" t="s">
        <v>2241</v>
      </c>
      <c r="D3007" s="1" t="s">
        <v>1998</v>
      </c>
      <c r="E3007" s="1"/>
      <c r="F3007" s="1" t="s">
        <v>11</v>
      </c>
      <c r="G3007">
        <v>415</v>
      </c>
      <c r="H3007">
        <v>620</v>
      </c>
      <c r="I3007" s="2"/>
      <c r="J3007" s="2">
        <v>45768</v>
      </c>
      <c r="K3007" s="2">
        <v>45783</v>
      </c>
    </row>
    <row r="3008" spans="1:11" x14ac:dyDescent="0.25">
      <c r="A3008" s="1" t="s">
        <v>558</v>
      </c>
      <c r="B3008" s="1" t="s">
        <v>1265</v>
      </c>
      <c r="C3008" s="1" t="s">
        <v>2242</v>
      </c>
      <c r="D3008" s="1" t="s">
        <v>1998</v>
      </c>
      <c r="E3008" s="1"/>
      <c r="F3008" s="1" t="s">
        <v>11</v>
      </c>
      <c r="G3008">
        <v>905</v>
      </c>
      <c r="H3008">
        <v>635</v>
      </c>
      <c r="I3008" s="2"/>
      <c r="J3008" s="2">
        <v>45768</v>
      </c>
      <c r="K3008" s="2">
        <v>45783</v>
      </c>
    </row>
    <row r="3009" spans="1:11" x14ac:dyDescent="0.25">
      <c r="A3009" s="1" t="s">
        <v>558</v>
      </c>
      <c r="B3009" s="1" t="s">
        <v>1206</v>
      </c>
      <c r="C3009" s="1" t="s">
        <v>2196</v>
      </c>
      <c r="D3009" s="1" t="s">
        <v>1998</v>
      </c>
      <c r="E3009" s="1"/>
      <c r="F3009" s="1" t="s">
        <v>11</v>
      </c>
      <c r="G3009">
        <v>5</v>
      </c>
      <c r="H3009">
        <v>5</v>
      </c>
      <c r="I3009" s="2"/>
      <c r="J3009" s="2">
        <v>45768</v>
      </c>
      <c r="K3009" s="2">
        <v>45783</v>
      </c>
    </row>
    <row r="3010" spans="1:11" x14ac:dyDescent="0.25">
      <c r="A3010" s="1" t="s">
        <v>558</v>
      </c>
      <c r="B3010" s="1" t="s">
        <v>1207</v>
      </c>
      <c r="C3010" s="1" t="s">
        <v>2197</v>
      </c>
      <c r="D3010" s="1" t="s">
        <v>1998</v>
      </c>
      <c r="E3010" s="1"/>
      <c r="F3010" s="1" t="s">
        <v>11</v>
      </c>
      <c r="G3010">
        <v>25</v>
      </c>
      <c r="H3010">
        <v>25</v>
      </c>
      <c r="I3010" s="2"/>
      <c r="J3010" s="2">
        <v>45768</v>
      </c>
      <c r="K3010" s="2">
        <v>45783</v>
      </c>
    </row>
    <row r="3011" spans="1:11" x14ac:dyDescent="0.25">
      <c r="A3011" s="1" t="s">
        <v>558</v>
      </c>
      <c r="B3011" s="1" t="s">
        <v>1208</v>
      </c>
      <c r="C3011" s="1" t="s">
        <v>2198</v>
      </c>
      <c r="D3011" s="1" t="s">
        <v>1998</v>
      </c>
      <c r="E3011" s="1"/>
      <c r="F3011" s="1" t="s">
        <v>11</v>
      </c>
      <c r="G3011">
        <v>1</v>
      </c>
      <c r="H3011">
        <v>5</v>
      </c>
      <c r="I3011" s="2"/>
      <c r="J3011" s="2">
        <v>45768</v>
      </c>
      <c r="K3011" s="2">
        <v>45783</v>
      </c>
    </row>
    <row r="3012" spans="1:11" x14ac:dyDescent="0.25">
      <c r="A3012" s="1" t="s">
        <v>559</v>
      </c>
      <c r="B3012" s="1" t="s">
        <v>1264</v>
      </c>
      <c r="C3012" s="1" t="s">
        <v>2241</v>
      </c>
      <c r="D3012" s="1" t="s">
        <v>1998</v>
      </c>
      <c r="E3012" s="1"/>
      <c r="F3012" s="1" t="s">
        <v>11</v>
      </c>
      <c r="G3012">
        <v>415</v>
      </c>
      <c r="H3012">
        <v>620</v>
      </c>
      <c r="I3012" s="2"/>
      <c r="J3012" s="2">
        <v>45768</v>
      </c>
      <c r="K3012" s="2">
        <v>45783</v>
      </c>
    </row>
    <row r="3013" spans="1:11" x14ac:dyDescent="0.25">
      <c r="A3013" s="1" t="s">
        <v>559</v>
      </c>
      <c r="B3013" s="1" t="s">
        <v>1265</v>
      </c>
      <c r="C3013" s="1" t="s">
        <v>2242</v>
      </c>
      <c r="D3013" s="1" t="s">
        <v>1998</v>
      </c>
      <c r="E3013" s="1"/>
      <c r="F3013" s="1" t="s">
        <v>11</v>
      </c>
      <c r="G3013">
        <v>905</v>
      </c>
      <c r="H3013">
        <v>635</v>
      </c>
      <c r="I3013" s="2"/>
      <c r="J3013" s="2">
        <v>45768</v>
      </c>
      <c r="K3013" s="2">
        <v>45783</v>
      </c>
    </row>
    <row r="3014" spans="1:11" x14ac:dyDescent="0.25">
      <c r="A3014" s="1" t="s">
        <v>559</v>
      </c>
      <c r="B3014" s="1" t="s">
        <v>1206</v>
      </c>
      <c r="C3014" s="1" t="s">
        <v>2196</v>
      </c>
      <c r="D3014" s="1" t="s">
        <v>1998</v>
      </c>
      <c r="E3014" s="1"/>
      <c r="F3014" s="1" t="s">
        <v>11</v>
      </c>
      <c r="G3014">
        <v>5</v>
      </c>
      <c r="H3014">
        <v>5</v>
      </c>
      <c r="I3014" s="2"/>
      <c r="J3014" s="2">
        <v>45768</v>
      </c>
      <c r="K3014" s="2">
        <v>45783</v>
      </c>
    </row>
    <row r="3015" spans="1:11" x14ac:dyDescent="0.25">
      <c r="A3015" s="1" t="s">
        <v>559</v>
      </c>
      <c r="B3015" s="1" t="s">
        <v>1207</v>
      </c>
      <c r="C3015" s="1" t="s">
        <v>2197</v>
      </c>
      <c r="D3015" s="1" t="s">
        <v>1998</v>
      </c>
      <c r="E3015" s="1"/>
      <c r="F3015" s="1" t="s">
        <v>11</v>
      </c>
      <c r="G3015">
        <v>25</v>
      </c>
      <c r="H3015">
        <v>25</v>
      </c>
      <c r="I3015" s="2"/>
      <c r="J3015" s="2">
        <v>45768</v>
      </c>
      <c r="K3015" s="2">
        <v>45783</v>
      </c>
    </row>
    <row r="3016" spans="1:11" x14ac:dyDescent="0.25">
      <c r="A3016" s="1" t="s">
        <v>559</v>
      </c>
      <c r="B3016" s="1" t="s">
        <v>1208</v>
      </c>
      <c r="C3016" s="1" t="s">
        <v>2198</v>
      </c>
      <c r="D3016" s="1" t="s">
        <v>1998</v>
      </c>
      <c r="E3016" s="1"/>
      <c r="F3016" s="1" t="s">
        <v>11</v>
      </c>
      <c r="G3016">
        <v>1</v>
      </c>
      <c r="H3016">
        <v>1</v>
      </c>
      <c r="I3016" s="2"/>
      <c r="J3016" s="2">
        <v>45768</v>
      </c>
      <c r="K3016" s="2">
        <v>45783</v>
      </c>
    </row>
    <row r="3017" spans="1:11" x14ac:dyDescent="0.25">
      <c r="A3017" s="1" t="s">
        <v>560</v>
      </c>
      <c r="B3017" s="1" t="s">
        <v>1246</v>
      </c>
      <c r="C3017" s="1" t="s">
        <v>2228</v>
      </c>
      <c r="D3017" s="1" t="s">
        <v>1998</v>
      </c>
      <c r="E3017" s="1"/>
      <c r="F3017" s="1" t="s">
        <v>12</v>
      </c>
      <c r="G3017">
        <v>1</v>
      </c>
      <c r="H3017">
        <v>1365</v>
      </c>
      <c r="I3017" s="2"/>
      <c r="J3017" s="2">
        <v>45771</v>
      </c>
      <c r="K3017" s="2">
        <v>45784</v>
      </c>
    </row>
    <row r="3018" spans="1:11" x14ac:dyDescent="0.25">
      <c r="A3018" s="1" t="s">
        <v>560</v>
      </c>
      <c r="B3018" s="1" t="s">
        <v>1247</v>
      </c>
      <c r="C3018" s="1" t="s">
        <v>2229</v>
      </c>
      <c r="D3018" s="1" t="s">
        <v>1998</v>
      </c>
      <c r="E3018" s="1"/>
      <c r="F3018" s="1" t="s">
        <v>11</v>
      </c>
      <c r="G3018">
        <v>195</v>
      </c>
      <c r="H3018">
        <v>510</v>
      </c>
      <c r="I3018" s="2"/>
      <c r="J3018" s="2">
        <v>45771</v>
      </c>
      <c r="K3018" s="2">
        <v>45784</v>
      </c>
    </row>
    <row r="3019" spans="1:11" x14ac:dyDescent="0.25">
      <c r="A3019" s="1" t="s">
        <v>560</v>
      </c>
      <c r="B3019" s="1" t="s">
        <v>1206</v>
      </c>
      <c r="C3019" s="1" t="s">
        <v>2196</v>
      </c>
      <c r="D3019" s="1" t="s">
        <v>1998</v>
      </c>
      <c r="E3019" s="1"/>
      <c r="F3019" s="1" t="s">
        <v>11</v>
      </c>
      <c r="G3019">
        <v>5</v>
      </c>
      <c r="H3019">
        <v>5</v>
      </c>
      <c r="I3019" s="2"/>
      <c r="J3019" s="2">
        <v>45771</v>
      </c>
      <c r="K3019" s="2">
        <v>45784</v>
      </c>
    </row>
    <row r="3020" spans="1:11" x14ac:dyDescent="0.25">
      <c r="A3020" s="1" t="s">
        <v>560</v>
      </c>
      <c r="B3020" s="1" t="s">
        <v>1248</v>
      </c>
      <c r="C3020" s="1" t="s">
        <v>2230</v>
      </c>
      <c r="D3020" s="1" t="s">
        <v>1998</v>
      </c>
      <c r="E3020" s="1"/>
      <c r="F3020" s="1" t="s">
        <v>11</v>
      </c>
      <c r="G3020">
        <v>40</v>
      </c>
      <c r="H3020">
        <v>40</v>
      </c>
      <c r="I3020" s="2"/>
      <c r="J3020" s="2">
        <v>45771</v>
      </c>
      <c r="K3020" s="2">
        <v>45784</v>
      </c>
    </row>
    <row r="3021" spans="1:11" x14ac:dyDescent="0.25">
      <c r="A3021" s="1" t="s">
        <v>561</v>
      </c>
      <c r="B3021" s="1" t="s">
        <v>1246</v>
      </c>
      <c r="C3021" s="1" t="s">
        <v>2228</v>
      </c>
      <c r="D3021" s="1" t="s">
        <v>1998</v>
      </c>
      <c r="E3021" s="1"/>
      <c r="F3021" s="1" t="s">
        <v>11</v>
      </c>
      <c r="G3021">
        <v>1540</v>
      </c>
      <c r="H3021">
        <v>1365</v>
      </c>
      <c r="I3021" s="2"/>
      <c r="J3021" s="2">
        <v>45771</v>
      </c>
      <c r="K3021" s="2">
        <v>45784</v>
      </c>
    </row>
    <row r="3022" spans="1:11" x14ac:dyDescent="0.25">
      <c r="A3022" s="1" t="s">
        <v>561</v>
      </c>
      <c r="B3022" s="1" t="s">
        <v>1247</v>
      </c>
      <c r="C3022" s="1" t="s">
        <v>2229</v>
      </c>
      <c r="D3022" s="1" t="s">
        <v>1998</v>
      </c>
      <c r="E3022" s="1"/>
      <c r="F3022" s="1" t="s">
        <v>11</v>
      </c>
      <c r="G3022">
        <v>195</v>
      </c>
      <c r="H3022">
        <v>510</v>
      </c>
      <c r="I3022" s="2"/>
      <c r="J3022" s="2">
        <v>45771</v>
      </c>
      <c r="K3022" s="2">
        <v>45784</v>
      </c>
    </row>
    <row r="3023" spans="1:11" x14ac:dyDescent="0.25">
      <c r="A3023" s="1" t="s">
        <v>561</v>
      </c>
      <c r="B3023" s="1" t="s">
        <v>1206</v>
      </c>
      <c r="C3023" s="1" t="s">
        <v>2196</v>
      </c>
      <c r="D3023" s="1" t="s">
        <v>1998</v>
      </c>
      <c r="E3023" s="1"/>
      <c r="F3023" s="1" t="s">
        <v>11</v>
      </c>
      <c r="G3023">
        <v>5</v>
      </c>
      <c r="H3023">
        <v>5</v>
      </c>
      <c r="I3023" s="2"/>
      <c r="J3023" s="2">
        <v>45771</v>
      </c>
      <c r="K3023" s="2">
        <v>45784</v>
      </c>
    </row>
    <row r="3024" spans="1:11" x14ac:dyDescent="0.25">
      <c r="A3024" s="1" t="s">
        <v>561</v>
      </c>
      <c r="B3024" s="1" t="s">
        <v>1248</v>
      </c>
      <c r="C3024" s="1" t="s">
        <v>2230</v>
      </c>
      <c r="D3024" s="1" t="s">
        <v>1998</v>
      </c>
      <c r="E3024" s="1"/>
      <c r="F3024" s="1" t="s">
        <v>11</v>
      </c>
      <c r="G3024">
        <v>40</v>
      </c>
      <c r="H3024">
        <v>40</v>
      </c>
      <c r="I3024" s="2"/>
      <c r="J3024" s="2">
        <v>45771</v>
      </c>
      <c r="K3024" s="2">
        <v>45784</v>
      </c>
    </row>
    <row r="3025" spans="1:11" x14ac:dyDescent="0.25">
      <c r="A3025" s="1" t="s">
        <v>562</v>
      </c>
      <c r="B3025" s="1" t="s">
        <v>1246</v>
      </c>
      <c r="C3025" s="1" t="s">
        <v>2228</v>
      </c>
      <c r="D3025" s="1" t="s">
        <v>1998</v>
      </c>
      <c r="E3025" s="1"/>
      <c r="F3025" s="1" t="s">
        <v>11</v>
      </c>
      <c r="G3025">
        <v>1540</v>
      </c>
      <c r="H3025">
        <v>1320</v>
      </c>
      <c r="I3025" s="2"/>
      <c r="J3025" s="2">
        <v>45772</v>
      </c>
      <c r="K3025" s="2">
        <v>45777</v>
      </c>
    </row>
    <row r="3026" spans="1:11" x14ac:dyDescent="0.25">
      <c r="A3026" s="1" t="s">
        <v>562</v>
      </c>
      <c r="B3026" s="1" t="s">
        <v>1247</v>
      </c>
      <c r="C3026" s="1" t="s">
        <v>2229</v>
      </c>
      <c r="D3026" s="1" t="s">
        <v>1998</v>
      </c>
      <c r="E3026" s="1"/>
      <c r="F3026" s="1" t="s">
        <v>11</v>
      </c>
      <c r="G3026">
        <v>195</v>
      </c>
      <c r="H3026">
        <v>585</v>
      </c>
      <c r="I3026" s="2"/>
      <c r="J3026" s="2">
        <v>45772</v>
      </c>
      <c r="K3026" s="2">
        <v>45777</v>
      </c>
    </row>
    <row r="3027" spans="1:11" x14ac:dyDescent="0.25">
      <c r="A3027" s="1" t="s">
        <v>562</v>
      </c>
      <c r="B3027" s="1" t="s">
        <v>1206</v>
      </c>
      <c r="C3027" s="1" t="s">
        <v>2196</v>
      </c>
      <c r="D3027" s="1" t="s">
        <v>1998</v>
      </c>
      <c r="E3027" s="1"/>
      <c r="F3027" s="1" t="s">
        <v>11</v>
      </c>
      <c r="G3027">
        <v>5</v>
      </c>
      <c r="H3027">
        <v>5</v>
      </c>
      <c r="I3027" s="2"/>
      <c r="J3027" s="2">
        <v>45772</v>
      </c>
      <c r="K3027" s="2">
        <v>45777</v>
      </c>
    </row>
    <row r="3028" spans="1:11" x14ac:dyDescent="0.25">
      <c r="A3028" s="1" t="s">
        <v>562</v>
      </c>
      <c r="B3028" s="1" t="s">
        <v>1248</v>
      </c>
      <c r="C3028" s="1" t="s">
        <v>2230</v>
      </c>
      <c r="D3028" s="1" t="s">
        <v>1998</v>
      </c>
      <c r="E3028" s="1"/>
      <c r="F3028" s="1" t="s">
        <v>11</v>
      </c>
      <c r="G3028">
        <v>40</v>
      </c>
      <c r="H3028">
        <v>40</v>
      </c>
      <c r="I3028" s="2"/>
      <c r="J3028" s="2">
        <v>45772</v>
      </c>
      <c r="K3028" s="2">
        <v>45777</v>
      </c>
    </row>
    <row r="3029" spans="1:11" x14ac:dyDescent="0.25">
      <c r="A3029" s="1" t="s">
        <v>563</v>
      </c>
      <c r="B3029" s="1" t="s">
        <v>1246</v>
      </c>
      <c r="C3029" s="1" t="s">
        <v>2228</v>
      </c>
      <c r="D3029" s="1" t="s">
        <v>1998</v>
      </c>
      <c r="E3029" s="1"/>
      <c r="F3029" s="1" t="s">
        <v>11</v>
      </c>
      <c r="G3029">
        <v>1540</v>
      </c>
      <c r="H3029">
        <v>1365</v>
      </c>
      <c r="I3029" s="2"/>
      <c r="J3029" s="2">
        <v>45765</v>
      </c>
      <c r="K3029" s="2">
        <v>45784</v>
      </c>
    </row>
    <row r="3030" spans="1:11" x14ac:dyDescent="0.25">
      <c r="A3030" s="1" t="s">
        <v>563</v>
      </c>
      <c r="B3030" s="1" t="s">
        <v>1247</v>
      </c>
      <c r="C3030" s="1" t="s">
        <v>2229</v>
      </c>
      <c r="D3030" s="1" t="s">
        <v>1998</v>
      </c>
      <c r="E3030" s="1"/>
      <c r="F3030" s="1" t="s">
        <v>11</v>
      </c>
      <c r="G3030">
        <v>195</v>
      </c>
      <c r="H3030">
        <v>510</v>
      </c>
      <c r="I3030" s="2"/>
      <c r="J3030" s="2">
        <v>45765</v>
      </c>
      <c r="K3030" s="2">
        <v>45784</v>
      </c>
    </row>
    <row r="3031" spans="1:11" x14ac:dyDescent="0.25">
      <c r="A3031" s="1" t="s">
        <v>563</v>
      </c>
      <c r="B3031" s="1" t="s">
        <v>1206</v>
      </c>
      <c r="C3031" s="1" t="s">
        <v>2196</v>
      </c>
      <c r="D3031" s="1" t="s">
        <v>1998</v>
      </c>
      <c r="E3031" s="1"/>
      <c r="F3031" s="1" t="s">
        <v>11</v>
      </c>
      <c r="G3031">
        <v>5</v>
      </c>
      <c r="H3031">
        <v>5</v>
      </c>
      <c r="I3031" s="2"/>
      <c r="J3031" s="2">
        <v>45765</v>
      </c>
      <c r="K3031" s="2">
        <v>45784</v>
      </c>
    </row>
    <row r="3032" spans="1:11" x14ac:dyDescent="0.25">
      <c r="A3032" s="1" t="s">
        <v>563</v>
      </c>
      <c r="B3032" s="1" t="s">
        <v>1248</v>
      </c>
      <c r="C3032" s="1" t="s">
        <v>2230</v>
      </c>
      <c r="D3032" s="1" t="s">
        <v>1998</v>
      </c>
      <c r="E3032" s="1"/>
      <c r="F3032" s="1" t="s">
        <v>11</v>
      </c>
      <c r="G3032">
        <v>40</v>
      </c>
      <c r="H3032">
        <v>40</v>
      </c>
      <c r="I3032" s="2"/>
      <c r="J3032" s="2">
        <v>45765</v>
      </c>
      <c r="K3032" s="2">
        <v>45784</v>
      </c>
    </row>
    <row r="3033" spans="1:11" x14ac:dyDescent="0.25">
      <c r="A3033" s="1" t="s">
        <v>564</v>
      </c>
      <c r="B3033" s="1" t="s">
        <v>1246</v>
      </c>
      <c r="C3033" s="1" t="s">
        <v>2228</v>
      </c>
      <c r="D3033" s="1" t="s">
        <v>1998</v>
      </c>
      <c r="E3033" s="1"/>
      <c r="F3033" s="1" t="s">
        <v>12</v>
      </c>
      <c r="G3033">
        <v>1</v>
      </c>
      <c r="H3033">
        <v>1085</v>
      </c>
      <c r="I3033" s="2"/>
      <c r="J3033" s="2">
        <v>45769</v>
      </c>
      <c r="K3033" s="2">
        <v>45785</v>
      </c>
    </row>
    <row r="3034" spans="1:11" x14ac:dyDescent="0.25">
      <c r="A3034" s="1" t="s">
        <v>564</v>
      </c>
      <c r="B3034" s="1" t="s">
        <v>1247</v>
      </c>
      <c r="C3034" s="1" t="s">
        <v>2229</v>
      </c>
      <c r="D3034" s="1" t="s">
        <v>1998</v>
      </c>
      <c r="E3034" s="1"/>
      <c r="F3034" s="1" t="s">
        <v>11</v>
      </c>
      <c r="G3034">
        <v>195</v>
      </c>
      <c r="H3034">
        <v>985</v>
      </c>
      <c r="I3034" s="2"/>
      <c r="J3034" s="2">
        <v>45769</v>
      </c>
      <c r="K3034" s="2">
        <v>45785</v>
      </c>
    </row>
    <row r="3035" spans="1:11" x14ac:dyDescent="0.25">
      <c r="A3035" s="1" t="s">
        <v>564</v>
      </c>
      <c r="B3035" s="1" t="s">
        <v>1267</v>
      </c>
      <c r="C3035" s="1" t="s">
        <v>2244</v>
      </c>
      <c r="D3035" s="1" t="s">
        <v>1998</v>
      </c>
      <c r="E3035" s="1"/>
      <c r="F3035" s="1" t="s">
        <v>12</v>
      </c>
      <c r="G3035">
        <v>1</v>
      </c>
      <c r="H3035">
        <v>25</v>
      </c>
      <c r="I3035" s="2"/>
      <c r="J3035" s="2">
        <v>45769</v>
      </c>
      <c r="K3035" s="2">
        <v>45785</v>
      </c>
    </row>
    <row r="3036" spans="1:11" x14ac:dyDescent="0.25">
      <c r="A3036" s="1" t="s">
        <v>564</v>
      </c>
      <c r="B3036" s="1" t="s">
        <v>1206</v>
      </c>
      <c r="C3036" s="1" t="s">
        <v>2196</v>
      </c>
      <c r="D3036" s="1" t="s">
        <v>1998</v>
      </c>
      <c r="E3036" s="1"/>
      <c r="F3036" s="1" t="s">
        <v>11</v>
      </c>
      <c r="G3036">
        <v>5</v>
      </c>
      <c r="H3036">
        <v>5</v>
      </c>
      <c r="I3036" s="2"/>
      <c r="J3036" s="2">
        <v>45769</v>
      </c>
      <c r="K3036" s="2">
        <v>45785</v>
      </c>
    </row>
    <row r="3037" spans="1:11" x14ac:dyDescent="0.25">
      <c r="A3037" s="1" t="s">
        <v>564</v>
      </c>
      <c r="B3037" s="1" t="s">
        <v>1248</v>
      </c>
      <c r="C3037" s="1" t="s">
        <v>2230</v>
      </c>
      <c r="D3037" s="1" t="s">
        <v>1998</v>
      </c>
      <c r="E3037" s="1"/>
      <c r="F3037" s="1" t="s">
        <v>11</v>
      </c>
      <c r="G3037">
        <v>40</v>
      </c>
      <c r="H3037">
        <v>40</v>
      </c>
      <c r="I3037" s="2"/>
      <c r="J3037" s="2">
        <v>45769</v>
      </c>
      <c r="K3037" s="2">
        <v>45785</v>
      </c>
    </row>
    <row r="3038" spans="1:11" x14ac:dyDescent="0.25">
      <c r="A3038" s="1" t="s">
        <v>565</v>
      </c>
      <c r="B3038" s="1" t="s">
        <v>1638</v>
      </c>
      <c r="C3038" s="1" t="s">
        <v>2553</v>
      </c>
      <c r="D3038" s="1" t="s">
        <v>1998</v>
      </c>
      <c r="E3038" s="1"/>
      <c r="F3038" s="1" t="s">
        <v>11</v>
      </c>
      <c r="G3038">
        <v>2815</v>
      </c>
      <c r="H3038">
        <v>2660</v>
      </c>
      <c r="I3038" s="2"/>
      <c r="J3038" s="2">
        <v>45757</v>
      </c>
      <c r="K3038" s="2">
        <v>45779</v>
      </c>
    </row>
    <row r="3039" spans="1:11" x14ac:dyDescent="0.25">
      <c r="A3039" s="1" t="s">
        <v>565</v>
      </c>
      <c r="B3039" s="1" t="s">
        <v>1639</v>
      </c>
      <c r="C3039" s="1" t="s">
        <v>2554</v>
      </c>
      <c r="D3039" s="1" t="s">
        <v>1998</v>
      </c>
      <c r="E3039" s="1"/>
      <c r="F3039" s="1" t="s">
        <v>11</v>
      </c>
      <c r="G3039">
        <v>3395</v>
      </c>
      <c r="H3039">
        <v>2150</v>
      </c>
      <c r="I3039" s="2"/>
      <c r="J3039" s="2">
        <v>45757</v>
      </c>
      <c r="K3039" s="2">
        <v>45779</v>
      </c>
    </row>
    <row r="3040" spans="1:11" x14ac:dyDescent="0.25">
      <c r="A3040" s="1" t="s">
        <v>565</v>
      </c>
      <c r="B3040" s="1" t="s">
        <v>1639</v>
      </c>
      <c r="C3040" s="1" t="s">
        <v>2554</v>
      </c>
      <c r="D3040" s="1" t="s">
        <v>1998</v>
      </c>
      <c r="E3040" s="1"/>
      <c r="F3040" s="1" t="s">
        <v>11</v>
      </c>
      <c r="G3040">
        <v>2750</v>
      </c>
      <c r="H3040">
        <v>1725</v>
      </c>
      <c r="I3040" s="2"/>
      <c r="J3040" s="2">
        <v>45757</v>
      </c>
      <c r="K3040" s="2">
        <v>45779</v>
      </c>
    </row>
    <row r="3041" spans="1:11" x14ac:dyDescent="0.25">
      <c r="A3041" s="1" t="s">
        <v>565</v>
      </c>
      <c r="B3041" s="1" t="s">
        <v>1640</v>
      </c>
      <c r="C3041" s="1" t="s">
        <v>2555</v>
      </c>
      <c r="D3041" s="1" t="s">
        <v>1998</v>
      </c>
      <c r="E3041" s="1"/>
      <c r="F3041" s="1" t="s">
        <v>11</v>
      </c>
      <c r="G3041">
        <v>2110</v>
      </c>
      <c r="H3041">
        <v>1955</v>
      </c>
      <c r="I3041" s="2"/>
      <c r="J3041" s="2">
        <v>45757</v>
      </c>
      <c r="K3041" s="2">
        <v>45779</v>
      </c>
    </row>
    <row r="3042" spans="1:11" x14ac:dyDescent="0.25">
      <c r="A3042" s="1" t="s">
        <v>566</v>
      </c>
      <c r="B3042" s="1" t="s">
        <v>1246</v>
      </c>
      <c r="C3042" s="1" t="s">
        <v>2228</v>
      </c>
      <c r="D3042" s="1" t="s">
        <v>1998</v>
      </c>
      <c r="E3042" s="1"/>
      <c r="F3042" s="1" t="s">
        <v>11</v>
      </c>
      <c r="G3042">
        <v>1540</v>
      </c>
      <c r="H3042">
        <v>1365</v>
      </c>
      <c r="I3042" s="2"/>
      <c r="J3042" s="2">
        <v>45783</v>
      </c>
      <c r="K3042" s="2">
        <v>45783</v>
      </c>
    </row>
    <row r="3043" spans="1:11" x14ac:dyDescent="0.25">
      <c r="A3043" s="1" t="s">
        <v>566</v>
      </c>
      <c r="B3043" s="1" t="s">
        <v>1247</v>
      </c>
      <c r="C3043" s="1" t="s">
        <v>2229</v>
      </c>
      <c r="D3043" s="1" t="s">
        <v>1998</v>
      </c>
      <c r="E3043" s="1"/>
      <c r="F3043" s="1" t="s">
        <v>11</v>
      </c>
      <c r="G3043">
        <v>195</v>
      </c>
      <c r="H3043">
        <v>510</v>
      </c>
      <c r="I3043" s="2"/>
      <c r="J3043" s="2">
        <v>45783</v>
      </c>
      <c r="K3043" s="2">
        <v>45783</v>
      </c>
    </row>
    <row r="3044" spans="1:11" x14ac:dyDescent="0.25">
      <c r="A3044" s="1" t="s">
        <v>566</v>
      </c>
      <c r="B3044" s="1" t="s">
        <v>1206</v>
      </c>
      <c r="C3044" s="1" t="s">
        <v>2196</v>
      </c>
      <c r="D3044" s="1" t="s">
        <v>1998</v>
      </c>
      <c r="E3044" s="1"/>
      <c r="F3044" s="1" t="s">
        <v>11</v>
      </c>
      <c r="G3044">
        <v>5</v>
      </c>
      <c r="H3044">
        <v>5</v>
      </c>
      <c r="I3044" s="2"/>
      <c r="J3044" s="2">
        <v>45783</v>
      </c>
      <c r="K3044" s="2">
        <v>45783</v>
      </c>
    </row>
    <row r="3045" spans="1:11" x14ac:dyDescent="0.25">
      <c r="A3045" s="1" t="s">
        <v>566</v>
      </c>
      <c r="B3045" s="1" t="s">
        <v>1248</v>
      </c>
      <c r="C3045" s="1" t="s">
        <v>2230</v>
      </c>
      <c r="D3045" s="1" t="s">
        <v>1998</v>
      </c>
      <c r="E3045" s="1"/>
      <c r="F3045" s="1" t="s">
        <v>11</v>
      </c>
      <c r="G3045">
        <v>40</v>
      </c>
      <c r="H3045">
        <v>40</v>
      </c>
      <c r="I3045" s="2"/>
      <c r="J3045" s="2">
        <v>45783</v>
      </c>
      <c r="K3045" s="2">
        <v>45783</v>
      </c>
    </row>
    <row r="3046" spans="1:11" x14ac:dyDescent="0.25">
      <c r="A3046" s="1" t="s">
        <v>567</v>
      </c>
      <c r="B3046" s="1" t="s">
        <v>1246</v>
      </c>
      <c r="C3046" s="1" t="s">
        <v>2228</v>
      </c>
      <c r="D3046" s="1" t="s">
        <v>1998</v>
      </c>
      <c r="E3046" s="1"/>
      <c r="F3046" s="1" t="s">
        <v>11</v>
      </c>
      <c r="G3046">
        <v>1540</v>
      </c>
      <c r="H3046">
        <v>1365</v>
      </c>
      <c r="I3046" s="2"/>
      <c r="J3046" s="2">
        <v>45769</v>
      </c>
      <c r="K3046" s="2">
        <v>45783</v>
      </c>
    </row>
    <row r="3047" spans="1:11" x14ac:dyDescent="0.25">
      <c r="A3047" s="1" t="s">
        <v>567</v>
      </c>
      <c r="B3047" s="1" t="s">
        <v>1247</v>
      </c>
      <c r="C3047" s="1" t="s">
        <v>2229</v>
      </c>
      <c r="D3047" s="1" t="s">
        <v>1998</v>
      </c>
      <c r="E3047" s="1"/>
      <c r="F3047" s="1" t="s">
        <v>11</v>
      </c>
      <c r="G3047">
        <v>195</v>
      </c>
      <c r="H3047">
        <v>510</v>
      </c>
      <c r="I3047" s="2"/>
      <c r="J3047" s="2">
        <v>45769</v>
      </c>
      <c r="K3047" s="2">
        <v>45783</v>
      </c>
    </row>
    <row r="3048" spans="1:11" x14ac:dyDescent="0.25">
      <c r="A3048" s="1" t="s">
        <v>567</v>
      </c>
      <c r="B3048" s="1" t="s">
        <v>1206</v>
      </c>
      <c r="C3048" s="1" t="s">
        <v>2196</v>
      </c>
      <c r="D3048" s="1" t="s">
        <v>1998</v>
      </c>
      <c r="E3048" s="1"/>
      <c r="F3048" s="1" t="s">
        <v>11</v>
      </c>
      <c r="G3048">
        <v>5</v>
      </c>
      <c r="H3048">
        <v>5</v>
      </c>
      <c r="I3048" s="2"/>
      <c r="J3048" s="2">
        <v>45769</v>
      </c>
      <c r="K3048" s="2">
        <v>45783</v>
      </c>
    </row>
    <row r="3049" spans="1:11" x14ac:dyDescent="0.25">
      <c r="A3049" s="1" t="s">
        <v>567</v>
      </c>
      <c r="B3049" s="1" t="s">
        <v>1248</v>
      </c>
      <c r="C3049" s="1" t="s">
        <v>2230</v>
      </c>
      <c r="D3049" s="1" t="s">
        <v>1998</v>
      </c>
      <c r="E3049" s="1"/>
      <c r="F3049" s="1" t="s">
        <v>11</v>
      </c>
      <c r="G3049">
        <v>40</v>
      </c>
      <c r="H3049">
        <v>40</v>
      </c>
      <c r="I3049" s="2"/>
      <c r="J3049" s="2">
        <v>45769</v>
      </c>
      <c r="K3049" s="2">
        <v>45783</v>
      </c>
    </row>
    <row r="3050" spans="1:11" x14ac:dyDescent="0.25">
      <c r="A3050" s="1" t="s">
        <v>568</v>
      </c>
      <c r="B3050" s="1" t="s">
        <v>1246</v>
      </c>
      <c r="C3050" s="1" t="s">
        <v>2228</v>
      </c>
      <c r="D3050" s="1" t="s">
        <v>1998</v>
      </c>
      <c r="E3050" s="1"/>
      <c r="F3050" s="1" t="s">
        <v>11</v>
      </c>
      <c r="G3050">
        <v>1540</v>
      </c>
      <c r="H3050">
        <v>1320</v>
      </c>
      <c r="I3050" s="2"/>
      <c r="J3050" s="2">
        <v>45773</v>
      </c>
      <c r="K3050" s="2">
        <v>45777</v>
      </c>
    </row>
    <row r="3051" spans="1:11" x14ac:dyDescent="0.25">
      <c r="A3051" s="1" t="s">
        <v>568</v>
      </c>
      <c r="B3051" s="1" t="s">
        <v>1247</v>
      </c>
      <c r="C3051" s="1" t="s">
        <v>2229</v>
      </c>
      <c r="D3051" s="1" t="s">
        <v>1998</v>
      </c>
      <c r="E3051" s="1"/>
      <c r="F3051" s="1" t="s">
        <v>11</v>
      </c>
      <c r="G3051">
        <v>195</v>
      </c>
      <c r="H3051">
        <v>585</v>
      </c>
      <c r="I3051" s="2"/>
      <c r="J3051" s="2">
        <v>45773</v>
      </c>
      <c r="K3051" s="2">
        <v>45777</v>
      </c>
    </row>
    <row r="3052" spans="1:11" x14ac:dyDescent="0.25">
      <c r="A3052" s="1" t="s">
        <v>568</v>
      </c>
      <c r="B3052" s="1" t="s">
        <v>1206</v>
      </c>
      <c r="C3052" s="1" t="s">
        <v>2196</v>
      </c>
      <c r="D3052" s="1" t="s">
        <v>1998</v>
      </c>
      <c r="E3052" s="1"/>
      <c r="F3052" s="1" t="s">
        <v>11</v>
      </c>
      <c r="G3052">
        <v>5</v>
      </c>
      <c r="H3052">
        <v>5</v>
      </c>
      <c r="I3052" s="2"/>
      <c r="J3052" s="2">
        <v>45773</v>
      </c>
      <c r="K3052" s="2">
        <v>45777</v>
      </c>
    </row>
    <row r="3053" spans="1:11" x14ac:dyDescent="0.25">
      <c r="A3053" s="1" t="s">
        <v>568</v>
      </c>
      <c r="B3053" s="1" t="s">
        <v>1248</v>
      </c>
      <c r="C3053" s="1" t="s">
        <v>2230</v>
      </c>
      <c r="D3053" s="1" t="s">
        <v>1998</v>
      </c>
      <c r="E3053" s="1"/>
      <c r="F3053" s="1" t="s">
        <v>11</v>
      </c>
      <c r="G3053">
        <v>40</v>
      </c>
      <c r="H3053">
        <v>40</v>
      </c>
      <c r="I3053" s="2"/>
      <c r="J3053" s="2">
        <v>45773</v>
      </c>
      <c r="K3053" s="2">
        <v>45777</v>
      </c>
    </row>
    <row r="3054" spans="1:11" x14ac:dyDescent="0.25">
      <c r="A3054" s="1" t="s">
        <v>569</v>
      </c>
      <c r="B3054" s="1" t="s">
        <v>1246</v>
      </c>
      <c r="C3054" s="1" t="s">
        <v>2228</v>
      </c>
      <c r="D3054" s="1" t="s">
        <v>1998</v>
      </c>
      <c r="E3054" s="1"/>
      <c r="F3054" s="1" t="s">
        <v>11</v>
      </c>
      <c r="G3054">
        <v>1540</v>
      </c>
      <c r="H3054">
        <v>1085</v>
      </c>
      <c r="I3054" s="2"/>
      <c r="J3054" s="2">
        <v>45769</v>
      </c>
      <c r="K3054" s="2">
        <v>45785</v>
      </c>
    </row>
    <row r="3055" spans="1:11" x14ac:dyDescent="0.25">
      <c r="A3055" s="1" t="s">
        <v>569</v>
      </c>
      <c r="B3055" s="1" t="s">
        <v>1247</v>
      </c>
      <c r="C3055" s="1" t="s">
        <v>2229</v>
      </c>
      <c r="D3055" s="1" t="s">
        <v>1998</v>
      </c>
      <c r="E3055" s="1"/>
      <c r="F3055" s="1" t="s">
        <v>11</v>
      </c>
      <c r="G3055">
        <v>195</v>
      </c>
      <c r="H3055">
        <v>985</v>
      </c>
      <c r="I3055" s="2"/>
      <c r="J3055" s="2">
        <v>45769</v>
      </c>
      <c r="K3055" s="2">
        <v>45785</v>
      </c>
    </row>
    <row r="3056" spans="1:11" x14ac:dyDescent="0.25">
      <c r="A3056" s="1" t="s">
        <v>569</v>
      </c>
      <c r="B3056" s="1" t="s">
        <v>1267</v>
      </c>
      <c r="C3056" s="1" t="s">
        <v>2244</v>
      </c>
      <c r="D3056" s="1" t="s">
        <v>1998</v>
      </c>
      <c r="E3056" s="1"/>
      <c r="F3056" s="1" t="s">
        <v>12</v>
      </c>
      <c r="G3056">
        <v>1</v>
      </c>
      <c r="H3056">
        <v>25</v>
      </c>
      <c r="I3056" s="2"/>
      <c r="J3056" s="2">
        <v>45769</v>
      </c>
      <c r="K3056" s="2">
        <v>45785</v>
      </c>
    </row>
    <row r="3057" spans="1:11" x14ac:dyDescent="0.25">
      <c r="A3057" s="1" t="s">
        <v>569</v>
      </c>
      <c r="B3057" s="1" t="s">
        <v>1206</v>
      </c>
      <c r="C3057" s="1" t="s">
        <v>2196</v>
      </c>
      <c r="D3057" s="1" t="s">
        <v>1998</v>
      </c>
      <c r="E3057" s="1"/>
      <c r="F3057" s="1" t="s">
        <v>11</v>
      </c>
      <c r="G3057">
        <v>5</v>
      </c>
      <c r="H3057">
        <v>5</v>
      </c>
      <c r="I3057" s="2"/>
      <c r="J3057" s="2">
        <v>45769</v>
      </c>
      <c r="K3057" s="2">
        <v>45785</v>
      </c>
    </row>
    <row r="3058" spans="1:11" x14ac:dyDescent="0.25">
      <c r="A3058" s="1" t="s">
        <v>569</v>
      </c>
      <c r="B3058" s="1" t="s">
        <v>1248</v>
      </c>
      <c r="C3058" s="1" t="s">
        <v>2230</v>
      </c>
      <c r="D3058" s="1" t="s">
        <v>1998</v>
      </c>
      <c r="E3058" s="1"/>
      <c r="F3058" s="1" t="s">
        <v>11</v>
      </c>
      <c r="G3058">
        <v>40</v>
      </c>
      <c r="H3058">
        <v>40</v>
      </c>
      <c r="I3058" s="2"/>
      <c r="J3058" s="2">
        <v>45769</v>
      </c>
      <c r="K3058" s="2">
        <v>45785</v>
      </c>
    </row>
    <row r="3059" spans="1:11" x14ac:dyDescent="0.25">
      <c r="A3059" s="1" t="s">
        <v>570</v>
      </c>
      <c r="B3059" s="1" t="s">
        <v>1378</v>
      </c>
      <c r="C3059" s="1" t="s">
        <v>2327</v>
      </c>
      <c r="D3059" s="1" t="s">
        <v>1998</v>
      </c>
      <c r="E3059" s="1"/>
      <c r="F3059" s="1" t="s">
        <v>11</v>
      </c>
      <c r="G3059">
        <v>1190</v>
      </c>
      <c r="H3059">
        <v>1605</v>
      </c>
      <c r="I3059" s="2"/>
      <c r="J3059" s="2">
        <v>45772</v>
      </c>
      <c r="K3059" s="2">
        <v>45783</v>
      </c>
    </row>
    <row r="3060" spans="1:11" x14ac:dyDescent="0.25">
      <c r="A3060" s="1" t="s">
        <v>571</v>
      </c>
      <c r="B3060" s="1" t="s">
        <v>1385</v>
      </c>
      <c r="C3060" s="1" t="s">
        <v>2334</v>
      </c>
      <c r="D3060" s="1" t="s">
        <v>1998</v>
      </c>
      <c r="E3060" s="1"/>
      <c r="F3060" s="1" t="s">
        <v>12</v>
      </c>
      <c r="G3060">
        <v>1</v>
      </c>
      <c r="H3060">
        <v>65</v>
      </c>
      <c r="I3060" s="2">
        <v>45785</v>
      </c>
      <c r="J3060" s="2">
        <v>45777</v>
      </c>
      <c r="K3060" s="2">
        <v>45783</v>
      </c>
    </row>
    <row r="3061" spans="1:11" x14ac:dyDescent="0.25">
      <c r="A3061" s="1" t="s">
        <v>571</v>
      </c>
      <c r="B3061" s="1" t="s">
        <v>1228</v>
      </c>
      <c r="C3061" s="1" t="s">
        <v>2212</v>
      </c>
      <c r="D3061" s="1" t="s">
        <v>1998</v>
      </c>
      <c r="E3061" s="1"/>
      <c r="F3061" s="1" t="s">
        <v>11</v>
      </c>
      <c r="G3061">
        <v>5</v>
      </c>
      <c r="H3061">
        <v>5</v>
      </c>
      <c r="I3061" s="2">
        <v>45785</v>
      </c>
      <c r="J3061" s="2">
        <v>45777</v>
      </c>
      <c r="K3061" s="2">
        <v>45783</v>
      </c>
    </row>
    <row r="3062" spans="1:11" x14ac:dyDescent="0.25">
      <c r="A3062" s="1" t="s">
        <v>571</v>
      </c>
      <c r="B3062" s="1" t="s">
        <v>1229</v>
      </c>
      <c r="C3062" s="1" t="s">
        <v>2213</v>
      </c>
      <c r="D3062" s="1" t="s">
        <v>1998</v>
      </c>
      <c r="E3062" s="1"/>
      <c r="F3062" s="1" t="s">
        <v>11</v>
      </c>
      <c r="G3062">
        <v>5</v>
      </c>
      <c r="H3062">
        <v>5</v>
      </c>
      <c r="I3062" s="2">
        <v>45785</v>
      </c>
      <c r="J3062" s="2">
        <v>45777</v>
      </c>
      <c r="K3062" s="2">
        <v>45783</v>
      </c>
    </row>
    <row r="3063" spans="1:11" x14ac:dyDescent="0.25">
      <c r="A3063" s="1" t="s">
        <v>571</v>
      </c>
      <c r="B3063" s="1" t="s">
        <v>1230</v>
      </c>
      <c r="C3063" s="1" t="s">
        <v>2214</v>
      </c>
      <c r="D3063" s="1" t="s">
        <v>1998</v>
      </c>
      <c r="E3063" s="1"/>
      <c r="F3063" s="1" t="s">
        <v>11</v>
      </c>
      <c r="G3063">
        <v>1</v>
      </c>
      <c r="H3063">
        <v>1</v>
      </c>
      <c r="I3063" s="2">
        <v>45785</v>
      </c>
      <c r="J3063" s="2">
        <v>45777</v>
      </c>
      <c r="K3063" s="2">
        <v>45783</v>
      </c>
    </row>
    <row r="3064" spans="1:11" x14ac:dyDescent="0.25">
      <c r="A3064" s="1" t="s">
        <v>571</v>
      </c>
      <c r="B3064" s="1" t="s">
        <v>1641</v>
      </c>
      <c r="C3064" s="1" t="s">
        <v>2556</v>
      </c>
      <c r="D3064" s="1" t="s">
        <v>1998</v>
      </c>
      <c r="E3064" s="1"/>
      <c r="F3064" s="1" t="s">
        <v>11</v>
      </c>
      <c r="G3064">
        <v>10</v>
      </c>
      <c r="H3064">
        <v>10</v>
      </c>
      <c r="I3064" s="2">
        <v>45785</v>
      </c>
      <c r="J3064" s="2">
        <v>45777</v>
      </c>
      <c r="K3064" s="2">
        <v>45783</v>
      </c>
    </row>
    <row r="3065" spans="1:11" x14ac:dyDescent="0.25">
      <c r="A3065" s="1" t="s">
        <v>571</v>
      </c>
      <c r="B3065" s="1" t="s">
        <v>1367</v>
      </c>
      <c r="C3065" s="1" t="s">
        <v>2317</v>
      </c>
      <c r="D3065" s="1" t="s">
        <v>1998</v>
      </c>
      <c r="E3065" s="1"/>
      <c r="F3065" s="1" t="s">
        <v>11</v>
      </c>
      <c r="G3065">
        <v>5</v>
      </c>
      <c r="H3065">
        <v>5</v>
      </c>
      <c r="I3065" s="2">
        <v>45785</v>
      </c>
      <c r="J3065" s="2">
        <v>45777</v>
      </c>
      <c r="K3065" s="2">
        <v>45783</v>
      </c>
    </row>
    <row r="3066" spans="1:11" x14ac:dyDescent="0.25">
      <c r="A3066" s="1" t="s">
        <v>571</v>
      </c>
      <c r="B3066" s="1" t="s">
        <v>1232</v>
      </c>
      <c r="C3066" s="1" t="s">
        <v>2216</v>
      </c>
      <c r="D3066" s="1" t="s">
        <v>1998</v>
      </c>
      <c r="E3066" s="1"/>
      <c r="F3066" s="1" t="s">
        <v>11</v>
      </c>
      <c r="G3066">
        <v>1</v>
      </c>
      <c r="H3066">
        <v>1</v>
      </c>
      <c r="I3066" s="2">
        <v>45785</v>
      </c>
      <c r="J3066" s="2">
        <v>45777</v>
      </c>
      <c r="K3066" s="2">
        <v>45783</v>
      </c>
    </row>
    <row r="3067" spans="1:11" x14ac:dyDescent="0.25">
      <c r="A3067" s="1" t="s">
        <v>571</v>
      </c>
      <c r="B3067" s="1" t="s">
        <v>1463</v>
      </c>
      <c r="C3067" s="1" t="s">
        <v>2400</v>
      </c>
      <c r="D3067" s="1" t="s">
        <v>1998</v>
      </c>
      <c r="E3067" s="1"/>
      <c r="F3067" s="1" t="s">
        <v>11</v>
      </c>
      <c r="G3067">
        <v>40</v>
      </c>
      <c r="H3067">
        <v>40</v>
      </c>
      <c r="I3067" s="2">
        <v>45785</v>
      </c>
      <c r="J3067" s="2">
        <v>45777</v>
      </c>
      <c r="K3067" s="2">
        <v>45783</v>
      </c>
    </row>
    <row r="3068" spans="1:11" x14ac:dyDescent="0.25">
      <c r="A3068" s="1" t="s">
        <v>571</v>
      </c>
      <c r="B3068" s="1" t="s">
        <v>1234</v>
      </c>
      <c r="C3068" s="1" t="s">
        <v>2218</v>
      </c>
      <c r="D3068" s="1" t="s">
        <v>1998</v>
      </c>
      <c r="E3068" s="1"/>
      <c r="F3068" s="1" t="s">
        <v>11</v>
      </c>
      <c r="G3068">
        <v>1</v>
      </c>
      <c r="H3068">
        <v>1</v>
      </c>
      <c r="I3068" s="2">
        <v>45785</v>
      </c>
      <c r="J3068" s="2">
        <v>45777</v>
      </c>
      <c r="K3068" s="2">
        <v>45783</v>
      </c>
    </row>
    <row r="3069" spans="1:11" x14ac:dyDescent="0.25">
      <c r="A3069" s="1" t="s">
        <v>571</v>
      </c>
      <c r="B3069" s="1" t="s">
        <v>1364</v>
      </c>
      <c r="C3069" s="1" t="s">
        <v>2314</v>
      </c>
      <c r="D3069" s="1" t="s">
        <v>1998</v>
      </c>
      <c r="E3069" s="1"/>
      <c r="F3069" s="1" t="s">
        <v>11</v>
      </c>
      <c r="G3069">
        <v>1</v>
      </c>
      <c r="H3069">
        <v>1</v>
      </c>
      <c r="I3069" s="2">
        <v>45785</v>
      </c>
      <c r="J3069" s="2">
        <v>45777</v>
      </c>
      <c r="K3069" s="2">
        <v>45783</v>
      </c>
    </row>
    <row r="3070" spans="1:11" x14ac:dyDescent="0.25">
      <c r="A3070" s="1" t="s">
        <v>571</v>
      </c>
      <c r="B3070" s="1" t="s">
        <v>1390</v>
      </c>
      <c r="C3070" s="1" t="s">
        <v>2339</v>
      </c>
      <c r="D3070" s="1" t="s">
        <v>1998</v>
      </c>
      <c r="E3070" s="1"/>
      <c r="F3070" s="1" t="s">
        <v>11</v>
      </c>
      <c r="G3070">
        <v>1</v>
      </c>
      <c r="H3070">
        <v>1</v>
      </c>
      <c r="I3070" s="2">
        <v>45785</v>
      </c>
      <c r="J3070" s="2">
        <v>45777</v>
      </c>
      <c r="K3070" s="2">
        <v>45783</v>
      </c>
    </row>
    <row r="3071" spans="1:11" x14ac:dyDescent="0.25">
      <c r="A3071" s="1" t="s">
        <v>571</v>
      </c>
      <c r="B3071" s="1" t="s">
        <v>1642</v>
      </c>
      <c r="C3071" s="1" t="s">
        <v>2557</v>
      </c>
      <c r="D3071" s="1" t="s">
        <v>1998</v>
      </c>
      <c r="E3071" s="1"/>
      <c r="F3071" s="1" t="s">
        <v>11</v>
      </c>
      <c r="G3071">
        <v>1</v>
      </c>
      <c r="H3071">
        <v>1</v>
      </c>
      <c r="I3071" s="2">
        <v>45785</v>
      </c>
      <c r="J3071" s="2">
        <v>45777</v>
      </c>
      <c r="K3071" s="2">
        <v>45783</v>
      </c>
    </row>
    <row r="3072" spans="1:11" x14ac:dyDescent="0.25">
      <c r="A3072" s="1" t="s">
        <v>571</v>
      </c>
      <c r="B3072" s="1" t="s">
        <v>1393</v>
      </c>
      <c r="C3072" s="1" t="s">
        <v>2342</v>
      </c>
      <c r="D3072" s="1" t="s">
        <v>1998</v>
      </c>
      <c r="E3072" s="1"/>
      <c r="F3072" s="1" t="s">
        <v>11</v>
      </c>
      <c r="G3072">
        <v>195</v>
      </c>
      <c r="H3072">
        <v>195</v>
      </c>
      <c r="I3072" s="2">
        <v>45785</v>
      </c>
      <c r="J3072" s="2">
        <v>45777</v>
      </c>
      <c r="K3072" s="2">
        <v>45783</v>
      </c>
    </row>
    <row r="3073" spans="1:11" x14ac:dyDescent="0.25">
      <c r="A3073" s="1" t="s">
        <v>572</v>
      </c>
      <c r="B3073" s="1" t="s">
        <v>1643</v>
      </c>
      <c r="C3073" s="1" t="s">
        <v>2014</v>
      </c>
      <c r="D3073" s="1" t="s">
        <v>1998</v>
      </c>
      <c r="E3073" s="1"/>
      <c r="F3073" s="1" t="s">
        <v>11</v>
      </c>
      <c r="G3073">
        <v>590</v>
      </c>
      <c r="H3073">
        <v>590</v>
      </c>
      <c r="I3073" s="2"/>
      <c r="J3073" s="2">
        <v>45758</v>
      </c>
      <c r="K3073" s="2">
        <v>45786</v>
      </c>
    </row>
    <row r="3074" spans="1:11" x14ac:dyDescent="0.25">
      <c r="A3074" s="1" t="s">
        <v>572</v>
      </c>
      <c r="B3074" s="1" t="s">
        <v>1644</v>
      </c>
      <c r="C3074" s="1" t="s">
        <v>2558</v>
      </c>
      <c r="D3074" s="1" t="s">
        <v>1998</v>
      </c>
      <c r="E3074" s="1"/>
      <c r="F3074" s="1" t="s">
        <v>11</v>
      </c>
      <c r="G3074">
        <v>60</v>
      </c>
      <c r="H3074">
        <v>45</v>
      </c>
      <c r="I3074" s="2"/>
      <c r="J3074" s="2">
        <v>45758</v>
      </c>
      <c r="K3074" s="2">
        <v>45786</v>
      </c>
    </row>
    <row r="3075" spans="1:11" x14ac:dyDescent="0.25">
      <c r="A3075" s="1" t="s">
        <v>572</v>
      </c>
      <c r="B3075" s="1" t="s">
        <v>1645</v>
      </c>
      <c r="C3075" s="1" t="s">
        <v>2559</v>
      </c>
      <c r="D3075" s="1" t="s">
        <v>1998</v>
      </c>
      <c r="E3075" s="1"/>
      <c r="F3075" s="1" t="s">
        <v>11</v>
      </c>
      <c r="G3075">
        <v>290</v>
      </c>
      <c r="H3075">
        <v>290</v>
      </c>
      <c r="I3075" s="2"/>
      <c r="J3075" s="2">
        <v>45758</v>
      </c>
      <c r="K3075" s="2">
        <v>45786</v>
      </c>
    </row>
    <row r="3076" spans="1:11" x14ac:dyDescent="0.25">
      <c r="A3076" s="1" t="s">
        <v>573</v>
      </c>
      <c r="B3076" s="1" t="s">
        <v>1604</v>
      </c>
      <c r="C3076" s="1" t="s">
        <v>2521</v>
      </c>
      <c r="D3076" s="1" t="s">
        <v>1998</v>
      </c>
      <c r="E3076" s="1"/>
      <c r="F3076" s="1" t="s">
        <v>11</v>
      </c>
      <c r="G3076">
        <v>2575</v>
      </c>
      <c r="H3076">
        <v>2575</v>
      </c>
      <c r="I3076" s="2"/>
      <c r="J3076" s="2">
        <v>45789</v>
      </c>
      <c r="K3076" s="2">
        <v>45789</v>
      </c>
    </row>
    <row r="3077" spans="1:11" x14ac:dyDescent="0.25">
      <c r="A3077" s="1" t="s">
        <v>573</v>
      </c>
      <c r="B3077" s="1" t="s">
        <v>1605</v>
      </c>
      <c r="C3077" s="1" t="s">
        <v>2522</v>
      </c>
      <c r="D3077" s="1" t="s">
        <v>1998</v>
      </c>
      <c r="E3077" s="1"/>
      <c r="F3077" s="1" t="s">
        <v>11</v>
      </c>
      <c r="G3077">
        <v>2570</v>
      </c>
      <c r="H3077">
        <v>2570</v>
      </c>
      <c r="I3077" s="2"/>
      <c r="J3077" s="2">
        <v>45789</v>
      </c>
      <c r="K3077" s="2">
        <v>45789</v>
      </c>
    </row>
    <row r="3078" spans="1:11" x14ac:dyDescent="0.25">
      <c r="A3078" s="1" t="s">
        <v>573</v>
      </c>
      <c r="B3078" s="1" t="s">
        <v>1606</v>
      </c>
      <c r="C3078" s="1" t="s">
        <v>2014</v>
      </c>
      <c r="D3078" s="1" t="s">
        <v>1998</v>
      </c>
      <c r="E3078" s="1"/>
      <c r="F3078" s="1" t="s">
        <v>11</v>
      </c>
      <c r="G3078">
        <v>1840</v>
      </c>
      <c r="H3078">
        <v>1840</v>
      </c>
      <c r="I3078" s="2"/>
      <c r="J3078" s="2">
        <v>45789</v>
      </c>
      <c r="K3078" s="2">
        <v>45789</v>
      </c>
    </row>
    <row r="3079" spans="1:11" x14ac:dyDescent="0.25">
      <c r="A3079" s="1" t="s">
        <v>574</v>
      </c>
      <c r="B3079" s="1" t="s">
        <v>1166</v>
      </c>
      <c r="C3079" s="1" t="s">
        <v>2160</v>
      </c>
      <c r="D3079" s="1" t="s">
        <v>1998</v>
      </c>
      <c r="E3079" s="1"/>
      <c r="F3079" s="1" t="s">
        <v>11</v>
      </c>
      <c r="G3079">
        <v>285</v>
      </c>
      <c r="H3079">
        <v>1</v>
      </c>
      <c r="I3079" s="2"/>
      <c r="J3079" s="2">
        <v>45757</v>
      </c>
      <c r="K3079" s="2">
        <v>45789</v>
      </c>
    </row>
    <row r="3080" spans="1:11" x14ac:dyDescent="0.25">
      <c r="A3080" s="1" t="s">
        <v>574</v>
      </c>
      <c r="B3080" s="1" t="s">
        <v>1167</v>
      </c>
      <c r="C3080" s="1" t="s">
        <v>2161</v>
      </c>
      <c r="D3080" s="1" t="s">
        <v>1998</v>
      </c>
      <c r="E3080" s="1"/>
      <c r="F3080" s="1" t="s">
        <v>11</v>
      </c>
      <c r="G3080">
        <v>1820</v>
      </c>
      <c r="H3080">
        <v>1820</v>
      </c>
      <c r="I3080" s="2"/>
      <c r="J3080" s="2">
        <v>45757</v>
      </c>
      <c r="K3080" s="2">
        <v>45789</v>
      </c>
    </row>
    <row r="3081" spans="1:11" x14ac:dyDescent="0.25">
      <c r="A3081" s="1" t="s">
        <v>574</v>
      </c>
      <c r="B3081" s="1" t="s">
        <v>1168</v>
      </c>
      <c r="C3081" s="1" t="s">
        <v>2162</v>
      </c>
      <c r="D3081" s="1" t="s">
        <v>1998</v>
      </c>
      <c r="E3081" s="1"/>
      <c r="F3081" s="1" t="s">
        <v>11</v>
      </c>
      <c r="G3081">
        <v>305</v>
      </c>
      <c r="H3081">
        <v>315</v>
      </c>
      <c r="I3081" s="2"/>
      <c r="J3081" s="2">
        <v>45757</v>
      </c>
      <c r="K3081" s="2">
        <v>45789</v>
      </c>
    </row>
    <row r="3082" spans="1:11" x14ac:dyDescent="0.25">
      <c r="A3082" s="1" t="s">
        <v>574</v>
      </c>
      <c r="B3082" s="1" t="s">
        <v>1169</v>
      </c>
      <c r="C3082" s="1" t="s">
        <v>2163</v>
      </c>
      <c r="D3082" s="1" t="s">
        <v>1998</v>
      </c>
      <c r="E3082" s="1"/>
      <c r="F3082" s="1" t="s">
        <v>11</v>
      </c>
      <c r="G3082">
        <v>5200</v>
      </c>
      <c r="H3082">
        <v>5200</v>
      </c>
      <c r="I3082" s="2"/>
      <c r="J3082" s="2">
        <v>45757</v>
      </c>
      <c r="K3082" s="2">
        <v>45789</v>
      </c>
    </row>
    <row r="3083" spans="1:11" x14ac:dyDescent="0.25">
      <c r="A3083" s="1" t="s">
        <v>574</v>
      </c>
      <c r="B3083" s="1" t="s">
        <v>1039</v>
      </c>
      <c r="C3083" s="1" t="s">
        <v>2049</v>
      </c>
      <c r="D3083" s="1" t="s">
        <v>1998</v>
      </c>
      <c r="E3083" s="1"/>
      <c r="F3083" s="1" t="s">
        <v>11</v>
      </c>
      <c r="G3083">
        <v>5</v>
      </c>
      <c r="H3083">
        <v>1</v>
      </c>
      <c r="I3083" s="2"/>
      <c r="J3083" s="2">
        <v>45757</v>
      </c>
      <c r="K3083" s="2">
        <v>45789</v>
      </c>
    </row>
    <row r="3084" spans="1:11" x14ac:dyDescent="0.25">
      <c r="A3084" s="1" t="s">
        <v>574</v>
      </c>
      <c r="B3084" s="1" t="s">
        <v>1087</v>
      </c>
      <c r="C3084" s="1" t="s">
        <v>2090</v>
      </c>
      <c r="D3084" s="1" t="s">
        <v>1998</v>
      </c>
      <c r="E3084" s="1"/>
      <c r="F3084" s="1" t="s">
        <v>11</v>
      </c>
      <c r="G3084">
        <v>20</v>
      </c>
      <c r="H3084">
        <v>5</v>
      </c>
      <c r="I3084" s="2"/>
      <c r="J3084" s="2">
        <v>45757</v>
      </c>
      <c r="K3084" s="2">
        <v>45789</v>
      </c>
    </row>
    <row r="3085" spans="1:11" x14ac:dyDescent="0.25">
      <c r="A3085" s="1" t="s">
        <v>574</v>
      </c>
      <c r="B3085" s="1" t="s">
        <v>1040</v>
      </c>
      <c r="C3085" s="1" t="s">
        <v>2050</v>
      </c>
      <c r="D3085" s="1" t="s">
        <v>1998</v>
      </c>
      <c r="E3085" s="1"/>
      <c r="F3085" s="1" t="s">
        <v>11</v>
      </c>
      <c r="G3085">
        <v>20</v>
      </c>
      <c r="H3085">
        <v>5</v>
      </c>
      <c r="I3085" s="2"/>
      <c r="J3085" s="2">
        <v>45757</v>
      </c>
      <c r="K3085" s="2">
        <v>45789</v>
      </c>
    </row>
    <row r="3086" spans="1:11" x14ac:dyDescent="0.25">
      <c r="A3086" s="1" t="s">
        <v>574</v>
      </c>
      <c r="B3086" s="1" t="s">
        <v>1040</v>
      </c>
      <c r="C3086" s="1" t="s">
        <v>2050</v>
      </c>
      <c r="D3086" s="1" t="s">
        <v>1998</v>
      </c>
      <c r="E3086" s="1"/>
      <c r="F3086" s="1" t="s">
        <v>11</v>
      </c>
      <c r="G3086">
        <v>5</v>
      </c>
      <c r="H3086">
        <v>1</v>
      </c>
      <c r="I3086" s="2"/>
      <c r="J3086" s="2">
        <v>45757</v>
      </c>
      <c r="K3086" s="2">
        <v>45789</v>
      </c>
    </row>
    <row r="3087" spans="1:11" x14ac:dyDescent="0.25">
      <c r="A3087" s="1" t="s">
        <v>574</v>
      </c>
      <c r="B3087" s="1" t="s">
        <v>1027</v>
      </c>
      <c r="C3087" s="1" t="s">
        <v>2040</v>
      </c>
      <c r="D3087" s="1" t="s">
        <v>1998</v>
      </c>
      <c r="E3087" s="1"/>
      <c r="F3087" s="1" t="s">
        <v>12</v>
      </c>
      <c r="G3087">
        <v>1</v>
      </c>
      <c r="H3087">
        <v>95</v>
      </c>
      <c r="I3087" s="2"/>
      <c r="J3087" s="2">
        <v>45757</v>
      </c>
      <c r="K3087" s="2">
        <v>45789</v>
      </c>
    </row>
    <row r="3088" spans="1:11" x14ac:dyDescent="0.25">
      <c r="A3088" s="1" t="s">
        <v>574</v>
      </c>
      <c r="B3088" s="1" t="s">
        <v>1013</v>
      </c>
      <c r="C3088" s="1" t="s">
        <v>2030</v>
      </c>
      <c r="D3088" s="1" t="s">
        <v>1998</v>
      </c>
      <c r="E3088" s="1"/>
      <c r="F3088" s="1" t="s">
        <v>11</v>
      </c>
      <c r="G3088">
        <v>20</v>
      </c>
      <c r="H3088">
        <v>30</v>
      </c>
      <c r="I3088" s="2"/>
      <c r="J3088" s="2">
        <v>45757</v>
      </c>
      <c r="K3088" s="2">
        <v>45789</v>
      </c>
    </row>
    <row r="3089" spans="1:11" x14ac:dyDescent="0.25">
      <c r="A3089" s="1" t="s">
        <v>574</v>
      </c>
      <c r="B3089" s="1" t="s">
        <v>993</v>
      </c>
      <c r="C3089" s="1" t="s">
        <v>2011</v>
      </c>
      <c r="D3089" s="1" t="s">
        <v>1998</v>
      </c>
      <c r="E3089" s="1"/>
      <c r="F3089" s="1" t="s">
        <v>11</v>
      </c>
      <c r="G3089">
        <v>5</v>
      </c>
      <c r="H3089">
        <v>5</v>
      </c>
      <c r="I3089" s="2"/>
      <c r="J3089" s="2">
        <v>45757</v>
      </c>
      <c r="K3089" s="2">
        <v>45789</v>
      </c>
    </row>
    <row r="3090" spans="1:11" x14ac:dyDescent="0.25">
      <c r="A3090" s="1" t="s">
        <v>574</v>
      </c>
      <c r="B3090" s="1" t="s">
        <v>993</v>
      </c>
      <c r="C3090" s="1" t="s">
        <v>2011</v>
      </c>
      <c r="D3090" s="1" t="s">
        <v>1998</v>
      </c>
      <c r="E3090" s="1"/>
      <c r="F3090" s="1" t="s">
        <v>11</v>
      </c>
      <c r="G3090">
        <v>15</v>
      </c>
      <c r="H3090">
        <v>15</v>
      </c>
      <c r="I3090" s="2"/>
      <c r="J3090" s="2">
        <v>45757</v>
      </c>
      <c r="K3090" s="2">
        <v>45789</v>
      </c>
    </row>
    <row r="3091" spans="1:11" x14ac:dyDescent="0.25">
      <c r="A3091" s="1" t="s">
        <v>574</v>
      </c>
      <c r="B3091" s="1" t="s">
        <v>1170</v>
      </c>
      <c r="C3091" s="1" t="s">
        <v>2164</v>
      </c>
      <c r="D3091" s="1" t="s">
        <v>1998</v>
      </c>
      <c r="E3091" s="1"/>
      <c r="F3091" s="1" t="s">
        <v>11</v>
      </c>
      <c r="G3091">
        <v>170</v>
      </c>
      <c r="H3091">
        <v>170</v>
      </c>
      <c r="I3091" s="2"/>
      <c r="J3091" s="2">
        <v>45757</v>
      </c>
      <c r="K3091" s="2">
        <v>45789</v>
      </c>
    </row>
    <row r="3092" spans="1:11" x14ac:dyDescent="0.25">
      <c r="A3092" s="1" t="s">
        <v>574</v>
      </c>
      <c r="B3092" s="1" t="s">
        <v>1171</v>
      </c>
      <c r="C3092" s="1" t="s">
        <v>2165</v>
      </c>
      <c r="D3092" s="1" t="s">
        <v>1998</v>
      </c>
      <c r="E3092" s="1"/>
      <c r="F3092" s="1" t="s">
        <v>11</v>
      </c>
      <c r="G3092">
        <v>5160</v>
      </c>
      <c r="H3092">
        <v>5160</v>
      </c>
      <c r="I3092" s="2"/>
      <c r="J3092" s="2">
        <v>45757</v>
      </c>
      <c r="K3092" s="2">
        <v>45789</v>
      </c>
    </row>
    <row r="3093" spans="1:11" x14ac:dyDescent="0.25">
      <c r="A3093" s="1" t="s">
        <v>575</v>
      </c>
      <c r="B3093" s="1" t="s">
        <v>1646</v>
      </c>
      <c r="C3093" s="1" t="s">
        <v>2560</v>
      </c>
      <c r="D3093" s="1" t="s">
        <v>1998</v>
      </c>
      <c r="E3093" s="1"/>
      <c r="F3093" s="1" t="s">
        <v>11</v>
      </c>
      <c r="G3093">
        <v>1455</v>
      </c>
      <c r="H3093">
        <v>1455</v>
      </c>
      <c r="I3093" s="2"/>
      <c r="J3093" s="2">
        <v>45775</v>
      </c>
      <c r="K3093" s="2">
        <v>45789</v>
      </c>
    </row>
    <row r="3094" spans="1:11" x14ac:dyDescent="0.25">
      <c r="A3094" s="1" t="s">
        <v>575</v>
      </c>
      <c r="B3094" s="1" t="s">
        <v>1646</v>
      </c>
      <c r="C3094" s="1" t="s">
        <v>2560</v>
      </c>
      <c r="D3094" s="1" t="s">
        <v>1998</v>
      </c>
      <c r="E3094" s="1"/>
      <c r="F3094" s="1" t="s">
        <v>11</v>
      </c>
      <c r="G3094">
        <v>110</v>
      </c>
      <c r="H3094">
        <v>130</v>
      </c>
      <c r="I3094" s="2"/>
      <c r="J3094" s="2">
        <v>45775</v>
      </c>
      <c r="K3094" s="2">
        <v>45789</v>
      </c>
    </row>
    <row r="3095" spans="1:11" x14ac:dyDescent="0.25">
      <c r="A3095" s="1" t="s">
        <v>576</v>
      </c>
      <c r="B3095" s="1" t="s">
        <v>1482</v>
      </c>
      <c r="C3095" s="1" t="s">
        <v>2419</v>
      </c>
      <c r="D3095" s="1" t="s">
        <v>1998</v>
      </c>
      <c r="E3095" s="1"/>
      <c r="F3095" s="1" t="s">
        <v>11</v>
      </c>
      <c r="G3095">
        <v>1</v>
      </c>
      <c r="H3095">
        <v>1</v>
      </c>
      <c r="I3095" s="2"/>
      <c r="J3095" s="2">
        <v>45763</v>
      </c>
      <c r="K3095" s="2">
        <v>45789</v>
      </c>
    </row>
    <row r="3096" spans="1:11" x14ac:dyDescent="0.25">
      <c r="A3096" s="1" t="s">
        <v>576</v>
      </c>
      <c r="B3096" s="1" t="s">
        <v>1483</v>
      </c>
      <c r="C3096" s="1" t="s">
        <v>2420</v>
      </c>
      <c r="D3096" s="1" t="s">
        <v>1998</v>
      </c>
      <c r="E3096" s="1"/>
      <c r="F3096" s="1" t="s">
        <v>11</v>
      </c>
      <c r="G3096">
        <v>2100</v>
      </c>
      <c r="H3096">
        <v>2100</v>
      </c>
      <c r="I3096" s="2"/>
      <c r="J3096" s="2">
        <v>45763</v>
      </c>
      <c r="K3096" s="2">
        <v>45789</v>
      </c>
    </row>
    <row r="3097" spans="1:11" x14ac:dyDescent="0.25">
      <c r="A3097" s="1" t="s">
        <v>576</v>
      </c>
      <c r="B3097" s="1" t="s">
        <v>1484</v>
      </c>
      <c r="C3097" s="1" t="s">
        <v>2421</v>
      </c>
      <c r="D3097" s="1" t="s">
        <v>1998</v>
      </c>
      <c r="E3097" s="1"/>
      <c r="F3097" s="1" t="s">
        <v>11</v>
      </c>
      <c r="G3097">
        <v>5380</v>
      </c>
      <c r="H3097">
        <v>5380</v>
      </c>
      <c r="I3097" s="2"/>
      <c r="J3097" s="2">
        <v>45763</v>
      </c>
      <c r="K3097" s="2">
        <v>45789</v>
      </c>
    </row>
    <row r="3098" spans="1:11" x14ac:dyDescent="0.25">
      <c r="A3098" s="1" t="s">
        <v>576</v>
      </c>
      <c r="B3098" s="1" t="s">
        <v>1485</v>
      </c>
      <c r="C3098" s="1" t="s">
        <v>2422</v>
      </c>
      <c r="D3098" s="1" t="s">
        <v>1998</v>
      </c>
      <c r="E3098" s="1"/>
      <c r="F3098" s="1" t="s">
        <v>11</v>
      </c>
      <c r="G3098">
        <v>30</v>
      </c>
      <c r="H3098">
        <v>30</v>
      </c>
      <c r="I3098" s="2"/>
      <c r="J3098" s="2">
        <v>45763</v>
      </c>
      <c r="K3098" s="2">
        <v>45789</v>
      </c>
    </row>
    <row r="3099" spans="1:11" x14ac:dyDescent="0.25">
      <c r="A3099" s="1" t="s">
        <v>576</v>
      </c>
      <c r="B3099" s="1" t="s">
        <v>1486</v>
      </c>
      <c r="C3099" s="1" t="s">
        <v>2423</v>
      </c>
      <c r="D3099" s="1" t="s">
        <v>1998</v>
      </c>
      <c r="E3099" s="1"/>
      <c r="F3099" s="1" t="s">
        <v>11</v>
      </c>
      <c r="G3099">
        <v>2915</v>
      </c>
      <c r="H3099">
        <v>2915</v>
      </c>
      <c r="I3099" s="2"/>
      <c r="J3099" s="2">
        <v>45763</v>
      </c>
      <c r="K3099" s="2">
        <v>45789</v>
      </c>
    </row>
    <row r="3100" spans="1:11" x14ac:dyDescent="0.25">
      <c r="A3100" s="1" t="s">
        <v>576</v>
      </c>
      <c r="B3100" s="1" t="s">
        <v>1487</v>
      </c>
      <c r="C3100" s="1" t="s">
        <v>2424</v>
      </c>
      <c r="D3100" s="1" t="s">
        <v>1998</v>
      </c>
      <c r="E3100" s="1"/>
      <c r="F3100" s="1" t="s">
        <v>11</v>
      </c>
      <c r="G3100">
        <v>210</v>
      </c>
      <c r="H3100">
        <v>210</v>
      </c>
      <c r="I3100" s="2"/>
      <c r="J3100" s="2">
        <v>45763</v>
      </c>
      <c r="K3100" s="2">
        <v>45789</v>
      </c>
    </row>
    <row r="3101" spans="1:11" x14ac:dyDescent="0.25">
      <c r="A3101" s="1" t="s">
        <v>576</v>
      </c>
      <c r="B3101" s="1" t="s">
        <v>1470</v>
      </c>
      <c r="C3101" s="1" t="s">
        <v>2407</v>
      </c>
      <c r="D3101" s="1" t="s">
        <v>1998</v>
      </c>
      <c r="E3101" s="1"/>
      <c r="F3101" s="1" t="s">
        <v>11</v>
      </c>
      <c r="G3101">
        <v>20</v>
      </c>
      <c r="H3101">
        <v>20</v>
      </c>
      <c r="I3101" s="2"/>
      <c r="J3101" s="2">
        <v>45763</v>
      </c>
      <c r="K3101" s="2">
        <v>45789</v>
      </c>
    </row>
    <row r="3102" spans="1:11" x14ac:dyDescent="0.25">
      <c r="A3102" s="1" t="s">
        <v>576</v>
      </c>
      <c r="B3102" s="1" t="s">
        <v>1488</v>
      </c>
      <c r="C3102" s="1" t="s">
        <v>2425</v>
      </c>
      <c r="D3102" s="1" t="s">
        <v>1998</v>
      </c>
      <c r="E3102" s="1"/>
      <c r="F3102" s="1" t="s">
        <v>11</v>
      </c>
      <c r="G3102">
        <v>120</v>
      </c>
      <c r="H3102">
        <v>120</v>
      </c>
      <c r="I3102" s="2"/>
      <c r="J3102" s="2">
        <v>45763</v>
      </c>
      <c r="K3102" s="2">
        <v>45789</v>
      </c>
    </row>
    <row r="3103" spans="1:11" x14ac:dyDescent="0.25">
      <c r="A3103" s="1" t="s">
        <v>576</v>
      </c>
      <c r="B3103" s="1" t="s">
        <v>1472</v>
      </c>
      <c r="C3103" s="1" t="s">
        <v>2409</v>
      </c>
      <c r="D3103" s="1" t="s">
        <v>1998</v>
      </c>
      <c r="E3103" s="1"/>
      <c r="F3103" s="1" t="s">
        <v>11</v>
      </c>
      <c r="G3103">
        <v>5</v>
      </c>
      <c r="H3103">
        <v>5</v>
      </c>
      <c r="I3103" s="2"/>
      <c r="J3103" s="2">
        <v>45763</v>
      </c>
      <c r="K3103" s="2">
        <v>45789</v>
      </c>
    </row>
    <row r="3104" spans="1:11" x14ac:dyDescent="0.25">
      <c r="A3104" s="1" t="s">
        <v>576</v>
      </c>
      <c r="B3104" s="1" t="s">
        <v>1489</v>
      </c>
      <c r="C3104" s="1" t="s">
        <v>2426</v>
      </c>
      <c r="D3104" s="1" t="s">
        <v>1998</v>
      </c>
      <c r="E3104" s="1"/>
      <c r="F3104" s="1" t="s">
        <v>11</v>
      </c>
      <c r="G3104">
        <v>1</v>
      </c>
      <c r="H3104">
        <v>1</v>
      </c>
      <c r="I3104" s="2"/>
      <c r="J3104" s="2">
        <v>45763</v>
      </c>
      <c r="K3104" s="2">
        <v>45789</v>
      </c>
    </row>
    <row r="3105" spans="1:11" x14ac:dyDescent="0.25">
      <c r="A3105" s="1" t="s">
        <v>576</v>
      </c>
      <c r="B3105" s="1" t="s">
        <v>1490</v>
      </c>
      <c r="C3105" s="1" t="s">
        <v>2427</v>
      </c>
      <c r="D3105" s="1" t="s">
        <v>1998</v>
      </c>
      <c r="E3105" s="1"/>
      <c r="F3105" s="1" t="s">
        <v>11</v>
      </c>
      <c r="G3105">
        <v>1</v>
      </c>
      <c r="H3105">
        <v>1</v>
      </c>
      <c r="I3105" s="2"/>
      <c r="J3105" s="2">
        <v>45763</v>
      </c>
      <c r="K3105" s="2">
        <v>45789</v>
      </c>
    </row>
    <row r="3106" spans="1:11" x14ac:dyDescent="0.25">
      <c r="A3106" s="1" t="s">
        <v>576</v>
      </c>
      <c r="B3106" s="1" t="s">
        <v>1491</v>
      </c>
      <c r="C3106" s="1" t="s">
        <v>2428</v>
      </c>
      <c r="D3106" s="1" t="s">
        <v>1998</v>
      </c>
      <c r="E3106" s="1"/>
      <c r="F3106" s="1" t="s">
        <v>11</v>
      </c>
      <c r="G3106">
        <v>35</v>
      </c>
      <c r="H3106">
        <v>35</v>
      </c>
      <c r="I3106" s="2"/>
      <c r="J3106" s="2">
        <v>45763</v>
      </c>
      <c r="K3106" s="2">
        <v>45789</v>
      </c>
    </row>
    <row r="3107" spans="1:11" x14ac:dyDescent="0.25">
      <c r="A3107" s="1" t="s">
        <v>576</v>
      </c>
      <c r="B3107" s="1" t="s">
        <v>1492</v>
      </c>
      <c r="C3107" s="1" t="s">
        <v>2429</v>
      </c>
      <c r="D3107" s="1" t="s">
        <v>1998</v>
      </c>
      <c r="E3107" s="1"/>
      <c r="F3107" s="1" t="s">
        <v>11</v>
      </c>
      <c r="G3107">
        <v>5</v>
      </c>
      <c r="H3107">
        <v>5</v>
      </c>
      <c r="I3107" s="2"/>
      <c r="J3107" s="2">
        <v>45763</v>
      </c>
      <c r="K3107" s="2">
        <v>45789</v>
      </c>
    </row>
    <row r="3108" spans="1:11" x14ac:dyDescent="0.25">
      <c r="A3108" s="1" t="s">
        <v>576</v>
      </c>
      <c r="B3108" s="1" t="s">
        <v>1493</v>
      </c>
      <c r="C3108" s="1" t="s">
        <v>2429</v>
      </c>
      <c r="D3108" s="1" t="s">
        <v>1998</v>
      </c>
      <c r="E3108" s="1"/>
      <c r="F3108" s="1" t="s">
        <v>11</v>
      </c>
      <c r="G3108">
        <v>5</v>
      </c>
      <c r="H3108">
        <v>5</v>
      </c>
      <c r="I3108" s="2"/>
      <c r="J3108" s="2">
        <v>45763</v>
      </c>
      <c r="K3108" s="2">
        <v>45789</v>
      </c>
    </row>
    <row r="3109" spans="1:11" x14ac:dyDescent="0.25">
      <c r="A3109" s="1" t="s">
        <v>576</v>
      </c>
      <c r="B3109" s="1" t="s">
        <v>1494</v>
      </c>
      <c r="C3109" s="1" t="s">
        <v>2430</v>
      </c>
      <c r="D3109" s="1" t="s">
        <v>1998</v>
      </c>
      <c r="E3109" s="1"/>
      <c r="F3109" s="1" t="s">
        <v>11</v>
      </c>
      <c r="G3109">
        <v>1</v>
      </c>
      <c r="H3109">
        <v>1</v>
      </c>
      <c r="I3109" s="2"/>
      <c r="J3109" s="2">
        <v>45763</v>
      </c>
      <c r="K3109" s="2">
        <v>45789</v>
      </c>
    </row>
    <row r="3110" spans="1:11" x14ac:dyDescent="0.25">
      <c r="A3110" s="1" t="s">
        <v>576</v>
      </c>
      <c r="B3110" s="1" t="s">
        <v>1495</v>
      </c>
      <c r="C3110" s="1" t="s">
        <v>2431</v>
      </c>
      <c r="D3110" s="1" t="s">
        <v>1998</v>
      </c>
      <c r="E3110" s="1"/>
      <c r="F3110" s="1" t="s">
        <v>11</v>
      </c>
      <c r="G3110">
        <v>1</v>
      </c>
      <c r="H3110">
        <v>1</v>
      </c>
      <c r="I3110" s="2"/>
      <c r="J3110" s="2">
        <v>45763</v>
      </c>
      <c r="K3110" s="2">
        <v>45789</v>
      </c>
    </row>
    <row r="3111" spans="1:11" x14ac:dyDescent="0.25">
      <c r="A3111" s="1" t="s">
        <v>576</v>
      </c>
      <c r="B3111" s="1" t="s">
        <v>1496</v>
      </c>
      <c r="C3111" s="1" t="s">
        <v>2432</v>
      </c>
      <c r="D3111" s="1" t="s">
        <v>1998</v>
      </c>
      <c r="E3111" s="1"/>
      <c r="F3111" s="1" t="s">
        <v>11</v>
      </c>
      <c r="G3111">
        <v>1</v>
      </c>
      <c r="H3111">
        <v>1</v>
      </c>
      <c r="I3111" s="2"/>
      <c r="J3111" s="2">
        <v>45763</v>
      </c>
      <c r="K3111" s="2">
        <v>45789</v>
      </c>
    </row>
    <row r="3112" spans="1:11" x14ac:dyDescent="0.25">
      <c r="A3112" s="1" t="s">
        <v>576</v>
      </c>
      <c r="B3112" s="1" t="s">
        <v>1497</v>
      </c>
      <c r="C3112" s="1" t="s">
        <v>2432</v>
      </c>
      <c r="D3112" s="1" t="s">
        <v>1998</v>
      </c>
      <c r="E3112" s="1"/>
      <c r="F3112" s="1" t="s">
        <v>11</v>
      </c>
      <c r="G3112">
        <v>1</v>
      </c>
      <c r="H3112">
        <v>1</v>
      </c>
      <c r="I3112" s="2"/>
      <c r="J3112" s="2">
        <v>45763</v>
      </c>
      <c r="K3112" s="2">
        <v>45789</v>
      </c>
    </row>
    <row r="3113" spans="1:11" x14ac:dyDescent="0.25">
      <c r="A3113" s="1" t="s">
        <v>576</v>
      </c>
      <c r="B3113" s="1" t="s">
        <v>1027</v>
      </c>
      <c r="C3113" s="1" t="s">
        <v>2040</v>
      </c>
      <c r="D3113" s="1" t="s">
        <v>1998</v>
      </c>
      <c r="E3113" s="1"/>
      <c r="F3113" s="1" t="s">
        <v>11</v>
      </c>
      <c r="G3113">
        <v>30</v>
      </c>
      <c r="H3113">
        <v>30</v>
      </c>
      <c r="I3113" s="2"/>
      <c r="J3113" s="2">
        <v>45763</v>
      </c>
      <c r="K3113" s="2">
        <v>45789</v>
      </c>
    </row>
    <row r="3114" spans="1:11" x14ac:dyDescent="0.25">
      <c r="A3114" s="1" t="s">
        <v>576</v>
      </c>
      <c r="B3114" s="1" t="s">
        <v>1013</v>
      </c>
      <c r="C3114" s="1" t="s">
        <v>2030</v>
      </c>
      <c r="D3114" s="1" t="s">
        <v>1998</v>
      </c>
      <c r="E3114" s="1"/>
      <c r="F3114" s="1" t="s">
        <v>11</v>
      </c>
      <c r="G3114">
        <v>5</v>
      </c>
      <c r="H3114">
        <v>5</v>
      </c>
      <c r="I3114" s="2"/>
      <c r="J3114" s="2">
        <v>45763</v>
      </c>
      <c r="K3114" s="2">
        <v>45789</v>
      </c>
    </row>
    <row r="3115" spans="1:11" x14ac:dyDescent="0.25">
      <c r="A3115" s="1" t="s">
        <v>576</v>
      </c>
      <c r="B3115" s="1" t="s">
        <v>1498</v>
      </c>
      <c r="C3115" s="1" t="s">
        <v>2433</v>
      </c>
      <c r="D3115" s="1" t="s">
        <v>1998</v>
      </c>
      <c r="E3115" s="1"/>
      <c r="F3115" s="1" t="s">
        <v>11</v>
      </c>
      <c r="G3115">
        <v>1</v>
      </c>
      <c r="H3115">
        <v>1</v>
      </c>
      <c r="I3115" s="2"/>
      <c r="J3115" s="2">
        <v>45763</v>
      </c>
      <c r="K3115" s="2">
        <v>45789</v>
      </c>
    </row>
    <row r="3116" spans="1:11" x14ac:dyDescent="0.25">
      <c r="A3116" s="1" t="s">
        <v>576</v>
      </c>
      <c r="B3116" s="1" t="s">
        <v>1499</v>
      </c>
      <c r="C3116" s="1" t="s">
        <v>2433</v>
      </c>
      <c r="D3116" s="1" t="s">
        <v>1998</v>
      </c>
      <c r="E3116" s="1"/>
      <c r="F3116" s="1" t="s">
        <v>11</v>
      </c>
      <c r="G3116">
        <v>1</v>
      </c>
      <c r="H3116">
        <v>1</v>
      </c>
      <c r="I3116" s="2"/>
      <c r="J3116" s="2">
        <v>45763</v>
      </c>
      <c r="K3116" s="2">
        <v>45789</v>
      </c>
    </row>
    <row r="3117" spans="1:11" x14ac:dyDescent="0.25">
      <c r="A3117" s="1" t="s">
        <v>576</v>
      </c>
      <c r="B3117" s="1" t="s">
        <v>993</v>
      </c>
      <c r="C3117" s="1" t="s">
        <v>2011</v>
      </c>
      <c r="D3117" s="1" t="s">
        <v>1998</v>
      </c>
      <c r="E3117" s="1"/>
      <c r="F3117" s="1" t="s">
        <v>11</v>
      </c>
      <c r="G3117">
        <v>1</v>
      </c>
      <c r="H3117">
        <v>1</v>
      </c>
      <c r="I3117" s="2"/>
      <c r="J3117" s="2">
        <v>45763</v>
      </c>
      <c r="K3117" s="2">
        <v>45789</v>
      </c>
    </row>
    <row r="3118" spans="1:11" x14ac:dyDescent="0.25">
      <c r="A3118" s="1" t="s">
        <v>576</v>
      </c>
      <c r="B3118" s="1" t="s">
        <v>993</v>
      </c>
      <c r="C3118" s="1" t="s">
        <v>2011</v>
      </c>
      <c r="D3118" s="1" t="s">
        <v>1998</v>
      </c>
      <c r="E3118" s="1"/>
      <c r="F3118" s="1" t="s">
        <v>11</v>
      </c>
      <c r="G3118">
        <v>5</v>
      </c>
      <c r="H3118">
        <v>5</v>
      </c>
      <c r="I3118" s="2"/>
      <c r="J3118" s="2">
        <v>45763</v>
      </c>
      <c r="K3118" s="2">
        <v>45789</v>
      </c>
    </row>
    <row r="3119" spans="1:11" x14ac:dyDescent="0.25">
      <c r="A3119" s="1" t="s">
        <v>576</v>
      </c>
      <c r="B3119" s="1" t="s">
        <v>993</v>
      </c>
      <c r="C3119" s="1" t="s">
        <v>2011</v>
      </c>
      <c r="D3119" s="1" t="s">
        <v>1998</v>
      </c>
      <c r="E3119" s="1"/>
      <c r="F3119" s="1" t="s">
        <v>11</v>
      </c>
      <c r="G3119">
        <v>1</v>
      </c>
      <c r="H3119">
        <v>1</v>
      </c>
      <c r="I3119" s="2"/>
      <c r="J3119" s="2">
        <v>45763</v>
      </c>
      <c r="K3119" s="2">
        <v>45789</v>
      </c>
    </row>
    <row r="3120" spans="1:11" x14ac:dyDescent="0.25">
      <c r="A3120" s="1" t="s">
        <v>576</v>
      </c>
      <c r="B3120" s="1" t="s">
        <v>1473</v>
      </c>
      <c r="C3120" s="1" t="s">
        <v>2410</v>
      </c>
      <c r="D3120" s="1" t="s">
        <v>1998</v>
      </c>
      <c r="E3120" s="1"/>
      <c r="F3120" s="1" t="s">
        <v>11</v>
      </c>
      <c r="G3120">
        <v>1</v>
      </c>
      <c r="H3120">
        <v>1</v>
      </c>
      <c r="I3120" s="2"/>
      <c r="J3120" s="2">
        <v>45763</v>
      </c>
      <c r="K3120" s="2">
        <v>45789</v>
      </c>
    </row>
    <row r="3121" spans="1:11" x14ac:dyDescent="0.25">
      <c r="A3121" s="1" t="s">
        <v>576</v>
      </c>
      <c r="B3121" s="1" t="s">
        <v>1275</v>
      </c>
      <c r="C3121" s="1" t="s">
        <v>2252</v>
      </c>
      <c r="D3121" s="1" t="s">
        <v>1998</v>
      </c>
      <c r="E3121" s="1"/>
      <c r="F3121" s="1" t="s">
        <v>11</v>
      </c>
      <c r="G3121">
        <v>15</v>
      </c>
      <c r="H3121">
        <v>25</v>
      </c>
      <c r="I3121" s="2"/>
      <c r="J3121" s="2">
        <v>45763</v>
      </c>
      <c r="K3121" s="2">
        <v>45789</v>
      </c>
    </row>
    <row r="3122" spans="1:11" x14ac:dyDescent="0.25">
      <c r="A3122" s="1" t="s">
        <v>576</v>
      </c>
      <c r="B3122" s="1" t="s">
        <v>1474</v>
      </c>
      <c r="C3122" s="1" t="s">
        <v>2411</v>
      </c>
      <c r="D3122" s="1" t="s">
        <v>1998</v>
      </c>
      <c r="E3122" s="1"/>
      <c r="F3122" s="1" t="s">
        <v>11</v>
      </c>
      <c r="G3122">
        <v>1</v>
      </c>
      <c r="H3122">
        <v>1</v>
      </c>
      <c r="I3122" s="2"/>
      <c r="J3122" s="2">
        <v>45763</v>
      </c>
      <c r="K3122" s="2">
        <v>45789</v>
      </c>
    </row>
    <row r="3123" spans="1:11" x14ac:dyDescent="0.25">
      <c r="A3123" s="1" t="s">
        <v>576</v>
      </c>
      <c r="B3123" s="1" t="s">
        <v>1475</v>
      </c>
      <c r="C3123" s="1" t="s">
        <v>2412</v>
      </c>
      <c r="D3123" s="1" t="s">
        <v>1998</v>
      </c>
      <c r="E3123" s="1"/>
      <c r="F3123" s="1" t="s">
        <v>11</v>
      </c>
      <c r="G3123">
        <v>1</v>
      </c>
      <c r="H3123">
        <v>1</v>
      </c>
      <c r="I3123" s="2"/>
      <c r="J3123" s="2">
        <v>45763</v>
      </c>
      <c r="K3123" s="2">
        <v>45789</v>
      </c>
    </row>
    <row r="3124" spans="1:11" x14ac:dyDescent="0.25">
      <c r="A3124" s="1" t="s">
        <v>576</v>
      </c>
      <c r="B3124" s="1" t="s">
        <v>1500</v>
      </c>
      <c r="C3124" s="1" t="s">
        <v>2434</v>
      </c>
      <c r="D3124" s="1" t="s">
        <v>1998</v>
      </c>
      <c r="E3124" s="1"/>
      <c r="F3124" s="1" t="s">
        <v>11</v>
      </c>
      <c r="G3124">
        <v>80</v>
      </c>
      <c r="H3124">
        <v>80</v>
      </c>
      <c r="I3124" s="2"/>
      <c r="J3124" s="2">
        <v>45763</v>
      </c>
      <c r="K3124" s="2">
        <v>45789</v>
      </c>
    </row>
    <row r="3125" spans="1:11" x14ac:dyDescent="0.25">
      <c r="A3125" s="1" t="s">
        <v>577</v>
      </c>
      <c r="B3125" s="1" t="s">
        <v>1647</v>
      </c>
      <c r="C3125" s="1" t="s">
        <v>2561</v>
      </c>
      <c r="D3125" s="1" t="s">
        <v>1998</v>
      </c>
      <c r="E3125" s="1"/>
      <c r="F3125" s="1" t="s">
        <v>11</v>
      </c>
      <c r="G3125">
        <v>550</v>
      </c>
      <c r="H3125">
        <v>645</v>
      </c>
      <c r="I3125" s="2"/>
      <c r="J3125" s="2">
        <v>45757</v>
      </c>
      <c r="K3125" s="2">
        <v>45776</v>
      </c>
    </row>
    <row r="3126" spans="1:11" x14ac:dyDescent="0.25">
      <c r="A3126" s="1" t="s">
        <v>577</v>
      </c>
      <c r="B3126" s="1" t="s">
        <v>1648</v>
      </c>
      <c r="C3126" s="1" t="s">
        <v>2027</v>
      </c>
      <c r="D3126" s="1" t="s">
        <v>1998</v>
      </c>
      <c r="E3126" s="1"/>
      <c r="F3126" s="1" t="s">
        <v>11</v>
      </c>
      <c r="G3126">
        <v>9795</v>
      </c>
      <c r="H3126">
        <v>9795</v>
      </c>
      <c r="I3126" s="2"/>
      <c r="J3126" s="2">
        <v>45757</v>
      </c>
      <c r="K3126" s="2">
        <v>45776</v>
      </c>
    </row>
    <row r="3127" spans="1:11" x14ac:dyDescent="0.25">
      <c r="A3127" s="1" t="s">
        <v>577</v>
      </c>
      <c r="B3127" s="1" t="s">
        <v>1649</v>
      </c>
      <c r="C3127" s="1" t="s">
        <v>2026</v>
      </c>
      <c r="D3127" s="1" t="s">
        <v>1998</v>
      </c>
      <c r="E3127" s="1"/>
      <c r="F3127" s="1" t="s">
        <v>11</v>
      </c>
      <c r="G3127">
        <v>2365</v>
      </c>
      <c r="H3127">
        <v>2425</v>
      </c>
      <c r="I3127" s="2"/>
      <c r="J3127" s="2">
        <v>45757</v>
      </c>
      <c r="K3127" s="2">
        <v>45776</v>
      </c>
    </row>
    <row r="3128" spans="1:11" x14ac:dyDescent="0.25">
      <c r="A3128" s="1" t="s">
        <v>577</v>
      </c>
      <c r="B3128" s="1" t="s">
        <v>1191</v>
      </c>
      <c r="C3128" s="1" t="s">
        <v>2182</v>
      </c>
      <c r="D3128" s="1" t="s">
        <v>1998</v>
      </c>
      <c r="E3128" s="1"/>
      <c r="F3128" s="1" t="s">
        <v>11</v>
      </c>
      <c r="G3128">
        <v>15</v>
      </c>
      <c r="H3128">
        <v>15</v>
      </c>
      <c r="I3128" s="2"/>
      <c r="J3128" s="2">
        <v>45757</v>
      </c>
      <c r="K3128" s="2">
        <v>45776</v>
      </c>
    </row>
    <row r="3129" spans="1:11" x14ac:dyDescent="0.25">
      <c r="A3129" s="1" t="s">
        <v>577</v>
      </c>
      <c r="B3129" s="1" t="s">
        <v>1192</v>
      </c>
      <c r="C3129" s="1" t="s">
        <v>2183</v>
      </c>
      <c r="D3129" s="1" t="s">
        <v>1998</v>
      </c>
      <c r="E3129" s="1"/>
      <c r="F3129" s="1" t="s">
        <v>11</v>
      </c>
      <c r="G3129">
        <v>15</v>
      </c>
      <c r="H3129">
        <v>15</v>
      </c>
      <c r="I3129" s="2"/>
      <c r="J3129" s="2">
        <v>45757</v>
      </c>
      <c r="K3129" s="2">
        <v>45776</v>
      </c>
    </row>
    <row r="3130" spans="1:11" x14ac:dyDescent="0.25">
      <c r="A3130" s="1" t="s">
        <v>577</v>
      </c>
      <c r="B3130" s="1" t="s">
        <v>1027</v>
      </c>
      <c r="C3130" s="1" t="s">
        <v>2040</v>
      </c>
      <c r="D3130" s="1" t="s">
        <v>1998</v>
      </c>
      <c r="E3130" s="1"/>
      <c r="F3130" s="1" t="s">
        <v>11</v>
      </c>
      <c r="G3130">
        <v>220</v>
      </c>
      <c r="H3130">
        <v>255</v>
      </c>
      <c r="I3130" s="2"/>
      <c r="J3130" s="2">
        <v>45757</v>
      </c>
      <c r="K3130" s="2">
        <v>45776</v>
      </c>
    </row>
    <row r="3131" spans="1:11" x14ac:dyDescent="0.25">
      <c r="A3131" s="1" t="s">
        <v>577</v>
      </c>
      <c r="B3131" s="1" t="s">
        <v>1013</v>
      </c>
      <c r="C3131" s="1" t="s">
        <v>2030</v>
      </c>
      <c r="D3131" s="1" t="s">
        <v>1998</v>
      </c>
      <c r="E3131" s="1"/>
      <c r="F3131" s="1" t="s">
        <v>11</v>
      </c>
      <c r="G3131">
        <v>35</v>
      </c>
      <c r="H3131">
        <v>85</v>
      </c>
      <c r="I3131" s="2"/>
      <c r="J3131" s="2">
        <v>45757</v>
      </c>
      <c r="K3131" s="2">
        <v>45776</v>
      </c>
    </row>
    <row r="3132" spans="1:11" x14ac:dyDescent="0.25">
      <c r="A3132" s="1" t="s">
        <v>577</v>
      </c>
      <c r="B3132" s="1" t="s">
        <v>993</v>
      </c>
      <c r="C3132" s="1" t="s">
        <v>2011</v>
      </c>
      <c r="D3132" s="1" t="s">
        <v>1998</v>
      </c>
      <c r="E3132" s="1"/>
      <c r="F3132" s="1" t="s">
        <v>11</v>
      </c>
      <c r="G3132">
        <v>15</v>
      </c>
      <c r="H3132">
        <v>15</v>
      </c>
      <c r="I3132" s="2"/>
      <c r="J3132" s="2">
        <v>45757</v>
      </c>
      <c r="K3132" s="2">
        <v>45776</v>
      </c>
    </row>
    <row r="3133" spans="1:11" x14ac:dyDescent="0.25">
      <c r="A3133" s="1" t="s">
        <v>577</v>
      </c>
      <c r="B3133" s="1" t="s">
        <v>993</v>
      </c>
      <c r="C3133" s="1" t="s">
        <v>2011</v>
      </c>
      <c r="D3133" s="1" t="s">
        <v>1998</v>
      </c>
      <c r="E3133" s="1"/>
      <c r="F3133" s="1" t="s">
        <v>11</v>
      </c>
      <c r="G3133">
        <v>35</v>
      </c>
      <c r="H3133">
        <v>330</v>
      </c>
      <c r="I3133" s="2"/>
      <c r="J3133" s="2">
        <v>45757</v>
      </c>
      <c r="K3133" s="2">
        <v>45776</v>
      </c>
    </row>
    <row r="3134" spans="1:11" x14ac:dyDescent="0.25">
      <c r="A3134" s="1" t="s">
        <v>578</v>
      </c>
      <c r="B3134" s="1" t="s">
        <v>1062</v>
      </c>
      <c r="C3134" s="1" t="s">
        <v>2069</v>
      </c>
      <c r="D3134" s="1" t="s">
        <v>1998</v>
      </c>
      <c r="E3134" s="1"/>
      <c r="F3134" s="1" t="s">
        <v>11</v>
      </c>
      <c r="G3134">
        <v>105</v>
      </c>
      <c r="H3134">
        <v>1</v>
      </c>
      <c r="I3134" s="2"/>
      <c r="J3134" s="2">
        <v>45758</v>
      </c>
      <c r="K3134" s="2">
        <v>45779</v>
      </c>
    </row>
    <row r="3135" spans="1:11" x14ac:dyDescent="0.25">
      <c r="A3135" s="1" t="s">
        <v>578</v>
      </c>
      <c r="B3135" s="1" t="s">
        <v>1063</v>
      </c>
      <c r="C3135" s="1" t="s">
        <v>2069</v>
      </c>
      <c r="D3135" s="1" t="s">
        <v>1998</v>
      </c>
      <c r="E3135" s="1"/>
      <c r="F3135" s="1" t="s">
        <v>11</v>
      </c>
      <c r="G3135">
        <v>130</v>
      </c>
      <c r="H3135">
        <v>1</v>
      </c>
      <c r="I3135" s="2"/>
      <c r="J3135" s="2">
        <v>45758</v>
      </c>
      <c r="K3135" s="2">
        <v>45779</v>
      </c>
    </row>
    <row r="3136" spans="1:11" x14ac:dyDescent="0.25">
      <c r="A3136" s="1" t="s">
        <v>578</v>
      </c>
      <c r="B3136" s="1" t="s">
        <v>1650</v>
      </c>
      <c r="C3136" s="1" t="s">
        <v>2562</v>
      </c>
      <c r="D3136" s="1" t="s">
        <v>1998</v>
      </c>
      <c r="E3136" s="1"/>
      <c r="F3136" s="1" t="s">
        <v>11</v>
      </c>
      <c r="G3136">
        <v>135</v>
      </c>
      <c r="H3136">
        <v>135</v>
      </c>
      <c r="I3136" s="2"/>
      <c r="J3136" s="2">
        <v>45758</v>
      </c>
      <c r="K3136" s="2">
        <v>45779</v>
      </c>
    </row>
    <row r="3137" spans="1:11" x14ac:dyDescent="0.25">
      <c r="A3137" s="1" t="s">
        <v>578</v>
      </c>
      <c r="B3137" s="1" t="s">
        <v>1651</v>
      </c>
      <c r="C3137" s="1" t="s">
        <v>2563</v>
      </c>
      <c r="D3137" s="1" t="s">
        <v>1998</v>
      </c>
      <c r="E3137" s="1"/>
      <c r="F3137" s="1" t="s">
        <v>11</v>
      </c>
      <c r="G3137">
        <v>1675</v>
      </c>
      <c r="H3137">
        <v>1675</v>
      </c>
      <c r="I3137" s="2"/>
      <c r="J3137" s="2">
        <v>45758</v>
      </c>
      <c r="K3137" s="2">
        <v>45779</v>
      </c>
    </row>
    <row r="3138" spans="1:11" x14ac:dyDescent="0.25">
      <c r="A3138" s="1" t="s">
        <v>578</v>
      </c>
      <c r="B3138" s="1" t="s">
        <v>1652</v>
      </c>
      <c r="C3138" s="1" t="s">
        <v>2564</v>
      </c>
      <c r="D3138" s="1" t="s">
        <v>1998</v>
      </c>
      <c r="E3138" s="1"/>
      <c r="F3138" s="1" t="s">
        <v>11</v>
      </c>
      <c r="G3138">
        <v>14175</v>
      </c>
      <c r="H3138">
        <v>14175</v>
      </c>
      <c r="I3138" s="2"/>
      <c r="J3138" s="2">
        <v>45758</v>
      </c>
      <c r="K3138" s="2">
        <v>45779</v>
      </c>
    </row>
    <row r="3139" spans="1:11" x14ac:dyDescent="0.25">
      <c r="A3139" s="1" t="s">
        <v>578</v>
      </c>
      <c r="B3139" s="1" t="s">
        <v>1653</v>
      </c>
      <c r="C3139" s="1" t="s">
        <v>2565</v>
      </c>
      <c r="D3139" s="1" t="s">
        <v>1998</v>
      </c>
      <c r="E3139" s="1"/>
      <c r="F3139" s="1" t="s">
        <v>11</v>
      </c>
      <c r="G3139">
        <v>6240</v>
      </c>
      <c r="H3139">
        <v>6240</v>
      </c>
      <c r="I3139" s="2"/>
      <c r="J3139" s="2">
        <v>45758</v>
      </c>
      <c r="K3139" s="2">
        <v>45779</v>
      </c>
    </row>
    <row r="3140" spans="1:11" x14ac:dyDescent="0.25">
      <c r="A3140" s="1" t="s">
        <v>578</v>
      </c>
      <c r="B3140" s="1" t="s">
        <v>1654</v>
      </c>
      <c r="C3140" s="1" t="s">
        <v>2566</v>
      </c>
      <c r="D3140" s="1" t="s">
        <v>1998</v>
      </c>
      <c r="E3140" s="1"/>
      <c r="F3140" s="1" t="s">
        <v>11</v>
      </c>
      <c r="G3140">
        <v>3555</v>
      </c>
      <c r="H3140">
        <v>1</v>
      </c>
      <c r="I3140" s="2"/>
      <c r="J3140" s="2">
        <v>45758</v>
      </c>
      <c r="K3140" s="2">
        <v>45779</v>
      </c>
    </row>
    <row r="3141" spans="1:11" x14ac:dyDescent="0.25">
      <c r="A3141" s="1" t="s">
        <v>578</v>
      </c>
      <c r="B3141" s="1" t="s">
        <v>1655</v>
      </c>
      <c r="C3141" s="1" t="s">
        <v>2071</v>
      </c>
      <c r="D3141" s="1" t="s">
        <v>1998</v>
      </c>
      <c r="E3141" s="1"/>
      <c r="F3141" s="1" t="s">
        <v>11</v>
      </c>
      <c r="G3141">
        <v>30</v>
      </c>
      <c r="H3141">
        <v>30</v>
      </c>
      <c r="I3141" s="2"/>
      <c r="J3141" s="2">
        <v>45758</v>
      </c>
      <c r="K3141" s="2">
        <v>45779</v>
      </c>
    </row>
    <row r="3142" spans="1:11" x14ac:dyDescent="0.25">
      <c r="A3142" s="1" t="s">
        <v>578</v>
      </c>
      <c r="B3142" s="1" t="s">
        <v>1656</v>
      </c>
      <c r="C3142" s="1" t="s">
        <v>2071</v>
      </c>
      <c r="D3142" s="1" t="s">
        <v>1998</v>
      </c>
      <c r="E3142" s="1"/>
      <c r="F3142" s="1" t="s">
        <v>11</v>
      </c>
      <c r="G3142">
        <v>8170</v>
      </c>
      <c r="H3142">
        <v>8240</v>
      </c>
      <c r="I3142" s="2"/>
      <c r="J3142" s="2">
        <v>45758</v>
      </c>
      <c r="K3142" s="2">
        <v>45779</v>
      </c>
    </row>
    <row r="3143" spans="1:11" x14ac:dyDescent="0.25">
      <c r="A3143" s="1" t="s">
        <v>578</v>
      </c>
      <c r="B3143" s="1" t="s">
        <v>1657</v>
      </c>
      <c r="C3143" s="1" t="s">
        <v>2567</v>
      </c>
      <c r="D3143" s="1" t="s">
        <v>1998</v>
      </c>
      <c r="E3143" s="1"/>
      <c r="F3143" s="1" t="s">
        <v>11</v>
      </c>
      <c r="G3143">
        <v>140</v>
      </c>
      <c r="H3143">
        <v>140</v>
      </c>
      <c r="I3143" s="2"/>
      <c r="J3143" s="2">
        <v>45758</v>
      </c>
      <c r="K3143" s="2">
        <v>45779</v>
      </c>
    </row>
    <row r="3144" spans="1:11" x14ac:dyDescent="0.25">
      <c r="A3144" s="1" t="s">
        <v>578</v>
      </c>
      <c r="B3144" s="1" t="s">
        <v>1658</v>
      </c>
      <c r="C3144" s="1" t="s">
        <v>2568</v>
      </c>
      <c r="D3144" s="1" t="s">
        <v>1998</v>
      </c>
      <c r="E3144" s="1"/>
      <c r="F3144" s="1" t="s">
        <v>11</v>
      </c>
      <c r="G3144">
        <v>7875</v>
      </c>
      <c r="H3144">
        <v>7875</v>
      </c>
      <c r="I3144" s="2"/>
      <c r="J3144" s="2">
        <v>45758</v>
      </c>
      <c r="K3144" s="2">
        <v>45779</v>
      </c>
    </row>
    <row r="3145" spans="1:11" x14ac:dyDescent="0.25">
      <c r="A3145" s="1" t="s">
        <v>578</v>
      </c>
      <c r="B3145" s="1" t="s">
        <v>1659</v>
      </c>
      <c r="C3145" s="1" t="s">
        <v>2569</v>
      </c>
      <c r="D3145" s="1" t="s">
        <v>1998</v>
      </c>
      <c r="E3145" s="1"/>
      <c r="F3145" s="1" t="s">
        <v>11</v>
      </c>
      <c r="G3145">
        <v>165</v>
      </c>
      <c r="H3145">
        <v>165</v>
      </c>
      <c r="I3145" s="2"/>
      <c r="J3145" s="2">
        <v>45758</v>
      </c>
      <c r="K3145" s="2">
        <v>45779</v>
      </c>
    </row>
    <row r="3146" spans="1:11" x14ac:dyDescent="0.25">
      <c r="A3146" s="1" t="s">
        <v>578</v>
      </c>
      <c r="B3146" s="1" t="s">
        <v>1659</v>
      </c>
      <c r="C3146" s="1" t="s">
        <v>2569</v>
      </c>
      <c r="D3146" s="1" t="s">
        <v>1998</v>
      </c>
      <c r="E3146" s="1"/>
      <c r="F3146" s="1" t="s">
        <v>11</v>
      </c>
      <c r="G3146">
        <v>40</v>
      </c>
      <c r="H3146">
        <v>40</v>
      </c>
      <c r="I3146" s="2"/>
      <c r="J3146" s="2">
        <v>45758</v>
      </c>
      <c r="K3146" s="2">
        <v>45779</v>
      </c>
    </row>
    <row r="3147" spans="1:11" x14ac:dyDescent="0.25">
      <c r="A3147" s="1" t="s">
        <v>578</v>
      </c>
      <c r="B3147" s="1" t="s">
        <v>1634</v>
      </c>
      <c r="C3147" s="1" t="s">
        <v>2549</v>
      </c>
      <c r="D3147" s="1" t="s">
        <v>1998</v>
      </c>
      <c r="E3147" s="1"/>
      <c r="F3147" s="1" t="s">
        <v>11</v>
      </c>
      <c r="G3147">
        <v>5</v>
      </c>
      <c r="H3147">
        <v>5</v>
      </c>
      <c r="I3147" s="2"/>
      <c r="J3147" s="2">
        <v>45758</v>
      </c>
      <c r="K3147" s="2">
        <v>45779</v>
      </c>
    </row>
    <row r="3148" spans="1:11" x14ac:dyDescent="0.25">
      <c r="A3148" s="1" t="s">
        <v>578</v>
      </c>
      <c r="B3148" s="1" t="s">
        <v>1634</v>
      </c>
      <c r="C3148" s="1" t="s">
        <v>2549</v>
      </c>
      <c r="D3148" s="1" t="s">
        <v>1998</v>
      </c>
      <c r="E3148" s="1"/>
      <c r="F3148" s="1" t="s">
        <v>11</v>
      </c>
      <c r="G3148">
        <v>5</v>
      </c>
      <c r="H3148">
        <v>5</v>
      </c>
      <c r="I3148" s="2"/>
      <c r="J3148" s="2">
        <v>45758</v>
      </c>
      <c r="K3148" s="2">
        <v>45779</v>
      </c>
    </row>
    <row r="3149" spans="1:11" x14ac:dyDescent="0.25">
      <c r="A3149" s="1" t="s">
        <v>578</v>
      </c>
      <c r="B3149" s="1" t="s">
        <v>1635</v>
      </c>
      <c r="C3149" s="1" t="s">
        <v>2550</v>
      </c>
      <c r="D3149" s="1" t="s">
        <v>1998</v>
      </c>
      <c r="E3149" s="1"/>
      <c r="F3149" s="1" t="s">
        <v>11</v>
      </c>
      <c r="G3149">
        <v>50</v>
      </c>
      <c r="H3149">
        <v>50</v>
      </c>
      <c r="I3149" s="2"/>
      <c r="J3149" s="2">
        <v>45758</v>
      </c>
      <c r="K3149" s="2">
        <v>45779</v>
      </c>
    </row>
    <row r="3150" spans="1:11" x14ac:dyDescent="0.25">
      <c r="A3150" s="1" t="s">
        <v>578</v>
      </c>
      <c r="B3150" s="1" t="s">
        <v>1635</v>
      </c>
      <c r="C3150" s="1" t="s">
        <v>2550</v>
      </c>
      <c r="D3150" s="1" t="s">
        <v>1998</v>
      </c>
      <c r="E3150" s="1"/>
      <c r="F3150" s="1" t="s">
        <v>11</v>
      </c>
      <c r="G3150">
        <v>50</v>
      </c>
      <c r="H3150">
        <v>50</v>
      </c>
      <c r="I3150" s="2"/>
      <c r="J3150" s="2">
        <v>45758</v>
      </c>
      <c r="K3150" s="2">
        <v>45779</v>
      </c>
    </row>
    <row r="3151" spans="1:11" x14ac:dyDescent="0.25">
      <c r="A3151" s="1" t="s">
        <v>578</v>
      </c>
      <c r="B3151" s="1" t="s">
        <v>1636</v>
      </c>
      <c r="C3151" s="1" t="s">
        <v>2551</v>
      </c>
      <c r="D3151" s="1" t="s">
        <v>1998</v>
      </c>
      <c r="E3151" s="1"/>
      <c r="F3151" s="1" t="s">
        <v>11</v>
      </c>
      <c r="G3151">
        <v>555</v>
      </c>
      <c r="H3151">
        <v>555</v>
      </c>
      <c r="I3151" s="2"/>
      <c r="J3151" s="2">
        <v>45758</v>
      </c>
      <c r="K3151" s="2">
        <v>45779</v>
      </c>
    </row>
    <row r="3152" spans="1:11" x14ac:dyDescent="0.25">
      <c r="A3152" s="1" t="s">
        <v>578</v>
      </c>
      <c r="B3152" s="1" t="s">
        <v>1637</v>
      </c>
      <c r="C3152" s="1" t="s">
        <v>2552</v>
      </c>
      <c r="D3152" s="1" t="s">
        <v>1998</v>
      </c>
      <c r="E3152" s="1"/>
      <c r="F3152" s="1" t="s">
        <v>11</v>
      </c>
      <c r="G3152">
        <v>555</v>
      </c>
      <c r="H3152">
        <v>555</v>
      </c>
      <c r="I3152" s="2"/>
      <c r="J3152" s="2">
        <v>45758</v>
      </c>
      <c r="K3152" s="2">
        <v>45779</v>
      </c>
    </row>
    <row r="3153" spans="1:11" x14ac:dyDescent="0.25">
      <c r="A3153" s="1" t="s">
        <v>578</v>
      </c>
      <c r="B3153" s="1" t="s">
        <v>1069</v>
      </c>
      <c r="C3153" s="1" t="s">
        <v>2075</v>
      </c>
      <c r="D3153" s="1" t="s">
        <v>1998</v>
      </c>
      <c r="E3153" s="1"/>
      <c r="F3153" s="1" t="s">
        <v>11</v>
      </c>
      <c r="G3153">
        <v>105</v>
      </c>
      <c r="H3153">
        <v>1</v>
      </c>
      <c r="I3153" s="2"/>
      <c r="J3153" s="2">
        <v>45758</v>
      </c>
      <c r="K3153" s="2">
        <v>45779</v>
      </c>
    </row>
    <row r="3154" spans="1:11" x14ac:dyDescent="0.25">
      <c r="A3154" s="1" t="s">
        <v>578</v>
      </c>
      <c r="B3154" s="1" t="s">
        <v>1070</v>
      </c>
      <c r="C3154" s="1" t="s">
        <v>2076</v>
      </c>
      <c r="D3154" s="1" t="s">
        <v>1998</v>
      </c>
      <c r="E3154" s="1"/>
      <c r="F3154" s="1" t="s">
        <v>11</v>
      </c>
      <c r="G3154">
        <v>125</v>
      </c>
      <c r="H3154">
        <v>1</v>
      </c>
      <c r="I3154" s="2"/>
      <c r="J3154" s="2">
        <v>45758</v>
      </c>
      <c r="K3154" s="2">
        <v>45779</v>
      </c>
    </row>
    <row r="3155" spans="1:11" x14ac:dyDescent="0.25">
      <c r="A3155" s="1" t="s">
        <v>578</v>
      </c>
      <c r="B3155" s="1" t="s">
        <v>1660</v>
      </c>
      <c r="C3155" s="1" t="s">
        <v>2570</v>
      </c>
      <c r="D3155" s="1" t="s">
        <v>1998</v>
      </c>
      <c r="E3155" s="1"/>
      <c r="F3155" s="1" t="s">
        <v>11</v>
      </c>
      <c r="G3155">
        <v>1</v>
      </c>
      <c r="H3155">
        <v>1</v>
      </c>
      <c r="I3155" s="2"/>
      <c r="J3155" s="2">
        <v>45758</v>
      </c>
      <c r="K3155" s="2">
        <v>45779</v>
      </c>
    </row>
    <row r="3156" spans="1:11" x14ac:dyDescent="0.25">
      <c r="A3156" s="1" t="s">
        <v>578</v>
      </c>
      <c r="B3156" s="1" t="s">
        <v>1660</v>
      </c>
      <c r="C3156" s="1" t="s">
        <v>2570</v>
      </c>
      <c r="D3156" s="1" t="s">
        <v>1998</v>
      </c>
      <c r="E3156" s="1"/>
      <c r="F3156" s="1" t="s">
        <v>11</v>
      </c>
      <c r="G3156">
        <v>1</v>
      </c>
      <c r="H3156">
        <v>1</v>
      </c>
      <c r="I3156" s="2"/>
      <c r="J3156" s="2">
        <v>45758</v>
      </c>
      <c r="K3156" s="2">
        <v>45779</v>
      </c>
    </row>
    <row r="3157" spans="1:11" x14ac:dyDescent="0.25">
      <c r="A3157" s="1" t="s">
        <v>578</v>
      </c>
      <c r="B3157" s="1" t="s">
        <v>1661</v>
      </c>
      <c r="C3157" s="1" t="s">
        <v>2571</v>
      </c>
      <c r="D3157" s="1" t="s">
        <v>1998</v>
      </c>
      <c r="E3157" s="1"/>
      <c r="F3157" s="1" t="s">
        <v>11</v>
      </c>
      <c r="G3157">
        <v>745</v>
      </c>
      <c r="H3157">
        <v>745</v>
      </c>
      <c r="I3157" s="2"/>
      <c r="J3157" s="2">
        <v>45758</v>
      </c>
      <c r="K3157" s="2">
        <v>45779</v>
      </c>
    </row>
    <row r="3158" spans="1:11" x14ac:dyDescent="0.25">
      <c r="A3158" s="1" t="s">
        <v>578</v>
      </c>
      <c r="B3158" s="1" t="s">
        <v>1662</v>
      </c>
      <c r="C3158" s="1" t="s">
        <v>2572</v>
      </c>
      <c r="D3158" s="1" t="s">
        <v>1998</v>
      </c>
      <c r="E3158" s="1"/>
      <c r="F3158" s="1" t="s">
        <v>11</v>
      </c>
      <c r="G3158">
        <v>25</v>
      </c>
      <c r="H3158">
        <v>25</v>
      </c>
      <c r="I3158" s="2"/>
      <c r="J3158" s="2">
        <v>45758</v>
      </c>
      <c r="K3158" s="2">
        <v>45779</v>
      </c>
    </row>
    <row r="3159" spans="1:11" x14ac:dyDescent="0.25">
      <c r="A3159" s="1" t="s">
        <v>579</v>
      </c>
      <c r="B3159" s="1" t="s">
        <v>1342</v>
      </c>
      <c r="C3159" s="1" t="s">
        <v>2014</v>
      </c>
      <c r="D3159" s="1" t="s">
        <v>1998</v>
      </c>
      <c r="E3159" s="1"/>
      <c r="F3159" s="1" t="s">
        <v>11</v>
      </c>
      <c r="G3159">
        <v>2610</v>
      </c>
      <c r="H3159">
        <v>2610</v>
      </c>
      <c r="I3159" s="2"/>
      <c r="J3159" s="2">
        <v>45758</v>
      </c>
      <c r="K3159" s="2">
        <v>45778</v>
      </c>
    </row>
    <row r="3160" spans="1:11" x14ac:dyDescent="0.25">
      <c r="A3160" s="1" t="s">
        <v>579</v>
      </c>
      <c r="B3160" s="1" t="s">
        <v>1341</v>
      </c>
      <c r="C3160" s="1" t="s">
        <v>2297</v>
      </c>
      <c r="D3160" s="1" t="s">
        <v>1998</v>
      </c>
      <c r="E3160" s="1"/>
      <c r="F3160" s="1" t="s">
        <v>11</v>
      </c>
      <c r="G3160">
        <v>1495</v>
      </c>
      <c r="H3160">
        <v>1800</v>
      </c>
      <c r="I3160" s="2"/>
      <c r="J3160" s="2">
        <v>45758</v>
      </c>
      <c r="K3160" s="2">
        <v>45778</v>
      </c>
    </row>
    <row r="3161" spans="1:11" x14ac:dyDescent="0.25">
      <c r="A3161" s="1" t="s">
        <v>580</v>
      </c>
      <c r="B3161" s="1" t="s">
        <v>1444</v>
      </c>
      <c r="C3161" s="1" t="s">
        <v>2383</v>
      </c>
      <c r="D3161" s="1" t="s">
        <v>1998</v>
      </c>
      <c r="E3161" s="1"/>
      <c r="F3161" s="1" t="s">
        <v>11</v>
      </c>
      <c r="G3161">
        <v>10</v>
      </c>
      <c r="H3161">
        <v>10</v>
      </c>
      <c r="I3161" s="2"/>
      <c r="J3161" s="2">
        <v>45758</v>
      </c>
      <c r="K3161" s="2">
        <v>45765</v>
      </c>
    </row>
    <row r="3162" spans="1:11" x14ac:dyDescent="0.25">
      <c r="A3162" s="1" t="s">
        <v>580</v>
      </c>
      <c r="B3162" s="1" t="s">
        <v>1445</v>
      </c>
      <c r="C3162" s="1" t="s">
        <v>2384</v>
      </c>
      <c r="D3162" s="1" t="s">
        <v>1998</v>
      </c>
      <c r="E3162" s="1"/>
      <c r="F3162" s="1" t="s">
        <v>11</v>
      </c>
      <c r="G3162">
        <v>35</v>
      </c>
      <c r="H3162">
        <v>35</v>
      </c>
      <c r="I3162" s="2"/>
      <c r="J3162" s="2">
        <v>45758</v>
      </c>
      <c r="K3162" s="2">
        <v>45765</v>
      </c>
    </row>
    <row r="3163" spans="1:11" x14ac:dyDescent="0.25">
      <c r="A3163" s="1" t="s">
        <v>580</v>
      </c>
      <c r="B3163" s="1" t="s">
        <v>1446</v>
      </c>
      <c r="C3163" s="1" t="s">
        <v>2385</v>
      </c>
      <c r="D3163" s="1" t="s">
        <v>1998</v>
      </c>
      <c r="E3163" s="1"/>
      <c r="F3163" s="1" t="s">
        <v>11</v>
      </c>
      <c r="G3163">
        <v>50</v>
      </c>
      <c r="H3163">
        <v>50</v>
      </c>
      <c r="I3163" s="2"/>
      <c r="J3163" s="2">
        <v>45758</v>
      </c>
      <c r="K3163" s="2">
        <v>45765</v>
      </c>
    </row>
    <row r="3164" spans="1:11" x14ac:dyDescent="0.25">
      <c r="A3164" s="1" t="s">
        <v>580</v>
      </c>
      <c r="B3164" s="1" t="s">
        <v>1447</v>
      </c>
      <c r="C3164" s="1" t="s">
        <v>2161</v>
      </c>
      <c r="D3164" s="1" t="s">
        <v>1998</v>
      </c>
      <c r="E3164" s="1"/>
      <c r="F3164" s="1" t="s">
        <v>11</v>
      </c>
      <c r="G3164">
        <v>5960</v>
      </c>
      <c r="H3164">
        <v>5960</v>
      </c>
      <c r="I3164" s="2"/>
      <c r="J3164" s="2">
        <v>45758</v>
      </c>
      <c r="K3164" s="2">
        <v>45765</v>
      </c>
    </row>
    <row r="3165" spans="1:11" x14ac:dyDescent="0.25">
      <c r="A3165" s="1" t="s">
        <v>580</v>
      </c>
      <c r="B3165" s="1" t="s">
        <v>1448</v>
      </c>
      <c r="C3165" s="1" t="s">
        <v>2386</v>
      </c>
      <c r="D3165" s="1" t="s">
        <v>1998</v>
      </c>
      <c r="E3165" s="1"/>
      <c r="F3165" s="1" t="s">
        <v>11</v>
      </c>
      <c r="G3165">
        <v>7670</v>
      </c>
      <c r="H3165">
        <v>7670</v>
      </c>
      <c r="I3165" s="2"/>
      <c r="J3165" s="2">
        <v>45758</v>
      </c>
      <c r="K3165" s="2">
        <v>45765</v>
      </c>
    </row>
    <row r="3166" spans="1:11" x14ac:dyDescent="0.25">
      <c r="A3166" s="1" t="s">
        <v>580</v>
      </c>
      <c r="B3166" s="1" t="s">
        <v>1449</v>
      </c>
      <c r="C3166" s="1" t="s">
        <v>2387</v>
      </c>
      <c r="D3166" s="1" t="s">
        <v>1998</v>
      </c>
      <c r="E3166" s="1"/>
      <c r="F3166" s="1" t="s">
        <v>11</v>
      </c>
      <c r="G3166">
        <v>70</v>
      </c>
      <c r="H3166">
        <v>70</v>
      </c>
      <c r="I3166" s="2"/>
      <c r="J3166" s="2">
        <v>45758</v>
      </c>
      <c r="K3166" s="2">
        <v>45765</v>
      </c>
    </row>
    <row r="3167" spans="1:11" x14ac:dyDescent="0.25">
      <c r="A3167" s="1" t="s">
        <v>580</v>
      </c>
      <c r="B3167" s="1" t="s">
        <v>1449</v>
      </c>
      <c r="C3167" s="1" t="s">
        <v>2387</v>
      </c>
      <c r="D3167" s="1" t="s">
        <v>1998</v>
      </c>
      <c r="E3167" s="1"/>
      <c r="F3167" s="1" t="s">
        <v>11</v>
      </c>
      <c r="G3167">
        <v>5</v>
      </c>
      <c r="H3167">
        <v>5</v>
      </c>
      <c r="I3167" s="2"/>
      <c r="J3167" s="2">
        <v>45758</v>
      </c>
      <c r="K3167" s="2">
        <v>45765</v>
      </c>
    </row>
    <row r="3168" spans="1:11" x14ac:dyDescent="0.25">
      <c r="A3168" s="1" t="s">
        <v>580</v>
      </c>
      <c r="B3168" s="1" t="s">
        <v>1450</v>
      </c>
      <c r="C3168" s="1" t="s">
        <v>2388</v>
      </c>
      <c r="D3168" s="1" t="s">
        <v>1998</v>
      </c>
      <c r="E3168" s="1"/>
      <c r="F3168" s="1" t="s">
        <v>11</v>
      </c>
      <c r="G3168">
        <v>1</v>
      </c>
      <c r="H3168">
        <v>1</v>
      </c>
      <c r="I3168" s="2"/>
      <c r="J3168" s="2">
        <v>45758</v>
      </c>
      <c r="K3168" s="2">
        <v>45765</v>
      </c>
    </row>
    <row r="3169" spans="1:11" x14ac:dyDescent="0.25">
      <c r="A3169" s="1" t="s">
        <v>581</v>
      </c>
      <c r="B3169" s="1" t="s">
        <v>1061</v>
      </c>
      <c r="C3169" s="1" t="s">
        <v>2068</v>
      </c>
      <c r="D3169" s="1" t="s">
        <v>1998</v>
      </c>
      <c r="E3169" s="1"/>
      <c r="F3169" s="1" t="s">
        <v>11</v>
      </c>
      <c r="G3169">
        <v>215</v>
      </c>
      <c r="H3169">
        <v>265</v>
      </c>
      <c r="I3169" s="2"/>
      <c r="J3169" s="2">
        <v>45758</v>
      </c>
      <c r="K3169" s="2">
        <v>45785</v>
      </c>
    </row>
    <row r="3170" spans="1:11" x14ac:dyDescent="0.25">
      <c r="A3170" s="1" t="s">
        <v>581</v>
      </c>
      <c r="B3170" s="1" t="s">
        <v>1061</v>
      </c>
      <c r="C3170" s="1" t="s">
        <v>2068</v>
      </c>
      <c r="D3170" s="1" t="s">
        <v>1998</v>
      </c>
      <c r="E3170" s="1"/>
      <c r="F3170" s="1" t="s">
        <v>14</v>
      </c>
      <c r="G3170">
        <v>265</v>
      </c>
      <c r="H3170">
        <v>265</v>
      </c>
      <c r="I3170" s="2"/>
      <c r="J3170" s="2">
        <v>45758</v>
      </c>
      <c r="K3170" s="2">
        <v>45785</v>
      </c>
    </row>
    <row r="3171" spans="1:11" x14ac:dyDescent="0.25">
      <c r="A3171" s="1" t="s">
        <v>582</v>
      </c>
      <c r="B3171" s="1" t="s">
        <v>1663</v>
      </c>
      <c r="C3171" s="1" t="s">
        <v>2573</v>
      </c>
      <c r="D3171" s="1" t="s">
        <v>1998</v>
      </c>
      <c r="E3171" s="1"/>
      <c r="F3171" s="1" t="s">
        <v>11</v>
      </c>
      <c r="G3171">
        <v>520</v>
      </c>
      <c r="H3171">
        <v>520</v>
      </c>
      <c r="I3171" s="2"/>
      <c r="J3171" s="2">
        <v>45761</v>
      </c>
      <c r="K3171" s="2">
        <v>45778</v>
      </c>
    </row>
    <row r="3172" spans="1:11" x14ac:dyDescent="0.25">
      <c r="A3172" s="1" t="s">
        <v>582</v>
      </c>
      <c r="B3172" s="1" t="s">
        <v>1186</v>
      </c>
      <c r="C3172" s="1" t="s">
        <v>2179</v>
      </c>
      <c r="D3172" s="1" t="s">
        <v>1998</v>
      </c>
      <c r="E3172" s="1"/>
      <c r="F3172" s="1" t="s">
        <v>11</v>
      </c>
      <c r="G3172">
        <v>140</v>
      </c>
      <c r="H3172">
        <v>220</v>
      </c>
      <c r="I3172" s="2"/>
      <c r="J3172" s="2">
        <v>45761</v>
      </c>
      <c r="K3172" s="2">
        <v>45778</v>
      </c>
    </row>
    <row r="3173" spans="1:11" x14ac:dyDescent="0.25">
      <c r="A3173" s="1" t="s">
        <v>582</v>
      </c>
      <c r="B3173" s="1" t="s">
        <v>1186</v>
      </c>
      <c r="C3173" s="1" t="s">
        <v>2179</v>
      </c>
      <c r="D3173" s="1" t="s">
        <v>1998</v>
      </c>
      <c r="E3173" s="1"/>
      <c r="F3173" s="1" t="s">
        <v>11</v>
      </c>
      <c r="G3173">
        <v>65</v>
      </c>
      <c r="H3173">
        <v>15</v>
      </c>
      <c r="I3173" s="2"/>
      <c r="J3173" s="2">
        <v>45761</v>
      </c>
      <c r="K3173" s="2">
        <v>45778</v>
      </c>
    </row>
    <row r="3174" spans="1:11" x14ac:dyDescent="0.25">
      <c r="A3174" s="1" t="s">
        <v>582</v>
      </c>
      <c r="B3174" s="1" t="s">
        <v>1027</v>
      </c>
      <c r="C3174" s="1" t="s">
        <v>2040</v>
      </c>
      <c r="D3174" s="1" t="s">
        <v>1998</v>
      </c>
      <c r="E3174" s="1"/>
      <c r="F3174" s="1" t="s">
        <v>11</v>
      </c>
      <c r="G3174">
        <v>50</v>
      </c>
      <c r="H3174">
        <v>140</v>
      </c>
      <c r="I3174" s="2"/>
      <c r="J3174" s="2">
        <v>45761</v>
      </c>
      <c r="K3174" s="2">
        <v>45778</v>
      </c>
    </row>
    <row r="3175" spans="1:11" x14ac:dyDescent="0.25">
      <c r="A3175" s="1" t="s">
        <v>582</v>
      </c>
      <c r="B3175" s="1" t="s">
        <v>1013</v>
      </c>
      <c r="C3175" s="1" t="s">
        <v>2030</v>
      </c>
      <c r="D3175" s="1" t="s">
        <v>1998</v>
      </c>
      <c r="E3175" s="1"/>
      <c r="F3175" s="1" t="s">
        <v>11</v>
      </c>
      <c r="G3175">
        <v>10</v>
      </c>
      <c r="H3175">
        <v>45</v>
      </c>
      <c r="I3175" s="2"/>
      <c r="J3175" s="2">
        <v>45761</v>
      </c>
      <c r="K3175" s="2">
        <v>45778</v>
      </c>
    </row>
    <row r="3176" spans="1:11" x14ac:dyDescent="0.25">
      <c r="A3176" s="1" t="s">
        <v>582</v>
      </c>
      <c r="B3176" s="1" t="s">
        <v>993</v>
      </c>
      <c r="C3176" s="1" t="s">
        <v>2011</v>
      </c>
      <c r="D3176" s="1" t="s">
        <v>1998</v>
      </c>
      <c r="E3176" s="1"/>
      <c r="F3176" s="1" t="s">
        <v>11</v>
      </c>
      <c r="G3176">
        <v>5</v>
      </c>
      <c r="H3176">
        <v>5</v>
      </c>
      <c r="I3176" s="2"/>
      <c r="J3176" s="2">
        <v>45761</v>
      </c>
      <c r="K3176" s="2">
        <v>45778</v>
      </c>
    </row>
    <row r="3177" spans="1:11" x14ac:dyDescent="0.25">
      <c r="A3177" s="1" t="s">
        <v>582</v>
      </c>
      <c r="B3177" s="1" t="s">
        <v>993</v>
      </c>
      <c r="C3177" s="1" t="s">
        <v>2011</v>
      </c>
      <c r="D3177" s="1" t="s">
        <v>1998</v>
      </c>
      <c r="E3177" s="1"/>
      <c r="F3177" s="1" t="s">
        <v>11</v>
      </c>
      <c r="G3177">
        <v>10</v>
      </c>
      <c r="H3177">
        <v>305</v>
      </c>
      <c r="I3177" s="2"/>
      <c r="J3177" s="2">
        <v>45761</v>
      </c>
      <c r="K3177" s="2">
        <v>45778</v>
      </c>
    </row>
    <row r="3178" spans="1:11" x14ac:dyDescent="0.25">
      <c r="A3178" s="1" t="s">
        <v>583</v>
      </c>
      <c r="B3178" s="1" t="s">
        <v>1664</v>
      </c>
      <c r="C3178" s="1" t="s">
        <v>2574</v>
      </c>
      <c r="D3178" s="1" t="s">
        <v>1998</v>
      </c>
      <c r="E3178" s="1"/>
      <c r="F3178" s="1" t="s">
        <v>11</v>
      </c>
      <c r="G3178">
        <v>1465</v>
      </c>
      <c r="H3178">
        <v>1465</v>
      </c>
      <c r="I3178" s="2">
        <v>45775</v>
      </c>
      <c r="J3178" s="2">
        <v>45761</v>
      </c>
      <c r="K3178" s="2">
        <v>45775</v>
      </c>
    </row>
    <row r="3179" spans="1:11" x14ac:dyDescent="0.25">
      <c r="A3179" s="1" t="s">
        <v>583</v>
      </c>
      <c r="B3179" s="1" t="s">
        <v>1665</v>
      </c>
      <c r="C3179" s="1" t="s">
        <v>2575</v>
      </c>
      <c r="D3179" s="1" t="s">
        <v>1998</v>
      </c>
      <c r="E3179" s="1"/>
      <c r="F3179" s="1" t="s">
        <v>11</v>
      </c>
      <c r="G3179">
        <v>675</v>
      </c>
      <c r="H3179">
        <v>675</v>
      </c>
      <c r="I3179" s="2">
        <v>45775</v>
      </c>
      <c r="J3179" s="2">
        <v>45761</v>
      </c>
      <c r="K3179" s="2">
        <v>45775</v>
      </c>
    </row>
    <row r="3180" spans="1:11" x14ac:dyDescent="0.25">
      <c r="A3180" s="1" t="s">
        <v>583</v>
      </c>
      <c r="B3180" s="1" t="s">
        <v>1665</v>
      </c>
      <c r="C3180" s="1" t="s">
        <v>2575</v>
      </c>
      <c r="D3180" s="1" t="s">
        <v>1998</v>
      </c>
      <c r="E3180" s="1"/>
      <c r="F3180" s="1" t="s">
        <v>11</v>
      </c>
      <c r="G3180">
        <v>5</v>
      </c>
      <c r="H3180">
        <v>5</v>
      </c>
      <c r="I3180" s="2">
        <v>45775</v>
      </c>
      <c r="J3180" s="2">
        <v>45761</v>
      </c>
      <c r="K3180" s="2">
        <v>45775</v>
      </c>
    </row>
    <row r="3181" spans="1:11" x14ac:dyDescent="0.25">
      <c r="A3181" s="1" t="s">
        <v>583</v>
      </c>
      <c r="B3181" s="1" t="s">
        <v>1666</v>
      </c>
      <c r="C3181" s="1" t="s">
        <v>2576</v>
      </c>
      <c r="D3181" s="1" t="s">
        <v>1998</v>
      </c>
      <c r="E3181" s="1"/>
      <c r="F3181" s="1" t="s">
        <v>11</v>
      </c>
      <c r="G3181">
        <v>655</v>
      </c>
      <c r="H3181">
        <v>655</v>
      </c>
      <c r="I3181" s="2">
        <v>45775</v>
      </c>
      <c r="J3181" s="2">
        <v>45761</v>
      </c>
      <c r="K3181" s="2">
        <v>45775</v>
      </c>
    </row>
    <row r="3182" spans="1:11" x14ac:dyDescent="0.25">
      <c r="A3182" s="1" t="s">
        <v>583</v>
      </c>
      <c r="B3182" s="1" t="s">
        <v>1666</v>
      </c>
      <c r="C3182" s="1" t="s">
        <v>2576</v>
      </c>
      <c r="D3182" s="1" t="s">
        <v>1998</v>
      </c>
      <c r="E3182" s="1"/>
      <c r="F3182" s="1" t="s">
        <v>11</v>
      </c>
      <c r="G3182">
        <v>50</v>
      </c>
      <c r="H3182">
        <v>50</v>
      </c>
      <c r="I3182" s="2">
        <v>45775</v>
      </c>
      <c r="J3182" s="2">
        <v>45761</v>
      </c>
      <c r="K3182" s="2">
        <v>45775</v>
      </c>
    </row>
    <row r="3183" spans="1:11" x14ac:dyDescent="0.25">
      <c r="A3183" s="1" t="s">
        <v>583</v>
      </c>
      <c r="B3183" s="1" t="s">
        <v>1667</v>
      </c>
      <c r="C3183" s="1" t="s">
        <v>2577</v>
      </c>
      <c r="D3183" s="1" t="s">
        <v>1998</v>
      </c>
      <c r="E3183" s="1"/>
      <c r="F3183" s="1" t="s">
        <v>11</v>
      </c>
      <c r="G3183">
        <v>465</v>
      </c>
      <c r="H3183">
        <v>465</v>
      </c>
      <c r="I3183" s="2">
        <v>45775</v>
      </c>
      <c r="J3183" s="2">
        <v>45761</v>
      </c>
      <c r="K3183" s="2">
        <v>45775</v>
      </c>
    </row>
    <row r="3184" spans="1:11" x14ac:dyDescent="0.25">
      <c r="A3184" s="1" t="s">
        <v>583</v>
      </c>
      <c r="B3184" s="1" t="s">
        <v>1667</v>
      </c>
      <c r="C3184" s="1" t="s">
        <v>2577</v>
      </c>
      <c r="D3184" s="1" t="s">
        <v>1998</v>
      </c>
      <c r="E3184" s="1"/>
      <c r="F3184" s="1" t="s">
        <v>11</v>
      </c>
      <c r="G3184">
        <v>10</v>
      </c>
      <c r="H3184">
        <v>10</v>
      </c>
      <c r="I3184" s="2">
        <v>45775</v>
      </c>
      <c r="J3184" s="2">
        <v>45761</v>
      </c>
      <c r="K3184" s="2">
        <v>45775</v>
      </c>
    </row>
    <row r="3185" spans="1:11" x14ac:dyDescent="0.25">
      <c r="A3185" s="1" t="s">
        <v>584</v>
      </c>
      <c r="B3185" s="1" t="s">
        <v>1664</v>
      </c>
      <c r="C3185" s="1" t="s">
        <v>2574</v>
      </c>
      <c r="D3185" s="1" t="s">
        <v>1998</v>
      </c>
      <c r="E3185" s="1"/>
      <c r="F3185" s="1" t="s">
        <v>11</v>
      </c>
      <c r="G3185">
        <v>1465</v>
      </c>
      <c r="H3185">
        <v>1465</v>
      </c>
      <c r="I3185" s="2">
        <v>45782</v>
      </c>
      <c r="J3185" s="2">
        <v>45761</v>
      </c>
      <c r="K3185" s="2">
        <v>45782</v>
      </c>
    </row>
    <row r="3186" spans="1:11" x14ac:dyDescent="0.25">
      <c r="A3186" s="1" t="s">
        <v>584</v>
      </c>
      <c r="B3186" s="1" t="s">
        <v>1665</v>
      </c>
      <c r="C3186" s="1" t="s">
        <v>2575</v>
      </c>
      <c r="D3186" s="1" t="s">
        <v>1998</v>
      </c>
      <c r="E3186" s="1"/>
      <c r="F3186" s="1" t="s">
        <v>11</v>
      </c>
      <c r="G3186">
        <v>675</v>
      </c>
      <c r="H3186">
        <v>675</v>
      </c>
      <c r="I3186" s="2">
        <v>45782</v>
      </c>
      <c r="J3186" s="2">
        <v>45761</v>
      </c>
      <c r="K3186" s="2">
        <v>45782</v>
      </c>
    </row>
    <row r="3187" spans="1:11" x14ac:dyDescent="0.25">
      <c r="A3187" s="1" t="s">
        <v>584</v>
      </c>
      <c r="B3187" s="1" t="s">
        <v>1666</v>
      </c>
      <c r="C3187" s="1" t="s">
        <v>2576</v>
      </c>
      <c r="D3187" s="1" t="s">
        <v>1998</v>
      </c>
      <c r="E3187" s="1"/>
      <c r="F3187" s="1" t="s">
        <v>11</v>
      </c>
      <c r="G3187">
        <v>655</v>
      </c>
      <c r="H3187">
        <v>655</v>
      </c>
      <c r="I3187" s="2">
        <v>45782</v>
      </c>
      <c r="J3187" s="2">
        <v>45761</v>
      </c>
      <c r="K3187" s="2">
        <v>45782</v>
      </c>
    </row>
    <row r="3188" spans="1:11" x14ac:dyDescent="0.25">
      <c r="A3188" s="1" t="s">
        <v>584</v>
      </c>
      <c r="B3188" s="1" t="s">
        <v>1666</v>
      </c>
      <c r="C3188" s="1" t="s">
        <v>2576</v>
      </c>
      <c r="D3188" s="1" t="s">
        <v>1998</v>
      </c>
      <c r="E3188" s="1"/>
      <c r="F3188" s="1" t="s">
        <v>11</v>
      </c>
      <c r="G3188">
        <v>25</v>
      </c>
      <c r="H3188">
        <v>25</v>
      </c>
      <c r="I3188" s="2">
        <v>45782</v>
      </c>
      <c r="J3188" s="2">
        <v>45761</v>
      </c>
      <c r="K3188" s="2">
        <v>45782</v>
      </c>
    </row>
    <row r="3189" spans="1:11" x14ac:dyDescent="0.25">
      <c r="A3189" s="1" t="s">
        <v>584</v>
      </c>
      <c r="B3189" s="1" t="s">
        <v>1666</v>
      </c>
      <c r="C3189" s="1" t="s">
        <v>2576</v>
      </c>
      <c r="D3189" s="1" t="s">
        <v>1998</v>
      </c>
      <c r="E3189" s="1"/>
      <c r="F3189" s="1" t="s">
        <v>16</v>
      </c>
      <c r="G3189">
        <v>25</v>
      </c>
      <c r="H3189">
        <v>25</v>
      </c>
      <c r="I3189" s="2">
        <v>45782</v>
      </c>
      <c r="J3189" s="2">
        <v>45761</v>
      </c>
      <c r="K3189" s="2">
        <v>45782</v>
      </c>
    </row>
    <row r="3190" spans="1:11" x14ac:dyDescent="0.25">
      <c r="A3190" s="1" t="s">
        <v>584</v>
      </c>
      <c r="B3190" s="1" t="s">
        <v>1667</v>
      </c>
      <c r="C3190" s="1" t="s">
        <v>2577</v>
      </c>
      <c r="D3190" s="1" t="s">
        <v>1998</v>
      </c>
      <c r="E3190" s="1"/>
      <c r="F3190" s="1" t="s">
        <v>11</v>
      </c>
      <c r="G3190">
        <v>465</v>
      </c>
      <c r="H3190">
        <v>465</v>
      </c>
      <c r="I3190" s="2">
        <v>45782</v>
      </c>
      <c r="J3190" s="2">
        <v>45761</v>
      </c>
      <c r="K3190" s="2">
        <v>45782</v>
      </c>
    </row>
    <row r="3191" spans="1:11" x14ac:dyDescent="0.25">
      <c r="A3191" s="1" t="s">
        <v>584</v>
      </c>
      <c r="B3191" s="1" t="s">
        <v>1667</v>
      </c>
      <c r="C3191" s="1" t="s">
        <v>2577</v>
      </c>
      <c r="D3191" s="1" t="s">
        <v>1998</v>
      </c>
      <c r="E3191" s="1"/>
      <c r="F3191" s="1" t="s">
        <v>16</v>
      </c>
      <c r="G3191">
        <v>5</v>
      </c>
      <c r="H3191">
        <v>5</v>
      </c>
      <c r="I3191" s="2">
        <v>45782</v>
      </c>
      <c r="J3191" s="2">
        <v>45761</v>
      </c>
      <c r="K3191" s="2">
        <v>45782</v>
      </c>
    </row>
    <row r="3192" spans="1:11" x14ac:dyDescent="0.25">
      <c r="A3192" s="1" t="s">
        <v>585</v>
      </c>
      <c r="B3192" s="1" t="s">
        <v>1016</v>
      </c>
      <c r="C3192" s="1" t="s">
        <v>2033</v>
      </c>
      <c r="D3192" s="1" t="s">
        <v>1998</v>
      </c>
      <c r="E3192" s="1"/>
      <c r="F3192" s="1" t="s">
        <v>11</v>
      </c>
      <c r="G3192">
        <v>75</v>
      </c>
      <c r="H3192">
        <v>45</v>
      </c>
      <c r="I3192" s="2"/>
      <c r="J3192" s="2">
        <v>45764</v>
      </c>
      <c r="K3192" s="2">
        <v>45777</v>
      </c>
    </row>
    <row r="3193" spans="1:11" x14ac:dyDescent="0.25">
      <c r="A3193" s="1" t="s">
        <v>585</v>
      </c>
      <c r="B3193" s="1" t="s">
        <v>1017</v>
      </c>
      <c r="C3193" s="1" t="s">
        <v>2034</v>
      </c>
      <c r="D3193" s="1" t="s">
        <v>1998</v>
      </c>
      <c r="E3193" s="1"/>
      <c r="F3193" s="1" t="s">
        <v>11</v>
      </c>
      <c r="G3193">
        <v>200</v>
      </c>
      <c r="H3193">
        <v>200</v>
      </c>
      <c r="I3193" s="2"/>
      <c r="J3193" s="2">
        <v>45764</v>
      </c>
      <c r="K3193" s="2">
        <v>45777</v>
      </c>
    </row>
    <row r="3194" spans="1:11" x14ac:dyDescent="0.25">
      <c r="A3194" s="1" t="s">
        <v>585</v>
      </c>
      <c r="B3194" s="1" t="s">
        <v>1018</v>
      </c>
      <c r="C3194" s="1" t="s">
        <v>2035</v>
      </c>
      <c r="D3194" s="1" t="s">
        <v>1998</v>
      </c>
      <c r="E3194" s="1"/>
      <c r="F3194" s="1" t="s">
        <v>11</v>
      </c>
      <c r="G3194">
        <v>885</v>
      </c>
      <c r="H3194">
        <v>805</v>
      </c>
      <c r="I3194" s="2"/>
      <c r="J3194" s="2">
        <v>45764</v>
      </c>
      <c r="K3194" s="2">
        <v>45777</v>
      </c>
    </row>
    <row r="3195" spans="1:11" x14ac:dyDescent="0.25">
      <c r="A3195" s="1" t="s">
        <v>585</v>
      </c>
      <c r="B3195" s="1" t="s">
        <v>999</v>
      </c>
      <c r="C3195" s="1" t="s">
        <v>2017</v>
      </c>
      <c r="D3195" s="1" t="s">
        <v>1998</v>
      </c>
      <c r="E3195" s="1"/>
      <c r="F3195" s="1" t="s">
        <v>11</v>
      </c>
      <c r="G3195">
        <v>1</v>
      </c>
      <c r="H3195">
        <v>1</v>
      </c>
      <c r="I3195" s="2"/>
      <c r="J3195" s="2">
        <v>45764</v>
      </c>
      <c r="K3195" s="2">
        <v>45777</v>
      </c>
    </row>
    <row r="3196" spans="1:11" x14ac:dyDescent="0.25">
      <c r="A3196" s="1" t="s">
        <v>585</v>
      </c>
      <c r="B3196" s="1" t="s">
        <v>1000</v>
      </c>
      <c r="C3196" s="1" t="s">
        <v>2018</v>
      </c>
      <c r="D3196" s="1" t="s">
        <v>1998</v>
      </c>
      <c r="E3196" s="1"/>
      <c r="F3196" s="1" t="s">
        <v>11</v>
      </c>
      <c r="G3196">
        <v>5</v>
      </c>
      <c r="H3196">
        <v>5</v>
      </c>
      <c r="I3196" s="2"/>
      <c r="J3196" s="2">
        <v>45764</v>
      </c>
      <c r="K3196" s="2">
        <v>45777</v>
      </c>
    </row>
    <row r="3197" spans="1:11" x14ac:dyDescent="0.25">
      <c r="A3197" s="1" t="s">
        <v>585</v>
      </c>
      <c r="B3197" s="1" t="s">
        <v>1001</v>
      </c>
      <c r="C3197" s="1" t="s">
        <v>2019</v>
      </c>
      <c r="D3197" s="1" t="s">
        <v>1998</v>
      </c>
      <c r="E3197" s="1"/>
      <c r="F3197" s="1" t="s">
        <v>11</v>
      </c>
      <c r="G3197">
        <v>5</v>
      </c>
      <c r="H3197">
        <v>5</v>
      </c>
      <c r="I3197" s="2"/>
      <c r="J3197" s="2">
        <v>45764</v>
      </c>
      <c r="K3197" s="2">
        <v>45777</v>
      </c>
    </row>
    <row r="3198" spans="1:11" x14ac:dyDescent="0.25">
      <c r="A3198" s="1" t="s">
        <v>585</v>
      </c>
      <c r="B3198" s="1" t="s">
        <v>1019</v>
      </c>
      <c r="C3198" s="1" t="s">
        <v>2036</v>
      </c>
      <c r="D3198" s="1" t="s">
        <v>1998</v>
      </c>
      <c r="E3198" s="1"/>
      <c r="F3198" s="1" t="s">
        <v>11</v>
      </c>
      <c r="G3198">
        <v>3135</v>
      </c>
      <c r="H3198">
        <v>3135</v>
      </c>
      <c r="I3198" s="2"/>
      <c r="J3198" s="2">
        <v>45764</v>
      </c>
      <c r="K3198" s="2">
        <v>45777</v>
      </c>
    </row>
    <row r="3199" spans="1:11" x14ac:dyDescent="0.25">
      <c r="A3199" s="1" t="s">
        <v>585</v>
      </c>
      <c r="B3199" s="1" t="s">
        <v>1020</v>
      </c>
      <c r="C3199" s="1" t="s">
        <v>2037</v>
      </c>
      <c r="D3199" s="1" t="s">
        <v>1998</v>
      </c>
      <c r="E3199" s="1"/>
      <c r="F3199" s="1" t="s">
        <v>11</v>
      </c>
      <c r="G3199">
        <v>8375</v>
      </c>
      <c r="H3199">
        <v>8375</v>
      </c>
      <c r="I3199" s="2"/>
      <c r="J3199" s="2">
        <v>45764</v>
      </c>
      <c r="K3199" s="2">
        <v>45777</v>
      </c>
    </row>
    <row r="3200" spans="1:11" x14ac:dyDescent="0.25">
      <c r="A3200" s="1" t="s">
        <v>586</v>
      </c>
      <c r="B3200" s="1" t="s">
        <v>1016</v>
      </c>
      <c r="C3200" s="1" t="s">
        <v>2033</v>
      </c>
      <c r="D3200" s="1" t="s">
        <v>1998</v>
      </c>
      <c r="E3200" s="1"/>
      <c r="F3200" s="1" t="s">
        <v>11</v>
      </c>
      <c r="G3200">
        <v>75</v>
      </c>
      <c r="H3200">
        <v>60</v>
      </c>
      <c r="I3200" s="2"/>
      <c r="J3200" s="2">
        <v>45772</v>
      </c>
      <c r="K3200" s="2">
        <v>45779</v>
      </c>
    </row>
    <row r="3201" spans="1:11" x14ac:dyDescent="0.25">
      <c r="A3201" s="1" t="s">
        <v>586</v>
      </c>
      <c r="B3201" s="1" t="s">
        <v>1017</v>
      </c>
      <c r="C3201" s="1" t="s">
        <v>2034</v>
      </c>
      <c r="D3201" s="1" t="s">
        <v>1998</v>
      </c>
      <c r="E3201" s="1"/>
      <c r="F3201" s="1" t="s">
        <v>11</v>
      </c>
      <c r="G3201">
        <v>200</v>
      </c>
      <c r="H3201">
        <v>200</v>
      </c>
      <c r="I3201" s="2"/>
      <c r="J3201" s="2">
        <v>45772</v>
      </c>
      <c r="K3201" s="2">
        <v>45779</v>
      </c>
    </row>
    <row r="3202" spans="1:11" x14ac:dyDescent="0.25">
      <c r="A3202" s="1" t="s">
        <v>586</v>
      </c>
      <c r="B3202" s="1" t="s">
        <v>1018</v>
      </c>
      <c r="C3202" s="1" t="s">
        <v>2035</v>
      </c>
      <c r="D3202" s="1" t="s">
        <v>1998</v>
      </c>
      <c r="E3202" s="1"/>
      <c r="F3202" s="1" t="s">
        <v>11</v>
      </c>
      <c r="G3202">
        <v>885</v>
      </c>
      <c r="H3202">
        <v>890</v>
      </c>
      <c r="I3202" s="2"/>
      <c r="J3202" s="2">
        <v>45772</v>
      </c>
      <c r="K3202" s="2">
        <v>45779</v>
      </c>
    </row>
    <row r="3203" spans="1:11" x14ac:dyDescent="0.25">
      <c r="A3203" s="1" t="s">
        <v>586</v>
      </c>
      <c r="B3203" s="1" t="s">
        <v>1018</v>
      </c>
      <c r="C3203" s="1" t="s">
        <v>2035</v>
      </c>
      <c r="D3203" s="1" t="s">
        <v>1998</v>
      </c>
      <c r="E3203" s="1"/>
      <c r="F3203" s="1" t="s">
        <v>11</v>
      </c>
      <c r="G3203">
        <v>45</v>
      </c>
      <c r="H3203">
        <v>45</v>
      </c>
      <c r="I3203" s="2"/>
      <c r="J3203" s="2">
        <v>45772</v>
      </c>
      <c r="K3203" s="2">
        <v>45779</v>
      </c>
    </row>
    <row r="3204" spans="1:11" x14ac:dyDescent="0.25">
      <c r="A3204" s="1" t="s">
        <v>586</v>
      </c>
      <c r="B3204" s="1" t="s">
        <v>999</v>
      </c>
      <c r="C3204" s="1" t="s">
        <v>2017</v>
      </c>
      <c r="D3204" s="1" t="s">
        <v>1998</v>
      </c>
      <c r="E3204" s="1"/>
      <c r="F3204" s="1" t="s">
        <v>11</v>
      </c>
      <c r="G3204">
        <v>1</v>
      </c>
      <c r="H3204">
        <v>1</v>
      </c>
      <c r="I3204" s="2"/>
      <c r="J3204" s="2">
        <v>45772</v>
      </c>
      <c r="K3204" s="2">
        <v>45779</v>
      </c>
    </row>
    <row r="3205" spans="1:11" x14ac:dyDescent="0.25">
      <c r="A3205" s="1" t="s">
        <v>586</v>
      </c>
      <c r="B3205" s="1" t="s">
        <v>1000</v>
      </c>
      <c r="C3205" s="1" t="s">
        <v>2018</v>
      </c>
      <c r="D3205" s="1" t="s">
        <v>1998</v>
      </c>
      <c r="E3205" s="1"/>
      <c r="F3205" s="1" t="s">
        <v>11</v>
      </c>
      <c r="G3205">
        <v>5</v>
      </c>
      <c r="H3205">
        <v>5</v>
      </c>
      <c r="I3205" s="2"/>
      <c r="J3205" s="2">
        <v>45772</v>
      </c>
      <c r="K3205" s="2">
        <v>45779</v>
      </c>
    </row>
    <row r="3206" spans="1:11" x14ac:dyDescent="0.25">
      <c r="A3206" s="1" t="s">
        <v>586</v>
      </c>
      <c r="B3206" s="1" t="s">
        <v>1001</v>
      </c>
      <c r="C3206" s="1" t="s">
        <v>2019</v>
      </c>
      <c r="D3206" s="1" t="s">
        <v>1998</v>
      </c>
      <c r="E3206" s="1"/>
      <c r="F3206" s="1" t="s">
        <v>11</v>
      </c>
      <c r="G3206">
        <v>5</v>
      </c>
      <c r="H3206">
        <v>5</v>
      </c>
      <c r="I3206" s="2"/>
      <c r="J3206" s="2">
        <v>45772</v>
      </c>
      <c r="K3206" s="2">
        <v>45779</v>
      </c>
    </row>
    <row r="3207" spans="1:11" x14ac:dyDescent="0.25">
      <c r="A3207" s="1" t="s">
        <v>586</v>
      </c>
      <c r="B3207" s="1" t="s">
        <v>1019</v>
      </c>
      <c r="C3207" s="1" t="s">
        <v>2036</v>
      </c>
      <c r="D3207" s="1" t="s">
        <v>1998</v>
      </c>
      <c r="E3207" s="1"/>
      <c r="F3207" s="1" t="s">
        <v>11</v>
      </c>
      <c r="G3207">
        <v>3135</v>
      </c>
      <c r="H3207">
        <v>3135</v>
      </c>
      <c r="I3207" s="2"/>
      <c r="J3207" s="2">
        <v>45772</v>
      </c>
      <c r="K3207" s="2">
        <v>45779</v>
      </c>
    </row>
    <row r="3208" spans="1:11" x14ac:dyDescent="0.25">
      <c r="A3208" s="1" t="s">
        <v>586</v>
      </c>
      <c r="B3208" s="1" t="s">
        <v>1020</v>
      </c>
      <c r="C3208" s="1" t="s">
        <v>2037</v>
      </c>
      <c r="D3208" s="1" t="s">
        <v>1998</v>
      </c>
      <c r="E3208" s="1"/>
      <c r="F3208" s="1" t="s">
        <v>11</v>
      </c>
      <c r="G3208">
        <v>8375</v>
      </c>
      <c r="H3208">
        <v>8375</v>
      </c>
      <c r="I3208" s="2"/>
      <c r="J3208" s="2">
        <v>45772</v>
      </c>
      <c r="K3208" s="2">
        <v>45779</v>
      </c>
    </row>
    <row r="3209" spans="1:11" x14ac:dyDescent="0.25">
      <c r="A3209" s="1" t="s">
        <v>587</v>
      </c>
      <c r="B3209" s="1" t="s">
        <v>1385</v>
      </c>
      <c r="C3209" s="1" t="s">
        <v>2334</v>
      </c>
      <c r="D3209" s="1" t="s">
        <v>1998</v>
      </c>
      <c r="E3209" s="1"/>
      <c r="F3209" s="1" t="s">
        <v>12</v>
      </c>
      <c r="G3209">
        <v>1</v>
      </c>
      <c r="H3209">
        <v>1</v>
      </c>
      <c r="I3209" s="2">
        <v>45782</v>
      </c>
      <c r="J3209" s="2">
        <v>45772</v>
      </c>
      <c r="K3209" s="2">
        <v>45776</v>
      </c>
    </row>
    <row r="3210" spans="1:11" x14ac:dyDescent="0.25">
      <c r="A3210" s="1" t="s">
        <v>587</v>
      </c>
      <c r="B3210" s="1" t="s">
        <v>1619</v>
      </c>
      <c r="C3210" s="1" t="s">
        <v>2534</v>
      </c>
      <c r="D3210" s="1" t="s">
        <v>1998</v>
      </c>
      <c r="E3210" s="1"/>
      <c r="F3210" s="1" t="s">
        <v>11</v>
      </c>
      <c r="G3210">
        <v>5</v>
      </c>
      <c r="H3210">
        <v>5</v>
      </c>
      <c r="I3210" s="2">
        <v>45782</v>
      </c>
      <c r="J3210" s="2">
        <v>45772</v>
      </c>
      <c r="K3210" s="2">
        <v>45776</v>
      </c>
    </row>
    <row r="3211" spans="1:11" x14ac:dyDescent="0.25">
      <c r="A3211" s="1" t="s">
        <v>587</v>
      </c>
      <c r="B3211" s="1" t="s">
        <v>1620</v>
      </c>
      <c r="C3211" s="1" t="s">
        <v>2535</v>
      </c>
      <c r="D3211" s="1" t="s">
        <v>1998</v>
      </c>
      <c r="E3211" s="1"/>
      <c r="F3211" s="1" t="s">
        <v>11</v>
      </c>
      <c r="G3211">
        <v>10</v>
      </c>
      <c r="H3211">
        <v>15</v>
      </c>
      <c r="I3211" s="2">
        <v>45782</v>
      </c>
      <c r="J3211" s="2">
        <v>45772</v>
      </c>
      <c r="K3211" s="2">
        <v>45776</v>
      </c>
    </row>
    <row r="3212" spans="1:11" x14ac:dyDescent="0.25">
      <c r="A3212" s="1" t="s">
        <v>587</v>
      </c>
      <c r="B3212" s="1" t="s">
        <v>1228</v>
      </c>
      <c r="C3212" s="1" t="s">
        <v>2212</v>
      </c>
      <c r="D3212" s="1" t="s">
        <v>1998</v>
      </c>
      <c r="E3212" s="1"/>
      <c r="F3212" s="1" t="s">
        <v>11</v>
      </c>
      <c r="G3212">
        <v>1</v>
      </c>
      <c r="H3212">
        <v>1</v>
      </c>
      <c r="I3212" s="2">
        <v>45782</v>
      </c>
      <c r="J3212" s="2">
        <v>45772</v>
      </c>
      <c r="K3212" s="2">
        <v>45776</v>
      </c>
    </row>
    <row r="3213" spans="1:11" x14ac:dyDescent="0.25">
      <c r="A3213" s="1" t="s">
        <v>587</v>
      </c>
      <c r="B3213" s="1" t="s">
        <v>1229</v>
      </c>
      <c r="C3213" s="1" t="s">
        <v>2213</v>
      </c>
      <c r="D3213" s="1" t="s">
        <v>1998</v>
      </c>
      <c r="E3213" s="1"/>
      <c r="F3213" s="1" t="s">
        <v>11</v>
      </c>
      <c r="G3213">
        <v>1</v>
      </c>
      <c r="H3213">
        <v>1</v>
      </c>
      <c r="I3213" s="2">
        <v>45782</v>
      </c>
      <c r="J3213" s="2">
        <v>45772</v>
      </c>
      <c r="K3213" s="2">
        <v>45776</v>
      </c>
    </row>
    <row r="3214" spans="1:11" x14ac:dyDescent="0.25">
      <c r="A3214" s="1" t="s">
        <v>587</v>
      </c>
      <c r="B3214" s="1" t="s">
        <v>1622</v>
      </c>
      <c r="C3214" s="1" t="s">
        <v>2537</v>
      </c>
      <c r="D3214" s="1" t="s">
        <v>1998</v>
      </c>
      <c r="E3214" s="1"/>
      <c r="F3214" s="1" t="s">
        <v>11</v>
      </c>
      <c r="G3214">
        <v>20</v>
      </c>
      <c r="H3214">
        <v>30</v>
      </c>
      <c r="I3214" s="2">
        <v>45782</v>
      </c>
      <c r="J3214" s="2">
        <v>45772</v>
      </c>
      <c r="K3214" s="2">
        <v>45776</v>
      </c>
    </row>
    <row r="3215" spans="1:11" x14ac:dyDescent="0.25">
      <c r="A3215" s="1" t="s">
        <v>587</v>
      </c>
      <c r="B3215" s="1" t="s">
        <v>1230</v>
      </c>
      <c r="C3215" s="1" t="s">
        <v>2214</v>
      </c>
      <c r="D3215" s="1" t="s">
        <v>1998</v>
      </c>
      <c r="E3215" s="1"/>
      <c r="F3215" s="1" t="s">
        <v>11</v>
      </c>
      <c r="G3215">
        <v>1</v>
      </c>
      <c r="H3215">
        <v>5</v>
      </c>
      <c r="I3215" s="2">
        <v>45782</v>
      </c>
      <c r="J3215" s="2">
        <v>45772</v>
      </c>
      <c r="K3215" s="2">
        <v>45776</v>
      </c>
    </row>
    <row r="3216" spans="1:11" x14ac:dyDescent="0.25">
      <c r="A3216" s="1" t="s">
        <v>587</v>
      </c>
      <c r="B3216" s="1" t="s">
        <v>1367</v>
      </c>
      <c r="C3216" s="1" t="s">
        <v>2317</v>
      </c>
      <c r="D3216" s="1" t="s">
        <v>1998</v>
      </c>
      <c r="E3216" s="1"/>
      <c r="F3216" s="1" t="s">
        <v>11</v>
      </c>
      <c r="G3216">
        <v>1</v>
      </c>
      <c r="H3216">
        <v>1</v>
      </c>
      <c r="I3216" s="2">
        <v>45782</v>
      </c>
      <c r="J3216" s="2">
        <v>45772</v>
      </c>
      <c r="K3216" s="2">
        <v>45776</v>
      </c>
    </row>
    <row r="3217" spans="1:11" x14ac:dyDescent="0.25">
      <c r="A3217" s="1" t="s">
        <v>587</v>
      </c>
      <c r="B3217" s="1" t="s">
        <v>1232</v>
      </c>
      <c r="C3217" s="1" t="s">
        <v>2216</v>
      </c>
      <c r="D3217" s="1" t="s">
        <v>1998</v>
      </c>
      <c r="E3217" s="1"/>
      <c r="F3217" s="1" t="s">
        <v>11</v>
      </c>
      <c r="G3217">
        <v>1</v>
      </c>
      <c r="H3217">
        <v>1</v>
      </c>
      <c r="I3217" s="2">
        <v>45782</v>
      </c>
      <c r="J3217" s="2">
        <v>45772</v>
      </c>
      <c r="K3217" s="2">
        <v>45776</v>
      </c>
    </row>
    <row r="3218" spans="1:11" x14ac:dyDescent="0.25">
      <c r="A3218" s="1" t="s">
        <v>587</v>
      </c>
      <c r="B3218" s="1" t="s">
        <v>1234</v>
      </c>
      <c r="C3218" s="1" t="s">
        <v>2218</v>
      </c>
      <c r="D3218" s="1" t="s">
        <v>1998</v>
      </c>
      <c r="E3218" s="1"/>
      <c r="F3218" s="1" t="s">
        <v>11</v>
      </c>
      <c r="G3218">
        <v>1</v>
      </c>
      <c r="H3218">
        <v>1</v>
      </c>
      <c r="I3218" s="2">
        <v>45782</v>
      </c>
      <c r="J3218" s="2">
        <v>45772</v>
      </c>
      <c r="K3218" s="2">
        <v>45776</v>
      </c>
    </row>
    <row r="3219" spans="1:11" x14ac:dyDescent="0.25">
      <c r="A3219" s="1" t="s">
        <v>587</v>
      </c>
      <c r="B3219" s="1" t="s">
        <v>1570</v>
      </c>
      <c r="C3219" s="1" t="s">
        <v>2491</v>
      </c>
      <c r="D3219" s="1" t="s">
        <v>1998</v>
      </c>
      <c r="E3219" s="1"/>
      <c r="F3219" s="1" t="s">
        <v>11</v>
      </c>
      <c r="G3219">
        <v>20</v>
      </c>
      <c r="H3219">
        <v>30</v>
      </c>
      <c r="I3219" s="2">
        <v>45782</v>
      </c>
      <c r="J3219" s="2">
        <v>45772</v>
      </c>
      <c r="K3219" s="2">
        <v>45776</v>
      </c>
    </row>
    <row r="3220" spans="1:11" x14ac:dyDescent="0.25">
      <c r="A3220" s="1" t="s">
        <v>587</v>
      </c>
      <c r="B3220" s="1" t="s">
        <v>1390</v>
      </c>
      <c r="C3220" s="1" t="s">
        <v>2339</v>
      </c>
      <c r="D3220" s="1" t="s">
        <v>1998</v>
      </c>
      <c r="E3220" s="1"/>
      <c r="F3220" s="1" t="s">
        <v>11</v>
      </c>
      <c r="G3220">
        <v>1</v>
      </c>
      <c r="H3220">
        <v>1</v>
      </c>
      <c r="I3220" s="2">
        <v>45782</v>
      </c>
      <c r="J3220" s="2">
        <v>45772</v>
      </c>
      <c r="K3220" s="2">
        <v>45776</v>
      </c>
    </row>
    <row r="3221" spans="1:11" x14ac:dyDescent="0.25">
      <c r="A3221" s="1" t="s">
        <v>587</v>
      </c>
      <c r="B3221" s="1" t="s">
        <v>1393</v>
      </c>
      <c r="C3221" s="1" t="s">
        <v>2342</v>
      </c>
      <c r="D3221" s="1" t="s">
        <v>1998</v>
      </c>
      <c r="E3221" s="1"/>
      <c r="F3221" s="1" t="s">
        <v>11</v>
      </c>
      <c r="G3221">
        <v>40</v>
      </c>
      <c r="H3221">
        <v>55</v>
      </c>
      <c r="I3221" s="2">
        <v>45782</v>
      </c>
      <c r="J3221" s="2">
        <v>45772</v>
      </c>
      <c r="K3221" s="2">
        <v>45776</v>
      </c>
    </row>
    <row r="3222" spans="1:11" x14ac:dyDescent="0.25">
      <c r="A3222" s="1" t="s">
        <v>588</v>
      </c>
      <c r="B3222" s="1" t="s">
        <v>1260</v>
      </c>
      <c r="C3222" s="1" t="s">
        <v>2014</v>
      </c>
      <c r="D3222" s="1" t="s">
        <v>1998</v>
      </c>
      <c r="E3222" s="1"/>
      <c r="F3222" s="1" t="s">
        <v>11</v>
      </c>
      <c r="G3222">
        <v>1010</v>
      </c>
      <c r="H3222">
        <v>1010</v>
      </c>
      <c r="I3222" s="2"/>
      <c r="J3222" s="2">
        <v>45778</v>
      </c>
      <c r="K3222" s="2">
        <v>45786</v>
      </c>
    </row>
    <row r="3223" spans="1:11" x14ac:dyDescent="0.25">
      <c r="A3223" s="1" t="s">
        <v>588</v>
      </c>
      <c r="B3223" s="1" t="s">
        <v>1215</v>
      </c>
      <c r="C3223" s="1" t="s">
        <v>2203</v>
      </c>
      <c r="D3223" s="1" t="s">
        <v>1998</v>
      </c>
      <c r="E3223" s="1"/>
      <c r="F3223" s="1" t="s">
        <v>11</v>
      </c>
      <c r="G3223">
        <v>720</v>
      </c>
      <c r="H3223">
        <v>720</v>
      </c>
      <c r="I3223" s="2"/>
      <c r="J3223" s="2">
        <v>45778</v>
      </c>
      <c r="K3223" s="2">
        <v>45786</v>
      </c>
    </row>
    <row r="3224" spans="1:11" x14ac:dyDescent="0.25">
      <c r="A3224" s="1" t="s">
        <v>589</v>
      </c>
      <c r="B3224" s="1" t="s">
        <v>1668</v>
      </c>
      <c r="C3224" s="1" t="s">
        <v>2346</v>
      </c>
      <c r="D3224" s="1" t="s">
        <v>1998</v>
      </c>
      <c r="E3224" s="1"/>
      <c r="F3224" s="1" t="s">
        <v>11</v>
      </c>
      <c r="G3224">
        <v>1905</v>
      </c>
      <c r="H3224">
        <v>1905</v>
      </c>
      <c r="I3224" s="2">
        <v>45782</v>
      </c>
      <c r="J3224" s="2">
        <v>45761</v>
      </c>
      <c r="K3224" s="2">
        <v>45782</v>
      </c>
    </row>
    <row r="3225" spans="1:11" x14ac:dyDescent="0.25">
      <c r="A3225" s="1" t="s">
        <v>589</v>
      </c>
      <c r="B3225" s="1" t="s">
        <v>1669</v>
      </c>
      <c r="C3225" s="1" t="s">
        <v>2578</v>
      </c>
      <c r="D3225" s="1" t="s">
        <v>1998</v>
      </c>
      <c r="E3225" s="1"/>
      <c r="F3225" s="1" t="s">
        <v>11</v>
      </c>
      <c r="G3225">
        <v>550</v>
      </c>
      <c r="H3225">
        <v>550</v>
      </c>
      <c r="I3225" s="2">
        <v>45782</v>
      </c>
      <c r="J3225" s="2">
        <v>45761</v>
      </c>
      <c r="K3225" s="2">
        <v>45782</v>
      </c>
    </row>
    <row r="3226" spans="1:11" x14ac:dyDescent="0.25">
      <c r="A3226" s="1" t="s">
        <v>589</v>
      </c>
      <c r="B3226" s="1" t="s">
        <v>1669</v>
      </c>
      <c r="C3226" s="1" t="s">
        <v>2578</v>
      </c>
      <c r="D3226" s="1" t="s">
        <v>1998</v>
      </c>
      <c r="E3226" s="1"/>
      <c r="F3226" s="1" t="s">
        <v>11</v>
      </c>
      <c r="G3226">
        <v>5</v>
      </c>
      <c r="H3226">
        <v>5</v>
      </c>
      <c r="I3226" s="2">
        <v>45782</v>
      </c>
      <c r="J3226" s="2">
        <v>45761</v>
      </c>
      <c r="K3226" s="2">
        <v>45782</v>
      </c>
    </row>
    <row r="3227" spans="1:11" x14ac:dyDescent="0.25">
      <c r="A3227" s="1" t="s">
        <v>589</v>
      </c>
      <c r="B3227" s="1" t="s">
        <v>1670</v>
      </c>
      <c r="C3227" s="1" t="s">
        <v>2579</v>
      </c>
      <c r="D3227" s="1" t="s">
        <v>1998</v>
      </c>
      <c r="E3227" s="1"/>
      <c r="F3227" s="1" t="s">
        <v>11</v>
      </c>
      <c r="G3227">
        <v>95</v>
      </c>
      <c r="H3227">
        <v>95</v>
      </c>
      <c r="I3227" s="2">
        <v>45782</v>
      </c>
      <c r="J3227" s="2">
        <v>45761</v>
      </c>
      <c r="K3227" s="2">
        <v>45782</v>
      </c>
    </row>
    <row r="3228" spans="1:11" x14ac:dyDescent="0.25">
      <c r="A3228" s="1" t="s">
        <v>589</v>
      </c>
      <c r="B3228" s="1" t="s">
        <v>1671</v>
      </c>
      <c r="C3228" s="1" t="s">
        <v>2127</v>
      </c>
      <c r="D3228" s="1" t="s">
        <v>1998</v>
      </c>
      <c r="E3228" s="1"/>
      <c r="F3228" s="1" t="s">
        <v>11</v>
      </c>
      <c r="G3228">
        <v>660</v>
      </c>
      <c r="H3228">
        <v>660</v>
      </c>
      <c r="I3228" s="2">
        <v>45782</v>
      </c>
      <c r="J3228" s="2">
        <v>45761</v>
      </c>
      <c r="K3228" s="2">
        <v>45782</v>
      </c>
    </row>
    <row r="3229" spans="1:11" x14ac:dyDescent="0.25">
      <c r="A3229" s="1" t="s">
        <v>590</v>
      </c>
      <c r="B3229" s="1" t="s">
        <v>1672</v>
      </c>
      <c r="C3229" s="1" t="s">
        <v>2580</v>
      </c>
      <c r="D3229" s="1" t="s">
        <v>1998</v>
      </c>
      <c r="E3229" s="1"/>
      <c r="F3229" s="1" t="s">
        <v>11</v>
      </c>
      <c r="G3229">
        <v>1060</v>
      </c>
      <c r="H3229">
        <v>1060</v>
      </c>
      <c r="I3229" s="2">
        <v>45782</v>
      </c>
      <c r="J3229" s="2">
        <v>45761</v>
      </c>
      <c r="K3229" s="2">
        <v>45782</v>
      </c>
    </row>
    <row r="3230" spans="1:11" x14ac:dyDescent="0.25">
      <c r="A3230" s="1" t="s">
        <v>590</v>
      </c>
      <c r="B3230" s="1" t="s">
        <v>1672</v>
      </c>
      <c r="C3230" s="1" t="s">
        <v>2580</v>
      </c>
      <c r="D3230" s="1" t="s">
        <v>1998</v>
      </c>
      <c r="E3230" s="1"/>
      <c r="F3230" s="1" t="s">
        <v>16</v>
      </c>
      <c r="G3230">
        <v>30</v>
      </c>
      <c r="H3230">
        <v>30</v>
      </c>
      <c r="I3230" s="2">
        <v>45782</v>
      </c>
      <c r="J3230" s="2">
        <v>45761</v>
      </c>
      <c r="K3230" s="2">
        <v>45782</v>
      </c>
    </row>
    <row r="3231" spans="1:11" x14ac:dyDescent="0.25">
      <c r="A3231" s="1" t="s">
        <v>590</v>
      </c>
      <c r="B3231" s="1" t="s">
        <v>1673</v>
      </c>
      <c r="C3231" s="1" t="s">
        <v>2581</v>
      </c>
      <c r="D3231" s="1" t="s">
        <v>1998</v>
      </c>
      <c r="E3231" s="1"/>
      <c r="F3231" s="1" t="s">
        <v>11</v>
      </c>
      <c r="G3231">
        <v>975</v>
      </c>
      <c r="H3231">
        <v>975</v>
      </c>
      <c r="I3231" s="2">
        <v>45782</v>
      </c>
      <c r="J3231" s="2">
        <v>45761</v>
      </c>
      <c r="K3231" s="2">
        <v>45782</v>
      </c>
    </row>
    <row r="3232" spans="1:11" x14ac:dyDescent="0.25">
      <c r="A3232" s="1" t="s">
        <v>590</v>
      </c>
      <c r="B3232" s="1" t="s">
        <v>1673</v>
      </c>
      <c r="C3232" s="1" t="s">
        <v>2581</v>
      </c>
      <c r="D3232" s="1" t="s">
        <v>1998</v>
      </c>
      <c r="E3232" s="1"/>
      <c r="F3232" s="1" t="s">
        <v>16</v>
      </c>
      <c r="G3232">
        <v>10</v>
      </c>
      <c r="H3232">
        <v>10</v>
      </c>
      <c r="I3232" s="2">
        <v>45782</v>
      </c>
      <c r="J3232" s="2">
        <v>45761</v>
      </c>
      <c r="K3232" s="2">
        <v>45782</v>
      </c>
    </row>
    <row r="3233" spans="1:11" x14ac:dyDescent="0.25">
      <c r="A3233" s="1" t="s">
        <v>590</v>
      </c>
      <c r="B3233" s="1" t="s">
        <v>1666</v>
      </c>
      <c r="C3233" s="1" t="s">
        <v>2576</v>
      </c>
      <c r="D3233" s="1" t="s">
        <v>1998</v>
      </c>
      <c r="E3233" s="1"/>
      <c r="F3233" s="1" t="s">
        <v>11</v>
      </c>
      <c r="G3233">
        <v>220</v>
      </c>
      <c r="H3233">
        <v>220</v>
      </c>
      <c r="I3233" s="2">
        <v>45782</v>
      </c>
      <c r="J3233" s="2">
        <v>45761</v>
      </c>
      <c r="K3233" s="2">
        <v>45782</v>
      </c>
    </row>
    <row r="3234" spans="1:11" x14ac:dyDescent="0.25">
      <c r="A3234" s="1" t="s">
        <v>590</v>
      </c>
      <c r="B3234" s="1" t="s">
        <v>1674</v>
      </c>
      <c r="C3234" s="1" t="s">
        <v>2582</v>
      </c>
      <c r="D3234" s="1" t="s">
        <v>1998</v>
      </c>
      <c r="E3234" s="1"/>
      <c r="F3234" s="1" t="s">
        <v>11</v>
      </c>
      <c r="G3234">
        <v>340</v>
      </c>
      <c r="H3234">
        <v>340</v>
      </c>
      <c r="I3234" s="2">
        <v>45782</v>
      </c>
      <c r="J3234" s="2">
        <v>45761</v>
      </c>
      <c r="K3234" s="2">
        <v>45782</v>
      </c>
    </row>
    <row r="3235" spans="1:11" x14ac:dyDescent="0.25">
      <c r="A3235" s="1" t="s">
        <v>591</v>
      </c>
      <c r="B3235" s="1" t="s">
        <v>1675</v>
      </c>
      <c r="C3235" s="1" t="s">
        <v>2014</v>
      </c>
      <c r="D3235" s="1" t="s">
        <v>1998</v>
      </c>
      <c r="E3235" s="1"/>
      <c r="F3235" s="1" t="s">
        <v>11</v>
      </c>
      <c r="G3235">
        <v>1745</v>
      </c>
      <c r="H3235">
        <v>1</v>
      </c>
      <c r="I3235" s="2"/>
      <c r="J3235" s="2">
        <v>45762</v>
      </c>
      <c r="K3235" s="2">
        <v>45772</v>
      </c>
    </row>
    <row r="3236" spans="1:11" x14ac:dyDescent="0.25">
      <c r="A3236" s="1" t="s">
        <v>591</v>
      </c>
      <c r="B3236" s="1" t="s">
        <v>1676</v>
      </c>
      <c r="C3236" s="1" t="s">
        <v>2124</v>
      </c>
      <c r="D3236" s="1" t="s">
        <v>1998</v>
      </c>
      <c r="E3236" s="1"/>
      <c r="F3236" s="1" t="s">
        <v>11</v>
      </c>
      <c r="G3236">
        <v>3745</v>
      </c>
      <c r="H3236">
        <v>3745</v>
      </c>
      <c r="I3236" s="2"/>
      <c r="J3236" s="2">
        <v>45762</v>
      </c>
      <c r="K3236" s="2">
        <v>45772</v>
      </c>
    </row>
    <row r="3237" spans="1:11" x14ac:dyDescent="0.25">
      <c r="A3237" s="1" t="s">
        <v>591</v>
      </c>
      <c r="B3237" s="1" t="s">
        <v>1677</v>
      </c>
      <c r="C3237" s="1" t="s">
        <v>2583</v>
      </c>
      <c r="D3237" s="1" t="s">
        <v>1998</v>
      </c>
      <c r="E3237" s="1"/>
      <c r="F3237" s="1" t="s">
        <v>11</v>
      </c>
      <c r="G3237">
        <v>3505</v>
      </c>
      <c r="H3237">
        <v>3505</v>
      </c>
      <c r="I3237" s="2"/>
      <c r="J3237" s="2">
        <v>45762</v>
      </c>
      <c r="K3237" s="2">
        <v>45772</v>
      </c>
    </row>
    <row r="3238" spans="1:11" x14ac:dyDescent="0.25">
      <c r="A3238" s="1" t="s">
        <v>591</v>
      </c>
      <c r="B3238" s="1" t="s">
        <v>1126</v>
      </c>
      <c r="C3238" s="1" t="s">
        <v>2126</v>
      </c>
      <c r="D3238" s="1" t="s">
        <v>1998</v>
      </c>
      <c r="E3238" s="1"/>
      <c r="F3238" s="1" t="s">
        <v>11</v>
      </c>
      <c r="G3238">
        <v>115</v>
      </c>
      <c r="H3238">
        <v>115</v>
      </c>
      <c r="I3238" s="2"/>
      <c r="J3238" s="2">
        <v>45762</v>
      </c>
      <c r="K3238" s="2">
        <v>45772</v>
      </c>
    </row>
    <row r="3239" spans="1:11" x14ac:dyDescent="0.25">
      <c r="A3239" s="1" t="s">
        <v>591</v>
      </c>
      <c r="B3239" s="1" t="s">
        <v>1678</v>
      </c>
      <c r="C3239" s="1" t="s">
        <v>2584</v>
      </c>
      <c r="D3239" s="1" t="s">
        <v>1998</v>
      </c>
      <c r="E3239" s="1"/>
      <c r="F3239" s="1" t="s">
        <v>11</v>
      </c>
      <c r="G3239">
        <v>2195</v>
      </c>
      <c r="H3239">
        <v>2195</v>
      </c>
      <c r="I3239" s="2"/>
      <c r="J3239" s="2">
        <v>45762</v>
      </c>
      <c r="K3239" s="2">
        <v>45772</v>
      </c>
    </row>
    <row r="3240" spans="1:11" x14ac:dyDescent="0.25">
      <c r="A3240" s="1" t="s">
        <v>591</v>
      </c>
      <c r="B3240" s="1" t="s">
        <v>1679</v>
      </c>
      <c r="C3240" s="1" t="s">
        <v>2585</v>
      </c>
      <c r="D3240" s="1" t="s">
        <v>1998</v>
      </c>
      <c r="E3240" s="1"/>
      <c r="F3240" s="1" t="s">
        <v>11</v>
      </c>
      <c r="G3240">
        <v>80</v>
      </c>
      <c r="H3240">
        <v>80</v>
      </c>
      <c r="I3240" s="2"/>
      <c r="J3240" s="2">
        <v>45762</v>
      </c>
      <c r="K3240" s="2">
        <v>45772</v>
      </c>
    </row>
    <row r="3241" spans="1:11" x14ac:dyDescent="0.25">
      <c r="A3241" s="1" t="s">
        <v>591</v>
      </c>
      <c r="B3241" s="1" t="s">
        <v>1680</v>
      </c>
      <c r="C3241" s="1" t="s">
        <v>2586</v>
      </c>
      <c r="D3241" s="1" t="s">
        <v>1998</v>
      </c>
      <c r="E3241" s="1"/>
      <c r="F3241" s="1" t="s">
        <v>11</v>
      </c>
      <c r="G3241">
        <v>2645</v>
      </c>
      <c r="H3241">
        <v>2645</v>
      </c>
      <c r="I3241" s="2"/>
      <c r="J3241" s="2">
        <v>45762</v>
      </c>
      <c r="K3241" s="2">
        <v>45772</v>
      </c>
    </row>
    <row r="3242" spans="1:11" x14ac:dyDescent="0.25">
      <c r="A3242" s="1" t="s">
        <v>591</v>
      </c>
      <c r="B3242" s="1" t="s">
        <v>1681</v>
      </c>
      <c r="C3242" s="1" t="s">
        <v>2129</v>
      </c>
      <c r="D3242" s="1" t="s">
        <v>1998</v>
      </c>
      <c r="E3242" s="1"/>
      <c r="F3242" s="1" t="s">
        <v>11</v>
      </c>
      <c r="G3242">
        <v>1810</v>
      </c>
      <c r="H3242">
        <v>1810</v>
      </c>
      <c r="I3242" s="2"/>
      <c r="J3242" s="2">
        <v>45762</v>
      </c>
      <c r="K3242" s="2">
        <v>45772</v>
      </c>
    </row>
    <row r="3243" spans="1:11" x14ac:dyDescent="0.25">
      <c r="A3243" s="1" t="s">
        <v>591</v>
      </c>
      <c r="B3243" s="1" t="s">
        <v>1682</v>
      </c>
      <c r="C3243" s="1" t="s">
        <v>2587</v>
      </c>
      <c r="D3243" s="1" t="s">
        <v>1998</v>
      </c>
      <c r="E3243" s="1"/>
      <c r="F3243" s="1" t="s">
        <v>11</v>
      </c>
      <c r="G3243">
        <v>2375</v>
      </c>
      <c r="H3243">
        <v>2375</v>
      </c>
      <c r="I3243" s="2"/>
      <c r="J3243" s="2">
        <v>45762</v>
      </c>
      <c r="K3243" s="2">
        <v>45772</v>
      </c>
    </row>
    <row r="3244" spans="1:11" x14ac:dyDescent="0.25">
      <c r="A3244" s="1" t="s">
        <v>591</v>
      </c>
      <c r="B3244" s="1" t="s">
        <v>1683</v>
      </c>
      <c r="C3244" s="1" t="s">
        <v>2518</v>
      </c>
      <c r="D3244" s="1" t="s">
        <v>1998</v>
      </c>
      <c r="E3244" s="1"/>
      <c r="F3244" s="1" t="s">
        <v>11</v>
      </c>
      <c r="G3244">
        <v>250</v>
      </c>
      <c r="H3244">
        <v>250</v>
      </c>
      <c r="I3244" s="2"/>
      <c r="J3244" s="2">
        <v>45762</v>
      </c>
      <c r="K3244" s="2">
        <v>45772</v>
      </c>
    </row>
    <row r="3245" spans="1:11" x14ac:dyDescent="0.25">
      <c r="A3245" s="1" t="s">
        <v>591</v>
      </c>
      <c r="B3245" s="1" t="s">
        <v>1684</v>
      </c>
      <c r="C3245" s="1" t="s">
        <v>2002</v>
      </c>
      <c r="D3245" s="1" t="s">
        <v>1998</v>
      </c>
      <c r="E3245" s="1"/>
      <c r="F3245" s="1" t="s">
        <v>11</v>
      </c>
      <c r="G3245">
        <v>1875</v>
      </c>
      <c r="H3245">
        <v>1875</v>
      </c>
      <c r="I3245" s="2"/>
      <c r="J3245" s="2">
        <v>45762</v>
      </c>
      <c r="K3245" s="2">
        <v>45772</v>
      </c>
    </row>
    <row r="3246" spans="1:11" x14ac:dyDescent="0.25">
      <c r="A3246" s="1" t="s">
        <v>591</v>
      </c>
      <c r="B3246" s="1" t="s">
        <v>1685</v>
      </c>
      <c r="C3246" s="1" t="s">
        <v>2002</v>
      </c>
      <c r="D3246" s="1" t="s">
        <v>1998</v>
      </c>
      <c r="E3246" s="1"/>
      <c r="F3246" s="1" t="s">
        <v>11</v>
      </c>
      <c r="G3246">
        <v>2915</v>
      </c>
      <c r="H3246">
        <v>2915</v>
      </c>
      <c r="I3246" s="2"/>
      <c r="J3246" s="2">
        <v>45762</v>
      </c>
      <c r="K3246" s="2">
        <v>45772</v>
      </c>
    </row>
    <row r="3247" spans="1:11" x14ac:dyDescent="0.25">
      <c r="A3247" s="1" t="s">
        <v>592</v>
      </c>
      <c r="B3247" s="1" t="s">
        <v>1686</v>
      </c>
      <c r="C3247" s="1" t="s">
        <v>2014</v>
      </c>
      <c r="D3247" s="1" t="s">
        <v>1998</v>
      </c>
      <c r="E3247" s="1"/>
      <c r="F3247" s="1" t="s">
        <v>11</v>
      </c>
      <c r="G3247">
        <v>220</v>
      </c>
      <c r="H3247">
        <v>220</v>
      </c>
      <c r="I3247" s="2">
        <v>45782</v>
      </c>
      <c r="J3247" s="2">
        <v>45761</v>
      </c>
      <c r="K3247" s="2">
        <v>45782</v>
      </c>
    </row>
    <row r="3248" spans="1:11" x14ac:dyDescent="0.25">
      <c r="A3248" s="1" t="s">
        <v>592</v>
      </c>
      <c r="B3248" s="1" t="s">
        <v>1686</v>
      </c>
      <c r="C3248" s="1" t="s">
        <v>2014</v>
      </c>
      <c r="D3248" s="1" t="s">
        <v>1998</v>
      </c>
      <c r="E3248" s="1"/>
      <c r="F3248" s="1" t="s">
        <v>16</v>
      </c>
      <c r="G3248">
        <v>1</v>
      </c>
      <c r="H3248">
        <v>1</v>
      </c>
      <c r="I3248" s="2">
        <v>45782</v>
      </c>
      <c r="J3248" s="2">
        <v>45761</v>
      </c>
      <c r="K3248" s="2">
        <v>45782</v>
      </c>
    </row>
    <row r="3249" spans="1:11" x14ac:dyDescent="0.25">
      <c r="A3249" s="1" t="s">
        <v>592</v>
      </c>
      <c r="B3249" s="1" t="s">
        <v>1687</v>
      </c>
      <c r="C3249" s="1" t="s">
        <v>2588</v>
      </c>
      <c r="D3249" s="1" t="s">
        <v>1998</v>
      </c>
      <c r="E3249" s="1"/>
      <c r="F3249" s="1" t="s">
        <v>11</v>
      </c>
      <c r="G3249">
        <v>965</v>
      </c>
      <c r="H3249">
        <v>965</v>
      </c>
      <c r="I3249" s="2">
        <v>45782</v>
      </c>
      <c r="J3249" s="2">
        <v>45761</v>
      </c>
      <c r="K3249" s="2">
        <v>45782</v>
      </c>
    </row>
    <row r="3250" spans="1:11" x14ac:dyDescent="0.25">
      <c r="A3250" s="1" t="s">
        <v>592</v>
      </c>
      <c r="B3250" s="1" t="s">
        <v>1688</v>
      </c>
      <c r="C3250" s="1" t="s">
        <v>2589</v>
      </c>
      <c r="D3250" s="1" t="s">
        <v>1998</v>
      </c>
      <c r="E3250" s="1"/>
      <c r="F3250" s="1" t="s">
        <v>11</v>
      </c>
      <c r="G3250">
        <v>55</v>
      </c>
      <c r="H3250">
        <v>55</v>
      </c>
      <c r="I3250" s="2">
        <v>45782</v>
      </c>
      <c r="J3250" s="2">
        <v>45761</v>
      </c>
      <c r="K3250" s="2">
        <v>45782</v>
      </c>
    </row>
    <row r="3251" spans="1:11" x14ac:dyDescent="0.25">
      <c r="A3251" s="1" t="s">
        <v>592</v>
      </c>
      <c r="B3251" s="1" t="s">
        <v>1688</v>
      </c>
      <c r="C3251" s="1" t="s">
        <v>2589</v>
      </c>
      <c r="D3251" s="1" t="s">
        <v>1998</v>
      </c>
      <c r="E3251" s="1"/>
      <c r="F3251" s="1" t="s">
        <v>11</v>
      </c>
      <c r="G3251">
        <v>1</v>
      </c>
      <c r="H3251">
        <v>1</v>
      </c>
      <c r="I3251" s="2">
        <v>45782</v>
      </c>
      <c r="J3251" s="2">
        <v>45761</v>
      </c>
      <c r="K3251" s="2">
        <v>45782</v>
      </c>
    </row>
    <row r="3252" spans="1:11" x14ac:dyDescent="0.25">
      <c r="A3252" s="1" t="s">
        <v>593</v>
      </c>
      <c r="B3252" s="1" t="s">
        <v>1686</v>
      </c>
      <c r="C3252" s="1" t="s">
        <v>2014</v>
      </c>
      <c r="D3252" s="1" t="s">
        <v>1998</v>
      </c>
      <c r="E3252" s="1"/>
      <c r="F3252" s="1" t="s">
        <v>11</v>
      </c>
      <c r="G3252">
        <v>125</v>
      </c>
      <c r="H3252">
        <v>125</v>
      </c>
      <c r="I3252" s="2">
        <v>45785</v>
      </c>
      <c r="J3252" s="2">
        <v>45772</v>
      </c>
      <c r="K3252" s="2">
        <v>45785</v>
      </c>
    </row>
    <row r="3253" spans="1:11" x14ac:dyDescent="0.25">
      <c r="A3253" s="1" t="s">
        <v>594</v>
      </c>
      <c r="B3253" s="1" t="s">
        <v>1689</v>
      </c>
      <c r="C3253" s="1" t="s">
        <v>2590</v>
      </c>
      <c r="D3253" s="1" t="s">
        <v>1998</v>
      </c>
      <c r="E3253" s="1"/>
      <c r="F3253" s="1" t="s">
        <v>11</v>
      </c>
      <c r="G3253">
        <v>3595</v>
      </c>
      <c r="H3253">
        <v>3620</v>
      </c>
      <c r="I3253" s="2"/>
      <c r="J3253" s="2">
        <v>45761</v>
      </c>
      <c r="K3253" s="2">
        <v>45785</v>
      </c>
    </row>
    <row r="3254" spans="1:11" x14ac:dyDescent="0.25">
      <c r="A3254" s="1" t="s">
        <v>594</v>
      </c>
      <c r="B3254" s="1" t="s">
        <v>1690</v>
      </c>
      <c r="C3254" s="1" t="s">
        <v>2572</v>
      </c>
      <c r="D3254" s="1" t="s">
        <v>1998</v>
      </c>
      <c r="E3254" s="1"/>
      <c r="F3254" s="1" t="s">
        <v>11</v>
      </c>
      <c r="G3254">
        <v>11685</v>
      </c>
      <c r="H3254">
        <v>11685</v>
      </c>
      <c r="I3254" s="2"/>
      <c r="J3254" s="2">
        <v>45761</v>
      </c>
      <c r="K3254" s="2">
        <v>45785</v>
      </c>
    </row>
    <row r="3255" spans="1:11" x14ac:dyDescent="0.25">
      <c r="A3255" s="1" t="s">
        <v>595</v>
      </c>
      <c r="B3255" s="1" t="s">
        <v>1691</v>
      </c>
      <c r="C3255" s="1" t="s">
        <v>2591</v>
      </c>
      <c r="D3255" s="1" t="s">
        <v>1998</v>
      </c>
      <c r="E3255" s="1"/>
      <c r="F3255" s="1" t="s">
        <v>11</v>
      </c>
      <c r="G3255">
        <v>2750</v>
      </c>
      <c r="H3255">
        <v>2750</v>
      </c>
      <c r="I3255" s="2">
        <v>45783</v>
      </c>
      <c r="J3255" s="2">
        <v>45779</v>
      </c>
      <c r="K3255" s="2">
        <v>45783</v>
      </c>
    </row>
    <row r="3256" spans="1:11" x14ac:dyDescent="0.25">
      <c r="A3256" s="1" t="s">
        <v>595</v>
      </c>
      <c r="B3256" s="1" t="s">
        <v>1692</v>
      </c>
      <c r="C3256" s="1" t="s">
        <v>2592</v>
      </c>
      <c r="D3256" s="1" t="s">
        <v>1998</v>
      </c>
      <c r="E3256" s="1"/>
      <c r="F3256" s="1" t="s">
        <v>11</v>
      </c>
      <c r="G3256">
        <v>2740</v>
      </c>
      <c r="H3256">
        <v>2740</v>
      </c>
      <c r="I3256" s="2">
        <v>45783</v>
      </c>
      <c r="J3256" s="2">
        <v>45779</v>
      </c>
      <c r="K3256" s="2">
        <v>45783</v>
      </c>
    </row>
    <row r="3257" spans="1:11" x14ac:dyDescent="0.25">
      <c r="A3257" s="1" t="s">
        <v>595</v>
      </c>
      <c r="B3257" s="1" t="s">
        <v>1693</v>
      </c>
      <c r="C3257" s="1" t="s">
        <v>2593</v>
      </c>
      <c r="D3257" s="1" t="s">
        <v>1998</v>
      </c>
      <c r="E3257" s="1"/>
      <c r="F3257" s="1" t="s">
        <v>11</v>
      </c>
      <c r="G3257">
        <v>2600</v>
      </c>
      <c r="H3257">
        <v>2600</v>
      </c>
      <c r="I3257" s="2">
        <v>45783</v>
      </c>
      <c r="J3257" s="2">
        <v>45779</v>
      </c>
      <c r="K3257" s="2">
        <v>45783</v>
      </c>
    </row>
    <row r="3258" spans="1:11" x14ac:dyDescent="0.25">
      <c r="A3258" s="1" t="s">
        <v>595</v>
      </c>
      <c r="B3258" s="1" t="s">
        <v>1694</v>
      </c>
      <c r="C3258" s="1" t="s">
        <v>2593</v>
      </c>
      <c r="D3258" s="1" t="s">
        <v>1998</v>
      </c>
      <c r="E3258" s="1"/>
      <c r="F3258" s="1" t="s">
        <v>11</v>
      </c>
      <c r="G3258">
        <v>2740</v>
      </c>
      <c r="H3258">
        <v>2740</v>
      </c>
      <c r="I3258" s="2">
        <v>45783</v>
      </c>
      <c r="J3258" s="2">
        <v>45779</v>
      </c>
      <c r="K3258" s="2">
        <v>45783</v>
      </c>
    </row>
    <row r="3259" spans="1:11" x14ac:dyDescent="0.25">
      <c r="A3259" s="1" t="s">
        <v>595</v>
      </c>
      <c r="B3259" s="1" t="s">
        <v>1695</v>
      </c>
      <c r="C3259" s="1" t="s">
        <v>2594</v>
      </c>
      <c r="D3259" s="1" t="s">
        <v>1998</v>
      </c>
      <c r="E3259" s="1"/>
      <c r="F3259" s="1" t="s">
        <v>11</v>
      </c>
      <c r="G3259">
        <v>9565</v>
      </c>
      <c r="H3259">
        <v>9565</v>
      </c>
      <c r="I3259" s="2">
        <v>45783</v>
      </c>
      <c r="J3259" s="2">
        <v>45779</v>
      </c>
      <c r="K3259" s="2">
        <v>45783</v>
      </c>
    </row>
    <row r="3260" spans="1:11" x14ac:dyDescent="0.25">
      <c r="A3260" s="1" t="s">
        <v>596</v>
      </c>
      <c r="B3260" s="1" t="s">
        <v>1377</v>
      </c>
      <c r="C3260" s="1" t="s">
        <v>2326</v>
      </c>
      <c r="D3260" s="1" t="s">
        <v>1998</v>
      </c>
      <c r="E3260" s="1"/>
      <c r="F3260" s="1" t="s">
        <v>11</v>
      </c>
      <c r="G3260">
        <v>3500</v>
      </c>
      <c r="H3260">
        <v>2395</v>
      </c>
      <c r="I3260" s="2"/>
      <c r="J3260" s="2">
        <v>45762</v>
      </c>
      <c r="K3260" s="2">
        <v>45772</v>
      </c>
    </row>
    <row r="3261" spans="1:11" x14ac:dyDescent="0.25">
      <c r="A3261" s="1" t="s">
        <v>597</v>
      </c>
      <c r="B3261" s="1" t="s">
        <v>1256</v>
      </c>
      <c r="C3261" s="1" t="s">
        <v>2014</v>
      </c>
      <c r="D3261" s="1" t="s">
        <v>1998</v>
      </c>
      <c r="E3261" s="1"/>
      <c r="F3261" s="1" t="s">
        <v>11</v>
      </c>
      <c r="G3261">
        <v>3990</v>
      </c>
      <c r="H3261">
        <v>3990</v>
      </c>
      <c r="I3261" s="2"/>
      <c r="J3261" s="2">
        <v>45765</v>
      </c>
      <c r="K3261" s="2">
        <v>45789</v>
      </c>
    </row>
    <row r="3262" spans="1:11" x14ac:dyDescent="0.25">
      <c r="A3262" s="1" t="s">
        <v>597</v>
      </c>
      <c r="B3262" s="1" t="s">
        <v>1257</v>
      </c>
      <c r="C3262" s="1" t="s">
        <v>2236</v>
      </c>
      <c r="D3262" s="1" t="s">
        <v>1998</v>
      </c>
      <c r="E3262" s="1"/>
      <c r="F3262" s="1" t="s">
        <v>11</v>
      </c>
      <c r="G3262">
        <v>2330</v>
      </c>
      <c r="H3262">
        <v>2330</v>
      </c>
      <c r="I3262" s="2"/>
      <c r="J3262" s="2">
        <v>45765</v>
      </c>
      <c r="K3262" s="2">
        <v>45789</v>
      </c>
    </row>
    <row r="3263" spans="1:11" x14ac:dyDescent="0.25">
      <c r="A3263" s="1" t="s">
        <v>598</v>
      </c>
      <c r="B3263" s="1" t="s">
        <v>1305</v>
      </c>
      <c r="C3263" s="1" t="s">
        <v>2277</v>
      </c>
      <c r="D3263" s="1" t="s">
        <v>1998</v>
      </c>
      <c r="E3263" s="1"/>
      <c r="F3263" s="1" t="s">
        <v>11</v>
      </c>
      <c r="G3263">
        <v>30</v>
      </c>
      <c r="H3263">
        <v>30</v>
      </c>
      <c r="I3263" s="2"/>
      <c r="J3263" s="2">
        <v>45761</v>
      </c>
      <c r="K3263" s="2">
        <v>45786</v>
      </c>
    </row>
    <row r="3264" spans="1:11" x14ac:dyDescent="0.25">
      <c r="A3264" s="1" t="s">
        <v>598</v>
      </c>
      <c r="B3264" s="1" t="s">
        <v>1306</v>
      </c>
      <c r="C3264" s="1" t="s">
        <v>2278</v>
      </c>
      <c r="D3264" s="1" t="s">
        <v>1998</v>
      </c>
      <c r="E3264" s="1"/>
      <c r="F3264" s="1" t="s">
        <v>11</v>
      </c>
      <c r="G3264">
        <v>25</v>
      </c>
      <c r="H3264">
        <v>25</v>
      </c>
      <c r="I3264" s="2"/>
      <c r="J3264" s="2">
        <v>45761</v>
      </c>
      <c r="K3264" s="2">
        <v>45786</v>
      </c>
    </row>
    <row r="3265" spans="1:11" x14ac:dyDescent="0.25">
      <c r="A3265" s="1" t="s">
        <v>598</v>
      </c>
      <c r="B3265" s="1" t="s">
        <v>1307</v>
      </c>
      <c r="C3265" s="1" t="s">
        <v>2279</v>
      </c>
      <c r="D3265" s="1" t="s">
        <v>1998</v>
      </c>
      <c r="E3265" s="1"/>
      <c r="F3265" s="1" t="s">
        <v>11</v>
      </c>
      <c r="G3265">
        <v>1</v>
      </c>
      <c r="H3265">
        <v>1</v>
      </c>
      <c r="I3265" s="2"/>
      <c r="J3265" s="2">
        <v>45761</v>
      </c>
      <c r="K3265" s="2">
        <v>45786</v>
      </c>
    </row>
    <row r="3266" spans="1:11" x14ac:dyDescent="0.25">
      <c r="A3266" s="1" t="s">
        <v>598</v>
      </c>
      <c r="B3266" s="1" t="s">
        <v>1307</v>
      </c>
      <c r="C3266" s="1" t="s">
        <v>2279</v>
      </c>
      <c r="D3266" s="1" t="s">
        <v>1998</v>
      </c>
      <c r="E3266" s="1"/>
      <c r="F3266" s="1" t="s">
        <v>11</v>
      </c>
      <c r="G3266">
        <v>1</v>
      </c>
      <c r="H3266">
        <v>1</v>
      </c>
      <c r="I3266" s="2"/>
      <c r="J3266" s="2">
        <v>45761</v>
      </c>
      <c r="K3266" s="2">
        <v>45786</v>
      </c>
    </row>
    <row r="3267" spans="1:11" x14ac:dyDescent="0.25">
      <c r="A3267" s="1" t="s">
        <v>598</v>
      </c>
      <c r="B3267" s="1" t="s">
        <v>1308</v>
      </c>
      <c r="C3267" s="1" t="s">
        <v>2280</v>
      </c>
      <c r="D3267" s="1" t="s">
        <v>1998</v>
      </c>
      <c r="E3267" s="1"/>
      <c r="F3267" s="1" t="s">
        <v>11</v>
      </c>
      <c r="G3267">
        <v>1</v>
      </c>
      <c r="H3267">
        <v>1</v>
      </c>
      <c r="I3267" s="2"/>
      <c r="J3267" s="2">
        <v>45761</v>
      </c>
      <c r="K3267" s="2">
        <v>45786</v>
      </c>
    </row>
    <row r="3268" spans="1:11" x14ac:dyDescent="0.25">
      <c r="A3268" s="1" t="s">
        <v>598</v>
      </c>
      <c r="B3268" s="1" t="s">
        <v>1309</v>
      </c>
      <c r="C3268" s="1" t="s">
        <v>2281</v>
      </c>
      <c r="D3268" s="1" t="s">
        <v>1998</v>
      </c>
      <c r="E3268" s="1"/>
      <c r="F3268" s="1" t="s">
        <v>11</v>
      </c>
      <c r="G3268">
        <v>545</v>
      </c>
      <c r="H3268">
        <v>545</v>
      </c>
      <c r="I3268" s="2"/>
      <c r="J3268" s="2">
        <v>45761</v>
      </c>
      <c r="K3268" s="2">
        <v>45786</v>
      </c>
    </row>
    <row r="3269" spans="1:11" x14ac:dyDescent="0.25">
      <c r="A3269" s="1" t="s">
        <v>598</v>
      </c>
      <c r="B3269" s="1" t="s">
        <v>1310</v>
      </c>
      <c r="C3269" s="1" t="s">
        <v>2115</v>
      </c>
      <c r="D3269" s="1" t="s">
        <v>1998</v>
      </c>
      <c r="E3269" s="1"/>
      <c r="F3269" s="1" t="s">
        <v>11</v>
      </c>
      <c r="G3269">
        <v>775</v>
      </c>
      <c r="H3269">
        <v>775</v>
      </c>
      <c r="I3269" s="2"/>
      <c r="J3269" s="2">
        <v>45761</v>
      </c>
      <c r="K3269" s="2">
        <v>45786</v>
      </c>
    </row>
    <row r="3270" spans="1:11" x14ac:dyDescent="0.25">
      <c r="A3270" s="1" t="s">
        <v>598</v>
      </c>
      <c r="B3270" s="1" t="s">
        <v>1311</v>
      </c>
      <c r="C3270" s="1" t="s">
        <v>2282</v>
      </c>
      <c r="D3270" s="1" t="s">
        <v>1998</v>
      </c>
      <c r="E3270" s="1"/>
      <c r="F3270" s="1" t="s">
        <v>11</v>
      </c>
      <c r="G3270">
        <v>215</v>
      </c>
      <c r="H3270">
        <v>215</v>
      </c>
      <c r="I3270" s="2"/>
      <c r="J3270" s="2">
        <v>45761</v>
      </c>
      <c r="K3270" s="2">
        <v>45786</v>
      </c>
    </row>
    <row r="3271" spans="1:11" x14ac:dyDescent="0.25">
      <c r="A3271" s="1" t="s">
        <v>598</v>
      </c>
      <c r="B3271" s="1" t="s">
        <v>1323</v>
      </c>
      <c r="C3271" s="1" t="s">
        <v>2282</v>
      </c>
      <c r="D3271" s="1" t="s">
        <v>1998</v>
      </c>
      <c r="E3271" s="1"/>
      <c r="F3271" s="1" t="s">
        <v>11</v>
      </c>
      <c r="G3271">
        <v>200</v>
      </c>
      <c r="H3271">
        <v>200</v>
      </c>
      <c r="I3271" s="2"/>
      <c r="J3271" s="2">
        <v>45761</v>
      </c>
      <c r="K3271" s="2">
        <v>45786</v>
      </c>
    </row>
    <row r="3272" spans="1:11" x14ac:dyDescent="0.25">
      <c r="A3272" s="1" t="s">
        <v>598</v>
      </c>
      <c r="B3272" s="1" t="s">
        <v>1312</v>
      </c>
      <c r="C3272" s="1" t="s">
        <v>2283</v>
      </c>
      <c r="D3272" s="1" t="s">
        <v>1998</v>
      </c>
      <c r="E3272" s="1"/>
      <c r="F3272" s="1" t="s">
        <v>11</v>
      </c>
      <c r="G3272">
        <v>85</v>
      </c>
      <c r="H3272">
        <v>85</v>
      </c>
      <c r="I3272" s="2"/>
      <c r="J3272" s="2">
        <v>45761</v>
      </c>
      <c r="K3272" s="2">
        <v>45786</v>
      </c>
    </row>
    <row r="3273" spans="1:11" x14ac:dyDescent="0.25">
      <c r="A3273" s="1" t="s">
        <v>598</v>
      </c>
      <c r="B3273" s="1" t="s">
        <v>1313</v>
      </c>
      <c r="C3273" s="1" t="s">
        <v>2284</v>
      </c>
      <c r="D3273" s="1" t="s">
        <v>1998</v>
      </c>
      <c r="E3273" s="1"/>
      <c r="F3273" s="1" t="s">
        <v>11</v>
      </c>
      <c r="G3273">
        <v>115</v>
      </c>
      <c r="H3273">
        <v>115</v>
      </c>
      <c r="I3273" s="2"/>
      <c r="J3273" s="2">
        <v>45761</v>
      </c>
      <c r="K3273" s="2">
        <v>45786</v>
      </c>
    </row>
    <row r="3274" spans="1:11" x14ac:dyDescent="0.25">
      <c r="A3274" s="1" t="s">
        <v>598</v>
      </c>
      <c r="B3274" s="1" t="s">
        <v>1314</v>
      </c>
      <c r="C3274" s="1" t="s">
        <v>2285</v>
      </c>
      <c r="D3274" s="1" t="s">
        <v>1998</v>
      </c>
      <c r="E3274" s="1"/>
      <c r="F3274" s="1" t="s">
        <v>11</v>
      </c>
      <c r="G3274">
        <v>60</v>
      </c>
      <c r="H3274">
        <v>60</v>
      </c>
      <c r="I3274" s="2"/>
      <c r="J3274" s="2">
        <v>45761</v>
      </c>
      <c r="K3274" s="2">
        <v>45786</v>
      </c>
    </row>
    <row r="3275" spans="1:11" x14ac:dyDescent="0.25">
      <c r="A3275" s="1" t="s">
        <v>598</v>
      </c>
      <c r="B3275" s="1" t="s">
        <v>1315</v>
      </c>
      <c r="C3275" s="1" t="s">
        <v>2286</v>
      </c>
      <c r="D3275" s="1" t="s">
        <v>1998</v>
      </c>
      <c r="E3275" s="1"/>
      <c r="F3275" s="1" t="s">
        <v>11</v>
      </c>
      <c r="G3275">
        <v>115</v>
      </c>
      <c r="H3275">
        <v>115</v>
      </c>
      <c r="I3275" s="2"/>
      <c r="J3275" s="2">
        <v>45761</v>
      </c>
      <c r="K3275" s="2">
        <v>45786</v>
      </c>
    </row>
    <row r="3276" spans="1:11" x14ac:dyDescent="0.25">
      <c r="A3276" s="1" t="s">
        <v>598</v>
      </c>
      <c r="B3276" s="1" t="s">
        <v>1316</v>
      </c>
      <c r="C3276" s="1" t="s">
        <v>2287</v>
      </c>
      <c r="D3276" s="1" t="s">
        <v>1998</v>
      </c>
      <c r="E3276" s="1"/>
      <c r="F3276" s="1" t="s">
        <v>11</v>
      </c>
      <c r="G3276">
        <v>35</v>
      </c>
      <c r="H3276">
        <v>35</v>
      </c>
      <c r="I3276" s="2"/>
      <c r="J3276" s="2">
        <v>45761</v>
      </c>
      <c r="K3276" s="2">
        <v>45786</v>
      </c>
    </row>
    <row r="3277" spans="1:11" x14ac:dyDescent="0.25">
      <c r="A3277" s="1" t="s">
        <v>598</v>
      </c>
      <c r="B3277" s="1" t="s">
        <v>1317</v>
      </c>
      <c r="C3277" s="1" t="s">
        <v>2288</v>
      </c>
      <c r="D3277" s="1" t="s">
        <v>1998</v>
      </c>
      <c r="E3277" s="1"/>
      <c r="F3277" s="1" t="s">
        <v>11</v>
      </c>
      <c r="G3277">
        <v>5</v>
      </c>
      <c r="H3277">
        <v>1</v>
      </c>
      <c r="I3277" s="2"/>
      <c r="J3277" s="2">
        <v>45761</v>
      </c>
      <c r="K3277" s="2">
        <v>45786</v>
      </c>
    </row>
    <row r="3278" spans="1:11" x14ac:dyDescent="0.25">
      <c r="A3278" s="1" t="s">
        <v>598</v>
      </c>
      <c r="B3278" s="1" t="s">
        <v>1318</v>
      </c>
      <c r="C3278" s="1" t="s">
        <v>2289</v>
      </c>
      <c r="D3278" s="1" t="s">
        <v>1998</v>
      </c>
      <c r="E3278" s="1"/>
      <c r="F3278" s="1" t="s">
        <v>11</v>
      </c>
      <c r="G3278">
        <v>15</v>
      </c>
      <c r="H3278">
        <v>1</v>
      </c>
      <c r="I3278" s="2"/>
      <c r="J3278" s="2">
        <v>45761</v>
      </c>
      <c r="K3278" s="2">
        <v>45786</v>
      </c>
    </row>
    <row r="3279" spans="1:11" x14ac:dyDescent="0.25">
      <c r="A3279" s="1" t="s">
        <v>598</v>
      </c>
      <c r="B3279" s="1" t="s">
        <v>1068</v>
      </c>
      <c r="C3279" s="1" t="s">
        <v>2074</v>
      </c>
      <c r="D3279" s="1" t="s">
        <v>1998</v>
      </c>
      <c r="E3279" s="1"/>
      <c r="F3279" s="1" t="s">
        <v>11</v>
      </c>
      <c r="G3279">
        <v>5</v>
      </c>
      <c r="H3279">
        <v>1</v>
      </c>
      <c r="I3279" s="2"/>
      <c r="J3279" s="2">
        <v>45761</v>
      </c>
      <c r="K3279" s="2">
        <v>45786</v>
      </c>
    </row>
    <row r="3280" spans="1:11" x14ac:dyDescent="0.25">
      <c r="A3280" s="1" t="s">
        <v>598</v>
      </c>
      <c r="B3280" s="1" t="s">
        <v>1319</v>
      </c>
      <c r="C3280" s="1" t="s">
        <v>2290</v>
      </c>
      <c r="D3280" s="1" t="s">
        <v>1998</v>
      </c>
      <c r="E3280" s="1"/>
      <c r="F3280" s="1" t="s">
        <v>11</v>
      </c>
      <c r="G3280">
        <v>1</v>
      </c>
      <c r="H3280">
        <v>1</v>
      </c>
      <c r="I3280" s="2"/>
      <c r="J3280" s="2">
        <v>45761</v>
      </c>
      <c r="K3280" s="2">
        <v>45786</v>
      </c>
    </row>
    <row r="3281" spans="1:11" x14ac:dyDescent="0.25">
      <c r="A3281" s="1" t="s">
        <v>598</v>
      </c>
      <c r="B3281" s="1" t="s">
        <v>1328</v>
      </c>
      <c r="C3281" s="1" t="s">
        <v>2291</v>
      </c>
      <c r="D3281" s="1" t="s">
        <v>1998</v>
      </c>
      <c r="E3281" s="1"/>
      <c r="F3281" s="1" t="s">
        <v>11</v>
      </c>
      <c r="G3281">
        <v>1</v>
      </c>
      <c r="H3281">
        <v>1</v>
      </c>
      <c r="I3281" s="2"/>
      <c r="J3281" s="2">
        <v>45761</v>
      </c>
      <c r="K3281" s="2">
        <v>45786</v>
      </c>
    </row>
    <row r="3282" spans="1:11" x14ac:dyDescent="0.25">
      <c r="A3282" s="1" t="s">
        <v>598</v>
      </c>
      <c r="B3282" s="1" t="s">
        <v>1329</v>
      </c>
      <c r="C3282" s="1" t="s">
        <v>2291</v>
      </c>
      <c r="D3282" s="1" t="s">
        <v>1998</v>
      </c>
      <c r="E3282" s="1"/>
      <c r="F3282" s="1" t="s">
        <v>11</v>
      </c>
      <c r="G3282">
        <v>1</v>
      </c>
      <c r="H3282">
        <v>1</v>
      </c>
      <c r="I3282" s="2"/>
      <c r="J3282" s="2">
        <v>45761</v>
      </c>
      <c r="K3282" s="2">
        <v>45786</v>
      </c>
    </row>
    <row r="3283" spans="1:11" x14ac:dyDescent="0.25">
      <c r="A3283" s="1" t="s">
        <v>598</v>
      </c>
      <c r="B3283" s="1" t="s">
        <v>1322</v>
      </c>
      <c r="C3283" s="1" t="s">
        <v>2292</v>
      </c>
      <c r="D3283" s="1" t="s">
        <v>1998</v>
      </c>
      <c r="E3283" s="1"/>
      <c r="F3283" s="1" t="s">
        <v>11</v>
      </c>
      <c r="G3283">
        <v>10</v>
      </c>
      <c r="H3283">
        <v>10</v>
      </c>
      <c r="I3283" s="2"/>
      <c r="J3283" s="2">
        <v>45761</v>
      </c>
      <c r="K3283" s="2">
        <v>45786</v>
      </c>
    </row>
    <row r="3284" spans="1:11" x14ac:dyDescent="0.25">
      <c r="A3284" s="1" t="s">
        <v>599</v>
      </c>
      <c r="B3284" s="1" t="s">
        <v>1305</v>
      </c>
      <c r="C3284" s="1" t="s">
        <v>2277</v>
      </c>
      <c r="D3284" s="1" t="s">
        <v>1998</v>
      </c>
      <c r="E3284" s="1"/>
      <c r="F3284" s="1" t="s">
        <v>11</v>
      </c>
      <c r="G3284">
        <v>25</v>
      </c>
      <c r="H3284">
        <v>25</v>
      </c>
      <c r="I3284" s="2"/>
      <c r="J3284" s="2">
        <v>45761</v>
      </c>
      <c r="K3284" s="2">
        <v>45789</v>
      </c>
    </row>
    <row r="3285" spans="1:11" x14ac:dyDescent="0.25">
      <c r="A3285" s="1" t="s">
        <v>599</v>
      </c>
      <c r="B3285" s="1" t="s">
        <v>1306</v>
      </c>
      <c r="C3285" s="1" t="s">
        <v>2278</v>
      </c>
      <c r="D3285" s="1" t="s">
        <v>1998</v>
      </c>
      <c r="E3285" s="1"/>
      <c r="F3285" s="1" t="s">
        <v>11</v>
      </c>
      <c r="G3285">
        <v>25</v>
      </c>
      <c r="H3285">
        <v>25</v>
      </c>
      <c r="I3285" s="2"/>
      <c r="J3285" s="2">
        <v>45761</v>
      </c>
      <c r="K3285" s="2">
        <v>45789</v>
      </c>
    </row>
    <row r="3286" spans="1:11" x14ac:dyDescent="0.25">
      <c r="A3286" s="1" t="s">
        <v>599</v>
      </c>
      <c r="B3286" s="1" t="s">
        <v>1307</v>
      </c>
      <c r="C3286" s="1" t="s">
        <v>2279</v>
      </c>
      <c r="D3286" s="1" t="s">
        <v>1998</v>
      </c>
      <c r="E3286" s="1"/>
      <c r="F3286" s="1" t="s">
        <v>11</v>
      </c>
      <c r="G3286">
        <v>1</v>
      </c>
      <c r="H3286">
        <v>1</v>
      </c>
      <c r="I3286" s="2"/>
      <c r="J3286" s="2">
        <v>45761</v>
      </c>
      <c r="K3286" s="2">
        <v>45789</v>
      </c>
    </row>
    <row r="3287" spans="1:11" x14ac:dyDescent="0.25">
      <c r="A3287" s="1" t="s">
        <v>599</v>
      </c>
      <c r="B3287" s="1" t="s">
        <v>1307</v>
      </c>
      <c r="C3287" s="1" t="s">
        <v>2279</v>
      </c>
      <c r="D3287" s="1" t="s">
        <v>1998</v>
      </c>
      <c r="E3287" s="1"/>
      <c r="F3287" s="1" t="s">
        <v>11</v>
      </c>
      <c r="G3287">
        <v>1</v>
      </c>
      <c r="H3287">
        <v>1</v>
      </c>
      <c r="I3287" s="2"/>
      <c r="J3287" s="2">
        <v>45761</v>
      </c>
      <c r="K3287" s="2">
        <v>45789</v>
      </c>
    </row>
    <row r="3288" spans="1:11" x14ac:dyDescent="0.25">
      <c r="A3288" s="1" t="s">
        <v>599</v>
      </c>
      <c r="B3288" s="1" t="s">
        <v>1308</v>
      </c>
      <c r="C3288" s="1" t="s">
        <v>2280</v>
      </c>
      <c r="D3288" s="1" t="s">
        <v>1998</v>
      </c>
      <c r="E3288" s="1"/>
      <c r="F3288" s="1" t="s">
        <v>11</v>
      </c>
      <c r="G3288">
        <v>1</v>
      </c>
      <c r="H3288">
        <v>1</v>
      </c>
      <c r="I3288" s="2"/>
      <c r="J3288" s="2">
        <v>45761</v>
      </c>
      <c r="K3288" s="2">
        <v>45789</v>
      </c>
    </row>
    <row r="3289" spans="1:11" x14ac:dyDescent="0.25">
      <c r="A3289" s="1" t="s">
        <v>599</v>
      </c>
      <c r="B3289" s="1" t="s">
        <v>1309</v>
      </c>
      <c r="C3289" s="1" t="s">
        <v>2281</v>
      </c>
      <c r="D3289" s="1" t="s">
        <v>1998</v>
      </c>
      <c r="E3289" s="1"/>
      <c r="F3289" s="1" t="s">
        <v>11</v>
      </c>
      <c r="G3289">
        <v>725</v>
      </c>
      <c r="H3289">
        <v>725</v>
      </c>
      <c r="I3289" s="2"/>
      <c r="J3289" s="2">
        <v>45761</v>
      </c>
      <c r="K3289" s="2">
        <v>45789</v>
      </c>
    </row>
    <row r="3290" spans="1:11" x14ac:dyDescent="0.25">
      <c r="A3290" s="1" t="s">
        <v>599</v>
      </c>
      <c r="B3290" s="1" t="s">
        <v>1310</v>
      </c>
      <c r="C3290" s="1" t="s">
        <v>2115</v>
      </c>
      <c r="D3290" s="1" t="s">
        <v>1998</v>
      </c>
      <c r="E3290" s="1"/>
      <c r="F3290" s="1" t="s">
        <v>11</v>
      </c>
      <c r="G3290">
        <v>775</v>
      </c>
      <c r="H3290">
        <v>775</v>
      </c>
      <c r="I3290" s="2"/>
      <c r="J3290" s="2">
        <v>45761</v>
      </c>
      <c r="K3290" s="2">
        <v>45789</v>
      </c>
    </row>
    <row r="3291" spans="1:11" x14ac:dyDescent="0.25">
      <c r="A3291" s="1" t="s">
        <v>599</v>
      </c>
      <c r="B3291" s="1" t="s">
        <v>1311</v>
      </c>
      <c r="C3291" s="1" t="s">
        <v>2282</v>
      </c>
      <c r="D3291" s="1" t="s">
        <v>1998</v>
      </c>
      <c r="E3291" s="1"/>
      <c r="F3291" s="1" t="s">
        <v>11</v>
      </c>
      <c r="G3291">
        <v>215</v>
      </c>
      <c r="H3291">
        <v>215</v>
      </c>
      <c r="I3291" s="2"/>
      <c r="J3291" s="2">
        <v>45761</v>
      </c>
      <c r="K3291" s="2">
        <v>45789</v>
      </c>
    </row>
    <row r="3292" spans="1:11" x14ac:dyDescent="0.25">
      <c r="A3292" s="1" t="s">
        <v>599</v>
      </c>
      <c r="B3292" s="1" t="s">
        <v>1312</v>
      </c>
      <c r="C3292" s="1" t="s">
        <v>2283</v>
      </c>
      <c r="D3292" s="1" t="s">
        <v>1998</v>
      </c>
      <c r="E3292" s="1"/>
      <c r="F3292" s="1" t="s">
        <v>11</v>
      </c>
      <c r="G3292">
        <v>85</v>
      </c>
      <c r="H3292">
        <v>85</v>
      </c>
      <c r="I3292" s="2"/>
      <c r="J3292" s="2">
        <v>45761</v>
      </c>
      <c r="K3292" s="2">
        <v>45789</v>
      </c>
    </row>
    <row r="3293" spans="1:11" x14ac:dyDescent="0.25">
      <c r="A3293" s="1" t="s">
        <v>599</v>
      </c>
      <c r="B3293" s="1" t="s">
        <v>1313</v>
      </c>
      <c r="C3293" s="1" t="s">
        <v>2284</v>
      </c>
      <c r="D3293" s="1" t="s">
        <v>1998</v>
      </c>
      <c r="E3293" s="1"/>
      <c r="F3293" s="1" t="s">
        <v>11</v>
      </c>
      <c r="G3293">
        <v>115</v>
      </c>
      <c r="H3293">
        <v>115</v>
      </c>
      <c r="I3293" s="2"/>
      <c r="J3293" s="2">
        <v>45761</v>
      </c>
      <c r="K3293" s="2">
        <v>45789</v>
      </c>
    </row>
    <row r="3294" spans="1:11" x14ac:dyDescent="0.25">
      <c r="A3294" s="1" t="s">
        <v>599</v>
      </c>
      <c r="B3294" s="1" t="s">
        <v>1314</v>
      </c>
      <c r="C3294" s="1" t="s">
        <v>2285</v>
      </c>
      <c r="D3294" s="1" t="s">
        <v>1998</v>
      </c>
      <c r="E3294" s="1"/>
      <c r="F3294" s="1" t="s">
        <v>11</v>
      </c>
      <c r="G3294">
        <v>60</v>
      </c>
      <c r="H3294">
        <v>60</v>
      </c>
      <c r="I3294" s="2"/>
      <c r="J3294" s="2">
        <v>45761</v>
      </c>
      <c r="K3294" s="2">
        <v>45789</v>
      </c>
    </row>
    <row r="3295" spans="1:11" x14ac:dyDescent="0.25">
      <c r="A3295" s="1" t="s">
        <v>599</v>
      </c>
      <c r="B3295" s="1" t="s">
        <v>1315</v>
      </c>
      <c r="C3295" s="1" t="s">
        <v>2286</v>
      </c>
      <c r="D3295" s="1" t="s">
        <v>1998</v>
      </c>
      <c r="E3295" s="1"/>
      <c r="F3295" s="1" t="s">
        <v>11</v>
      </c>
      <c r="G3295">
        <v>115</v>
      </c>
      <c r="H3295">
        <v>115</v>
      </c>
      <c r="I3295" s="2"/>
      <c r="J3295" s="2">
        <v>45761</v>
      </c>
      <c r="K3295" s="2">
        <v>45789</v>
      </c>
    </row>
    <row r="3296" spans="1:11" x14ac:dyDescent="0.25">
      <c r="A3296" s="1" t="s">
        <v>599</v>
      </c>
      <c r="B3296" s="1" t="s">
        <v>1316</v>
      </c>
      <c r="C3296" s="1" t="s">
        <v>2287</v>
      </c>
      <c r="D3296" s="1" t="s">
        <v>1998</v>
      </c>
      <c r="E3296" s="1"/>
      <c r="F3296" s="1" t="s">
        <v>11</v>
      </c>
      <c r="G3296">
        <v>35</v>
      </c>
      <c r="H3296">
        <v>35</v>
      </c>
      <c r="I3296" s="2"/>
      <c r="J3296" s="2">
        <v>45761</v>
      </c>
      <c r="K3296" s="2">
        <v>45789</v>
      </c>
    </row>
    <row r="3297" spans="1:11" x14ac:dyDescent="0.25">
      <c r="A3297" s="1" t="s">
        <v>599</v>
      </c>
      <c r="B3297" s="1" t="s">
        <v>1317</v>
      </c>
      <c r="C3297" s="1" t="s">
        <v>2288</v>
      </c>
      <c r="D3297" s="1" t="s">
        <v>1998</v>
      </c>
      <c r="E3297" s="1"/>
      <c r="F3297" s="1" t="s">
        <v>11</v>
      </c>
      <c r="G3297">
        <v>5</v>
      </c>
      <c r="H3297">
        <v>1</v>
      </c>
      <c r="I3297" s="2"/>
      <c r="J3297" s="2">
        <v>45761</v>
      </c>
      <c r="K3297" s="2">
        <v>45789</v>
      </c>
    </row>
    <row r="3298" spans="1:11" x14ac:dyDescent="0.25">
      <c r="A3298" s="1" t="s">
        <v>599</v>
      </c>
      <c r="B3298" s="1" t="s">
        <v>1318</v>
      </c>
      <c r="C3298" s="1" t="s">
        <v>2289</v>
      </c>
      <c r="D3298" s="1" t="s">
        <v>1998</v>
      </c>
      <c r="E3298" s="1"/>
      <c r="F3298" s="1" t="s">
        <v>11</v>
      </c>
      <c r="G3298">
        <v>15</v>
      </c>
      <c r="H3298">
        <v>1</v>
      </c>
      <c r="I3298" s="2"/>
      <c r="J3298" s="2">
        <v>45761</v>
      </c>
      <c r="K3298" s="2">
        <v>45789</v>
      </c>
    </row>
    <row r="3299" spans="1:11" x14ac:dyDescent="0.25">
      <c r="A3299" s="1" t="s">
        <v>599</v>
      </c>
      <c r="B3299" s="1" t="s">
        <v>1068</v>
      </c>
      <c r="C3299" s="1" t="s">
        <v>2074</v>
      </c>
      <c r="D3299" s="1" t="s">
        <v>1998</v>
      </c>
      <c r="E3299" s="1"/>
      <c r="F3299" s="1" t="s">
        <v>11</v>
      </c>
      <c r="G3299">
        <v>5</v>
      </c>
      <c r="H3299">
        <v>1</v>
      </c>
      <c r="I3299" s="2"/>
      <c r="J3299" s="2">
        <v>45761</v>
      </c>
      <c r="K3299" s="2">
        <v>45789</v>
      </c>
    </row>
    <row r="3300" spans="1:11" x14ac:dyDescent="0.25">
      <c r="A3300" s="1" t="s">
        <v>599</v>
      </c>
      <c r="B3300" s="1" t="s">
        <v>1319</v>
      </c>
      <c r="C3300" s="1" t="s">
        <v>2290</v>
      </c>
      <c r="D3300" s="1" t="s">
        <v>1998</v>
      </c>
      <c r="E3300" s="1"/>
      <c r="F3300" s="1" t="s">
        <v>11</v>
      </c>
      <c r="G3300">
        <v>1</v>
      </c>
      <c r="H3300">
        <v>1</v>
      </c>
      <c r="I3300" s="2"/>
      <c r="J3300" s="2">
        <v>45761</v>
      </c>
      <c r="K3300" s="2">
        <v>45789</v>
      </c>
    </row>
    <row r="3301" spans="1:11" x14ac:dyDescent="0.25">
      <c r="A3301" s="1" t="s">
        <v>599</v>
      </c>
      <c r="B3301" s="1" t="s">
        <v>1320</v>
      </c>
      <c r="C3301" s="1" t="s">
        <v>2291</v>
      </c>
      <c r="D3301" s="1" t="s">
        <v>1998</v>
      </c>
      <c r="E3301" s="1"/>
      <c r="F3301" s="1" t="s">
        <v>11</v>
      </c>
      <c r="G3301">
        <v>1</v>
      </c>
      <c r="H3301">
        <v>1</v>
      </c>
      <c r="I3301" s="2"/>
      <c r="J3301" s="2">
        <v>45761</v>
      </c>
      <c r="K3301" s="2">
        <v>45789</v>
      </c>
    </row>
    <row r="3302" spans="1:11" x14ac:dyDescent="0.25">
      <c r="A3302" s="1" t="s">
        <v>599</v>
      </c>
      <c r="B3302" s="1" t="s">
        <v>1321</v>
      </c>
      <c r="C3302" s="1" t="s">
        <v>2291</v>
      </c>
      <c r="D3302" s="1" t="s">
        <v>1998</v>
      </c>
      <c r="E3302" s="1"/>
      <c r="F3302" s="1" t="s">
        <v>11</v>
      </c>
      <c r="G3302">
        <v>1</v>
      </c>
      <c r="H3302">
        <v>1</v>
      </c>
      <c r="I3302" s="2"/>
      <c r="J3302" s="2">
        <v>45761</v>
      </c>
      <c r="K3302" s="2">
        <v>45789</v>
      </c>
    </row>
    <row r="3303" spans="1:11" x14ac:dyDescent="0.25">
      <c r="A3303" s="1" t="s">
        <v>599</v>
      </c>
      <c r="B3303" s="1" t="s">
        <v>1322</v>
      </c>
      <c r="C3303" s="1" t="s">
        <v>2292</v>
      </c>
      <c r="D3303" s="1" t="s">
        <v>1998</v>
      </c>
      <c r="E3303" s="1"/>
      <c r="F3303" s="1" t="s">
        <v>11</v>
      </c>
      <c r="G3303">
        <v>10</v>
      </c>
      <c r="H3303">
        <v>10</v>
      </c>
      <c r="I3303" s="2"/>
      <c r="J3303" s="2">
        <v>45761</v>
      </c>
      <c r="K3303" s="2">
        <v>45789</v>
      </c>
    </row>
    <row r="3304" spans="1:11" x14ac:dyDescent="0.25">
      <c r="A3304" s="1" t="s">
        <v>600</v>
      </c>
      <c r="B3304" s="1" t="s">
        <v>1305</v>
      </c>
      <c r="C3304" s="1" t="s">
        <v>2277</v>
      </c>
      <c r="D3304" s="1" t="s">
        <v>1998</v>
      </c>
      <c r="E3304" s="1"/>
      <c r="F3304" s="1" t="s">
        <v>11</v>
      </c>
      <c r="G3304">
        <v>25</v>
      </c>
      <c r="H3304">
        <v>25</v>
      </c>
      <c r="I3304" s="2"/>
      <c r="J3304" s="2">
        <v>45761</v>
      </c>
      <c r="K3304" s="2">
        <v>45786</v>
      </c>
    </row>
    <row r="3305" spans="1:11" x14ac:dyDescent="0.25">
      <c r="A3305" s="1" t="s">
        <v>600</v>
      </c>
      <c r="B3305" s="1" t="s">
        <v>1306</v>
      </c>
      <c r="C3305" s="1" t="s">
        <v>2278</v>
      </c>
      <c r="D3305" s="1" t="s">
        <v>1998</v>
      </c>
      <c r="E3305" s="1"/>
      <c r="F3305" s="1" t="s">
        <v>11</v>
      </c>
      <c r="G3305">
        <v>25</v>
      </c>
      <c r="H3305">
        <v>25</v>
      </c>
      <c r="I3305" s="2"/>
      <c r="J3305" s="2">
        <v>45761</v>
      </c>
      <c r="K3305" s="2">
        <v>45786</v>
      </c>
    </row>
    <row r="3306" spans="1:11" x14ac:dyDescent="0.25">
      <c r="A3306" s="1" t="s">
        <v>600</v>
      </c>
      <c r="B3306" s="1" t="s">
        <v>1307</v>
      </c>
      <c r="C3306" s="1" t="s">
        <v>2279</v>
      </c>
      <c r="D3306" s="1" t="s">
        <v>1998</v>
      </c>
      <c r="E3306" s="1"/>
      <c r="F3306" s="1" t="s">
        <v>11</v>
      </c>
      <c r="G3306">
        <v>1</v>
      </c>
      <c r="H3306">
        <v>1</v>
      </c>
      <c r="I3306" s="2"/>
      <c r="J3306" s="2">
        <v>45761</v>
      </c>
      <c r="K3306" s="2">
        <v>45786</v>
      </c>
    </row>
    <row r="3307" spans="1:11" x14ac:dyDescent="0.25">
      <c r="A3307" s="1" t="s">
        <v>600</v>
      </c>
      <c r="B3307" s="1" t="s">
        <v>1307</v>
      </c>
      <c r="C3307" s="1" t="s">
        <v>2279</v>
      </c>
      <c r="D3307" s="1" t="s">
        <v>1998</v>
      </c>
      <c r="E3307" s="1"/>
      <c r="F3307" s="1" t="s">
        <v>11</v>
      </c>
      <c r="G3307">
        <v>1</v>
      </c>
      <c r="H3307">
        <v>1</v>
      </c>
      <c r="I3307" s="2"/>
      <c r="J3307" s="2">
        <v>45761</v>
      </c>
      <c r="K3307" s="2">
        <v>45786</v>
      </c>
    </row>
    <row r="3308" spans="1:11" x14ac:dyDescent="0.25">
      <c r="A3308" s="1" t="s">
        <v>600</v>
      </c>
      <c r="B3308" s="1" t="s">
        <v>1308</v>
      </c>
      <c r="C3308" s="1" t="s">
        <v>2280</v>
      </c>
      <c r="D3308" s="1" t="s">
        <v>1998</v>
      </c>
      <c r="E3308" s="1"/>
      <c r="F3308" s="1" t="s">
        <v>11</v>
      </c>
      <c r="G3308">
        <v>1</v>
      </c>
      <c r="H3308">
        <v>1</v>
      </c>
      <c r="I3308" s="2"/>
      <c r="J3308" s="2">
        <v>45761</v>
      </c>
      <c r="K3308" s="2">
        <v>45786</v>
      </c>
    </row>
    <row r="3309" spans="1:11" x14ac:dyDescent="0.25">
      <c r="A3309" s="1" t="s">
        <v>600</v>
      </c>
      <c r="B3309" s="1" t="s">
        <v>1309</v>
      </c>
      <c r="C3309" s="1" t="s">
        <v>2281</v>
      </c>
      <c r="D3309" s="1" t="s">
        <v>1998</v>
      </c>
      <c r="E3309" s="1"/>
      <c r="F3309" s="1" t="s">
        <v>11</v>
      </c>
      <c r="G3309">
        <v>545</v>
      </c>
      <c r="H3309">
        <v>545</v>
      </c>
      <c r="I3309" s="2"/>
      <c r="J3309" s="2">
        <v>45761</v>
      </c>
      <c r="K3309" s="2">
        <v>45786</v>
      </c>
    </row>
    <row r="3310" spans="1:11" x14ac:dyDescent="0.25">
      <c r="A3310" s="1" t="s">
        <v>600</v>
      </c>
      <c r="B3310" s="1" t="s">
        <v>1310</v>
      </c>
      <c r="C3310" s="1" t="s">
        <v>2115</v>
      </c>
      <c r="D3310" s="1" t="s">
        <v>1998</v>
      </c>
      <c r="E3310" s="1"/>
      <c r="F3310" s="1" t="s">
        <v>11</v>
      </c>
      <c r="G3310">
        <v>665</v>
      </c>
      <c r="H3310">
        <v>665</v>
      </c>
      <c r="I3310" s="2"/>
      <c r="J3310" s="2">
        <v>45761</v>
      </c>
      <c r="K3310" s="2">
        <v>45786</v>
      </c>
    </row>
    <row r="3311" spans="1:11" x14ac:dyDescent="0.25">
      <c r="A3311" s="1" t="s">
        <v>600</v>
      </c>
      <c r="B3311" s="1" t="s">
        <v>1311</v>
      </c>
      <c r="C3311" s="1" t="s">
        <v>2282</v>
      </c>
      <c r="D3311" s="1" t="s">
        <v>1998</v>
      </c>
      <c r="E3311" s="1"/>
      <c r="F3311" s="1" t="s">
        <v>11</v>
      </c>
      <c r="G3311">
        <v>215</v>
      </c>
      <c r="H3311">
        <v>215</v>
      </c>
      <c r="I3311" s="2"/>
      <c r="J3311" s="2">
        <v>45761</v>
      </c>
      <c r="K3311" s="2">
        <v>45786</v>
      </c>
    </row>
    <row r="3312" spans="1:11" x14ac:dyDescent="0.25">
      <c r="A3312" s="1" t="s">
        <v>600</v>
      </c>
      <c r="B3312" s="1" t="s">
        <v>1323</v>
      </c>
      <c r="C3312" s="1" t="s">
        <v>2282</v>
      </c>
      <c r="D3312" s="1" t="s">
        <v>1998</v>
      </c>
      <c r="E3312" s="1"/>
      <c r="F3312" s="1" t="s">
        <v>11</v>
      </c>
      <c r="G3312">
        <v>200</v>
      </c>
      <c r="H3312">
        <v>200</v>
      </c>
      <c r="I3312" s="2"/>
      <c r="J3312" s="2">
        <v>45761</v>
      </c>
      <c r="K3312" s="2">
        <v>45786</v>
      </c>
    </row>
    <row r="3313" spans="1:11" x14ac:dyDescent="0.25">
      <c r="A3313" s="1" t="s">
        <v>600</v>
      </c>
      <c r="B3313" s="1" t="s">
        <v>1312</v>
      </c>
      <c r="C3313" s="1" t="s">
        <v>2283</v>
      </c>
      <c r="D3313" s="1" t="s">
        <v>1998</v>
      </c>
      <c r="E3313" s="1"/>
      <c r="F3313" s="1" t="s">
        <v>11</v>
      </c>
      <c r="G3313">
        <v>85</v>
      </c>
      <c r="H3313">
        <v>85</v>
      </c>
      <c r="I3313" s="2"/>
      <c r="J3313" s="2">
        <v>45761</v>
      </c>
      <c r="K3313" s="2">
        <v>45786</v>
      </c>
    </row>
    <row r="3314" spans="1:11" x14ac:dyDescent="0.25">
      <c r="A3314" s="1" t="s">
        <v>600</v>
      </c>
      <c r="B3314" s="1" t="s">
        <v>1313</v>
      </c>
      <c r="C3314" s="1" t="s">
        <v>2284</v>
      </c>
      <c r="D3314" s="1" t="s">
        <v>1998</v>
      </c>
      <c r="E3314" s="1"/>
      <c r="F3314" s="1" t="s">
        <v>11</v>
      </c>
      <c r="G3314">
        <v>100</v>
      </c>
      <c r="H3314">
        <v>100</v>
      </c>
      <c r="I3314" s="2"/>
      <c r="J3314" s="2">
        <v>45761</v>
      </c>
      <c r="K3314" s="2">
        <v>45786</v>
      </c>
    </row>
    <row r="3315" spans="1:11" x14ac:dyDescent="0.25">
      <c r="A3315" s="1" t="s">
        <v>600</v>
      </c>
      <c r="B3315" s="1" t="s">
        <v>1314</v>
      </c>
      <c r="C3315" s="1" t="s">
        <v>2285</v>
      </c>
      <c r="D3315" s="1" t="s">
        <v>1998</v>
      </c>
      <c r="E3315" s="1"/>
      <c r="F3315" s="1" t="s">
        <v>11</v>
      </c>
      <c r="G3315">
        <v>50</v>
      </c>
      <c r="H3315">
        <v>50</v>
      </c>
      <c r="I3315" s="2"/>
      <c r="J3315" s="2">
        <v>45761</v>
      </c>
      <c r="K3315" s="2">
        <v>45786</v>
      </c>
    </row>
    <row r="3316" spans="1:11" x14ac:dyDescent="0.25">
      <c r="A3316" s="1" t="s">
        <v>600</v>
      </c>
      <c r="B3316" s="1" t="s">
        <v>1315</v>
      </c>
      <c r="C3316" s="1" t="s">
        <v>2286</v>
      </c>
      <c r="D3316" s="1" t="s">
        <v>1998</v>
      </c>
      <c r="E3316" s="1"/>
      <c r="F3316" s="1" t="s">
        <v>11</v>
      </c>
      <c r="G3316">
        <v>95</v>
      </c>
      <c r="H3316">
        <v>95</v>
      </c>
      <c r="I3316" s="2"/>
      <c r="J3316" s="2">
        <v>45761</v>
      </c>
      <c r="K3316" s="2">
        <v>45786</v>
      </c>
    </row>
    <row r="3317" spans="1:11" x14ac:dyDescent="0.25">
      <c r="A3317" s="1" t="s">
        <v>600</v>
      </c>
      <c r="B3317" s="1" t="s">
        <v>1316</v>
      </c>
      <c r="C3317" s="1" t="s">
        <v>2287</v>
      </c>
      <c r="D3317" s="1" t="s">
        <v>1998</v>
      </c>
      <c r="E3317" s="1"/>
      <c r="F3317" s="1" t="s">
        <v>11</v>
      </c>
      <c r="G3317">
        <v>30</v>
      </c>
      <c r="H3317">
        <v>30</v>
      </c>
      <c r="I3317" s="2"/>
      <c r="J3317" s="2">
        <v>45761</v>
      </c>
      <c r="K3317" s="2">
        <v>45786</v>
      </c>
    </row>
    <row r="3318" spans="1:11" x14ac:dyDescent="0.25">
      <c r="A3318" s="1" t="s">
        <v>600</v>
      </c>
      <c r="B3318" s="1" t="s">
        <v>1317</v>
      </c>
      <c r="C3318" s="1" t="s">
        <v>2288</v>
      </c>
      <c r="D3318" s="1" t="s">
        <v>1998</v>
      </c>
      <c r="E3318" s="1"/>
      <c r="F3318" s="1" t="s">
        <v>11</v>
      </c>
      <c r="G3318">
        <v>5</v>
      </c>
      <c r="H3318">
        <v>1</v>
      </c>
      <c r="I3318" s="2"/>
      <c r="J3318" s="2">
        <v>45761</v>
      </c>
      <c r="K3318" s="2">
        <v>45786</v>
      </c>
    </row>
    <row r="3319" spans="1:11" x14ac:dyDescent="0.25">
      <c r="A3319" s="1" t="s">
        <v>600</v>
      </c>
      <c r="B3319" s="1" t="s">
        <v>1318</v>
      </c>
      <c r="C3319" s="1" t="s">
        <v>2289</v>
      </c>
      <c r="D3319" s="1" t="s">
        <v>1998</v>
      </c>
      <c r="E3319" s="1"/>
      <c r="F3319" s="1" t="s">
        <v>11</v>
      </c>
      <c r="G3319">
        <v>15</v>
      </c>
      <c r="H3319">
        <v>1</v>
      </c>
      <c r="I3319" s="2"/>
      <c r="J3319" s="2">
        <v>45761</v>
      </c>
      <c r="K3319" s="2">
        <v>45786</v>
      </c>
    </row>
    <row r="3320" spans="1:11" x14ac:dyDescent="0.25">
      <c r="A3320" s="1" t="s">
        <v>600</v>
      </c>
      <c r="B3320" s="1" t="s">
        <v>1068</v>
      </c>
      <c r="C3320" s="1" t="s">
        <v>2074</v>
      </c>
      <c r="D3320" s="1" t="s">
        <v>1998</v>
      </c>
      <c r="E3320" s="1"/>
      <c r="F3320" s="1" t="s">
        <v>11</v>
      </c>
      <c r="G3320">
        <v>5</v>
      </c>
      <c r="H3320">
        <v>1</v>
      </c>
      <c r="I3320" s="2"/>
      <c r="J3320" s="2">
        <v>45761</v>
      </c>
      <c r="K3320" s="2">
        <v>45786</v>
      </c>
    </row>
    <row r="3321" spans="1:11" x14ac:dyDescent="0.25">
      <c r="A3321" s="1" t="s">
        <v>600</v>
      </c>
      <c r="B3321" s="1" t="s">
        <v>1319</v>
      </c>
      <c r="C3321" s="1" t="s">
        <v>2290</v>
      </c>
      <c r="D3321" s="1" t="s">
        <v>1998</v>
      </c>
      <c r="E3321" s="1"/>
      <c r="F3321" s="1" t="s">
        <v>11</v>
      </c>
      <c r="G3321">
        <v>1</v>
      </c>
      <c r="H3321">
        <v>1</v>
      </c>
      <c r="I3321" s="2"/>
      <c r="J3321" s="2">
        <v>45761</v>
      </c>
      <c r="K3321" s="2">
        <v>45786</v>
      </c>
    </row>
    <row r="3322" spans="1:11" x14ac:dyDescent="0.25">
      <c r="A3322" s="1" t="s">
        <v>600</v>
      </c>
      <c r="B3322" s="1" t="s">
        <v>1324</v>
      </c>
      <c r="C3322" s="1" t="s">
        <v>2291</v>
      </c>
      <c r="D3322" s="1" t="s">
        <v>1998</v>
      </c>
      <c r="E3322" s="1"/>
      <c r="F3322" s="1" t="s">
        <v>11</v>
      </c>
      <c r="G3322">
        <v>1</v>
      </c>
      <c r="H3322">
        <v>1</v>
      </c>
      <c r="I3322" s="2"/>
      <c r="J3322" s="2">
        <v>45761</v>
      </c>
      <c r="K3322" s="2">
        <v>45786</v>
      </c>
    </row>
    <row r="3323" spans="1:11" x14ac:dyDescent="0.25">
      <c r="A3323" s="1" t="s">
        <v>600</v>
      </c>
      <c r="B3323" s="1" t="s">
        <v>1325</v>
      </c>
      <c r="C3323" s="1" t="s">
        <v>2291</v>
      </c>
      <c r="D3323" s="1" t="s">
        <v>1998</v>
      </c>
      <c r="E3323" s="1"/>
      <c r="F3323" s="1" t="s">
        <v>11</v>
      </c>
      <c r="G3323">
        <v>1</v>
      </c>
      <c r="H3323">
        <v>1</v>
      </c>
      <c r="I3323" s="2"/>
      <c r="J3323" s="2">
        <v>45761</v>
      </c>
      <c r="K3323" s="2">
        <v>45786</v>
      </c>
    </row>
    <row r="3324" spans="1:11" x14ac:dyDescent="0.25">
      <c r="A3324" s="1" t="s">
        <v>600</v>
      </c>
      <c r="B3324" s="1" t="s">
        <v>1322</v>
      </c>
      <c r="C3324" s="1" t="s">
        <v>2292</v>
      </c>
      <c r="D3324" s="1" t="s">
        <v>1998</v>
      </c>
      <c r="E3324" s="1"/>
      <c r="F3324" s="1" t="s">
        <v>11</v>
      </c>
      <c r="G3324">
        <v>10</v>
      </c>
      <c r="H3324">
        <v>10</v>
      </c>
      <c r="I3324" s="2"/>
      <c r="J3324" s="2">
        <v>45761</v>
      </c>
      <c r="K3324" s="2">
        <v>45786</v>
      </c>
    </row>
    <row r="3325" spans="1:11" x14ac:dyDescent="0.25">
      <c r="A3325" s="1" t="s">
        <v>601</v>
      </c>
      <c r="B3325" s="1" t="s">
        <v>1305</v>
      </c>
      <c r="C3325" s="1" t="s">
        <v>2277</v>
      </c>
      <c r="D3325" s="1" t="s">
        <v>1998</v>
      </c>
      <c r="E3325" s="1"/>
      <c r="F3325" s="1" t="s">
        <v>11</v>
      </c>
      <c r="G3325">
        <v>25</v>
      </c>
      <c r="H3325">
        <v>25</v>
      </c>
      <c r="I3325" s="2"/>
      <c r="J3325" s="2">
        <v>45761</v>
      </c>
      <c r="K3325" s="2">
        <v>45785</v>
      </c>
    </row>
    <row r="3326" spans="1:11" x14ac:dyDescent="0.25">
      <c r="A3326" s="1" t="s">
        <v>601</v>
      </c>
      <c r="B3326" s="1" t="s">
        <v>1306</v>
      </c>
      <c r="C3326" s="1" t="s">
        <v>2278</v>
      </c>
      <c r="D3326" s="1" t="s">
        <v>1998</v>
      </c>
      <c r="E3326" s="1"/>
      <c r="F3326" s="1" t="s">
        <v>11</v>
      </c>
      <c r="G3326">
        <v>25</v>
      </c>
      <c r="H3326">
        <v>25</v>
      </c>
      <c r="I3326" s="2"/>
      <c r="J3326" s="2">
        <v>45761</v>
      </c>
      <c r="K3326" s="2">
        <v>45785</v>
      </c>
    </row>
    <row r="3327" spans="1:11" x14ac:dyDescent="0.25">
      <c r="A3327" s="1" t="s">
        <v>601</v>
      </c>
      <c r="B3327" s="1" t="s">
        <v>1307</v>
      </c>
      <c r="C3327" s="1" t="s">
        <v>2279</v>
      </c>
      <c r="D3327" s="1" t="s">
        <v>1998</v>
      </c>
      <c r="E3327" s="1"/>
      <c r="F3327" s="1" t="s">
        <v>11</v>
      </c>
      <c r="G3327">
        <v>1</v>
      </c>
      <c r="H3327">
        <v>1</v>
      </c>
      <c r="I3327" s="2"/>
      <c r="J3327" s="2">
        <v>45761</v>
      </c>
      <c r="K3327" s="2">
        <v>45785</v>
      </c>
    </row>
    <row r="3328" spans="1:11" x14ac:dyDescent="0.25">
      <c r="A3328" s="1" t="s">
        <v>601</v>
      </c>
      <c r="B3328" s="1" t="s">
        <v>1308</v>
      </c>
      <c r="C3328" s="1" t="s">
        <v>2280</v>
      </c>
      <c r="D3328" s="1" t="s">
        <v>1998</v>
      </c>
      <c r="E3328" s="1"/>
      <c r="F3328" s="1" t="s">
        <v>11</v>
      </c>
      <c r="G3328">
        <v>1</v>
      </c>
      <c r="H3328">
        <v>1</v>
      </c>
      <c r="I3328" s="2"/>
      <c r="J3328" s="2">
        <v>45761</v>
      </c>
      <c r="K3328" s="2">
        <v>45785</v>
      </c>
    </row>
    <row r="3329" spans="1:11" x14ac:dyDescent="0.25">
      <c r="A3329" s="1" t="s">
        <v>601</v>
      </c>
      <c r="B3329" s="1" t="s">
        <v>1309</v>
      </c>
      <c r="C3329" s="1" t="s">
        <v>2281</v>
      </c>
      <c r="D3329" s="1" t="s">
        <v>1998</v>
      </c>
      <c r="E3329" s="1"/>
      <c r="F3329" s="1" t="s">
        <v>11</v>
      </c>
      <c r="G3329">
        <v>725</v>
      </c>
      <c r="H3329">
        <v>725</v>
      </c>
      <c r="I3329" s="2"/>
      <c r="J3329" s="2">
        <v>45761</v>
      </c>
      <c r="K3329" s="2">
        <v>45785</v>
      </c>
    </row>
    <row r="3330" spans="1:11" x14ac:dyDescent="0.25">
      <c r="A3330" s="1" t="s">
        <v>601</v>
      </c>
      <c r="B3330" s="1" t="s">
        <v>1310</v>
      </c>
      <c r="C3330" s="1" t="s">
        <v>2115</v>
      </c>
      <c r="D3330" s="1" t="s">
        <v>1998</v>
      </c>
      <c r="E3330" s="1"/>
      <c r="F3330" s="1" t="s">
        <v>11</v>
      </c>
      <c r="G3330">
        <v>775</v>
      </c>
      <c r="H3330">
        <v>775</v>
      </c>
      <c r="I3330" s="2"/>
      <c r="J3330" s="2">
        <v>45761</v>
      </c>
      <c r="K3330" s="2">
        <v>45785</v>
      </c>
    </row>
    <row r="3331" spans="1:11" x14ac:dyDescent="0.25">
      <c r="A3331" s="1" t="s">
        <v>601</v>
      </c>
      <c r="B3331" s="1" t="s">
        <v>1311</v>
      </c>
      <c r="C3331" s="1" t="s">
        <v>2282</v>
      </c>
      <c r="D3331" s="1" t="s">
        <v>1998</v>
      </c>
      <c r="E3331" s="1"/>
      <c r="F3331" s="1" t="s">
        <v>11</v>
      </c>
      <c r="G3331">
        <v>215</v>
      </c>
      <c r="H3331">
        <v>215</v>
      </c>
      <c r="I3331" s="2"/>
      <c r="J3331" s="2">
        <v>45761</v>
      </c>
      <c r="K3331" s="2">
        <v>45785</v>
      </c>
    </row>
    <row r="3332" spans="1:11" x14ac:dyDescent="0.25">
      <c r="A3332" s="1" t="s">
        <v>601</v>
      </c>
      <c r="B3332" s="1" t="s">
        <v>1312</v>
      </c>
      <c r="C3332" s="1" t="s">
        <v>2283</v>
      </c>
      <c r="D3332" s="1" t="s">
        <v>1998</v>
      </c>
      <c r="E3332" s="1"/>
      <c r="F3332" s="1" t="s">
        <v>11</v>
      </c>
      <c r="G3332">
        <v>85</v>
      </c>
      <c r="H3332">
        <v>85</v>
      </c>
      <c r="I3332" s="2"/>
      <c r="J3332" s="2">
        <v>45761</v>
      </c>
      <c r="K3332" s="2">
        <v>45785</v>
      </c>
    </row>
    <row r="3333" spans="1:11" x14ac:dyDescent="0.25">
      <c r="A3333" s="1" t="s">
        <v>601</v>
      </c>
      <c r="B3333" s="1" t="s">
        <v>1313</v>
      </c>
      <c r="C3333" s="1" t="s">
        <v>2284</v>
      </c>
      <c r="D3333" s="1" t="s">
        <v>1998</v>
      </c>
      <c r="E3333" s="1"/>
      <c r="F3333" s="1" t="s">
        <v>11</v>
      </c>
      <c r="G3333">
        <v>115</v>
      </c>
      <c r="H3333">
        <v>115</v>
      </c>
      <c r="I3333" s="2"/>
      <c r="J3333" s="2">
        <v>45761</v>
      </c>
      <c r="K3333" s="2">
        <v>45785</v>
      </c>
    </row>
    <row r="3334" spans="1:11" x14ac:dyDescent="0.25">
      <c r="A3334" s="1" t="s">
        <v>601</v>
      </c>
      <c r="B3334" s="1" t="s">
        <v>1314</v>
      </c>
      <c r="C3334" s="1" t="s">
        <v>2285</v>
      </c>
      <c r="D3334" s="1" t="s">
        <v>1998</v>
      </c>
      <c r="E3334" s="1"/>
      <c r="F3334" s="1" t="s">
        <v>11</v>
      </c>
      <c r="G3334">
        <v>60</v>
      </c>
      <c r="H3334">
        <v>60</v>
      </c>
      <c r="I3334" s="2"/>
      <c r="J3334" s="2">
        <v>45761</v>
      </c>
      <c r="K3334" s="2">
        <v>45785</v>
      </c>
    </row>
    <row r="3335" spans="1:11" x14ac:dyDescent="0.25">
      <c r="A3335" s="1" t="s">
        <v>601</v>
      </c>
      <c r="B3335" s="1" t="s">
        <v>1315</v>
      </c>
      <c r="C3335" s="1" t="s">
        <v>2286</v>
      </c>
      <c r="D3335" s="1" t="s">
        <v>1998</v>
      </c>
      <c r="E3335" s="1"/>
      <c r="F3335" s="1" t="s">
        <v>11</v>
      </c>
      <c r="G3335">
        <v>115</v>
      </c>
      <c r="H3335">
        <v>115</v>
      </c>
      <c r="I3335" s="2"/>
      <c r="J3335" s="2">
        <v>45761</v>
      </c>
      <c r="K3335" s="2">
        <v>45785</v>
      </c>
    </row>
    <row r="3336" spans="1:11" x14ac:dyDescent="0.25">
      <c r="A3336" s="1" t="s">
        <v>601</v>
      </c>
      <c r="B3336" s="1" t="s">
        <v>1316</v>
      </c>
      <c r="C3336" s="1" t="s">
        <v>2287</v>
      </c>
      <c r="D3336" s="1" t="s">
        <v>1998</v>
      </c>
      <c r="E3336" s="1"/>
      <c r="F3336" s="1" t="s">
        <v>11</v>
      </c>
      <c r="G3336">
        <v>35</v>
      </c>
      <c r="H3336">
        <v>35</v>
      </c>
      <c r="I3336" s="2"/>
      <c r="J3336" s="2">
        <v>45761</v>
      </c>
      <c r="K3336" s="2">
        <v>45785</v>
      </c>
    </row>
    <row r="3337" spans="1:11" x14ac:dyDescent="0.25">
      <c r="A3337" s="1" t="s">
        <v>601</v>
      </c>
      <c r="B3337" s="1" t="s">
        <v>1317</v>
      </c>
      <c r="C3337" s="1" t="s">
        <v>2288</v>
      </c>
      <c r="D3337" s="1" t="s">
        <v>1998</v>
      </c>
      <c r="E3337" s="1"/>
      <c r="F3337" s="1" t="s">
        <v>11</v>
      </c>
      <c r="G3337">
        <v>5</v>
      </c>
      <c r="H3337">
        <v>1</v>
      </c>
      <c r="I3337" s="2"/>
      <c r="J3337" s="2">
        <v>45761</v>
      </c>
      <c r="K3337" s="2">
        <v>45785</v>
      </c>
    </row>
    <row r="3338" spans="1:11" x14ac:dyDescent="0.25">
      <c r="A3338" s="1" t="s">
        <v>601</v>
      </c>
      <c r="B3338" s="1" t="s">
        <v>1318</v>
      </c>
      <c r="C3338" s="1" t="s">
        <v>2289</v>
      </c>
      <c r="D3338" s="1" t="s">
        <v>1998</v>
      </c>
      <c r="E3338" s="1"/>
      <c r="F3338" s="1" t="s">
        <v>11</v>
      </c>
      <c r="G3338">
        <v>15</v>
      </c>
      <c r="H3338">
        <v>1</v>
      </c>
      <c r="I3338" s="2"/>
      <c r="J3338" s="2">
        <v>45761</v>
      </c>
      <c r="K3338" s="2">
        <v>45785</v>
      </c>
    </row>
    <row r="3339" spans="1:11" x14ac:dyDescent="0.25">
      <c r="A3339" s="1" t="s">
        <v>601</v>
      </c>
      <c r="B3339" s="1" t="s">
        <v>1068</v>
      </c>
      <c r="C3339" s="1" t="s">
        <v>2074</v>
      </c>
      <c r="D3339" s="1" t="s">
        <v>1998</v>
      </c>
      <c r="E3339" s="1"/>
      <c r="F3339" s="1" t="s">
        <v>11</v>
      </c>
      <c r="G3339">
        <v>5</v>
      </c>
      <c r="H3339">
        <v>5</v>
      </c>
      <c r="I3339" s="2"/>
      <c r="J3339" s="2">
        <v>45761</v>
      </c>
      <c r="K3339" s="2">
        <v>45785</v>
      </c>
    </row>
    <row r="3340" spans="1:11" x14ac:dyDescent="0.25">
      <c r="A3340" s="1" t="s">
        <v>601</v>
      </c>
      <c r="B3340" s="1" t="s">
        <v>1319</v>
      </c>
      <c r="C3340" s="1" t="s">
        <v>2290</v>
      </c>
      <c r="D3340" s="1" t="s">
        <v>1998</v>
      </c>
      <c r="E3340" s="1"/>
      <c r="F3340" s="1" t="s">
        <v>11</v>
      </c>
      <c r="G3340">
        <v>1</v>
      </c>
      <c r="H3340">
        <v>1</v>
      </c>
      <c r="I3340" s="2"/>
      <c r="J3340" s="2">
        <v>45761</v>
      </c>
      <c r="K3340" s="2">
        <v>45785</v>
      </c>
    </row>
    <row r="3341" spans="1:11" x14ac:dyDescent="0.25">
      <c r="A3341" s="1" t="s">
        <v>601</v>
      </c>
      <c r="B3341" s="1" t="s">
        <v>1326</v>
      </c>
      <c r="C3341" s="1" t="s">
        <v>2291</v>
      </c>
      <c r="D3341" s="1" t="s">
        <v>1998</v>
      </c>
      <c r="E3341" s="1"/>
      <c r="F3341" s="1" t="s">
        <v>11</v>
      </c>
      <c r="G3341">
        <v>1</v>
      </c>
      <c r="H3341">
        <v>1</v>
      </c>
      <c r="I3341" s="2"/>
      <c r="J3341" s="2">
        <v>45761</v>
      </c>
      <c r="K3341" s="2">
        <v>45785</v>
      </c>
    </row>
    <row r="3342" spans="1:11" x14ac:dyDescent="0.25">
      <c r="A3342" s="1" t="s">
        <v>601</v>
      </c>
      <c r="B3342" s="1" t="s">
        <v>1327</v>
      </c>
      <c r="C3342" s="1" t="s">
        <v>2291</v>
      </c>
      <c r="D3342" s="1" t="s">
        <v>1998</v>
      </c>
      <c r="E3342" s="1"/>
      <c r="F3342" s="1" t="s">
        <v>11</v>
      </c>
      <c r="G3342">
        <v>1</v>
      </c>
      <c r="H3342">
        <v>1</v>
      </c>
      <c r="I3342" s="2"/>
      <c r="J3342" s="2">
        <v>45761</v>
      </c>
      <c r="K3342" s="2">
        <v>45785</v>
      </c>
    </row>
    <row r="3343" spans="1:11" x14ac:dyDescent="0.25">
      <c r="A3343" s="1" t="s">
        <v>601</v>
      </c>
      <c r="B3343" s="1" t="s">
        <v>1322</v>
      </c>
      <c r="C3343" s="1" t="s">
        <v>2292</v>
      </c>
      <c r="D3343" s="1" t="s">
        <v>1998</v>
      </c>
      <c r="E3343" s="1"/>
      <c r="F3343" s="1" t="s">
        <v>11</v>
      </c>
      <c r="G3343">
        <v>10</v>
      </c>
      <c r="H3343">
        <v>10</v>
      </c>
      <c r="I3343" s="2"/>
      <c r="J3343" s="2">
        <v>45761</v>
      </c>
      <c r="K3343" s="2">
        <v>45785</v>
      </c>
    </row>
    <row r="3344" spans="1:11" x14ac:dyDescent="0.25">
      <c r="A3344" s="1" t="s">
        <v>602</v>
      </c>
      <c r="B3344" s="1" t="s">
        <v>1305</v>
      </c>
      <c r="C3344" s="1" t="s">
        <v>2277</v>
      </c>
      <c r="D3344" s="1" t="s">
        <v>1998</v>
      </c>
      <c r="E3344" s="1"/>
      <c r="F3344" s="1" t="s">
        <v>11</v>
      </c>
      <c r="G3344">
        <v>145</v>
      </c>
      <c r="H3344">
        <v>145</v>
      </c>
      <c r="I3344" s="2"/>
      <c r="J3344" s="2">
        <v>45761</v>
      </c>
      <c r="K3344" s="2">
        <v>45789</v>
      </c>
    </row>
    <row r="3345" spans="1:11" x14ac:dyDescent="0.25">
      <c r="A3345" s="1" t="s">
        <v>602</v>
      </c>
      <c r="B3345" s="1" t="s">
        <v>1306</v>
      </c>
      <c r="C3345" s="1" t="s">
        <v>2278</v>
      </c>
      <c r="D3345" s="1" t="s">
        <v>1998</v>
      </c>
      <c r="E3345" s="1"/>
      <c r="F3345" s="1" t="s">
        <v>11</v>
      </c>
      <c r="G3345">
        <v>135</v>
      </c>
      <c r="H3345">
        <v>135</v>
      </c>
      <c r="I3345" s="2"/>
      <c r="J3345" s="2">
        <v>45761</v>
      </c>
      <c r="K3345" s="2">
        <v>45789</v>
      </c>
    </row>
    <row r="3346" spans="1:11" x14ac:dyDescent="0.25">
      <c r="A3346" s="1" t="s">
        <v>602</v>
      </c>
      <c r="B3346" s="1" t="s">
        <v>1307</v>
      </c>
      <c r="C3346" s="1" t="s">
        <v>2279</v>
      </c>
      <c r="D3346" s="1" t="s">
        <v>1998</v>
      </c>
      <c r="E3346" s="1"/>
      <c r="F3346" s="1" t="s">
        <v>11</v>
      </c>
      <c r="G3346">
        <v>1</v>
      </c>
      <c r="H3346">
        <v>1</v>
      </c>
      <c r="I3346" s="2"/>
      <c r="J3346" s="2">
        <v>45761</v>
      </c>
      <c r="K3346" s="2">
        <v>45789</v>
      </c>
    </row>
    <row r="3347" spans="1:11" x14ac:dyDescent="0.25">
      <c r="A3347" s="1" t="s">
        <v>602</v>
      </c>
      <c r="B3347" s="1" t="s">
        <v>1307</v>
      </c>
      <c r="C3347" s="1" t="s">
        <v>2279</v>
      </c>
      <c r="D3347" s="1" t="s">
        <v>1998</v>
      </c>
      <c r="E3347" s="1"/>
      <c r="F3347" s="1" t="s">
        <v>11</v>
      </c>
      <c r="G3347">
        <v>1</v>
      </c>
      <c r="H3347">
        <v>1</v>
      </c>
      <c r="I3347" s="2"/>
      <c r="J3347" s="2">
        <v>45761</v>
      </c>
      <c r="K3347" s="2">
        <v>45789</v>
      </c>
    </row>
    <row r="3348" spans="1:11" x14ac:dyDescent="0.25">
      <c r="A3348" s="1" t="s">
        <v>602</v>
      </c>
      <c r="B3348" s="1" t="s">
        <v>1308</v>
      </c>
      <c r="C3348" s="1" t="s">
        <v>2280</v>
      </c>
      <c r="D3348" s="1" t="s">
        <v>1998</v>
      </c>
      <c r="E3348" s="1"/>
      <c r="F3348" s="1" t="s">
        <v>11</v>
      </c>
      <c r="G3348">
        <v>1</v>
      </c>
      <c r="H3348">
        <v>1</v>
      </c>
      <c r="I3348" s="2"/>
      <c r="J3348" s="2">
        <v>45761</v>
      </c>
      <c r="K3348" s="2">
        <v>45789</v>
      </c>
    </row>
    <row r="3349" spans="1:11" x14ac:dyDescent="0.25">
      <c r="A3349" s="1" t="s">
        <v>602</v>
      </c>
      <c r="B3349" s="1" t="s">
        <v>1330</v>
      </c>
      <c r="C3349" s="1" t="s">
        <v>2293</v>
      </c>
      <c r="D3349" s="1" t="s">
        <v>1998</v>
      </c>
      <c r="E3349" s="1"/>
      <c r="F3349" s="1" t="s">
        <v>11</v>
      </c>
      <c r="G3349">
        <v>5</v>
      </c>
      <c r="H3349">
        <v>5</v>
      </c>
      <c r="I3349" s="2"/>
      <c r="J3349" s="2">
        <v>45761</v>
      </c>
      <c r="K3349" s="2">
        <v>45789</v>
      </c>
    </row>
    <row r="3350" spans="1:11" x14ac:dyDescent="0.25">
      <c r="A3350" s="1" t="s">
        <v>602</v>
      </c>
      <c r="B3350" s="1" t="s">
        <v>1331</v>
      </c>
      <c r="C3350" s="1" t="s">
        <v>2294</v>
      </c>
      <c r="D3350" s="1" t="s">
        <v>1998</v>
      </c>
      <c r="E3350" s="1"/>
      <c r="F3350" s="1" t="s">
        <v>11</v>
      </c>
      <c r="G3350">
        <v>275</v>
      </c>
      <c r="H3350">
        <v>275</v>
      </c>
      <c r="I3350" s="2"/>
      <c r="J3350" s="2">
        <v>45761</v>
      </c>
      <c r="K3350" s="2">
        <v>45789</v>
      </c>
    </row>
    <row r="3351" spans="1:11" x14ac:dyDescent="0.25">
      <c r="A3351" s="1" t="s">
        <v>602</v>
      </c>
      <c r="B3351" s="1" t="s">
        <v>1332</v>
      </c>
      <c r="C3351" s="1" t="s">
        <v>2281</v>
      </c>
      <c r="D3351" s="1" t="s">
        <v>1998</v>
      </c>
      <c r="E3351" s="1"/>
      <c r="F3351" s="1" t="s">
        <v>11</v>
      </c>
      <c r="G3351">
        <v>1820</v>
      </c>
      <c r="H3351">
        <v>1820</v>
      </c>
      <c r="I3351" s="2"/>
      <c r="J3351" s="2">
        <v>45761</v>
      </c>
      <c r="K3351" s="2">
        <v>45789</v>
      </c>
    </row>
    <row r="3352" spans="1:11" x14ac:dyDescent="0.25">
      <c r="A3352" s="1" t="s">
        <v>602</v>
      </c>
      <c r="B3352" s="1" t="s">
        <v>1333</v>
      </c>
      <c r="C3352" s="1" t="s">
        <v>2295</v>
      </c>
      <c r="D3352" s="1" t="s">
        <v>1998</v>
      </c>
      <c r="E3352" s="1"/>
      <c r="F3352" s="1" t="s">
        <v>11</v>
      </c>
      <c r="G3352">
        <v>3800</v>
      </c>
      <c r="H3352">
        <v>3800</v>
      </c>
      <c r="I3352" s="2"/>
      <c r="J3352" s="2">
        <v>45761</v>
      </c>
      <c r="K3352" s="2">
        <v>45789</v>
      </c>
    </row>
    <row r="3353" spans="1:11" x14ac:dyDescent="0.25">
      <c r="A3353" s="1" t="s">
        <v>602</v>
      </c>
      <c r="B3353" s="1" t="s">
        <v>1334</v>
      </c>
      <c r="C3353" s="1" t="s">
        <v>2282</v>
      </c>
      <c r="D3353" s="1" t="s">
        <v>1998</v>
      </c>
      <c r="E3353" s="1"/>
      <c r="F3353" s="1" t="s">
        <v>11</v>
      </c>
      <c r="G3353">
        <v>365</v>
      </c>
      <c r="H3353">
        <v>365</v>
      </c>
      <c r="I3353" s="2"/>
      <c r="J3353" s="2">
        <v>45761</v>
      </c>
      <c r="K3353" s="2">
        <v>45789</v>
      </c>
    </row>
    <row r="3354" spans="1:11" x14ac:dyDescent="0.25">
      <c r="A3354" s="1" t="s">
        <v>602</v>
      </c>
      <c r="B3354" s="1" t="s">
        <v>1335</v>
      </c>
      <c r="C3354" s="1" t="s">
        <v>2282</v>
      </c>
      <c r="D3354" s="1" t="s">
        <v>1998</v>
      </c>
      <c r="E3354" s="1"/>
      <c r="F3354" s="1" t="s">
        <v>11</v>
      </c>
      <c r="G3354">
        <v>390</v>
      </c>
      <c r="H3354">
        <v>390</v>
      </c>
      <c r="I3354" s="2"/>
      <c r="J3354" s="2">
        <v>45761</v>
      </c>
      <c r="K3354" s="2">
        <v>45789</v>
      </c>
    </row>
    <row r="3355" spans="1:11" x14ac:dyDescent="0.25">
      <c r="A3355" s="1" t="s">
        <v>602</v>
      </c>
      <c r="B3355" s="1" t="s">
        <v>1313</v>
      </c>
      <c r="C3355" s="1" t="s">
        <v>2284</v>
      </c>
      <c r="D3355" s="1" t="s">
        <v>1998</v>
      </c>
      <c r="E3355" s="1"/>
      <c r="F3355" s="1" t="s">
        <v>11</v>
      </c>
      <c r="G3355">
        <v>590</v>
      </c>
      <c r="H3355">
        <v>590</v>
      </c>
      <c r="I3355" s="2"/>
      <c r="J3355" s="2">
        <v>45761</v>
      </c>
      <c r="K3355" s="2">
        <v>45789</v>
      </c>
    </row>
    <row r="3356" spans="1:11" x14ac:dyDescent="0.25">
      <c r="A3356" s="1" t="s">
        <v>602</v>
      </c>
      <c r="B3356" s="1" t="s">
        <v>1314</v>
      </c>
      <c r="C3356" s="1" t="s">
        <v>2285</v>
      </c>
      <c r="D3356" s="1" t="s">
        <v>1998</v>
      </c>
      <c r="E3356" s="1"/>
      <c r="F3356" s="1" t="s">
        <v>11</v>
      </c>
      <c r="G3356">
        <v>310</v>
      </c>
      <c r="H3356">
        <v>310</v>
      </c>
      <c r="I3356" s="2"/>
      <c r="J3356" s="2">
        <v>45761</v>
      </c>
      <c r="K3356" s="2">
        <v>45789</v>
      </c>
    </row>
    <row r="3357" spans="1:11" x14ac:dyDescent="0.25">
      <c r="A3357" s="1" t="s">
        <v>602</v>
      </c>
      <c r="B3357" s="1" t="s">
        <v>1315</v>
      </c>
      <c r="C3357" s="1" t="s">
        <v>2286</v>
      </c>
      <c r="D3357" s="1" t="s">
        <v>1998</v>
      </c>
      <c r="E3357" s="1"/>
      <c r="F3357" s="1" t="s">
        <v>11</v>
      </c>
      <c r="G3357">
        <v>580</v>
      </c>
      <c r="H3357">
        <v>580</v>
      </c>
      <c r="I3357" s="2"/>
      <c r="J3357" s="2">
        <v>45761</v>
      </c>
      <c r="K3357" s="2">
        <v>45789</v>
      </c>
    </row>
    <row r="3358" spans="1:11" x14ac:dyDescent="0.25">
      <c r="A3358" s="1" t="s">
        <v>602</v>
      </c>
      <c r="B3358" s="1" t="s">
        <v>1316</v>
      </c>
      <c r="C3358" s="1" t="s">
        <v>2287</v>
      </c>
      <c r="D3358" s="1" t="s">
        <v>1998</v>
      </c>
      <c r="E3358" s="1"/>
      <c r="F3358" s="1" t="s">
        <v>11</v>
      </c>
      <c r="G3358">
        <v>170</v>
      </c>
      <c r="H3358">
        <v>170</v>
      </c>
      <c r="I3358" s="2"/>
      <c r="J3358" s="2">
        <v>45761</v>
      </c>
      <c r="K3358" s="2">
        <v>45789</v>
      </c>
    </row>
    <row r="3359" spans="1:11" x14ac:dyDescent="0.25">
      <c r="A3359" s="1" t="s">
        <v>602</v>
      </c>
      <c r="B3359" s="1" t="s">
        <v>1317</v>
      </c>
      <c r="C3359" s="1" t="s">
        <v>2288</v>
      </c>
      <c r="D3359" s="1" t="s">
        <v>1998</v>
      </c>
      <c r="E3359" s="1"/>
      <c r="F3359" s="1" t="s">
        <v>11</v>
      </c>
      <c r="G3359">
        <v>15</v>
      </c>
      <c r="H3359">
        <v>1</v>
      </c>
      <c r="I3359" s="2"/>
      <c r="J3359" s="2">
        <v>45761</v>
      </c>
      <c r="K3359" s="2">
        <v>45789</v>
      </c>
    </row>
    <row r="3360" spans="1:11" x14ac:dyDescent="0.25">
      <c r="A3360" s="1" t="s">
        <v>602</v>
      </c>
      <c r="B3360" s="1" t="s">
        <v>1318</v>
      </c>
      <c r="C3360" s="1" t="s">
        <v>2289</v>
      </c>
      <c r="D3360" s="1" t="s">
        <v>1998</v>
      </c>
      <c r="E3360" s="1"/>
      <c r="F3360" s="1" t="s">
        <v>11</v>
      </c>
      <c r="G3360">
        <v>55</v>
      </c>
      <c r="H3360">
        <v>1</v>
      </c>
      <c r="I3360" s="2"/>
      <c r="J3360" s="2">
        <v>45761</v>
      </c>
      <c r="K3360" s="2">
        <v>45789</v>
      </c>
    </row>
    <row r="3361" spans="1:11" x14ac:dyDescent="0.25">
      <c r="A3361" s="1" t="s">
        <v>602</v>
      </c>
      <c r="B3361" s="1" t="s">
        <v>1068</v>
      </c>
      <c r="C3361" s="1" t="s">
        <v>2074</v>
      </c>
      <c r="D3361" s="1" t="s">
        <v>1998</v>
      </c>
      <c r="E3361" s="1"/>
      <c r="F3361" s="1" t="s">
        <v>11</v>
      </c>
      <c r="G3361">
        <v>5</v>
      </c>
      <c r="H3361">
        <v>1</v>
      </c>
      <c r="I3361" s="2"/>
      <c r="J3361" s="2">
        <v>45761</v>
      </c>
      <c r="K3361" s="2">
        <v>45789</v>
      </c>
    </row>
    <row r="3362" spans="1:11" x14ac:dyDescent="0.25">
      <c r="A3362" s="1" t="s">
        <v>602</v>
      </c>
      <c r="B3362" s="1" t="s">
        <v>1336</v>
      </c>
      <c r="C3362" s="1" t="s">
        <v>2296</v>
      </c>
      <c r="D3362" s="1" t="s">
        <v>1998</v>
      </c>
      <c r="E3362" s="1"/>
      <c r="F3362" s="1" t="s">
        <v>11</v>
      </c>
      <c r="G3362">
        <v>1</v>
      </c>
      <c r="H3362">
        <v>1</v>
      </c>
      <c r="I3362" s="2"/>
      <c r="J3362" s="2">
        <v>45761</v>
      </c>
      <c r="K3362" s="2">
        <v>45789</v>
      </c>
    </row>
    <row r="3363" spans="1:11" x14ac:dyDescent="0.25">
      <c r="A3363" s="1" t="s">
        <v>602</v>
      </c>
      <c r="B3363" s="1" t="s">
        <v>1337</v>
      </c>
      <c r="C3363" s="1" t="s">
        <v>2291</v>
      </c>
      <c r="D3363" s="1" t="s">
        <v>1998</v>
      </c>
      <c r="E3363" s="1"/>
      <c r="F3363" s="1" t="s">
        <v>11</v>
      </c>
      <c r="G3363">
        <v>1</v>
      </c>
      <c r="H3363">
        <v>1</v>
      </c>
      <c r="I3363" s="2"/>
      <c r="J3363" s="2">
        <v>45761</v>
      </c>
      <c r="K3363" s="2">
        <v>45789</v>
      </c>
    </row>
    <row r="3364" spans="1:11" x14ac:dyDescent="0.25">
      <c r="A3364" s="1" t="s">
        <v>602</v>
      </c>
      <c r="B3364" s="1" t="s">
        <v>1338</v>
      </c>
      <c r="C3364" s="1" t="s">
        <v>2291</v>
      </c>
      <c r="D3364" s="1" t="s">
        <v>1998</v>
      </c>
      <c r="E3364" s="1"/>
      <c r="F3364" s="1" t="s">
        <v>11</v>
      </c>
      <c r="G3364">
        <v>1</v>
      </c>
      <c r="H3364">
        <v>1</v>
      </c>
      <c r="I3364" s="2"/>
      <c r="J3364" s="2">
        <v>45761</v>
      </c>
      <c r="K3364" s="2">
        <v>45789</v>
      </c>
    </row>
    <row r="3365" spans="1:11" x14ac:dyDescent="0.25">
      <c r="A3365" s="1" t="s">
        <v>602</v>
      </c>
      <c r="B3365" s="1" t="s">
        <v>1339</v>
      </c>
      <c r="C3365" s="1" t="s">
        <v>2291</v>
      </c>
      <c r="D3365" s="1" t="s">
        <v>1998</v>
      </c>
      <c r="E3365" s="1"/>
      <c r="F3365" s="1" t="s">
        <v>11</v>
      </c>
      <c r="G3365">
        <v>1</v>
      </c>
      <c r="H3365">
        <v>1</v>
      </c>
      <c r="I3365" s="2"/>
      <c r="J3365" s="2">
        <v>45761</v>
      </c>
      <c r="K3365" s="2">
        <v>45789</v>
      </c>
    </row>
    <row r="3366" spans="1:11" x14ac:dyDescent="0.25">
      <c r="A3366" s="1" t="s">
        <v>602</v>
      </c>
      <c r="B3366" s="1" t="s">
        <v>1340</v>
      </c>
      <c r="C3366" s="1" t="s">
        <v>2291</v>
      </c>
      <c r="D3366" s="1" t="s">
        <v>1998</v>
      </c>
      <c r="E3366" s="1"/>
      <c r="F3366" s="1" t="s">
        <v>11</v>
      </c>
      <c r="G3366">
        <v>1</v>
      </c>
      <c r="H3366">
        <v>1</v>
      </c>
      <c r="I3366" s="2"/>
      <c r="J3366" s="2">
        <v>45761</v>
      </c>
      <c r="K3366" s="2">
        <v>45789</v>
      </c>
    </row>
    <row r="3367" spans="1:11" x14ac:dyDescent="0.25">
      <c r="A3367" s="1" t="s">
        <v>603</v>
      </c>
      <c r="B3367" s="1" t="s">
        <v>1696</v>
      </c>
      <c r="C3367" s="1" t="s">
        <v>2595</v>
      </c>
      <c r="D3367" s="1" t="s">
        <v>1998</v>
      </c>
      <c r="E3367" s="1"/>
      <c r="F3367" s="1" t="s">
        <v>11</v>
      </c>
      <c r="G3367">
        <v>55</v>
      </c>
      <c r="H3367">
        <v>60</v>
      </c>
      <c r="I3367" s="2"/>
      <c r="J3367" s="2">
        <v>45764</v>
      </c>
      <c r="K3367" s="2">
        <v>45782</v>
      </c>
    </row>
    <row r="3368" spans="1:11" x14ac:dyDescent="0.25">
      <c r="A3368" s="1" t="s">
        <v>604</v>
      </c>
      <c r="B3368" s="1" t="s">
        <v>1255</v>
      </c>
      <c r="C3368" s="1" t="s">
        <v>2235</v>
      </c>
      <c r="D3368" s="1" t="s">
        <v>1998</v>
      </c>
      <c r="E3368" s="1"/>
      <c r="F3368" s="1" t="s">
        <v>11</v>
      </c>
      <c r="G3368">
        <v>140</v>
      </c>
      <c r="H3368">
        <v>130</v>
      </c>
      <c r="I3368" s="2"/>
      <c r="J3368" s="2">
        <v>45784</v>
      </c>
      <c r="K3368" s="2">
        <v>45789</v>
      </c>
    </row>
    <row r="3369" spans="1:11" x14ac:dyDescent="0.25">
      <c r="A3369" s="1" t="s">
        <v>604</v>
      </c>
      <c r="B3369" s="1" t="s">
        <v>1027</v>
      </c>
      <c r="C3369" s="1" t="s">
        <v>2040</v>
      </c>
      <c r="D3369" s="1" t="s">
        <v>1998</v>
      </c>
      <c r="E3369" s="1"/>
      <c r="F3369" s="1" t="s">
        <v>11</v>
      </c>
      <c r="G3369">
        <v>15</v>
      </c>
      <c r="H3369">
        <v>1</v>
      </c>
      <c r="I3369" s="2"/>
      <c r="J3369" s="2">
        <v>45784</v>
      </c>
      <c r="K3369" s="2">
        <v>45789</v>
      </c>
    </row>
    <row r="3370" spans="1:11" x14ac:dyDescent="0.25">
      <c r="A3370" s="1" t="s">
        <v>604</v>
      </c>
      <c r="B3370" s="1" t="s">
        <v>1013</v>
      </c>
      <c r="C3370" s="1" t="s">
        <v>2030</v>
      </c>
      <c r="D3370" s="1" t="s">
        <v>1998</v>
      </c>
      <c r="E3370" s="1"/>
      <c r="F3370" s="1" t="s">
        <v>11</v>
      </c>
      <c r="G3370">
        <v>5</v>
      </c>
      <c r="H3370">
        <v>5</v>
      </c>
      <c r="I3370" s="2"/>
      <c r="J3370" s="2">
        <v>45784</v>
      </c>
      <c r="K3370" s="2">
        <v>45789</v>
      </c>
    </row>
    <row r="3371" spans="1:11" x14ac:dyDescent="0.25">
      <c r="A3371" s="1" t="s">
        <v>604</v>
      </c>
      <c r="B3371" s="1" t="s">
        <v>993</v>
      </c>
      <c r="C3371" s="1" t="s">
        <v>2011</v>
      </c>
      <c r="D3371" s="1" t="s">
        <v>1998</v>
      </c>
      <c r="E3371" s="1"/>
      <c r="F3371" s="1" t="s">
        <v>11</v>
      </c>
      <c r="G3371">
        <v>1</v>
      </c>
      <c r="H3371">
        <v>1</v>
      </c>
      <c r="I3371" s="2"/>
      <c r="J3371" s="2">
        <v>45784</v>
      </c>
      <c r="K3371" s="2">
        <v>45789</v>
      </c>
    </row>
    <row r="3372" spans="1:11" x14ac:dyDescent="0.25">
      <c r="A3372" s="1" t="s">
        <v>604</v>
      </c>
      <c r="B3372" s="1" t="s">
        <v>993</v>
      </c>
      <c r="C3372" s="1" t="s">
        <v>2011</v>
      </c>
      <c r="D3372" s="1" t="s">
        <v>1998</v>
      </c>
      <c r="E3372" s="1"/>
      <c r="F3372" s="1" t="s">
        <v>11</v>
      </c>
      <c r="G3372">
        <v>5</v>
      </c>
      <c r="H3372">
        <v>1</v>
      </c>
      <c r="I3372" s="2"/>
      <c r="J3372" s="2">
        <v>45784</v>
      </c>
      <c r="K3372" s="2">
        <v>45789</v>
      </c>
    </row>
    <row r="3373" spans="1:11" x14ac:dyDescent="0.25">
      <c r="A3373" s="1" t="s">
        <v>604</v>
      </c>
      <c r="B3373" s="1" t="s">
        <v>1239</v>
      </c>
      <c r="C3373" s="1" t="s">
        <v>2223</v>
      </c>
      <c r="D3373" s="1" t="s">
        <v>1998</v>
      </c>
      <c r="E3373" s="1"/>
      <c r="F3373" s="1" t="s">
        <v>11</v>
      </c>
      <c r="G3373">
        <v>1885</v>
      </c>
      <c r="H3373">
        <v>1885</v>
      </c>
      <c r="I3373" s="2"/>
      <c r="J3373" s="2">
        <v>45784</v>
      </c>
      <c r="K3373" s="2">
        <v>45789</v>
      </c>
    </row>
    <row r="3374" spans="1:11" x14ac:dyDescent="0.25">
      <c r="A3374" s="1" t="s">
        <v>605</v>
      </c>
      <c r="B3374" s="1" t="s">
        <v>1255</v>
      </c>
      <c r="C3374" s="1" t="s">
        <v>2235</v>
      </c>
      <c r="D3374" s="1" t="s">
        <v>1998</v>
      </c>
      <c r="E3374" s="1"/>
      <c r="F3374" s="1" t="s">
        <v>11</v>
      </c>
      <c r="G3374">
        <v>140</v>
      </c>
      <c r="H3374">
        <v>1</v>
      </c>
      <c r="I3374" s="2"/>
      <c r="J3374" s="2">
        <v>45784</v>
      </c>
      <c r="K3374" s="2">
        <v>45786</v>
      </c>
    </row>
    <row r="3375" spans="1:11" x14ac:dyDescent="0.25">
      <c r="A3375" s="1" t="s">
        <v>605</v>
      </c>
      <c r="B3375" s="1" t="s">
        <v>1027</v>
      </c>
      <c r="C3375" s="1" t="s">
        <v>2040</v>
      </c>
      <c r="D3375" s="1" t="s">
        <v>1998</v>
      </c>
      <c r="E3375" s="1"/>
      <c r="F3375" s="1" t="s">
        <v>11</v>
      </c>
      <c r="G3375">
        <v>15</v>
      </c>
      <c r="H3375">
        <v>1</v>
      </c>
      <c r="I3375" s="2"/>
      <c r="J3375" s="2">
        <v>45784</v>
      </c>
      <c r="K3375" s="2">
        <v>45786</v>
      </c>
    </row>
    <row r="3376" spans="1:11" x14ac:dyDescent="0.25">
      <c r="A3376" s="1" t="s">
        <v>605</v>
      </c>
      <c r="B3376" s="1" t="s">
        <v>1013</v>
      </c>
      <c r="C3376" s="1" t="s">
        <v>2030</v>
      </c>
      <c r="D3376" s="1" t="s">
        <v>1998</v>
      </c>
      <c r="E3376" s="1"/>
      <c r="F3376" s="1" t="s">
        <v>11</v>
      </c>
      <c r="G3376">
        <v>5</v>
      </c>
      <c r="H3376">
        <v>5</v>
      </c>
      <c r="I3376" s="2"/>
      <c r="J3376" s="2">
        <v>45784</v>
      </c>
      <c r="K3376" s="2">
        <v>45786</v>
      </c>
    </row>
    <row r="3377" spans="1:11" x14ac:dyDescent="0.25">
      <c r="A3377" s="1" t="s">
        <v>605</v>
      </c>
      <c r="B3377" s="1" t="s">
        <v>993</v>
      </c>
      <c r="C3377" s="1" t="s">
        <v>2011</v>
      </c>
      <c r="D3377" s="1" t="s">
        <v>1998</v>
      </c>
      <c r="E3377" s="1"/>
      <c r="F3377" s="1" t="s">
        <v>11</v>
      </c>
      <c r="G3377">
        <v>1</v>
      </c>
      <c r="H3377">
        <v>1</v>
      </c>
      <c r="I3377" s="2"/>
      <c r="J3377" s="2">
        <v>45784</v>
      </c>
      <c r="K3377" s="2">
        <v>45786</v>
      </c>
    </row>
    <row r="3378" spans="1:11" x14ac:dyDescent="0.25">
      <c r="A3378" s="1" t="s">
        <v>605</v>
      </c>
      <c r="B3378" s="1" t="s">
        <v>993</v>
      </c>
      <c r="C3378" s="1" t="s">
        <v>2011</v>
      </c>
      <c r="D3378" s="1" t="s">
        <v>1998</v>
      </c>
      <c r="E3378" s="1"/>
      <c r="F3378" s="1" t="s">
        <v>11</v>
      </c>
      <c r="G3378">
        <v>5</v>
      </c>
      <c r="H3378">
        <v>1</v>
      </c>
      <c r="I3378" s="2"/>
      <c r="J3378" s="2">
        <v>45784</v>
      </c>
      <c r="K3378" s="2">
        <v>45786</v>
      </c>
    </row>
    <row r="3379" spans="1:11" x14ac:dyDescent="0.25">
      <c r="A3379" s="1" t="s">
        <v>605</v>
      </c>
      <c r="B3379" s="1" t="s">
        <v>1239</v>
      </c>
      <c r="C3379" s="1" t="s">
        <v>2223</v>
      </c>
      <c r="D3379" s="1" t="s">
        <v>1998</v>
      </c>
      <c r="E3379" s="1"/>
      <c r="F3379" s="1" t="s">
        <v>11</v>
      </c>
      <c r="G3379">
        <v>1885</v>
      </c>
      <c r="H3379">
        <v>1885</v>
      </c>
      <c r="I3379" s="2"/>
      <c r="J3379" s="2">
        <v>45784</v>
      </c>
      <c r="K3379" s="2">
        <v>45786</v>
      </c>
    </row>
    <row r="3380" spans="1:11" x14ac:dyDescent="0.25">
      <c r="A3380" s="1" t="s">
        <v>606</v>
      </c>
      <c r="B3380" s="1" t="s">
        <v>1295</v>
      </c>
      <c r="C3380" s="1" t="s">
        <v>2271</v>
      </c>
      <c r="D3380" s="1" t="s">
        <v>1998</v>
      </c>
      <c r="E3380" s="1"/>
      <c r="F3380" s="1" t="s">
        <v>11</v>
      </c>
      <c r="G3380">
        <v>105</v>
      </c>
      <c r="H3380">
        <v>105</v>
      </c>
      <c r="I3380" s="2"/>
      <c r="J3380" s="2">
        <v>45761</v>
      </c>
      <c r="K3380" s="2">
        <v>45771</v>
      </c>
    </row>
    <row r="3381" spans="1:11" x14ac:dyDescent="0.25">
      <c r="A3381" s="1" t="s">
        <v>606</v>
      </c>
      <c r="B3381" s="1" t="s">
        <v>1295</v>
      </c>
      <c r="C3381" s="1" t="s">
        <v>2271</v>
      </c>
      <c r="D3381" s="1" t="s">
        <v>1998</v>
      </c>
      <c r="E3381" s="1"/>
      <c r="F3381" s="1" t="s">
        <v>11</v>
      </c>
      <c r="G3381">
        <v>65</v>
      </c>
      <c r="H3381">
        <v>65</v>
      </c>
      <c r="I3381" s="2"/>
      <c r="J3381" s="2">
        <v>45761</v>
      </c>
      <c r="K3381" s="2">
        <v>45771</v>
      </c>
    </row>
    <row r="3382" spans="1:11" x14ac:dyDescent="0.25">
      <c r="A3382" s="1" t="s">
        <v>606</v>
      </c>
      <c r="B3382" s="1" t="s">
        <v>1296</v>
      </c>
      <c r="C3382" s="1" t="s">
        <v>2224</v>
      </c>
      <c r="D3382" s="1" t="s">
        <v>1998</v>
      </c>
      <c r="E3382" s="1"/>
      <c r="F3382" s="1" t="s">
        <v>11</v>
      </c>
      <c r="G3382">
        <v>355</v>
      </c>
      <c r="H3382">
        <v>355</v>
      </c>
      <c r="I3382" s="2"/>
      <c r="J3382" s="2">
        <v>45761</v>
      </c>
      <c r="K3382" s="2">
        <v>45771</v>
      </c>
    </row>
    <row r="3383" spans="1:11" x14ac:dyDescent="0.25">
      <c r="A3383" s="1" t="s">
        <v>607</v>
      </c>
      <c r="B3383" s="1" t="s">
        <v>1265</v>
      </c>
      <c r="C3383" s="1" t="s">
        <v>2242</v>
      </c>
      <c r="D3383" s="1" t="s">
        <v>1998</v>
      </c>
      <c r="E3383" s="1"/>
      <c r="F3383" s="1" t="s">
        <v>11</v>
      </c>
      <c r="G3383">
        <v>1160</v>
      </c>
      <c r="H3383">
        <v>1200</v>
      </c>
      <c r="I3383" s="2"/>
      <c r="J3383" s="2">
        <v>45778</v>
      </c>
      <c r="K3383" s="2">
        <v>45783</v>
      </c>
    </row>
    <row r="3384" spans="1:11" x14ac:dyDescent="0.25">
      <c r="A3384" s="1" t="s">
        <v>607</v>
      </c>
      <c r="B3384" s="1" t="s">
        <v>1267</v>
      </c>
      <c r="C3384" s="1" t="s">
        <v>2244</v>
      </c>
      <c r="D3384" s="1" t="s">
        <v>1998</v>
      </c>
      <c r="E3384" s="1"/>
      <c r="F3384" s="1" t="s">
        <v>11</v>
      </c>
      <c r="G3384">
        <v>65</v>
      </c>
      <c r="H3384">
        <v>40</v>
      </c>
      <c r="I3384" s="2"/>
      <c r="J3384" s="2">
        <v>45778</v>
      </c>
      <c r="K3384" s="2">
        <v>45783</v>
      </c>
    </row>
    <row r="3385" spans="1:11" x14ac:dyDescent="0.25">
      <c r="A3385" s="1" t="s">
        <v>607</v>
      </c>
      <c r="B3385" s="1" t="s">
        <v>1206</v>
      </c>
      <c r="C3385" s="1" t="s">
        <v>2196</v>
      </c>
      <c r="D3385" s="1" t="s">
        <v>1998</v>
      </c>
      <c r="E3385" s="1"/>
      <c r="F3385" s="1" t="s">
        <v>11</v>
      </c>
      <c r="G3385">
        <v>5</v>
      </c>
      <c r="H3385">
        <v>5</v>
      </c>
      <c r="I3385" s="2"/>
      <c r="J3385" s="2">
        <v>45778</v>
      </c>
      <c r="K3385" s="2">
        <v>45783</v>
      </c>
    </row>
    <row r="3386" spans="1:11" x14ac:dyDescent="0.25">
      <c r="A3386" s="1" t="s">
        <v>607</v>
      </c>
      <c r="B3386" s="1" t="s">
        <v>1266</v>
      </c>
      <c r="C3386" s="1" t="s">
        <v>2243</v>
      </c>
      <c r="D3386" s="1" t="s">
        <v>1998</v>
      </c>
      <c r="E3386" s="1"/>
      <c r="F3386" s="1" t="s">
        <v>11</v>
      </c>
      <c r="G3386">
        <v>10</v>
      </c>
      <c r="H3386">
        <v>10</v>
      </c>
      <c r="I3386" s="2"/>
      <c r="J3386" s="2">
        <v>45778</v>
      </c>
      <c r="K3386" s="2">
        <v>45783</v>
      </c>
    </row>
    <row r="3387" spans="1:11" x14ac:dyDescent="0.25">
      <c r="A3387" s="1" t="s">
        <v>608</v>
      </c>
      <c r="B3387" s="1" t="s">
        <v>1265</v>
      </c>
      <c r="C3387" s="1" t="s">
        <v>2242</v>
      </c>
      <c r="D3387" s="1" t="s">
        <v>1998</v>
      </c>
      <c r="E3387" s="1"/>
      <c r="F3387" s="1" t="s">
        <v>11</v>
      </c>
      <c r="G3387">
        <v>1160</v>
      </c>
      <c r="H3387">
        <v>1200</v>
      </c>
      <c r="I3387" s="2"/>
      <c r="J3387" s="2">
        <v>45778</v>
      </c>
      <c r="K3387" s="2">
        <v>45783</v>
      </c>
    </row>
    <row r="3388" spans="1:11" x14ac:dyDescent="0.25">
      <c r="A3388" s="1" t="s">
        <v>608</v>
      </c>
      <c r="B3388" s="1" t="s">
        <v>1267</v>
      </c>
      <c r="C3388" s="1" t="s">
        <v>2244</v>
      </c>
      <c r="D3388" s="1" t="s">
        <v>1998</v>
      </c>
      <c r="E3388" s="1"/>
      <c r="F3388" s="1" t="s">
        <v>11</v>
      </c>
      <c r="G3388">
        <v>65</v>
      </c>
      <c r="H3388">
        <v>40</v>
      </c>
      <c r="I3388" s="2"/>
      <c r="J3388" s="2">
        <v>45778</v>
      </c>
      <c r="K3388" s="2">
        <v>45783</v>
      </c>
    </row>
    <row r="3389" spans="1:11" x14ac:dyDescent="0.25">
      <c r="A3389" s="1" t="s">
        <v>608</v>
      </c>
      <c r="B3389" s="1" t="s">
        <v>1206</v>
      </c>
      <c r="C3389" s="1" t="s">
        <v>2196</v>
      </c>
      <c r="D3389" s="1" t="s">
        <v>1998</v>
      </c>
      <c r="E3389" s="1"/>
      <c r="F3389" s="1" t="s">
        <v>11</v>
      </c>
      <c r="G3389">
        <v>5</v>
      </c>
      <c r="H3389">
        <v>5</v>
      </c>
      <c r="I3389" s="2"/>
      <c r="J3389" s="2">
        <v>45778</v>
      </c>
      <c r="K3389" s="2">
        <v>45783</v>
      </c>
    </row>
    <row r="3390" spans="1:11" x14ac:dyDescent="0.25">
      <c r="A3390" s="1" t="s">
        <v>608</v>
      </c>
      <c r="B3390" s="1" t="s">
        <v>1266</v>
      </c>
      <c r="C3390" s="1" t="s">
        <v>2243</v>
      </c>
      <c r="D3390" s="1" t="s">
        <v>1998</v>
      </c>
      <c r="E3390" s="1"/>
      <c r="F3390" s="1" t="s">
        <v>11</v>
      </c>
      <c r="G3390">
        <v>10</v>
      </c>
      <c r="H3390">
        <v>10</v>
      </c>
      <c r="I3390" s="2"/>
      <c r="J3390" s="2">
        <v>45778</v>
      </c>
      <c r="K3390" s="2">
        <v>45783</v>
      </c>
    </row>
    <row r="3391" spans="1:11" x14ac:dyDescent="0.25">
      <c r="A3391" s="1" t="s">
        <v>609</v>
      </c>
      <c r="B3391" s="1" t="s">
        <v>1265</v>
      </c>
      <c r="C3391" s="1" t="s">
        <v>2242</v>
      </c>
      <c r="D3391" s="1" t="s">
        <v>1998</v>
      </c>
      <c r="E3391" s="1"/>
      <c r="F3391" s="1" t="s">
        <v>11</v>
      </c>
      <c r="G3391">
        <v>1160</v>
      </c>
      <c r="H3391">
        <v>1200</v>
      </c>
      <c r="I3391" s="2"/>
      <c r="J3391" s="2">
        <v>45779</v>
      </c>
      <c r="K3391" s="2">
        <v>45783</v>
      </c>
    </row>
    <row r="3392" spans="1:11" x14ac:dyDescent="0.25">
      <c r="A3392" s="1" t="s">
        <v>609</v>
      </c>
      <c r="B3392" s="1" t="s">
        <v>1267</v>
      </c>
      <c r="C3392" s="1" t="s">
        <v>2244</v>
      </c>
      <c r="D3392" s="1" t="s">
        <v>1998</v>
      </c>
      <c r="E3392" s="1"/>
      <c r="F3392" s="1" t="s">
        <v>11</v>
      </c>
      <c r="G3392">
        <v>65</v>
      </c>
      <c r="H3392">
        <v>40</v>
      </c>
      <c r="I3392" s="2"/>
      <c r="J3392" s="2">
        <v>45779</v>
      </c>
      <c r="K3392" s="2">
        <v>45783</v>
      </c>
    </row>
    <row r="3393" spans="1:11" x14ac:dyDescent="0.25">
      <c r="A3393" s="1" t="s">
        <v>609</v>
      </c>
      <c r="B3393" s="1" t="s">
        <v>1206</v>
      </c>
      <c r="C3393" s="1" t="s">
        <v>2196</v>
      </c>
      <c r="D3393" s="1" t="s">
        <v>1998</v>
      </c>
      <c r="E3393" s="1"/>
      <c r="F3393" s="1" t="s">
        <v>11</v>
      </c>
      <c r="G3393">
        <v>5</v>
      </c>
      <c r="H3393">
        <v>5</v>
      </c>
      <c r="I3393" s="2"/>
      <c r="J3393" s="2">
        <v>45779</v>
      </c>
      <c r="K3393" s="2">
        <v>45783</v>
      </c>
    </row>
    <row r="3394" spans="1:11" x14ac:dyDescent="0.25">
      <c r="A3394" s="1" t="s">
        <v>609</v>
      </c>
      <c r="B3394" s="1" t="s">
        <v>1266</v>
      </c>
      <c r="C3394" s="1" t="s">
        <v>2243</v>
      </c>
      <c r="D3394" s="1" t="s">
        <v>1998</v>
      </c>
      <c r="E3394" s="1"/>
      <c r="F3394" s="1" t="s">
        <v>11</v>
      </c>
      <c r="G3394">
        <v>10</v>
      </c>
      <c r="H3394">
        <v>10</v>
      </c>
      <c r="I3394" s="2"/>
      <c r="J3394" s="2">
        <v>45779</v>
      </c>
      <c r="K3394" s="2">
        <v>45783</v>
      </c>
    </row>
    <row r="3395" spans="1:11" x14ac:dyDescent="0.25">
      <c r="A3395" s="1" t="s">
        <v>610</v>
      </c>
      <c r="B3395" s="1" t="s">
        <v>1265</v>
      </c>
      <c r="C3395" s="1" t="s">
        <v>2242</v>
      </c>
      <c r="D3395" s="1" t="s">
        <v>1998</v>
      </c>
      <c r="E3395" s="1"/>
      <c r="F3395" s="1" t="s">
        <v>11</v>
      </c>
      <c r="G3395">
        <v>1160</v>
      </c>
      <c r="H3395">
        <v>1200</v>
      </c>
      <c r="I3395" s="2"/>
      <c r="J3395" s="2">
        <v>45779</v>
      </c>
      <c r="K3395" s="2">
        <v>45783</v>
      </c>
    </row>
    <row r="3396" spans="1:11" x14ac:dyDescent="0.25">
      <c r="A3396" s="1" t="s">
        <v>610</v>
      </c>
      <c r="B3396" s="1" t="s">
        <v>1267</v>
      </c>
      <c r="C3396" s="1" t="s">
        <v>2244</v>
      </c>
      <c r="D3396" s="1" t="s">
        <v>1998</v>
      </c>
      <c r="E3396" s="1"/>
      <c r="F3396" s="1" t="s">
        <v>11</v>
      </c>
      <c r="G3396">
        <v>65</v>
      </c>
      <c r="H3396">
        <v>40</v>
      </c>
      <c r="I3396" s="2"/>
      <c r="J3396" s="2">
        <v>45779</v>
      </c>
      <c r="K3396" s="2">
        <v>45783</v>
      </c>
    </row>
    <row r="3397" spans="1:11" x14ac:dyDescent="0.25">
      <c r="A3397" s="1" t="s">
        <v>610</v>
      </c>
      <c r="B3397" s="1" t="s">
        <v>1206</v>
      </c>
      <c r="C3397" s="1" t="s">
        <v>2196</v>
      </c>
      <c r="D3397" s="1" t="s">
        <v>1998</v>
      </c>
      <c r="E3397" s="1"/>
      <c r="F3397" s="1" t="s">
        <v>11</v>
      </c>
      <c r="G3397">
        <v>5</v>
      </c>
      <c r="H3397">
        <v>5</v>
      </c>
      <c r="I3397" s="2"/>
      <c r="J3397" s="2">
        <v>45779</v>
      </c>
      <c r="K3397" s="2">
        <v>45783</v>
      </c>
    </row>
    <row r="3398" spans="1:11" x14ac:dyDescent="0.25">
      <c r="A3398" s="1" t="s">
        <v>610</v>
      </c>
      <c r="B3398" s="1" t="s">
        <v>1266</v>
      </c>
      <c r="C3398" s="1" t="s">
        <v>2243</v>
      </c>
      <c r="D3398" s="1" t="s">
        <v>1998</v>
      </c>
      <c r="E3398" s="1"/>
      <c r="F3398" s="1" t="s">
        <v>11</v>
      </c>
      <c r="G3398">
        <v>10</v>
      </c>
      <c r="H3398">
        <v>10</v>
      </c>
      <c r="I3398" s="2"/>
      <c r="J3398" s="2">
        <v>45779</v>
      </c>
      <c r="K3398" s="2">
        <v>45783</v>
      </c>
    </row>
    <row r="3399" spans="1:11" x14ac:dyDescent="0.25">
      <c r="A3399" s="1" t="s">
        <v>611</v>
      </c>
      <c r="B3399" s="1" t="s">
        <v>1265</v>
      </c>
      <c r="C3399" s="1" t="s">
        <v>2242</v>
      </c>
      <c r="D3399" s="1" t="s">
        <v>1998</v>
      </c>
      <c r="E3399" s="1"/>
      <c r="F3399" s="1" t="s">
        <v>11</v>
      </c>
      <c r="G3399">
        <v>1160</v>
      </c>
      <c r="H3399">
        <v>1200</v>
      </c>
      <c r="I3399" s="2"/>
      <c r="J3399" s="2">
        <v>45765</v>
      </c>
      <c r="K3399" s="2">
        <v>45783</v>
      </c>
    </row>
    <row r="3400" spans="1:11" x14ac:dyDescent="0.25">
      <c r="A3400" s="1" t="s">
        <v>611</v>
      </c>
      <c r="B3400" s="1" t="s">
        <v>1267</v>
      </c>
      <c r="C3400" s="1" t="s">
        <v>2244</v>
      </c>
      <c r="D3400" s="1" t="s">
        <v>1998</v>
      </c>
      <c r="E3400" s="1"/>
      <c r="F3400" s="1" t="s">
        <v>11</v>
      </c>
      <c r="G3400">
        <v>65</v>
      </c>
      <c r="H3400">
        <v>40</v>
      </c>
      <c r="I3400" s="2"/>
      <c r="J3400" s="2">
        <v>45765</v>
      </c>
      <c r="K3400" s="2">
        <v>45783</v>
      </c>
    </row>
    <row r="3401" spans="1:11" x14ac:dyDescent="0.25">
      <c r="A3401" s="1" t="s">
        <v>611</v>
      </c>
      <c r="B3401" s="1" t="s">
        <v>1206</v>
      </c>
      <c r="C3401" s="1" t="s">
        <v>2196</v>
      </c>
      <c r="D3401" s="1" t="s">
        <v>1998</v>
      </c>
      <c r="E3401" s="1"/>
      <c r="F3401" s="1" t="s">
        <v>11</v>
      </c>
      <c r="G3401">
        <v>5</v>
      </c>
      <c r="H3401">
        <v>5</v>
      </c>
      <c r="I3401" s="2"/>
      <c r="J3401" s="2">
        <v>45765</v>
      </c>
      <c r="K3401" s="2">
        <v>45783</v>
      </c>
    </row>
    <row r="3402" spans="1:11" x14ac:dyDescent="0.25">
      <c r="A3402" s="1" t="s">
        <v>611</v>
      </c>
      <c r="B3402" s="1" t="s">
        <v>1266</v>
      </c>
      <c r="C3402" s="1" t="s">
        <v>2243</v>
      </c>
      <c r="D3402" s="1" t="s">
        <v>1998</v>
      </c>
      <c r="E3402" s="1"/>
      <c r="F3402" s="1" t="s">
        <v>11</v>
      </c>
      <c r="G3402">
        <v>10</v>
      </c>
      <c r="H3402">
        <v>10</v>
      </c>
      <c r="I3402" s="2"/>
      <c r="J3402" s="2">
        <v>45765</v>
      </c>
      <c r="K3402" s="2">
        <v>45783</v>
      </c>
    </row>
    <row r="3403" spans="1:11" x14ac:dyDescent="0.25">
      <c r="A3403" s="1" t="s">
        <v>612</v>
      </c>
      <c r="B3403" s="1" t="s">
        <v>1265</v>
      </c>
      <c r="C3403" s="1" t="s">
        <v>2242</v>
      </c>
      <c r="D3403" s="1" t="s">
        <v>1998</v>
      </c>
      <c r="E3403" s="1"/>
      <c r="F3403" s="1" t="s">
        <v>11</v>
      </c>
      <c r="G3403">
        <v>1160</v>
      </c>
      <c r="H3403">
        <v>1200</v>
      </c>
      <c r="I3403" s="2"/>
      <c r="J3403" s="2">
        <v>45785</v>
      </c>
      <c r="K3403" s="2">
        <v>45785</v>
      </c>
    </row>
    <row r="3404" spans="1:11" x14ac:dyDescent="0.25">
      <c r="A3404" s="1" t="s">
        <v>612</v>
      </c>
      <c r="B3404" s="1" t="s">
        <v>1267</v>
      </c>
      <c r="C3404" s="1" t="s">
        <v>2244</v>
      </c>
      <c r="D3404" s="1" t="s">
        <v>1998</v>
      </c>
      <c r="E3404" s="1"/>
      <c r="F3404" s="1" t="s">
        <v>11</v>
      </c>
      <c r="G3404">
        <v>65</v>
      </c>
      <c r="H3404">
        <v>40</v>
      </c>
      <c r="I3404" s="2"/>
      <c r="J3404" s="2">
        <v>45785</v>
      </c>
      <c r="K3404" s="2">
        <v>45785</v>
      </c>
    </row>
    <row r="3405" spans="1:11" x14ac:dyDescent="0.25">
      <c r="A3405" s="1" t="s">
        <v>612</v>
      </c>
      <c r="B3405" s="1" t="s">
        <v>1206</v>
      </c>
      <c r="C3405" s="1" t="s">
        <v>2196</v>
      </c>
      <c r="D3405" s="1" t="s">
        <v>1998</v>
      </c>
      <c r="E3405" s="1"/>
      <c r="F3405" s="1" t="s">
        <v>11</v>
      </c>
      <c r="G3405">
        <v>5</v>
      </c>
      <c r="H3405">
        <v>5</v>
      </c>
      <c r="I3405" s="2"/>
      <c r="J3405" s="2">
        <v>45785</v>
      </c>
      <c r="K3405" s="2">
        <v>45785</v>
      </c>
    </row>
    <row r="3406" spans="1:11" x14ac:dyDescent="0.25">
      <c r="A3406" s="1" t="s">
        <v>612</v>
      </c>
      <c r="B3406" s="1" t="s">
        <v>1266</v>
      </c>
      <c r="C3406" s="1" t="s">
        <v>2243</v>
      </c>
      <c r="D3406" s="1" t="s">
        <v>1998</v>
      </c>
      <c r="E3406" s="1"/>
      <c r="F3406" s="1" t="s">
        <v>11</v>
      </c>
      <c r="G3406">
        <v>10</v>
      </c>
      <c r="H3406">
        <v>10</v>
      </c>
      <c r="I3406" s="2"/>
      <c r="J3406" s="2">
        <v>45785</v>
      </c>
      <c r="K3406" s="2">
        <v>45785</v>
      </c>
    </row>
    <row r="3407" spans="1:11" x14ac:dyDescent="0.25">
      <c r="A3407" s="1" t="s">
        <v>613</v>
      </c>
      <c r="B3407" s="1" t="s">
        <v>1204</v>
      </c>
      <c r="C3407" s="1" t="s">
        <v>2194</v>
      </c>
      <c r="D3407" s="1" t="s">
        <v>1998</v>
      </c>
      <c r="E3407" s="1"/>
      <c r="F3407" s="1" t="s">
        <v>11</v>
      </c>
      <c r="G3407">
        <v>40</v>
      </c>
      <c r="H3407">
        <v>40</v>
      </c>
      <c r="I3407" s="2"/>
      <c r="J3407" s="2">
        <v>45771</v>
      </c>
      <c r="K3407" s="2">
        <v>45777</v>
      </c>
    </row>
    <row r="3408" spans="1:11" x14ac:dyDescent="0.25">
      <c r="A3408" s="1" t="s">
        <v>613</v>
      </c>
      <c r="B3408" s="1" t="s">
        <v>1205</v>
      </c>
      <c r="C3408" s="1" t="s">
        <v>2195</v>
      </c>
      <c r="D3408" s="1" t="s">
        <v>1998</v>
      </c>
      <c r="E3408" s="1"/>
      <c r="F3408" s="1" t="s">
        <v>11</v>
      </c>
      <c r="G3408">
        <v>35</v>
      </c>
      <c r="H3408">
        <v>35</v>
      </c>
      <c r="I3408" s="2"/>
      <c r="J3408" s="2">
        <v>45771</v>
      </c>
      <c r="K3408" s="2">
        <v>45777</v>
      </c>
    </row>
    <row r="3409" spans="1:11" x14ac:dyDescent="0.25">
      <c r="A3409" s="1" t="s">
        <v>613</v>
      </c>
      <c r="B3409" s="1" t="s">
        <v>1206</v>
      </c>
      <c r="C3409" s="1" t="s">
        <v>2196</v>
      </c>
      <c r="D3409" s="1" t="s">
        <v>1998</v>
      </c>
      <c r="E3409" s="1"/>
      <c r="F3409" s="1" t="s">
        <v>11</v>
      </c>
      <c r="G3409">
        <v>1</v>
      </c>
      <c r="H3409">
        <v>1</v>
      </c>
      <c r="I3409" s="2"/>
      <c r="J3409" s="2">
        <v>45771</v>
      </c>
      <c r="K3409" s="2">
        <v>45777</v>
      </c>
    </row>
    <row r="3410" spans="1:11" x14ac:dyDescent="0.25">
      <c r="A3410" s="1" t="s">
        <v>613</v>
      </c>
      <c r="B3410" s="1" t="s">
        <v>1280</v>
      </c>
      <c r="C3410" s="1" t="s">
        <v>2257</v>
      </c>
      <c r="D3410" s="1" t="s">
        <v>1998</v>
      </c>
      <c r="E3410" s="1"/>
      <c r="F3410" s="1" t="s">
        <v>11</v>
      </c>
      <c r="G3410">
        <v>1</v>
      </c>
      <c r="H3410">
        <v>1</v>
      </c>
      <c r="I3410" s="2"/>
      <c r="J3410" s="2">
        <v>45771</v>
      </c>
      <c r="K3410" s="2">
        <v>45777</v>
      </c>
    </row>
    <row r="3411" spans="1:11" x14ac:dyDescent="0.25">
      <c r="A3411" s="1" t="s">
        <v>614</v>
      </c>
      <c r="B3411" s="1" t="s">
        <v>1264</v>
      </c>
      <c r="C3411" s="1" t="s">
        <v>2241</v>
      </c>
      <c r="D3411" s="1" t="s">
        <v>1998</v>
      </c>
      <c r="E3411" s="1"/>
      <c r="F3411" s="1" t="s">
        <v>11</v>
      </c>
      <c r="G3411">
        <v>40</v>
      </c>
      <c r="H3411">
        <v>35</v>
      </c>
      <c r="I3411" s="2"/>
      <c r="J3411" s="2">
        <v>45763</v>
      </c>
      <c r="K3411" s="2">
        <v>45770</v>
      </c>
    </row>
    <row r="3412" spans="1:11" x14ac:dyDescent="0.25">
      <c r="A3412" s="1" t="s">
        <v>614</v>
      </c>
      <c r="B3412" s="1" t="s">
        <v>1265</v>
      </c>
      <c r="C3412" s="1" t="s">
        <v>2242</v>
      </c>
      <c r="D3412" s="1" t="s">
        <v>1998</v>
      </c>
      <c r="E3412" s="1"/>
      <c r="F3412" s="1" t="s">
        <v>11</v>
      </c>
      <c r="G3412">
        <v>720</v>
      </c>
      <c r="H3412">
        <v>60</v>
      </c>
      <c r="I3412" s="2"/>
      <c r="J3412" s="2">
        <v>45763</v>
      </c>
      <c r="K3412" s="2">
        <v>45770</v>
      </c>
    </row>
    <row r="3413" spans="1:11" x14ac:dyDescent="0.25">
      <c r="A3413" s="1" t="s">
        <v>614</v>
      </c>
      <c r="B3413" s="1" t="s">
        <v>1206</v>
      </c>
      <c r="C3413" s="1" t="s">
        <v>2196</v>
      </c>
      <c r="D3413" s="1" t="s">
        <v>1998</v>
      </c>
      <c r="E3413" s="1"/>
      <c r="F3413" s="1" t="s">
        <v>11</v>
      </c>
      <c r="G3413">
        <v>1</v>
      </c>
      <c r="H3413">
        <v>1</v>
      </c>
      <c r="I3413" s="2"/>
      <c r="J3413" s="2">
        <v>45763</v>
      </c>
      <c r="K3413" s="2">
        <v>45770</v>
      </c>
    </row>
    <row r="3414" spans="1:11" x14ac:dyDescent="0.25">
      <c r="A3414" s="1" t="s">
        <v>614</v>
      </c>
      <c r="B3414" s="1" t="s">
        <v>1280</v>
      </c>
      <c r="C3414" s="1" t="s">
        <v>2257</v>
      </c>
      <c r="D3414" s="1" t="s">
        <v>1998</v>
      </c>
      <c r="E3414" s="1"/>
      <c r="F3414" s="1" t="s">
        <v>11</v>
      </c>
      <c r="G3414">
        <v>15</v>
      </c>
      <c r="H3414">
        <v>15</v>
      </c>
      <c r="I3414" s="2"/>
      <c r="J3414" s="2">
        <v>45763</v>
      </c>
      <c r="K3414" s="2">
        <v>45770</v>
      </c>
    </row>
    <row r="3415" spans="1:11" x14ac:dyDescent="0.25">
      <c r="A3415" s="1" t="s">
        <v>615</v>
      </c>
      <c r="B3415" s="1" t="s">
        <v>1108</v>
      </c>
      <c r="C3415" s="1" t="s">
        <v>2108</v>
      </c>
      <c r="D3415" s="1" t="s">
        <v>1998</v>
      </c>
      <c r="E3415" s="1"/>
      <c r="F3415" s="1" t="s">
        <v>11</v>
      </c>
      <c r="G3415">
        <v>1205</v>
      </c>
      <c r="H3415">
        <v>1205</v>
      </c>
      <c r="I3415" s="2">
        <v>45782</v>
      </c>
      <c r="J3415" s="2">
        <v>45762</v>
      </c>
      <c r="K3415" s="2">
        <v>45782</v>
      </c>
    </row>
    <row r="3416" spans="1:11" x14ac:dyDescent="0.25">
      <c r="A3416" s="1" t="s">
        <v>615</v>
      </c>
      <c r="B3416" s="1" t="s">
        <v>1105</v>
      </c>
      <c r="C3416" s="1" t="s">
        <v>2106</v>
      </c>
      <c r="D3416" s="1" t="s">
        <v>1998</v>
      </c>
      <c r="E3416" s="1"/>
      <c r="F3416" s="1" t="s">
        <v>11</v>
      </c>
      <c r="G3416">
        <v>475</v>
      </c>
      <c r="H3416">
        <v>475</v>
      </c>
      <c r="I3416" s="2">
        <v>45782</v>
      </c>
      <c r="J3416" s="2">
        <v>45762</v>
      </c>
      <c r="K3416" s="2">
        <v>45782</v>
      </c>
    </row>
    <row r="3417" spans="1:11" x14ac:dyDescent="0.25">
      <c r="A3417" s="1" t="s">
        <v>615</v>
      </c>
      <c r="B3417" s="1" t="s">
        <v>1105</v>
      </c>
      <c r="C3417" s="1" t="s">
        <v>2106</v>
      </c>
      <c r="D3417" s="1" t="s">
        <v>1998</v>
      </c>
      <c r="E3417" s="1"/>
      <c r="F3417" s="1" t="s">
        <v>16</v>
      </c>
      <c r="G3417">
        <v>5</v>
      </c>
      <c r="H3417">
        <v>5</v>
      </c>
      <c r="I3417" s="2">
        <v>45782</v>
      </c>
      <c r="J3417" s="2">
        <v>45762</v>
      </c>
      <c r="K3417" s="2">
        <v>45782</v>
      </c>
    </row>
    <row r="3418" spans="1:11" x14ac:dyDescent="0.25">
      <c r="A3418" s="1" t="s">
        <v>615</v>
      </c>
      <c r="B3418" s="1" t="s">
        <v>1106</v>
      </c>
      <c r="C3418" s="1" t="s">
        <v>2107</v>
      </c>
      <c r="D3418" s="1" t="s">
        <v>1998</v>
      </c>
      <c r="E3418" s="1"/>
      <c r="F3418" s="1" t="s">
        <v>11</v>
      </c>
      <c r="G3418">
        <v>1270</v>
      </c>
      <c r="H3418">
        <v>1270</v>
      </c>
      <c r="I3418" s="2">
        <v>45782</v>
      </c>
      <c r="J3418" s="2">
        <v>45762</v>
      </c>
      <c r="K3418" s="2">
        <v>45782</v>
      </c>
    </row>
    <row r="3419" spans="1:11" x14ac:dyDescent="0.25">
      <c r="A3419" s="1" t="s">
        <v>615</v>
      </c>
      <c r="B3419" s="1" t="s">
        <v>1107</v>
      </c>
      <c r="C3419" s="1" t="s">
        <v>2002</v>
      </c>
      <c r="D3419" s="1" t="s">
        <v>1998</v>
      </c>
      <c r="E3419" s="1"/>
      <c r="F3419" s="1" t="s">
        <v>11</v>
      </c>
      <c r="G3419">
        <v>1090</v>
      </c>
      <c r="H3419">
        <v>1090</v>
      </c>
      <c r="I3419" s="2">
        <v>45782</v>
      </c>
      <c r="J3419" s="2">
        <v>45762</v>
      </c>
      <c r="K3419" s="2">
        <v>45782</v>
      </c>
    </row>
    <row r="3420" spans="1:11" x14ac:dyDescent="0.25">
      <c r="A3420" s="1" t="s">
        <v>616</v>
      </c>
      <c r="B3420" s="1" t="s">
        <v>1105</v>
      </c>
      <c r="C3420" s="1" t="s">
        <v>2106</v>
      </c>
      <c r="D3420" s="1" t="s">
        <v>1998</v>
      </c>
      <c r="E3420" s="1"/>
      <c r="F3420" s="1" t="s">
        <v>11</v>
      </c>
      <c r="G3420">
        <v>55</v>
      </c>
      <c r="H3420">
        <v>55</v>
      </c>
      <c r="I3420" s="2">
        <v>45782</v>
      </c>
      <c r="J3420" s="2">
        <v>45762</v>
      </c>
      <c r="K3420" s="2">
        <v>45782</v>
      </c>
    </row>
    <row r="3421" spans="1:11" x14ac:dyDescent="0.25">
      <c r="A3421" s="1" t="s">
        <v>617</v>
      </c>
      <c r="B3421" s="1" t="s">
        <v>1697</v>
      </c>
      <c r="C3421" s="1" t="s">
        <v>2346</v>
      </c>
      <c r="D3421" s="1" t="s">
        <v>1998</v>
      </c>
      <c r="E3421" s="1"/>
      <c r="F3421" s="1" t="s">
        <v>11</v>
      </c>
      <c r="G3421">
        <v>1880</v>
      </c>
      <c r="H3421">
        <v>1880</v>
      </c>
      <c r="I3421" s="2">
        <v>45782</v>
      </c>
      <c r="J3421" s="2">
        <v>45763</v>
      </c>
      <c r="K3421" s="2">
        <v>45782</v>
      </c>
    </row>
    <row r="3422" spans="1:11" x14ac:dyDescent="0.25">
      <c r="A3422" s="1" t="s">
        <v>617</v>
      </c>
      <c r="B3422" s="1" t="s">
        <v>1697</v>
      </c>
      <c r="C3422" s="1" t="s">
        <v>2346</v>
      </c>
      <c r="D3422" s="1" t="s">
        <v>1998</v>
      </c>
      <c r="E3422" s="1"/>
      <c r="F3422" s="1" t="s">
        <v>11</v>
      </c>
      <c r="G3422">
        <v>25</v>
      </c>
      <c r="H3422">
        <v>25</v>
      </c>
      <c r="I3422" s="2">
        <v>45782</v>
      </c>
      <c r="J3422" s="2">
        <v>45763</v>
      </c>
      <c r="K3422" s="2">
        <v>45782</v>
      </c>
    </row>
    <row r="3423" spans="1:11" x14ac:dyDescent="0.25">
      <c r="A3423" s="1" t="s">
        <v>617</v>
      </c>
      <c r="B3423" s="1" t="s">
        <v>1669</v>
      </c>
      <c r="C3423" s="1" t="s">
        <v>2578</v>
      </c>
      <c r="D3423" s="1" t="s">
        <v>1998</v>
      </c>
      <c r="E3423" s="1"/>
      <c r="F3423" s="1" t="s">
        <v>11</v>
      </c>
      <c r="G3423">
        <v>550</v>
      </c>
      <c r="H3423">
        <v>550</v>
      </c>
      <c r="I3423" s="2">
        <v>45782</v>
      </c>
      <c r="J3423" s="2">
        <v>45763</v>
      </c>
      <c r="K3423" s="2">
        <v>45782</v>
      </c>
    </row>
    <row r="3424" spans="1:11" x14ac:dyDescent="0.25">
      <c r="A3424" s="1" t="s">
        <v>617</v>
      </c>
      <c r="B3424" s="1" t="s">
        <v>1670</v>
      </c>
      <c r="C3424" s="1" t="s">
        <v>2579</v>
      </c>
      <c r="D3424" s="1" t="s">
        <v>1998</v>
      </c>
      <c r="E3424" s="1"/>
      <c r="F3424" s="1" t="s">
        <v>11</v>
      </c>
      <c r="G3424">
        <v>95</v>
      </c>
      <c r="H3424">
        <v>95</v>
      </c>
      <c r="I3424" s="2">
        <v>45782</v>
      </c>
      <c r="J3424" s="2">
        <v>45763</v>
      </c>
      <c r="K3424" s="2">
        <v>45782</v>
      </c>
    </row>
    <row r="3425" spans="1:11" x14ac:dyDescent="0.25">
      <c r="A3425" s="1" t="s">
        <v>617</v>
      </c>
      <c r="B3425" s="1" t="s">
        <v>1698</v>
      </c>
      <c r="C3425" s="1" t="s">
        <v>2102</v>
      </c>
      <c r="D3425" s="1" t="s">
        <v>1998</v>
      </c>
      <c r="E3425" s="1"/>
      <c r="F3425" s="1" t="s">
        <v>11</v>
      </c>
      <c r="G3425">
        <v>405</v>
      </c>
      <c r="H3425">
        <v>405</v>
      </c>
      <c r="I3425" s="2">
        <v>45782</v>
      </c>
      <c r="J3425" s="2">
        <v>45763</v>
      </c>
      <c r="K3425" s="2">
        <v>45782</v>
      </c>
    </row>
    <row r="3426" spans="1:11" x14ac:dyDescent="0.25">
      <c r="A3426" s="1" t="s">
        <v>618</v>
      </c>
      <c r="B3426" s="1" t="s">
        <v>1697</v>
      </c>
      <c r="C3426" s="1" t="s">
        <v>2346</v>
      </c>
      <c r="D3426" s="1" t="s">
        <v>1998</v>
      </c>
      <c r="E3426" s="1"/>
      <c r="F3426" s="1" t="s">
        <v>11</v>
      </c>
      <c r="G3426">
        <v>1880</v>
      </c>
      <c r="H3426">
        <v>1880</v>
      </c>
      <c r="I3426" s="2">
        <v>45782</v>
      </c>
      <c r="J3426" s="2">
        <v>45763</v>
      </c>
      <c r="K3426" s="2">
        <v>45782</v>
      </c>
    </row>
    <row r="3427" spans="1:11" x14ac:dyDescent="0.25">
      <c r="A3427" s="1" t="s">
        <v>618</v>
      </c>
      <c r="B3427" s="1" t="s">
        <v>1669</v>
      </c>
      <c r="C3427" s="1" t="s">
        <v>2578</v>
      </c>
      <c r="D3427" s="1" t="s">
        <v>1998</v>
      </c>
      <c r="E3427" s="1"/>
      <c r="F3427" s="1" t="s">
        <v>11</v>
      </c>
      <c r="G3427">
        <v>550</v>
      </c>
      <c r="H3427">
        <v>550</v>
      </c>
      <c r="I3427" s="2">
        <v>45782</v>
      </c>
      <c r="J3427" s="2">
        <v>45763</v>
      </c>
      <c r="K3427" s="2">
        <v>45782</v>
      </c>
    </row>
    <row r="3428" spans="1:11" x14ac:dyDescent="0.25">
      <c r="A3428" s="1" t="s">
        <v>618</v>
      </c>
      <c r="B3428" s="1" t="s">
        <v>1670</v>
      </c>
      <c r="C3428" s="1" t="s">
        <v>2579</v>
      </c>
      <c r="D3428" s="1" t="s">
        <v>1998</v>
      </c>
      <c r="E3428" s="1"/>
      <c r="F3428" s="1" t="s">
        <v>11</v>
      </c>
      <c r="G3428">
        <v>95</v>
      </c>
      <c r="H3428">
        <v>95</v>
      </c>
      <c r="I3428" s="2">
        <v>45782</v>
      </c>
      <c r="J3428" s="2">
        <v>45763</v>
      </c>
      <c r="K3428" s="2">
        <v>45782</v>
      </c>
    </row>
    <row r="3429" spans="1:11" x14ac:dyDescent="0.25">
      <c r="A3429" s="1" t="s">
        <v>618</v>
      </c>
      <c r="B3429" s="1" t="s">
        <v>1698</v>
      </c>
      <c r="C3429" s="1" t="s">
        <v>2102</v>
      </c>
      <c r="D3429" s="1" t="s">
        <v>1998</v>
      </c>
      <c r="E3429" s="1"/>
      <c r="F3429" s="1" t="s">
        <v>11</v>
      </c>
      <c r="G3429">
        <v>405</v>
      </c>
      <c r="H3429">
        <v>405</v>
      </c>
      <c r="I3429" s="2">
        <v>45782</v>
      </c>
      <c r="J3429" s="2">
        <v>45763</v>
      </c>
      <c r="K3429" s="2">
        <v>45782</v>
      </c>
    </row>
    <row r="3430" spans="1:11" x14ac:dyDescent="0.25">
      <c r="A3430" s="1" t="s">
        <v>619</v>
      </c>
      <c r="B3430" s="1" t="s">
        <v>1699</v>
      </c>
      <c r="C3430" s="1" t="s">
        <v>2596</v>
      </c>
      <c r="D3430" s="1" t="s">
        <v>1998</v>
      </c>
      <c r="E3430" s="1"/>
      <c r="F3430" s="1" t="s">
        <v>11</v>
      </c>
      <c r="G3430">
        <v>1785</v>
      </c>
      <c r="H3430">
        <v>1785</v>
      </c>
      <c r="I3430" s="2">
        <v>45780</v>
      </c>
      <c r="J3430" s="2">
        <v>45763</v>
      </c>
      <c r="K3430" s="2">
        <v>45780</v>
      </c>
    </row>
    <row r="3431" spans="1:11" x14ac:dyDescent="0.25">
      <c r="A3431" s="1" t="s">
        <v>619</v>
      </c>
      <c r="B3431" s="1" t="s">
        <v>1492</v>
      </c>
      <c r="C3431" s="1" t="s">
        <v>2429</v>
      </c>
      <c r="D3431" s="1" t="s">
        <v>1998</v>
      </c>
      <c r="E3431" s="1"/>
      <c r="F3431" s="1" t="s">
        <v>11</v>
      </c>
      <c r="G3431">
        <v>1</v>
      </c>
      <c r="H3431">
        <v>1</v>
      </c>
      <c r="I3431" s="2">
        <v>45780</v>
      </c>
      <c r="J3431" s="2">
        <v>45763</v>
      </c>
      <c r="K3431" s="2">
        <v>45780</v>
      </c>
    </row>
    <row r="3432" spans="1:11" x14ac:dyDescent="0.25">
      <c r="A3432" s="1" t="s">
        <v>619</v>
      </c>
      <c r="B3432" s="1" t="s">
        <v>1493</v>
      </c>
      <c r="C3432" s="1" t="s">
        <v>2429</v>
      </c>
      <c r="D3432" s="1" t="s">
        <v>1998</v>
      </c>
      <c r="E3432" s="1"/>
      <c r="F3432" s="1" t="s">
        <v>11</v>
      </c>
      <c r="G3432">
        <v>1</v>
      </c>
      <c r="H3432">
        <v>1</v>
      </c>
      <c r="I3432" s="2">
        <v>45780</v>
      </c>
      <c r="J3432" s="2">
        <v>45763</v>
      </c>
      <c r="K3432" s="2">
        <v>45780</v>
      </c>
    </row>
    <row r="3433" spans="1:11" x14ac:dyDescent="0.25">
      <c r="A3433" s="1" t="s">
        <v>619</v>
      </c>
      <c r="B3433" s="1" t="s">
        <v>1494</v>
      </c>
      <c r="C3433" s="1" t="s">
        <v>2430</v>
      </c>
      <c r="D3433" s="1" t="s">
        <v>1998</v>
      </c>
      <c r="E3433" s="1"/>
      <c r="F3433" s="1" t="s">
        <v>11</v>
      </c>
      <c r="G3433">
        <v>1</v>
      </c>
      <c r="H3433">
        <v>1</v>
      </c>
      <c r="I3433" s="2">
        <v>45780</v>
      </c>
      <c r="J3433" s="2">
        <v>45763</v>
      </c>
      <c r="K3433" s="2">
        <v>45780</v>
      </c>
    </row>
    <row r="3434" spans="1:11" x14ac:dyDescent="0.25">
      <c r="A3434" s="1" t="s">
        <v>619</v>
      </c>
      <c r="B3434" s="1" t="s">
        <v>1495</v>
      </c>
      <c r="C3434" s="1" t="s">
        <v>2431</v>
      </c>
      <c r="D3434" s="1" t="s">
        <v>1998</v>
      </c>
      <c r="E3434" s="1"/>
      <c r="F3434" s="1" t="s">
        <v>11</v>
      </c>
      <c r="G3434">
        <v>1</v>
      </c>
      <c r="H3434">
        <v>1</v>
      </c>
      <c r="I3434" s="2">
        <v>45780</v>
      </c>
      <c r="J3434" s="2">
        <v>45763</v>
      </c>
      <c r="K3434" s="2">
        <v>45780</v>
      </c>
    </row>
    <row r="3435" spans="1:11" x14ac:dyDescent="0.25">
      <c r="A3435" s="1" t="s">
        <v>619</v>
      </c>
      <c r="B3435" s="1" t="s">
        <v>1496</v>
      </c>
      <c r="C3435" s="1" t="s">
        <v>2432</v>
      </c>
      <c r="D3435" s="1" t="s">
        <v>1998</v>
      </c>
      <c r="E3435" s="1"/>
      <c r="F3435" s="1" t="s">
        <v>11</v>
      </c>
      <c r="G3435">
        <v>1</v>
      </c>
      <c r="H3435">
        <v>1</v>
      </c>
      <c r="I3435" s="2">
        <v>45780</v>
      </c>
      <c r="J3435" s="2">
        <v>45763</v>
      </c>
      <c r="K3435" s="2">
        <v>45780</v>
      </c>
    </row>
    <row r="3436" spans="1:11" x14ac:dyDescent="0.25">
      <c r="A3436" s="1" t="s">
        <v>619</v>
      </c>
      <c r="B3436" s="1" t="s">
        <v>1497</v>
      </c>
      <c r="C3436" s="1" t="s">
        <v>2432</v>
      </c>
      <c r="D3436" s="1" t="s">
        <v>1998</v>
      </c>
      <c r="E3436" s="1"/>
      <c r="F3436" s="1" t="s">
        <v>11</v>
      </c>
      <c r="G3436">
        <v>1</v>
      </c>
      <c r="H3436">
        <v>1</v>
      </c>
      <c r="I3436" s="2">
        <v>45780</v>
      </c>
      <c r="J3436" s="2">
        <v>45763</v>
      </c>
      <c r="K3436" s="2">
        <v>45780</v>
      </c>
    </row>
    <row r="3437" spans="1:11" x14ac:dyDescent="0.25">
      <c r="A3437" s="1" t="s">
        <v>619</v>
      </c>
      <c r="B3437" s="1" t="s">
        <v>1498</v>
      </c>
      <c r="C3437" s="1" t="s">
        <v>2433</v>
      </c>
      <c r="D3437" s="1" t="s">
        <v>1998</v>
      </c>
      <c r="E3437" s="1"/>
      <c r="F3437" s="1" t="s">
        <v>11</v>
      </c>
      <c r="G3437">
        <v>1</v>
      </c>
      <c r="H3437">
        <v>1</v>
      </c>
      <c r="I3437" s="2">
        <v>45780</v>
      </c>
      <c r="J3437" s="2">
        <v>45763</v>
      </c>
      <c r="K3437" s="2">
        <v>45780</v>
      </c>
    </row>
    <row r="3438" spans="1:11" x14ac:dyDescent="0.25">
      <c r="A3438" s="1" t="s">
        <v>619</v>
      </c>
      <c r="B3438" s="1" t="s">
        <v>1499</v>
      </c>
      <c r="C3438" s="1" t="s">
        <v>2433</v>
      </c>
      <c r="D3438" s="1" t="s">
        <v>1998</v>
      </c>
      <c r="E3438" s="1"/>
      <c r="F3438" s="1" t="s">
        <v>11</v>
      </c>
      <c r="G3438">
        <v>1</v>
      </c>
      <c r="H3438">
        <v>1</v>
      </c>
      <c r="I3438" s="2">
        <v>45780</v>
      </c>
      <c r="J3438" s="2">
        <v>45763</v>
      </c>
      <c r="K3438" s="2">
        <v>45780</v>
      </c>
    </row>
    <row r="3439" spans="1:11" x14ac:dyDescent="0.25">
      <c r="A3439" s="1" t="s">
        <v>619</v>
      </c>
      <c r="B3439" s="1" t="s">
        <v>993</v>
      </c>
      <c r="C3439" s="1" t="s">
        <v>2011</v>
      </c>
      <c r="D3439" s="1" t="s">
        <v>1998</v>
      </c>
      <c r="E3439" s="1"/>
      <c r="F3439" s="1" t="s">
        <v>11</v>
      </c>
      <c r="G3439">
        <v>1</v>
      </c>
      <c r="H3439">
        <v>1</v>
      </c>
      <c r="I3439" s="2">
        <v>45780</v>
      </c>
      <c r="J3439" s="2">
        <v>45763</v>
      </c>
      <c r="K3439" s="2">
        <v>45780</v>
      </c>
    </row>
    <row r="3440" spans="1:11" x14ac:dyDescent="0.25">
      <c r="A3440" s="1" t="s">
        <v>620</v>
      </c>
      <c r="B3440" s="1" t="s">
        <v>1699</v>
      </c>
      <c r="C3440" s="1" t="s">
        <v>2596</v>
      </c>
      <c r="D3440" s="1" t="s">
        <v>1998</v>
      </c>
      <c r="E3440" s="1"/>
      <c r="F3440" s="1" t="s">
        <v>11</v>
      </c>
      <c r="G3440">
        <v>1785</v>
      </c>
      <c r="H3440">
        <v>1785</v>
      </c>
      <c r="I3440" s="2">
        <v>45780</v>
      </c>
      <c r="J3440" s="2">
        <v>45763</v>
      </c>
      <c r="K3440" s="2">
        <v>45780</v>
      </c>
    </row>
    <row r="3441" spans="1:11" x14ac:dyDescent="0.25">
      <c r="A3441" s="1" t="s">
        <v>620</v>
      </c>
      <c r="B3441" s="1" t="s">
        <v>1492</v>
      </c>
      <c r="C3441" s="1" t="s">
        <v>2429</v>
      </c>
      <c r="D3441" s="1" t="s">
        <v>1998</v>
      </c>
      <c r="E3441" s="1"/>
      <c r="F3441" s="1" t="s">
        <v>11</v>
      </c>
      <c r="G3441">
        <v>1</v>
      </c>
      <c r="H3441">
        <v>1</v>
      </c>
      <c r="I3441" s="2">
        <v>45780</v>
      </c>
      <c r="J3441" s="2">
        <v>45763</v>
      </c>
      <c r="K3441" s="2">
        <v>45780</v>
      </c>
    </row>
    <row r="3442" spans="1:11" x14ac:dyDescent="0.25">
      <c r="A3442" s="1" t="s">
        <v>620</v>
      </c>
      <c r="B3442" s="1" t="s">
        <v>1493</v>
      </c>
      <c r="C3442" s="1" t="s">
        <v>2429</v>
      </c>
      <c r="D3442" s="1" t="s">
        <v>1998</v>
      </c>
      <c r="E3442" s="1"/>
      <c r="F3442" s="1" t="s">
        <v>11</v>
      </c>
      <c r="G3442">
        <v>1</v>
      </c>
      <c r="H3442">
        <v>1</v>
      </c>
      <c r="I3442" s="2">
        <v>45780</v>
      </c>
      <c r="J3442" s="2">
        <v>45763</v>
      </c>
      <c r="K3442" s="2">
        <v>45780</v>
      </c>
    </row>
    <row r="3443" spans="1:11" x14ac:dyDescent="0.25">
      <c r="A3443" s="1" t="s">
        <v>620</v>
      </c>
      <c r="B3443" s="1" t="s">
        <v>1494</v>
      </c>
      <c r="C3443" s="1" t="s">
        <v>2430</v>
      </c>
      <c r="D3443" s="1" t="s">
        <v>1998</v>
      </c>
      <c r="E3443" s="1"/>
      <c r="F3443" s="1" t="s">
        <v>11</v>
      </c>
      <c r="G3443">
        <v>1</v>
      </c>
      <c r="H3443">
        <v>1</v>
      </c>
      <c r="I3443" s="2">
        <v>45780</v>
      </c>
      <c r="J3443" s="2">
        <v>45763</v>
      </c>
      <c r="K3443" s="2">
        <v>45780</v>
      </c>
    </row>
    <row r="3444" spans="1:11" x14ac:dyDescent="0.25">
      <c r="A3444" s="1" t="s">
        <v>620</v>
      </c>
      <c r="B3444" s="1" t="s">
        <v>1495</v>
      </c>
      <c r="C3444" s="1" t="s">
        <v>2431</v>
      </c>
      <c r="D3444" s="1" t="s">
        <v>1998</v>
      </c>
      <c r="E3444" s="1"/>
      <c r="F3444" s="1" t="s">
        <v>11</v>
      </c>
      <c r="G3444">
        <v>1</v>
      </c>
      <c r="H3444">
        <v>1</v>
      </c>
      <c r="I3444" s="2">
        <v>45780</v>
      </c>
      <c r="J3444" s="2">
        <v>45763</v>
      </c>
      <c r="K3444" s="2">
        <v>45780</v>
      </c>
    </row>
    <row r="3445" spans="1:11" x14ac:dyDescent="0.25">
      <c r="A3445" s="1" t="s">
        <v>620</v>
      </c>
      <c r="B3445" s="1" t="s">
        <v>1496</v>
      </c>
      <c r="C3445" s="1" t="s">
        <v>2432</v>
      </c>
      <c r="D3445" s="1" t="s">
        <v>1998</v>
      </c>
      <c r="E3445" s="1"/>
      <c r="F3445" s="1" t="s">
        <v>11</v>
      </c>
      <c r="G3445">
        <v>1</v>
      </c>
      <c r="H3445">
        <v>1</v>
      </c>
      <c r="I3445" s="2">
        <v>45780</v>
      </c>
      <c r="J3445" s="2">
        <v>45763</v>
      </c>
      <c r="K3445" s="2">
        <v>45780</v>
      </c>
    </row>
    <row r="3446" spans="1:11" x14ac:dyDescent="0.25">
      <c r="A3446" s="1" t="s">
        <v>620</v>
      </c>
      <c r="B3446" s="1" t="s">
        <v>1497</v>
      </c>
      <c r="C3446" s="1" t="s">
        <v>2432</v>
      </c>
      <c r="D3446" s="1" t="s">
        <v>1998</v>
      </c>
      <c r="E3446" s="1"/>
      <c r="F3446" s="1" t="s">
        <v>11</v>
      </c>
      <c r="G3446">
        <v>1</v>
      </c>
      <c r="H3446">
        <v>1</v>
      </c>
      <c r="I3446" s="2">
        <v>45780</v>
      </c>
      <c r="J3446" s="2">
        <v>45763</v>
      </c>
      <c r="K3446" s="2">
        <v>45780</v>
      </c>
    </row>
    <row r="3447" spans="1:11" x14ac:dyDescent="0.25">
      <c r="A3447" s="1" t="s">
        <v>620</v>
      </c>
      <c r="B3447" s="1" t="s">
        <v>1498</v>
      </c>
      <c r="C3447" s="1" t="s">
        <v>2433</v>
      </c>
      <c r="D3447" s="1" t="s">
        <v>1998</v>
      </c>
      <c r="E3447" s="1"/>
      <c r="F3447" s="1" t="s">
        <v>11</v>
      </c>
      <c r="G3447">
        <v>1</v>
      </c>
      <c r="H3447">
        <v>1</v>
      </c>
      <c r="I3447" s="2">
        <v>45780</v>
      </c>
      <c r="J3447" s="2">
        <v>45763</v>
      </c>
      <c r="K3447" s="2">
        <v>45780</v>
      </c>
    </row>
    <row r="3448" spans="1:11" x14ac:dyDescent="0.25">
      <c r="A3448" s="1" t="s">
        <v>620</v>
      </c>
      <c r="B3448" s="1" t="s">
        <v>1499</v>
      </c>
      <c r="C3448" s="1" t="s">
        <v>2433</v>
      </c>
      <c r="D3448" s="1" t="s">
        <v>1998</v>
      </c>
      <c r="E3448" s="1"/>
      <c r="F3448" s="1" t="s">
        <v>11</v>
      </c>
      <c r="G3448">
        <v>1</v>
      </c>
      <c r="H3448">
        <v>1</v>
      </c>
      <c r="I3448" s="2">
        <v>45780</v>
      </c>
      <c r="J3448" s="2">
        <v>45763</v>
      </c>
      <c r="K3448" s="2">
        <v>45780</v>
      </c>
    </row>
    <row r="3449" spans="1:11" x14ac:dyDescent="0.25">
      <c r="A3449" s="1" t="s">
        <v>620</v>
      </c>
      <c r="B3449" s="1" t="s">
        <v>993</v>
      </c>
      <c r="C3449" s="1" t="s">
        <v>2011</v>
      </c>
      <c r="D3449" s="1" t="s">
        <v>1998</v>
      </c>
      <c r="E3449" s="1"/>
      <c r="F3449" s="1" t="s">
        <v>11</v>
      </c>
      <c r="G3449">
        <v>1</v>
      </c>
      <c r="H3449">
        <v>1</v>
      </c>
      <c r="I3449" s="2">
        <v>45780</v>
      </c>
      <c r="J3449" s="2">
        <v>45763</v>
      </c>
      <c r="K3449" s="2">
        <v>45780</v>
      </c>
    </row>
    <row r="3450" spans="1:11" x14ac:dyDescent="0.25">
      <c r="A3450" s="1" t="s">
        <v>621</v>
      </c>
      <c r="B3450" s="1" t="s">
        <v>1699</v>
      </c>
      <c r="C3450" s="1" t="s">
        <v>2596</v>
      </c>
      <c r="D3450" s="1" t="s">
        <v>1998</v>
      </c>
      <c r="E3450" s="1"/>
      <c r="F3450" s="1" t="s">
        <v>11</v>
      </c>
      <c r="G3450">
        <v>1785</v>
      </c>
      <c r="H3450">
        <v>1785</v>
      </c>
      <c r="I3450" s="2">
        <v>45780</v>
      </c>
      <c r="J3450" s="2">
        <v>45771</v>
      </c>
      <c r="K3450" s="2">
        <v>45780</v>
      </c>
    </row>
    <row r="3451" spans="1:11" x14ac:dyDescent="0.25">
      <c r="A3451" s="1" t="s">
        <v>621</v>
      </c>
      <c r="B3451" s="1" t="s">
        <v>1492</v>
      </c>
      <c r="C3451" s="1" t="s">
        <v>2429</v>
      </c>
      <c r="D3451" s="1" t="s">
        <v>1998</v>
      </c>
      <c r="E3451" s="1"/>
      <c r="F3451" s="1" t="s">
        <v>11</v>
      </c>
      <c r="G3451">
        <v>1</v>
      </c>
      <c r="H3451">
        <v>1</v>
      </c>
      <c r="I3451" s="2">
        <v>45780</v>
      </c>
      <c r="J3451" s="2">
        <v>45771</v>
      </c>
      <c r="K3451" s="2">
        <v>45780</v>
      </c>
    </row>
    <row r="3452" spans="1:11" x14ac:dyDescent="0.25">
      <c r="A3452" s="1" t="s">
        <v>621</v>
      </c>
      <c r="B3452" s="1" t="s">
        <v>1493</v>
      </c>
      <c r="C3452" s="1" t="s">
        <v>2429</v>
      </c>
      <c r="D3452" s="1" t="s">
        <v>1998</v>
      </c>
      <c r="E3452" s="1"/>
      <c r="F3452" s="1" t="s">
        <v>11</v>
      </c>
      <c r="G3452">
        <v>1</v>
      </c>
      <c r="H3452">
        <v>1</v>
      </c>
      <c r="I3452" s="2">
        <v>45780</v>
      </c>
      <c r="J3452" s="2">
        <v>45771</v>
      </c>
      <c r="K3452" s="2">
        <v>45780</v>
      </c>
    </row>
    <row r="3453" spans="1:11" x14ac:dyDescent="0.25">
      <c r="A3453" s="1" t="s">
        <v>621</v>
      </c>
      <c r="B3453" s="1" t="s">
        <v>1494</v>
      </c>
      <c r="C3453" s="1" t="s">
        <v>2430</v>
      </c>
      <c r="D3453" s="1" t="s">
        <v>1998</v>
      </c>
      <c r="E3453" s="1"/>
      <c r="F3453" s="1" t="s">
        <v>11</v>
      </c>
      <c r="G3453">
        <v>1</v>
      </c>
      <c r="H3453">
        <v>1</v>
      </c>
      <c r="I3453" s="2">
        <v>45780</v>
      </c>
      <c r="J3453" s="2">
        <v>45771</v>
      </c>
      <c r="K3453" s="2">
        <v>45780</v>
      </c>
    </row>
    <row r="3454" spans="1:11" x14ac:dyDescent="0.25">
      <c r="A3454" s="1" t="s">
        <v>621</v>
      </c>
      <c r="B3454" s="1" t="s">
        <v>1495</v>
      </c>
      <c r="C3454" s="1" t="s">
        <v>2431</v>
      </c>
      <c r="D3454" s="1" t="s">
        <v>1998</v>
      </c>
      <c r="E3454" s="1"/>
      <c r="F3454" s="1" t="s">
        <v>11</v>
      </c>
      <c r="G3454">
        <v>1</v>
      </c>
      <c r="H3454">
        <v>1</v>
      </c>
      <c r="I3454" s="2">
        <v>45780</v>
      </c>
      <c r="J3454" s="2">
        <v>45771</v>
      </c>
      <c r="K3454" s="2">
        <v>45780</v>
      </c>
    </row>
    <row r="3455" spans="1:11" x14ac:dyDescent="0.25">
      <c r="A3455" s="1" t="s">
        <v>621</v>
      </c>
      <c r="B3455" s="1" t="s">
        <v>1496</v>
      </c>
      <c r="C3455" s="1" t="s">
        <v>2432</v>
      </c>
      <c r="D3455" s="1" t="s">
        <v>1998</v>
      </c>
      <c r="E3455" s="1"/>
      <c r="F3455" s="1" t="s">
        <v>11</v>
      </c>
      <c r="G3455">
        <v>1</v>
      </c>
      <c r="H3455">
        <v>1</v>
      </c>
      <c r="I3455" s="2">
        <v>45780</v>
      </c>
      <c r="J3455" s="2">
        <v>45771</v>
      </c>
      <c r="K3455" s="2">
        <v>45780</v>
      </c>
    </row>
    <row r="3456" spans="1:11" x14ac:dyDescent="0.25">
      <c r="A3456" s="1" t="s">
        <v>621</v>
      </c>
      <c r="B3456" s="1" t="s">
        <v>1497</v>
      </c>
      <c r="C3456" s="1" t="s">
        <v>2432</v>
      </c>
      <c r="D3456" s="1" t="s">
        <v>1998</v>
      </c>
      <c r="E3456" s="1"/>
      <c r="F3456" s="1" t="s">
        <v>11</v>
      </c>
      <c r="G3456">
        <v>1</v>
      </c>
      <c r="H3456">
        <v>1</v>
      </c>
      <c r="I3456" s="2">
        <v>45780</v>
      </c>
      <c r="J3456" s="2">
        <v>45771</v>
      </c>
      <c r="K3456" s="2">
        <v>45780</v>
      </c>
    </row>
    <row r="3457" spans="1:11" x14ac:dyDescent="0.25">
      <c r="A3457" s="1" t="s">
        <v>621</v>
      </c>
      <c r="B3457" s="1" t="s">
        <v>1498</v>
      </c>
      <c r="C3457" s="1" t="s">
        <v>2433</v>
      </c>
      <c r="D3457" s="1" t="s">
        <v>1998</v>
      </c>
      <c r="E3457" s="1"/>
      <c r="F3457" s="1" t="s">
        <v>11</v>
      </c>
      <c r="G3457">
        <v>1</v>
      </c>
      <c r="H3457">
        <v>1</v>
      </c>
      <c r="I3457" s="2">
        <v>45780</v>
      </c>
      <c r="J3457" s="2">
        <v>45771</v>
      </c>
      <c r="K3457" s="2">
        <v>45780</v>
      </c>
    </row>
    <row r="3458" spans="1:11" x14ac:dyDescent="0.25">
      <c r="A3458" s="1" t="s">
        <v>621</v>
      </c>
      <c r="B3458" s="1" t="s">
        <v>1499</v>
      </c>
      <c r="C3458" s="1" t="s">
        <v>2433</v>
      </c>
      <c r="D3458" s="1" t="s">
        <v>1998</v>
      </c>
      <c r="E3458" s="1"/>
      <c r="F3458" s="1" t="s">
        <v>11</v>
      </c>
      <c r="G3458">
        <v>1</v>
      </c>
      <c r="H3458">
        <v>1</v>
      </c>
      <c r="I3458" s="2">
        <v>45780</v>
      </c>
      <c r="J3458" s="2">
        <v>45771</v>
      </c>
      <c r="K3458" s="2">
        <v>45780</v>
      </c>
    </row>
    <row r="3459" spans="1:11" x14ac:dyDescent="0.25">
      <c r="A3459" s="1" t="s">
        <v>621</v>
      </c>
      <c r="B3459" s="1" t="s">
        <v>993</v>
      </c>
      <c r="C3459" s="1" t="s">
        <v>2011</v>
      </c>
      <c r="D3459" s="1" t="s">
        <v>1998</v>
      </c>
      <c r="E3459" s="1"/>
      <c r="F3459" s="1" t="s">
        <v>11</v>
      </c>
      <c r="G3459">
        <v>1</v>
      </c>
      <c r="H3459">
        <v>1</v>
      </c>
      <c r="I3459" s="2">
        <v>45780</v>
      </c>
      <c r="J3459" s="2">
        <v>45771</v>
      </c>
      <c r="K3459" s="2">
        <v>45780</v>
      </c>
    </row>
    <row r="3460" spans="1:11" x14ac:dyDescent="0.25">
      <c r="A3460" s="1" t="s">
        <v>622</v>
      </c>
      <c r="B3460" s="1" t="s">
        <v>1699</v>
      </c>
      <c r="C3460" s="1" t="s">
        <v>2596</v>
      </c>
      <c r="D3460" s="1" t="s">
        <v>1998</v>
      </c>
      <c r="E3460" s="1"/>
      <c r="F3460" s="1" t="s">
        <v>11</v>
      </c>
      <c r="G3460">
        <v>1785</v>
      </c>
      <c r="H3460">
        <v>1785</v>
      </c>
      <c r="I3460" s="2">
        <v>45780</v>
      </c>
      <c r="J3460" s="2">
        <v>45771</v>
      </c>
      <c r="K3460" s="2">
        <v>45780</v>
      </c>
    </row>
    <row r="3461" spans="1:11" x14ac:dyDescent="0.25">
      <c r="A3461" s="1" t="s">
        <v>622</v>
      </c>
      <c r="B3461" s="1" t="s">
        <v>1492</v>
      </c>
      <c r="C3461" s="1" t="s">
        <v>2429</v>
      </c>
      <c r="D3461" s="1" t="s">
        <v>1998</v>
      </c>
      <c r="E3461" s="1"/>
      <c r="F3461" s="1" t="s">
        <v>11</v>
      </c>
      <c r="G3461">
        <v>1</v>
      </c>
      <c r="H3461">
        <v>1</v>
      </c>
      <c r="I3461" s="2">
        <v>45780</v>
      </c>
      <c r="J3461" s="2">
        <v>45771</v>
      </c>
      <c r="K3461" s="2">
        <v>45780</v>
      </c>
    </row>
    <row r="3462" spans="1:11" x14ac:dyDescent="0.25">
      <c r="A3462" s="1" t="s">
        <v>622</v>
      </c>
      <c r="B3462" s="1" t="s">
        <v>1493</v>
      </c>
      <c r="C3462" s="1" t="s">
        <v>2429</v>
      </c>
      <c r="D3462" s="1" t="s">
        <v>1998</v>
      </c>
      <c r="E3462" s="1"/>
      <c r="F3462" s="1" t="s">
        <v>11</v>
      </c>
      <c r="G3462">
        <v>1</v>
      </c>
      <c r="H3462">
        <v>1</v>
      </c>
      <c r="I3462" s="2">
        <v>45780</v>
      </c>
      <c r="J3462" s="2">
        <v>45771</v>
      </c>
      <c r="K3462" s="2">
        <v>45780</v>
      </c>
    </row>
    <row r="3463" spans="1:11" x14ac:dyDescent="0.25">
      <c r="A3463" s="1" t="s">
        <v>622</v>
      </c>
      <c r="B3463" s="1" t="s">
        <v>1494</v>
      </c>
      <c r="C3463" s="1" t="s">
        <v>2430</v>
      </c>
      <c r="D3463" s="1" t="s">
        <v>1998</v>
      </c>
      <c r="E3463" s="1"/>
      <c r="F3463" s="1" t="s">
        <v>11</v>
      </c>
      <c r="G3463">
        <v>1</v>
      </c>
      <c r="H3463">
        <v>1</v>
      </c>
      <c r="I3463" s="2">
        <v>45780</v>
      </c>
      <c r="J3463" s="2">
        <v>45771</v>
      </c>
      <c r="K3463" s="2">
        <v>45780</v>
      </c>
    </row>
    <row r="3464" spans="1:11" x14ac:dyDescent="0.25">
      <c r="A3464" s="1" t="s">
        <v>622</v>
      </c>
      <c r="B3464" s="1" t="s">
        <v>1495</v>
      </c>
      <c r="C3464" s="1" t="s">
        <v>2431</v>
      </c>
      <c r="D3464" s="1" t="s">
        <v>1998</v>
      </c>
      <c r="E3464" s="1"/>
      <c r="F3464" s="1" t="s">
        <v>11</v>
      </c>
      <c r="G3464">
        <v>1</v>
      </c>
      <c r="H3464">
        <v>1</v>
      </c>
      <c r="I3464" s="2">
        <v>45780</v>
      </c>
      <c r="J3464" s="2">
        <v>45771</v>
      </c>
      <c r="K3464" s="2">
        <v>45780</v>
      </c>
    </row>
    <row r="3465" spans="1:11" x14ac:dyDescent="0.25">
      <c r="A3465" s="1" t="s">
        <v>622</v>
      </c>
      <c r="B3465" s="1" t="s">
        <v>1496</v>
      </c>
      <c r="C3465" s="1" t="s">
        <v>2432</v>
      </c>
      <c r="D3465" s="1" t="s">
        <v>1998</v>
      </c>
      <c r="E3465" s="1"/>
      <c r="F3465" s="1" t="s">
        <v>11</v>
      </c>
      <c r="G3465">
        <v>1</v>
      </c>
      <c r="H3465">
        <v>1</v>
      </c>
      <c r="I3465" s="2">
        <v>45780</v>
      </c>
      <c r="J3465" s="2">
        <v>45771</v>
      </c>
      <c r="K3465" s="2">
        <v>45780</v>
      </c>
    </row>
    <row r="3466" spans="1:11" x14ac:dyDescent="0.25">
      <c r="A3466" s="1" t="s">
        <v>622</v>
      </c>
      <c r="B3466" s="1" t="s">
        <v>1497</v>
      </c>
      <c r="C3466" s="1" t="s">
        <v>2432</v>
      </c>
      <c r="D3466" s="1" t="s">
        <v>1998</v>
      </c>
      <c r="E3466" s="1"/>
      <c r="F3466" s="1" t="s">
        <v>11</v>
      </c>
      <c r="G3466">
        <v>1</v>
      </c>
      <c r="H3466">
        <v>1</v>
      </c>
      <c r="I3466" s="2">
        <v>45780</v>
      </c>
      <c r="J3466" s="2">
        <v>45771</v>
      </c>
      <c r="K3466" s="2">
        <v>45780</v>
      </c>
    </row>
    <row r="3467" spans="1:11" x14ac:dyDescent="0.25">
      <c r="A3467" s="1" t="s">
        <v>622</v>
      </c>
      <c r="B3467" s="1" t="s">
        <v>1498</v>
      </c>
      <c r="C3467" s="1" t="s">
        <v>2433</v>
      </c>
      <c r="D3467" s="1" t="s">
        <v>1998</v>
      </c>
      <c r="E3467" s="1"/>
      <c r="F3467" s="1" t="s">
        <v>11</v>
      </c>
      <c r="G3467">
        <v>1</v>
      </c>
      <c r="H3467">
        <v>1</v>
      </c>
      <c r="I3467" s="2">
        <v>45780</v>
      </c>
      <c r="J3467" s="2">
        <v>45771</v>
      </c>
      <c r="K3467" s="2">
        <v>45780</v>
      </c>
    </row>
    <row r="3468" spans="1:11" x14ac:dyDescent="0.25">
      <c r="A3468" s="1" t="s">
        <v>622</v>
      </c>
      <c r="B3468" s="1" t="s">
        <v>1499</v>
      </c>
      <c r="C3468" s="1" t="s">
        <v>2433</v>
      </c>
      <c r="D3468" s="1" t="s">
        <v>1998</v>
      </c>
      <c r="E3468" s="1"/>
      <c r="F3468" s="1" t="s">
        <v>11</v>
      </c>
      <c r="G3468">
        <v>1</v>
      </c>
      <c r="H3468">
        <v>1</v>
      </c>
      <c r="I3468" s="2">
        <v>45780</v>
      </c>
      <c r="J3468" s="2">
        <v>45771</v>
      </c>
      <c r="K3468" s="2">
        <v>45780</v>
      </c>
    </row>
    <row r="3469" spans="1:11" x14ac:dyDescent="0.25">
      <c r="A3469" s="1" t="s">
        <v>622</v>
      </c>
      <c r="B3469" s="1" t="s">
        <v>993</v>
      </c>
      <c r="C3469" s="1" t="s">
        <v>2011</v>
      </c>
      <c r="D3469" s="1" t="s">
        <v>1998</v>
      </c>
      <c r="E3469" s="1"/>
      <c r="F3469" s="1" t="s">
        <v>11</v>
      </c>
      <c r="G3469">
        <v>1</v>
      </c>
      <c r="H3469">
        <v>1</v>
      </c>
      <c r="I3469" s="2">
        <v>45780</v>
      </c>
      <c r="J3469" s="2">
        <v>45771</v>
      </c>
      <c r="K3469" s="2">
        <v>45780</v>
      </c>
    </row>
    <row r="3470" spans="1:11" x14ac:dyDescent="0.25">
      <c r="A3470" s="1" t="s">
        <v>623</v>
      </c>
      <c r="B3470" s="1" t="s">
        <v>1699</v>
      </c>
      <c r="C3470" s="1" t="s">
        <v>2596</v>
      </c>
      <c r="D3470" s="1" t="s">
        <v>1998</v>
      </c>
      <c r="E3470" s="1"/>
      <c r="F3470" s="1" t="s">
        <v>11</v>
      </c>
      <c r="G3470">
        <v>1785</v>
      </c>
      <c r="H3470">
        <v>1785</v>
      </c>
      <c r="I3470" s="2">
        <v>45780</v>
      </c>
      <c r="J3470" s="2">
        <v>45771</v>
      </c>
      <c r="K3470" s="2">
        <v>45780</v>
      </c>
    </row>
    <row r="3471" spans="1:11" x14ac:dyDescent="0.25">
      <c r="A3471" s="1" t="s">
        <v>623</v>
      </c>
      <c r="B3471" s="1" t="s">
        <v>1492</v>
      </c>
      <c r="C3471" s="1" t="s">
        <v>2429</v>
      </c>
      <c r="D3471" s="1" t="s">
        <v>1998</v>
      </c>
      <c r="E3471" s="1"/>
      <c r="F3471" s="1" t="s">
        <v>11</v>
      </c>
      <c r="G3471">
        <v>1</v>
      </c>
      <c r="H3471">
        <v>5</v>
      </c>
      <c r="I3471" s="2">
        <v>45780</v>
      </c>
      <c r="J3471" s="2">
        <v>45771</v>
      </c>
      <c r="K3471" s="2">
        <v>45780</v>
      </c>
    </row>
    <row r="3472" spans="1:11" x14ac:dyDescent="0.25">
      <c r="A3472" s="1" t="s">
        <v>623</v>
      </c>
      <c r="B3472" s="1" t="s">
        <v>1493</v>
      </c>
      <c r="C3472" s="1" t="s">
        <v>2429</v>
      </c>
      <c r="D3472" s="1" t="s">
        <v>1998</v>
      </c>
      <c r="E3472" s="1"/>
      <c r="F3472" s="1" t="s">
        <v>11</v>
      </c>
      <c r="G3472">
        <v>1</v>
      </c>
      <c r="H3472">
        <v>5</v>
      </c>
      <c r="I3472" s="2">
        <v>45780</v>
      </c>
      <c r="J3472" s="2">
        <v>45771</v>
      </c>
      <c r="K3472" s="2">
        <v>45780</v>
      </c>
    </row>
    <row r="3473" spans="1:11" x14ac:dyDescent="0.25">
      <c r="A3473" s="1" t="s">
        <v>623</v>
      </c>
      <c r="B3473" s="1" t="s">
        <v>1494</v>
      </c>
      <c r="C3473" s="1" t="s">
        <v>2430</v>
      </c>
      <c r="D3473" s="1" t="s">
        <v>1998</v>
      </c>
      <c r="E3473" s="1"/>
      <c r="F3473" s="1" t="s">
        <v>11</v>
      </c>
      <c r="G3473">
        <v>1</v>
      </c>
      <c r="H3473">
        <v>1</v>
      </c>
      <c r="I3473" s="2">
        <v>45780</v>
      </c>
      <c r="J3473" s="2">
        <v>45771</v>
      </c>
      <c r="K3473" s="2">
        <v>45780</v>
      </c>
    </row>
    <row r="3474" spans="1:11" x14ac:dyDescent="0.25">
      <c r="A3474" s="1" t="s">
        <v>623</v>
      </c>
      <c r="B3474" s="1" t="s">
        <v>1495</v>
      </c>
      <c r="C3474" s="1" t="s">
        <v>2431</v>
      </c>
      <c r="D3474" s="1" t="s">
        <v>1998</v>
      </c>
      <c r="E3474" s="1"/>
      <c r="F3474" s="1" t="s">
        <v>11</v>
      </c>
      <c r="G3474">
        <v>1</v>
      </c>
      <c r="H3474">
        <v>1</v>
      </c>
      <c r="I3474" s="2">
        <v>45780</v>
      </c>
      <c r="J3474" s="2">
        <v>45771</v>
      </c>
      <c r="K3474" s="2">
        <v>45780</v>
      </c>
    </row>
    <row r="3475" spans="1:11" x14ac:dyDescent="0.25">
      <c r="A3475" s="1" t="s">
        <v>623</v>
      </c>
      <c r="B3475" s="1" t="s">
        <v>1496</v>
      </c>
      <c r="C3475" s="1" t="s">
        <v>2432</v>
      </c>
      <c r="D3475" s="1" t="s">
        <v>1998</v>
      </c>
      <c r="E3475" s="1"/>
      <c r="F3475" s="1" t="s">
        <v>11</v>
      </c>
      <c r="G3475">
        <v>1</v>
      </c>
      <c r="H3475">
        <v>1</v>
      </c>
      <c r="I3475" s="2">
        <v>45780</v>
      </c>
      <c r="J3475" s="2">
        <v>45771</v>
      </c>
      <c r="K3475" s="2">
        <v>45780</v>
      </c>
    </row>
    <row r="3476" spans="1:11" x14ac:dyDescent="0.25">
      <c r="A3476" s="1" t="s">
        <v>623</v>
      </c>
      <c r="B3476" s="1" t="s">
        <v>1497</v>
      </c>
      <c r="C3476" s="1" t="s">
        <v>2432</v>
      </c>
      <c r="D3476" s="1" t="s">
        <v>1998</v>
      </c>
      <c r="E3476" s="1"/>
      <c r="F3476" s="1" t="s">
        <v>11</v>
      </c>
      <c r="G3476">
        <v>1</v>
      </c>
      <c r="H3476">
        <v>1</v>
      </c>
      <c r="I3476" s="2">
        <v>45780</v>
      </c>
      <c r="J3476" s="2">
        <v>45771</v>
      </c>
      <c r="K3476" s="2">
        <v>45780</v>
      </c>
    </row>
    <row r="3477" spans="1:11" x14ac:dyDescent="0.25">
      <c r="A3477" s="1" t="s">
        <v>623</v>
      </c>
      <c r="B3477" s="1" t="s">
        <v>1498</v>
      </c>
      <c r="C3477" s="1" t="s">
        <v>2433</v>
      </c>
      <c r="D3477" s="1" t="s">
        <v>1998</v>
      </c>
      <c r="E3477" s="1"/>
      <c r="F3477" s="1" t="s">
        <v>11</v>
      </c>
      <c r="G3477">
        <v>1</v>
      </c>
      <c r="H3477">
        <v>1</v>
      </c>
      <c r="I3477" s="2">
        <v>45780</v>
      </c>
      <c r="J3477" s="2">
        <v>45771</v>
      </c>
      <c r="K3477" s="2">
        <v>45780</v>
      </c>
    </row>
    <row r="3478" spans="1:11" x14ac:dyDescent="0.25">
      <c r="A3478" s="1" t="s">
        <v>623</v>
      </c>
      <c r="B3478" s="1" t="s">
        <v>1499</v>
      </c>
      <c r="C3478" s="1" t="s">
        <v>2433</v>
      </c>
      <c r="D3478" s="1" t="s">
        <v>1998</v>
      </c>
      <c r="E3478" s="1"/>
      <c r="F3478" s="1" t="s">
        <v>11</v>
      </c>
      <c r="G3478">
        <v>1</v>
      </c>
      <c r="H3478">
        <v>1</v>
      </c>
      <c r="I3478" s="2">
        <v>45780</v>
      </c>
      <c r="J3478" s="2">
        <v>45771</v>
      </c>
      <c r="K3478" s="2">
        <v>45780</v>
      </c>
    </row>
    <row r="3479" spans="1:11" x14ac:dyDescent="0.25">
      <c r="A3479" s="1" t="s">
        <v>623</v>
      </c>
      <c r="B3479" s="1" t="s">
        <v>993</v>
      </c>
      <c r="C3479" s="1" t="s">
        <v>2011</v>
      </c>
      <c r="D3479" s="1" t="s">
        <v>1998</v>
      </c>
      <c r="E3479" s="1"/>
      <c r="F3479" s="1" t="s">
        <v>11</v>
      </c>
      <c r="G3479">
        <v>1</v>
      </c>
      <c r="H3479">
        <v>1</v>
      </c>
      <c r="I3479" s="2">
        <v>45780</v>
      </c>
      <c r="J3479" s="2">
        <v>45771</v>
      </c>
      <c r="K3479" s="2">
        <v>45780</v>
      </c>
    </row>
    <row r="3480" spans="1:11" x14ac:dyDescent="0.25">
      <c r="A3480" s="1" t="s">
        <v>624</v>
      </c>
      <c r="B3480" s="1" t="s">
        <v>1699</v>
      </c>
      <c r="C3480" s="1" t="s">
        <v>2596</v>
      </c>
      <c r="D3480" s="1" t="s">
        <v>1998</v>
      </c>
      <c r="E3480" s="1"/>
      <c r="F3480" s="1" t="s">
        <v>11</v>
      </c>
      <c r="G3480">
        <v>1785</v>
      </c>
      <c r="H3480">
        <v>1785</v>
      </c>
      <c r="I3480" s="2">
        <v>45780</v>
      </c>
      <c r="J3480" s="2">
        <v>45771</v>
      </c>
      <c r="K3480" s="2">
        <v>45780</v>
      </c>
    </row>
    <row r="3481" spans="1:11" x14ac:dyDescent="0.25">
      <c r="A3481" s="1" t="s">
        <v>624</v>
      </c>
      <c r="B3481" s="1" t="s">
        <v>1492</v>
      </c>
      <c r="C3481" s="1" t="s">
        <v>2429</v>
      </c>
      <c r="D3481" s="1" t="s">
        <v>1998</v>
      </c>
      <c r="E3481" s="1"/>
      <c r="F3481" s="1" t="s">
        <v>11</v>
      </c>
      <c r="G3481">
        <v>1</v>
      </c>
      <c r="H3481">
        <v>5</v>
      </c>
      <c r="I3481" s="2">
        <v>45780</v>
      </c>
      <c r="J3481" s="2">
        <v>45771</v>
      </c>
      <c r="K3481" s="2">
        <v>45780</v>
      </c>
    </row>
    <row r="3482" spans="1:11" x14ac:dyDescent="0.25">
      <c r="A3482" s="1" t="s">
        <v>624</v>
      </c>
      <c r="B3482" s="1" t="s">
        <v>1493</v>
      </c>
      <c r="C3482" s="1" t="s">
        <v>2429</v>
      </c>
      <c r="D3482" s="1" t="s">
        <v>1998</v>
      </c>
      <c r="E3482" s="1"/>
      <c r="F3482" s="1" t="s">
        <v>11</v>
      </c>
      <c r="G3482">
        <v>1</v>
      </c>
      <c r="H3482">
        <v>5</v>
      </c>
      <c r="I3482" s="2">
        <v>45780</v>
      </c>
      <c r="J3482" s="2">
        <v>45771</v>
      </c>
      <c r="K3482" s="2">
        <v>45780</v>
      </c>
    </row>
    <row r="3483" spans="1:11" x14ac:dyDescent="0.25">
      <c r="A3483" s="1" t="s">
        <v>624</v>
      </c>
      <c r="B3483" s="1" t="s">
        <v>1494</v>
      </c>
      <c r="C3483" s="1" t="s">
        <v>2430</v>
      </c>
      <c r="D3483" s="1" t="s">
        <v>1998</v>
      </c>
      <c r="E3483" s="1"/>
      <c r="F3483" s="1" t="s">
        <v>11</v>
      </c>
      <c r="G3483">
        <v>1</v>
      </c>
      <c r="H3483">
        <v>1</v>
      </c>
      <c r="I3483" s="2">
        <v>45780</v>
      </c>
      <c r="J3483" s="2">
        <v>45771</v>
      </c>
      <c r="K3483" s="2">
        <v>45780</v>
      </c>
    </row>
    <row r="3484" spans="1:11" x14ac:dyDescent="0.25">
      <c r="A3484" s="1" t="s">
        <v>624</v>
      </c>
      <c r="B3484" s="1" t="s">
        <v>1495</v>
      </c>
      <c r="C3484" s="1" t="s">
        <v>2431</v>
      </c>
      <c r="D3484" s="1" t="s">
        <v>1998</v>
      </c>
      <c r="E3484" s="1"/>
      <c r="F3484" s="1" t="s">
        <v>11</v>
      </c>
      <c r="G3484">
        <v>1</v>
      </c>
      <c r="H3484">
        <v>1</v>
      </c>
      <c r="I3484" s="2">
        <v>45780</v>
      </c>
      <c r="J3484" s="2">
        <v>45771</v>
      </c>
      <c r="K3484" s="2">
        <v>45780</v>
      </c>
    </row>
    <row r="3485" spans="1:11" x14ac:dyDescent="0.25">
      <c r="A3485" s="1" t="s">
        <v>624</v>
      </c>
      <c r="B3485" s="1" t="s">
        <v>1496</v>
      </c>
      <c r="C3485" s="1" t="s">
        <v>2432</v>
      </c>
      <c r="D3485" s="1" t="s">
        <v>1998</v>
      </c>
      <c r="E3485" s="1"/>
      <c r="F3485" s="1" t="s">
        <v>11</v>
      </c>
      <c r="G3485">
        <v>1</v>
      </c>
      <c r="H3485">
        <v>1</v>
      </c>
      <c r="I3485" s="2">
        <v>45780</v>
      </c>
      <c r="J3485" s="2">
        <v>45771</v>
      </c>
      <c r="K3485" s="2">
        <v>45780</v>
      </c>
    </row>
    <row r="3486" spans="1:11" x14ac:dyDescent="0.25">
      <c r="A3486" s="1" t="s">
        <v>624</v>
      </c>
      <c r="B3486" s="1" t="s">
        <v>1497</v>
      </c>
      <c r="C3486" s="1" t="s">
        <v>2432</v>
      </c>
      <c r="D3486" s="1" t="s">
        <v>1998</v>
      </c>
      <c r="E3486" s="1"/>
      <c r="F3486" s="1" t="s">
        <v>11</v>
      </c>
      <c r="G3486">
        <v>1</v>
      </c>
      <c r="H3486">
        <v>1</v>
      </c>
      <c r="I3486" s="2">
        <v>45780</v>
      </c>
      <c r="J3486" s="2">
        <v>45771</v>
      </c>
      <c r="K3486" s="2">
        <v>45780</v>
      </c>
    </row>
    <row r="3487" spans="1:11" x14ac:dyDescent="0.25">
      <c r="A3487" s="1" t="s">
        <v>624</v>
      </c>
      <c r="B3487" s="1" t="s">
        <v>1498</v>
      </c>
      <c r="C3487" s="1" t="s">
        <v>2433</v>
      </c>
      <c r="D3487" s="1" t="s">
        <v>1998</v>
      </c>
      <c r="E3487" s="1"/>
      <c r="F3487" s="1" t="s">
        <v>11</v>
      </c>
      <c r="G3487">
        <v>1</v>
      </c>
      <c r="H3487">
        <v>1</v>
      </c>
      <c r="I3487" s="2">
        <v>45780</v>
      </c>
      <c r="J3487" s="2">
        <v>45771</v>
      </c>
      <c r="K3487" s="2">
        <v>45780</v>
      </c>
    </row>
    <row r="3488" spans="1:11" x14ac:dyDescent="0.25">
      <c r="A3488" s="1" t="s">
        <v>624</v>
      </c>
      <c r="B3488" s="1" t="s">
        <v>1499</v>
      </c>
      <c r="C3488" s="1" t="s">
        <v>2433</v>
      </c>
      <c r="D3488" s="1" t="s">
        <v>1998</v>
      </c>
      <c r="E3488" s="1"/>
      <c r="F3488" s="1" t="s">
        <v>11</v>
      </c>
      <c r="G3488">
        <v>1</v>
      </c>
      <c r="H3488">
        <v>1</v>
      </c>
      <c r="I3488" s="2">
        <v>45780</v>
      </c>
      <c r="J3488" s="2">
        <v>45771</v>
      </c>
      <c r="K3488" s="2">
        <v>45780</v>
      </c>
    </row>
    <row r="3489" spans="1:11" x14ac:dyDescent="0.25">
      <c r="A3489" s="1" t="s">
        <v>624</v>
      </c>
      <c r="B3489" s="1" t="s">
        <v>993</v>
      </c>
      <c r="C3489" s="1" t="s">
        <v>2011</v>
      </c>
      <c r="D3489" s="1" t="s">
        <v>1998</v>
      </c>
      <c r="E3489" s="1"/>
      <c r="F3489" s="1" t="s">
        <v>11</v>
      </c>
      <c r="G3489">
        <v>1</v>
      </c>
      <c r="H3489">
        <v>1</v>
      </c>
      <c r="I3489" s="2">
        <v>45780</v>
      </c>
      <c r="J3489" s="2">
        <v>45771</v>
      </c>
      <c r="K3489" s="2">
        <v>45780</v>
      </c>
    </row>
    <row r="3490" spans="1:11" x14ac:dyDescent="0.25">
      <c r="A3490" s="1" t="s">
        <v>625</v>
      </c>
      <c r="B3490" s="1" t="s">
        <v>1699</v>
      </c>
      <c r="C3490" s="1" t="s">
        <v>2596</v>
      </c>
      <c r="D3490" s="1" t="s">
        <v>1998</v>
      </c>
      <c r="E3490" s="1"/>
      <c r="F3490" s="1" t="s">
        <v>11</v>
      </c>
      <c r="G3490">
        <v>1785</v>
      </c>
      <c r="H3490">
        <v>1785</v>
      </c>
      <c r="I3490" s="2">
        <v>45780</v>
      </c>
      <c r="J3490" s="2">
        <v>45775</v>
      </c>
      <c r="K3490" s="2">
        <v>45780</v>
      </c>
    </row>
    <row r="3491" spans="1:11" x14ac:dyDescent="0.25">
      <c r="A3491" s="1" t="s">
        <v>625</v>
      </c>
      <c r="B3491" s="1" t="s">
        <v>1492</v>
      </c>
      <c r="C3491" s="1" t="s">
        <v>2429</v>
      </c>
      <c r="D3491" s="1" t="s">
        <v>1998</v>
      </c>
      <c r="E3491" s="1"/>
      <c r="F3491" s="1" t="s">
        <v>11</v>
      </c>
      <c r="G3491">
        <v>1</v>
      </c>
      <c r="H3491">
        <v>1</v>
      </c>
      <c r="I3491" s="2">
        <v>45780</v>
      </c>
      <c r="J3491" s="2">
        <v>45775</v>
      </c>
      <c r="K3491" s="2">
        <v>45780</v>
      </c>
    </row>
    <row r="3492" spans="1:11" x14ac:dyDescent="0.25">
      <c r="A3492" s="1" t="s">
        <v>625</v>
      </c>
      <c r="B3492" s="1" t="s">
        <v>1493</v>
      </c>
      <c r="C3492" s="1" t="s">
        <v>2429</v>
      </c>
      <c r="D3492" s="1" t="s">
        <v>1998</v>
      </c>
      <c r="E3492" s="1"/>
      <c r="F3492" s="1" t="s">
        <v>11</v>
      </c>
      <c r="G3492">
        <v>1</v>
      </c>
      <c r="H3492">
        <v>1</v>
      </c>
      <c r="I3492" s="2">
        <v>45780</v>
      </c>
      <c r="J3492" s="2">
        <v>45775</v>
      </c>
      <c r="K3492" s="2">
        <v>45780</v>
      </c>
    </row>
    <row r="3493" spans="1:11" x14ac:dyDescent="0.25">
      <c r="A3493" s="1" t="s">
        <v>625</v>
      </c>
      <c r="B3493" s="1" t="s">
        <v>1494</v>
      </c>
      <c r="C3493" s="1" t="s">
        <v>2430</v>
      </c>
      <c r="D3493" s="1" t="s">
        <v>1998</v>
      </c>
      <c r="E3493" s="1"/>
      <c r="F3493" s="1" t="s">
        <v>11</v>
      </c>
      <c r="G3493">
        <v>1</v>
      </c>
      <c r="H3493">
        <v>1</v>
      </c>
      <c r="I3493" s="2">
        <v>45780</v>
      </c>
      <c r="J3493" s="2">
        <v>45775</v>
      </c>
      <c r="K3493" s="2">
        <v>45780</v>
      </c>
    </row>
    <row r="3494" spans="1:11" x14ac:dyDescent="0.25">
      <c r="A3494" s="1" t="s">
        <v>625</v>
      </c>
      <c r="B3494" s="1" t="s">
        <v>1495</v>
      </c>
      <c r="C3494" s="1" t="s">
        <v>2431</v>
      </c>
      <c r="D3494" s="1" t="s">
        <v>1998</v>
      </c>
      <c r="E3494" s="1"/>
      <c r="F3494" s="1" t="s">
        <v>11</v>
      </c>
      <c r="G3494">
        <v>1</v>
      </c>
      <c r="H3494">
        <v>1</v>
      </c>
      <c r="I3494" s="2">
        <v>45780</v>
      </c>
      <c r="J3494" s="2">
        <v>45775</v>
      </c>
      <c r="K3494" s="2">
        <v>45780</v>
      </c>
    </row>
    <row r="3495" spans="1:11" x14ac:dyDescent="0.25">
      <c r="A3495" s="1" t="s">
        <v>625</v>
      </c>
      <c r="B3495" s="1" t="s">
        <v>1496</v>
      </c>
      <c r="C3495" s="1" t="s">
        <v>2432</v>
      </c>
      <c r="D3495" s="1" t="s">
        <v>1998</v>
      </c>
      <c r="E3495" s="1"/>
      <c r="F3495" s="1" t="s">
        <v>11</v>
      </c>
      <c r="G3495">
        <v>1</v>
      </c>
      <c r="H3495">
        <v>1</v>
      </c>
      <c r="I3495" s="2">
        <v>45780</v>
      </c>
      <c r="J3495" s="2">
        <v>45775</v>
      </c>
      <c r="K3495" s="2">
        <v>45780</v>
      </c>
    </row>
    <row r="3496" spans="1:11" x14ac:dyDescent="0.25">
      <c r="A3496" s="1" t="s">
        <v>625</v>
      </c>
      <c r="B3496" s="1" t="s">
        <v>1497</v>
      </c>
      <c r="C3496" s="1" t="s">
        <v>2432</v>
      </c>
      <c r="D3496" s="1" t="s">
        <v>1998</v>
      </c>
      <c r="E3496" s="1"/>
      <c r="F3496" s="1" t="s">
        <v>11</v>
      </c>
      <c r="G3496">
        <v>1</v>
      </c>
      <c r="H3496">
        <v>1</v>
      </c>
      <c r="I3496" s="2">
        <v>45780</v>
      </c>
      <c r="J3496" s="2">
        <v>45775</v>
      </c>
      <c r="K3496" s="2">
        <v>45780</v>
      </c>
    </row>
    <row r="3497" spans="1:11" x14ac:dyDescent="0.25">
      <c r="A3497" s="1" t="s">
        <v>625</v>
      </c>
      <c r="B3497" s="1" t="s">
        <v>1498</v>
      </c>
      <c r="C3497" s="1" t="s">
        <v>2433</v>
      </c>
      <c r="D3497" s="1" t="s">
        <v>1998</v>
      </c>
      <c r="E3497" s="1"/>
      <c r="F3497" s="1" t="s">
        <v>11</v>
      </c>
      <c r="G3497">
        <v>1</v>
      </c>
      <c r="H3497">
        <v>1</v>
      </c>
      <c r="I3497" s="2">
        <v>45780</v>
      </c>
      <c r="J3497" s="2">
        <v>45775</v>
      </c>
      <c r="K3497" s="2">
        <v>45780</v>
      </c>
    </row>
    <row r="3498" spans="1:11" x14ac:dyDescent="0.25">
      <c r="A3498" s="1" t="s">
        <v>625</v>
      </c>
      <c r="B3498" s="1" t="s">
        <v>1499</v>
      </c>
      <c r="C3498" s="1" t="s">
        <v>2433</v>
      </c>
      <c r="D3498" s="1" t="s">
        <v>1998</v>
      </c>
      <c r="E3498" s="1"/>
      <c r="F3498" s="1" t="s">
        <v>11</v>
      </c>
      <c r="G3498">
        <v>1</v>
      </c>
      <c r="H3498">
        <v>1</v>
      </c>
      <c r="I3498" s="2">
        <v>45780</v>
      </c>
      <c r="J3498" s="2">
        <v>45775</v>
      </c>
      <c r="K3498" s="2">
        <v>45780</v>
      </c>
    </row>
    <row r="3499" spans="1:11" x14ac:dyDescent="0.25">
      <c r="A3499" s="1" t="s">
        <v>625</v>
      </c>
      <c r="B3499" s="1" t="s">
        <v>993</v>
      </c>
      <c r="C3499" s="1" t="s">
        <v>2011</v>
      </c>
      <c r="D3499" s="1" t="s">
        <v>1998</v>
      </c>
      <c r="E3499" s="1"/>
      <c r="F3499" s="1" t="s">
        <v>11</v>
      </c>
      <c r="G3499">
        <v>1</v>
      </c>
      <c r="H3499">
        <v>1</v>
      </c>
      <c r="I3499" s="2">
        <v>45780</v>
      </c>
      <c r="J3499" s="2">
        <v>45775</v>
      </c>
      <c r="K3499" s="2">
        <v>45780</v>
      </c>
    </row>
    <row r="3500" spans="1:11" x14ac:dyDescent="0.25">
      <c r="A3500" s="1" t="s">
        <v>626</v>
      </c>
      <c r="B3500" s="1" t="s">
        <v>1699</v>
      </c>
      <c r="C3500" s="1" t="s">
        <v>2596</v>
      </c>
      <c r="D3500" s="1" t="s">
        <v>1998</v>
      </c>
      <c r="E3500" s="1"/>
      <c r="F3500" s="1" t="s">
        <v>11</v>
      </c>
      <c r="G3500">
        <v>1785</v>
      </c>
      <c r="H3500">
        <v>1785</v>
      </c>
      <c r="I3500" s="2">
        <v>45780</v>
      </c>
      <c r="J3500" s="2">
        <v>45775</v>
      </c>
      <c r="K3500" s="2">
        <v>45780</v>
      </c>
    </row>
    <row r="3501" spans="1:11" x14ac:dyDescent="0.25">
      <c r="A3501" s="1" t="s">
        <v>626</v>
      </c>
      <c r="B3501" s="1" t="s">
        <v>1492</v>
      </c>
      <c r="C3501" s="1" t="s">
        <v>2429</v>
      </c>
      <c r="D3501" s="1" t="s">
        <v>1998</v>
      </c>
      <c r="E3501" s="1"/>
      <c r="F3501" s="1" t="s">
        <v>11</v>
      </c>
      <c r="G3501">
        <v>1</v>
      </c>
      <c r="H3501">
        <v>1</v>
      </c>
      <c r="I3501" s="2">
        <v>45780</v>
      </c>
      <c r="J3501" s="2">
        <v>45775</v>
      </c>
      <c r="K3501" s="2">
        <v>45780</v>
      </c>
    </row>
    <row r="3502" spans="1:11" x14ac:dyDescent="0.25">
      <c r="A3502" s="1" t="s">
        <v>626</v>
      </c>
      <c r="B3502" s="1" t="s">
        <v>1493</v>
      </c>
      <c r="C3502" s="1" t="s">
        <v>2429</v>
      </c>
      <c r="D3502" s="1" t="s">
        <v>1998</v>
      </c>
      <c r="E3502" s="1"/>
      <c r="F3502" s="1" t="s">
        <v>11</v>
      </c>
      <c r="G3502">
        <v>1</v>
      </c>
      <c r="H3502">
        <v>1</v>
      </c>
      <c r="I3502" s="2">
        <v>45780</v>
      </c>
      <c r="J3502" s="2">
        <v>45775</v>
      </c>
      <c r="K3502" s="2">
        <v>45780</v>
      </c>
    </row>
    <row r="3503" spans="1:11" x14ac:dyDescent="0.25">
      <c r="A3503" s="1" t="s">
        <v>626</v>
      </c>
      <c r="B3503" s="1" t="s">
        <v>1494</v>
      </c>
      <c r="C3503" s="1" t="s">
        <v>2430</v>
      </c>
      <c r="D3503" s="1" t="s">
        <v>1998</v>
      </c>
      <c r="E3503" s="1"/>
      <c r="F3503" s="1" t="s">
        <v>11</v>
      </c>
      <c r="G3503">
        <v>1</v>
      </c>
      <c r="H3503">
        <v>1</v>
      </c>
      <c r="I3503" s="2">
        <v>45780</v>
      </c>
      <c r="J3503" s="2">
        <v>45775</v>
      </c>
      <c r="K3503" s="2">
        <v>45780</v>
      </c>
    </row>
    <row r="3504" spans="1:11" x14ac:dyDescent="0.25">
      <c r="A3504" s="1" t="s">
        <v>626</v>
      </c>
      <c r="B3504" s="1" t="s">
        <v>1495</v>
      </c>
      <c r="C3504" s="1" t="s">
        <v>2431</v>
      </c>
      <c r="D3504" s="1" t="s">
        <v>1998</v>
      </c>
      <c r="E3504" s="1"/>
      <c r="F3504" s="1" t="s">
        <v>11</v>
      </c>
      <c r="G3504">
        <v>1</v>
      </c>
      <c r="H3504">
        <v>1</v>
      </c>
      <c r="I3504" s="2">
        <v>45780</v>
      </c>
      <c r="J3504" s="2">
        <v>45775</v>
      </c>
      <c r="K3504" s="2">
        <v>45780</v>
      </c>
    </row>
    <row r="3505" spans="1:11" x14ac:dyDescent="0.25">
      <c r="A3505" s="1" t="s">
        <v>626</v>
      </c>
      <c r="B3505" s="1" t="s">
        <v>1496</v>
      </c>
      <c r="C3505" s="1" t="s">
        <v>2432</v>
      </c>
      <c r="D3505" s="1" t="s">
        <v>1998</v>
      </c>
      <c r="E3505" s="1"/>
      <c r="F3505" s="1" t="s">
        <v>11</v>
      </c>
      <c r="G3505">
        <v>1</v>
      </c>
      <c r="H3505">
        <v>1</v>
      </c>
      <c r="I3505" s="2">
        <v>45780</v>
      </c>
      <c r="J3505" s="2">
        <v>45775</v>
      </c>
      <c r="K3505" s="2">
        <v>45780</v>
      </c>
    </row>
    <row r="3506" spans="1:11" x14ac:dyDescent="0.25">
      <c r="A3506" s="1" t="s">
        <v>626</v>
      </c>
      <c r="B3506" s="1" t="s">
        <v>1497</v>
      </c>
      <c r="C3506" s="1" t="s">
        <v>2432</v>
      </c>
      <c r="D3506" s="1" t="s">
        <v>1998</v>
      </c>
      <c r="E3506" s="1"/>
      <c r="F3506" s="1" t="s">
        <v>11</v>
      </c>
      <c r="G3506">
        <v>1</v>
      </c>
      <c r="H3506">
        <v>1</v>
      </c>
      <c r="I3506" s="2">
        <v>45780</v>
      </c>
      <c r="J3506" s="2">
        <v>45775</v>
      </c>
      <c r="K3506" s="2">
        <v>45780</v>
      </c>
    </row>
    <row r="3507" spans="1:11" x14ac:dyDescent="0.25">
      <c r="A3507" s="1" t="s">
        <v>626</v>
      </c>
      <c r="B3507" s="1" t="s">
        <v>1498</v>
      </c>
      <c r="C3507" s="1" t="s">
        <v>2433</v>
      </c>
      <c r="D3507" s="1" t="s">
        <v>1998</v>
      </c>
      <c r="E3507" s="1"/>
      <c r="F3507" s="1" t="s">
        <v>11</v>
      </c>
      <c r="G3507">
        <v>1</v>
      </c>
      <c r="H3507">
        <v>1</v>
      </c>
      <c r="I3507" s="2">
        <v>45780</v>
      </c>
      <c r="J3507" s="2">
        <v>45775</v>
      </c>
      <c r="K3507" s="2">
        <v>45780</v>
      </c>
    </row>
    <row r="3508" spans="1:11" x14ac:dyDescent="0.25">
      <c r="A3508" s="1" t="s">
        <v>626</v>
      </c>
      <c r="B3508" s="1" t="s">
        <v>1499</v>
      </c>
      <c r="C3508" s="1" t="s">
        <v>2433</v>
      </c>
      <c r="D3508" s="1" t="s">
        <v>1998</v>
      </c>
      <c r="E3508" s="1"/>
      <c r="F3508" s="1" t="s">
        <v>11</v>
      </c>
      <c r="G3508">
        <v>1</v>
      </c>
      <c r="H3508">
        <v>1</v>
      </c>
      <c r="I3508" s="2">
        <v>45780</v>
      </c>
      <c r="J3508" s="2">
        <v>45775</v>
      </c>
      <c r="K3508" s="2">
        <v>45780</v>
      </c>
    </row>
    <row r="3509" spans="1:11" x14ac:dyDescent="0.25">
      <c r="A3509" s="1" t="s">
        <v>626</v>
      </c>
      <c r="B3509" s="1" t="s">
        <v>993</v>
      </c>
      <c r="C3509" s="1" t="s">
        <v>2011</v>
      </c>
      <c r="D3509" s="1" t="s">
        <v>1998</v>
      </c>
      <c r="E3509" s="1"/>
      <c r="F3509" s="1" t="s">
        <v>11</v>
      </c>
      <c r="G3509">
        <v>1</v>
      </c>
      <c r="H3509">
        <v>1</v>
      </c>
      <c r="I3509" s="2">
        <v>45780</v>
      </c>
      <c r="J3509" s="2">
        <v>45775</v>
      </c>
      <c r="K3509" s="2">
        <v>45780</v>
      </c>
    </row>
    <row r="3510" spans="1:11" x14ac:dyDescent="0.25">
      <c r="A3510" s="1" t="s">
        <v>627</v>
      </c>
      <c r="B3510" s="1" t="s">
        <v>1264</v>
      </c>
      <c r="C3510" s="1" t="s">
        <v>2241</v>
      </c>
      <c r="D3510" s="1" t="s">
        <v>1998</v>
      </c>
      <c r="E3510" s="1"/>
      <c r="F3510" s="1" t="s">
        <v>11</v>
      </c>
      <c r="G3510">
        <v>995</v>
      </c>
      <c r="H3510">
        <v>955</v>
      </c>
      <c r="I3510" s="2"/>
      <c r="J3510" s="2">
        <v>45769</v>
      </c>
      <c r="K3510" s="2">
        <v>45778</v>
      </c>
    </row>
    <row r="3511" spans="1:11" x14ac:dyDescent="0.25">
      <c r="A3511" s="1" t="s">
        <v>627</v>
      </c>
      <c r="B3511" s="1" t="s">
        <v>1246</v>
      </c>
      <c r="C3511" s="1" t="s">
        <v>2228</v>
      </c>
      <c r="D3511" s="1" t="s">
        <v>1998</v>
      </c>
      <c r="E3511" s="1"/>
      <c r="F3511" s="1" t="s">
        <v>12</v>
      </c>
      <c r="G3511">
        <v>1</v>
      </c>
      <c r="H3511">
        <v>175</v>
      </c>
      <c r="I3511" s="2"/>
      <c r="J3511" s="2">
        <v>45769</v>
      </c>
      <c r="K3511" s="2">
        <v>45778</v>
      </c>
    </row>
    <row r="3512" spans="1:11" x14ac:dyDescent="0.25">
      <c r="A3512" s="1" t="s">
        <v>627</v>
      </c>
      <c r="B3512" s="1" t="s">
        <v>1206</v>
      </c>
      <c r="C3512" s="1" t="s">
        <v>2196</v>
      </c>
      <c r="D3512" s="1" t="s">
        <v>1998</v>
      </c>
      <c r="E3512" s="1"/>
      <c r="F3512" s="1" t="s">
        <v>11</v>
      </c>
      <c r="G3512">
        <v>5</v>
      </c>
      <c r="H3512">
        <v>5</v>
      </c>
      <c r="I3512" s="2"/>
      <c r="J3512" s="2">
        <v>45769</v>
      </c>
      <c r="K3512" s="2">
        <v>45778</v>
      </c>
    </row>
    <row r="3513" spans="1:11" x14ac:dyDescent="0.25">
      <c r="A3513" s="1" t="s">
        <v>627</v>
      </c>
      <c r="B3513" s="1" t="s">
        <v>1266</v>
      </c>
      <c r="C3513" s="1" t="s">
        <v>2243</v>
      </c>
      <c r="D3513" s="1" t="s">
        <v>1998</v>
      </c>
      <c r="E3513" s="1"/>
      <c r="F3513" s="1" t="s">
        <v>11</v>
      </c>
      <c r="G3513">
        <v>10</v>
      </c>
      <c r="H3513">
        <v>10</v>
      </c>
      <c r="I3513" s="2"/>
      <c r="J3513" s="2">
        <v>45769</v>
      </c>
      <c r="K3513" s="2">
        <v>45778</v>
      </c>
    </row>
    <row r="3514" spans="1:11" x14ac:dyDescent="0.25">
      <c r="A3514" s="1" t="s">
        <v>628</v>
      </c>
      <c r="B3514" s="1" t="s">
        <v>1264</v>
      </c>
      <c r="C3514" s="1" t="s">
        <v>2241</v>
      </c>
      <c r="D3514" s="1" t="s">
        <v>1998</v>
      </c>
      <c r="E3514" s="1"/>
      <c r="F3514" s="1" t="s">
        <v>11</v>
      </c>
      <c r="G3514">
        <v>995</v>
      </c>
      <c r="H3514">
        <v>955</v>
      </c>
      <c r="I3514" s="2"/>
      <c r="J3514" s="2">
        <v>45770</v>
      </c>
      <c r="K3514" s="2">
        <v>45778</v>
      </c>
    </row>
    <row r="3515" spans="1:11" x14ac:dyDescent="0.25">
      <c r="A3515" s="1" t="s">
        <v>628</v>
      </c>
      <c r="B3515" s="1" t="s">
        <v>1246</v>
      </c>
      <c r="C3515" s="1" t="s">
        <v>2228</v>
      </c>
      <c r="D3515" s="1" t="s">
        <v>1998</v>
      </c>
      <c r="E3515" s="1"/>
      <c r="F3515" s="1" t="s">
        <v>12</v>
      </c>
      <c r="G3515">
        <v>1</v>
      </c>
      <c r="H3515">
        <v>175</v>
      </c>
      <c r="I3515" s="2"/>
      <c r="J3515" s="2">
        <v>45770</v>
      </c>
      <c r="K3515" s="2">
        <v>45778</v>
      </c>
    </row>
    <row r="3516" spans="1:11" x14ac:dyDescent="0.25">
      <c r="A3516" s="1" t="s">
        <v>628</v>
      </c>
      <c r="B3516" s="1" t="s">
        <v>1206</v>
      </c>
      <c r="C3516" s="1" t="s">
        <v>2196</v>
      </c>
      <c r="D3516" s="1" t="s">
        <v>1998</v>
      </c>
      <c r="E3516" s="1"/>
      <c r="F3516" s="1" t="s">
        <v>11</v>
      </c>
      <c r="G3516">
        <v>5</v>
      </c>
      <c r="H3516">
        <v>5</v>
      </c>
      <c r="I3516" s="2"/>
      <c r="J3516" s="2">
        <v>45770</v>
      </c>
      <c r="K3516" s="2">
        <v>45778</v>
      </c>
    </row>
    <row r="3517" spans="1:11" x14ac:dyDescent="0.25">
      <c r="A3517" s="1" t="s">
        <v>628</v>
      </c>
      <c r="B3517" s="1" t="s">
        <v>1266</v>
      </c>
      <c r="C3517" s="1" t="s">
        <v>2243</v>
      </c>
      <c r="D3517" s="1" t="s">
        <v>1998</v>
      </c>
      <c r="E3517" s="1"/>
      <c r="F3517" s="1" t="s">
        <v>11</v>
      </c>
      <c r="G3517">
        <v>10</v>
      </c>
      <c r="H3517">
        <v>10</v>
      </c>
      <c r="I3517" s="2"/>
      <c r="J3517" s="2">
        <v>45770</v>
      </c>
      <c r="K3517" s="2">
        <v>45778</v>
      </c>
    </row>
    <row r="3518" spans="1:11" x14ac:dyDescent="0.25">
      <c r="A3518" s="1" t="s">
        <v>629</v>
      </c>
      <c r="B3518" s="1" t="s">
        <v>1264</v>
      </c>
      <c r="C3518" s="1" t="s">
        <v>2241</v>
      </c>
      <c r="D3518" s="1" t="s">
        <v>1998</v>
      </c>
      <c r="E3518" s="1"/>
      <c r="F3518" s="1" t="s">
        <v>11</v>
      </c>
      <c r="G3518">
        <v>995</v>
      </c>
      <c r="H3518">
        <v>955</v>
      </c>
      <c r="I3518" s="2"/>
      <c r="J3518" s="2">
        <v>45770</v>
      </c>
      <c r="K3518" s="2">
        <v>45783</v>
      </c>
    </row>
    <row r="3519" spans="1:11" x14ac:dyDescent="0.25">
      <c r="A3519" s="1" t="s">
        <v>629</v>
      </c>
      <c r="B3519" s="1" t="s">
        <v>1246</v>
      </c>
      <c r="C3519" s="1" t="s">
        <v>2228</v>
      </c>
      <c r="D3519" s="1" t="s">
        <v>1998</v>
      </c>
      <c r="E3519" s="1"/>
      <c r="F3519" s="1" t="s">
        <v>12</v>
      </c>
      <c r="G3519">
        <v>1</v>
      </c>
      <c r="H3519">
        <v>175</v>
      </c>
      <c r="I3519" s="2"/>
      <c r="J3519" s="2">
        <v>45770</v>
      </c>
      <c r="K3519" s="2">
        <v>45783</v>
      </c>
    </row>
    <row r="3520" spans="1:11" x14ac:dyDescent="0.25">
      <c r="A3520" s="1" t="s">
        <v>629</v>
      </c>
      <c r="B3520" s="1" t="s">
        <v>1206</v>
      </c>
      <c r="C3520" s="1" t="s">
        <v>2196</v>
      </c>
      <c r="D3520" s="1" t="s">
        <v>1998</v>
      </c>
      <c r="E3520" s="1"/>
      <c r="F3520" s="1" t="s">
        <v>11</v>
      </c>
      <c r="G3520">
        <v>5</v>
      </c>
      <c r="H3520">
        <v>5</v>
      </c>
      <c r="I3520" s="2"/>
      <c r="J3520" s="2">
        <v>45770</v>
      </c>
      <c r="K3520" s="2">
        <v>45783</v>
      </c>
    </row>
    <row r="3521" spans="1:11" x14ac:dyDescent="0.25">
      <c r="A3521" s="1" t="s">
        <v>629</v>
      </c>
      <c r="B3521" s="1" t="s">
        <v>1266</v>
      </c>
      <c r="C3521" s="1" t="s">
        <v>2243</v>
      </c>
      <c r="D3521" s="1" t="s">
        <v>1998</v>
      </c>
      <c r="E3521" s="1"/>
      <c r="F3521" s="1" t="s">
        <v>11</v>
      </c>
      <c r="G3521">
        <v>10</v>
      </c>
      <c r="H3521">
        <v>10</v>
      </c>
      <c r="I3521" s="2"/>
      <c r="J3521" s="2">
        <v>45770</v>
      </c>
      <c r="K3521" s="2">
        <v>45783</v>
      </c>
    </row>
    <row r="3522" spans="1:11" x14ac:dyDescent="0.25">
      <c r="A3522" s="1" t="s">
        <v>630</v>
      </c>
      <c r="B3522" s="1" t="s">
        <v>1264</v>
      </c>
      <c r="C3522" s="1" t="s">
        <v>2241</v>
      </c>
      <c r="D3522" s="1" t="s">
        <v>1998</v>
      </c>
      <c r="E3522" s="1"/>
      <c r="F3522" s="1" t="s">
        <v>11</v>
      </c>
      <c r="G3522">
        <v>995</v>
      </c>
      <c r="H3522">
        <v>955</v>
      </c>
      <c r="I3522" s="2"/>
      <c r="J3522" s="2">
        <v>45770</v>
      </c>
      <c r="K3522" s="2">
        <v>45783</v>
      </c>
    </row>
    <row r="3523" spans="1:11" x14ac:dyDescent="0.25">
      <c r="A3523" s="1" t="s">
        <v>630</v>
      </c>
      <c r="B3523" s="1" t="s">
        <v>1246</v>
      </c>
      <c r="C3523" s="1" t="s">
        <v>2228</v>
      </c>
      <c r="D3523" s="1" t="s">
        <v>1998</v>
      </c>
      <c r="E3523" s="1"/>
      <c r="F3523" s="1" t="s">
        <v>12</v>
      </c>
      <c r="G3523">
        <v>1</v>
      </c>
      <c r="H3523">
        <v>175</v>
      </c>
      <c r="I3523" s="2"/>
      <c r="J3523" s="2">
        <v>45770</v>
      </c>
      <c r="K3523" s="2">
        <v>45783</v>
      </c>
    </row>
    <row r="3524" spans="1:11" x14ac:dyDescent="0.25">
      <c r="A3524" s="1" t="s">
        <v>630</v>
      </c>
      <c r="B3524" s="1" t="s">
        <v>1206</v>
      </c>
      <c r="C3524" s="1" t="s">
        <v>2196</v>
      </c>
      <c r="D3524" s="1" t="s">
        <v>1998</v>
      </c>
      <c r="E3524" s="1"/>
      <c r="F3524" s="1" t="s">
        <v>11</v>
      </c>
      <c r="G3524">
        <v>5</v>
      </c>
      <c r="H3524">
        <v>5</v>
      </c>
      <c r="I3524" s="2"/>
      <c r="J3524" s="2">
        <v>45770</v>
      </c>
      <c r="K3524" s="2">
        <v>45783</v>
      </c>
    </row>
    <row r="3525" spans="1:11" x14ac:dyDescent="0.25">
      <c r="A3525" s="1" t="s">
        <v>630</v>
      </c>
      <c r="B3525" s="1" t="s">
        <v>1266</v>
      </c>
      <c r="C3525" s="1" t="s">
        <v>2243</v>
      </c>
      <c r="D3525" s="1" t="s">
        <v>1998</v>
      </c>
      <c r="E3525" s="1"/>
      <c r="F3525" s="1" t="s">
        <v>11</v>
      </c>
      <c r="G3525">
        <v>10</v>
      </c>
      <c r="H3525">
        <v>10</v>
      </c>
      <c r="I3525" s="2"/>
      <c r="J3525" s="2">
        <v>45770</v>
      </c>
      <c r="K3525" s="2">
        <v>45783</v>
      </c>
    </row>
    <row r="3526" spans="1:11" x14ac:dyDescent="0.25">
      <c r="A3526" s="1" t="s">
        <v>631</v>
      </c>
      <c r="B3526" s="1" t="s">
        <v>1697</v>
      </c>
      <c r="C3526" s="1" t="s">
        <v>2346</v>
      </c>
      <c r="D3526" s="1" t="s">
        <v>1998</v>
      </c>
      <c r="E3526" s="1"/>
      <c r="F3526" s="1" t="s">
        <v>11</v>
      </c>
      <c r="G3526">
        <v>1880</v>
      </c>
      <c r="H3526">
        <v>1880</v>
      </c>
      <c r="I3526" s="2">
        <v>45782</v>
      </c>
      <c r="J3526" s="2">
        <v>45763</v>
      </c>
      <c r="K3526" s="2">
        <v>45782</v>
      </c>
    </row>
    <row r="3527" spans="1:11" x14ac:dyDescent="0.25">
      <c r="A3527" s="1" t="s">
        <v>631</v>
      </c>
      <c r="B3527" s="1" t="s">
        <v>1697</v>
      </c>
      <c r="C3527" s="1" t="s">
        <v>2346</v>
      </c>
      <c r="D3527" s="1" t="s">
        <v>1998</v>
      </c>
      <c r="E3527" s="1"/>
      <c r="F3527" s="1" t="s">
        <v>11</v>
      </c>
      <c r="G3527">
        <v>15</v>
      </c>
      <c r="H3527">
        <v>15</v>
      </c>
      <c r="I3527" s="2">
        <v>45782</v>
      </c>
      <c r="J3527" s="2">
        <v>45763</v>
      </c>
      <c r="K3527" s="2">
        <v>45782</v>
      </c>
    </row>
    <row r="3528" spans="1:11" x14ac:dyDescent="0.25">
      <c r="A3528" s="1" t="s">
        <v>631</v>
      </c>
      <c r="B3528" s="1" t="s">
        <v>1669</v>
      </c>
      <c r="C3528" s="1" t="s">
        <v>2578</v>
      </c>
      <c r="D3528" s="1" t="s">
        <v>1998</v>
      </c>
      <c r="E3528" s="1"/>
      <c r="F3528" s="1" t="s">
        <v>11</v>
      </c>
      <c r="G3528">
        <v>550</v>
      </c>
      <c r="H3528">
        <v>550</v>
      </c>
      <c r="I3528" s="2">
        <v>45782</v>
      </c>
      <c r="J3528" s="2">
        <v>45763</v>
      </c>
      <c r="K3528" s="2">
        <v>45782</v>
      </c>
    </row>
    <row r="3529" spans="1:11" x14ac:dyDescent="0.25">
      <c r="A3529" s="1" t="s">
        <v>631</v>
      </c>
      <c r="B3529" s="1" t="s">
        <v>1669</v>
      </c>
      <c r="C3529" s="1" t="s">
        <v>2578</v>
      </c>
      <c r="D3529" s="1" t="s">
        <v>1998</v>
      </c>
      <c r="E3529" s="1"/>
      <c r="F3529" s="1" t="s">
        <v>16</v>
      </c>
      <c r="G3529">
        <v>10</v>
      </c>
      <c r="H3529">
        <v>10</v>
      </c>
      <c r="I3529" s="2">
        <v>45782</v>
      </c>
      <c r="J3529" s="2">
        <v>45763</v>
      </c>
      <c r="K3529" s="2">
        <v>45782</v>
      </c>
    </row>
    <row r="3530" spans="1:11" x14ac:dyDescent="0.25">
      <c r="A3530" s="1" t="s">
        <v>631</v>
      </c>
      <c r="B3530" s="1" t="s">
        <v>1670</v>
      </c>
      <c r="C3530" s="1" t="s">
        <v>2579</v>
      </c>
      <c r="D3530" s="1" t="s">
        <v>1998</v>
      </c>
      <c r="E3530" s="1"/>
      <c r="F3530" s="1" t="s">
        <v>11</v>
      </c>
      <c r="G3530">
        <v>95</v>
      </c>
      <c r="H3530">
        <v>95</v>
      </c>
      <c r="I3530" s="2">
        <v>45782</v>
      </c>
      <c r="J3530" s="2">
        <v>45763</v>
      </c>
      <c r="K3530" s="2">
        <v>45782</v>
      </c>
    </row>
    <row r="3531" spans="1:11" x14ac:dyDescent="0.25">
      <c r="A3531" s="1" t="s">
        <v>631</v>
      </c>
      <c r="B3531" s="1" t="s">
        <v>1698</v>
      </c>
      <c r="C3531" s="1" t="s">
        <v>2102</v>
      </c>
      <c r="D3531" s="1" t="s">
        <v>1998</v>
      </c>
      <c r="E3531" s="1"/>
      <c r="F3531" s="1" t="s">
        <v>11</v>
      </c>
      <c r="G3531">
        <v>405</v>
      </c>
      <c r="H3531">
        <v>405</v>
      </c>
      <c r="I3531" s="2">
        <v>45782</v>
      </c>
      <c r="J3531" s="2">
        <v>45763</v>
      </c>
      <c r="K3531" s="2">
        <v>45782</v>
      </c>
    </row>
    <row r="3532" spans="1:11" x14ac:dyDescent="0.25">
      <c r="A3532" s="1" t="s">
        <v>632</v>
      </c>
      <c r="B3532" s="1" t="s">
        <v>1342</v>
      </c>
      <c r="C3532" s="1" t="s">
        <v>2014</v>
      </c>
      <c r="D3532" s="1" t="s">
        <v>1998</v>
      </c>
      <c r="E3532" s="1"/>
      <c r="F3532" s="1" t="s">
        <v>11</v>
      </c>
      <c r="G3532">
        <v>14260</v>
      </c>
      <c r="H3532">
        <v>14260</v>
      </c>
      <c r="I3532" s="2"/>
      <c r="J3532" s="2">
        <v>45762</v>
      </c>
      <c r="K3532" s="2">
        <v>45786</v>
      </c>
    </row>
    <row r="3533" spans="1:11" x14ac:dyDescent="0.25">
      <c r="A3533" s="1" t="s">
        <v>632</v>
      </c>
      <c r="B3533" s="1" t="s">
        <v>1700</v>
      </c>
      <c r="C3533" s="1" t="s">
        <v>2597</v>
      </c>
      <c r="D3533" s="1" t="s">
        <v>1998</v>
      </c>
      <c r="E3533" s="1"/>
      <c r="F3533" s="1" t="s">
        <v>11</v>
      </c>
      <c r="G3533">
        <v>11150</v>
      </c>
      <c r="H3533">
        <v>13975</v>
      </c>
      <c r="I3533" s="2"/>
      <c r="J3533" s="2">
        <v>45762</v>
      </c>
      <c r="K3533" s="2">
        <v>45786</v>
      </c>
    </row>
    <row r="3534" spans="1:11" x14ac:dyDescent="0.25">
      <c r="A3534" s="1" t="s">
        <v>633</v>
      </c>
      <c r="B3534" s="1" t="s">
        <v>1701</v>
      </c>
      <c r="C3534" s="1" t="s">
        <v>2014</v>
      </c>
      <c r="D3534" s="1" t="s">
        <v>1998</v>
      </c>
      <c r="E3534" s="1"/>
      <c r="F3534" s="1" t="s">
        <v>11</v>
      </c>
      <c r="G3534">
        <v>4200</v>
      </c>
      <c r="H3534">
        <v>4200</v>
      </c>
      <c r="I3534" s="2">
        <v>45782</v>
      </c>
      <c r="J3534" s="2">
        <v>45762</v>
      </c>
      <c r="K3534" s="2">
        <v>45782</v>
      </c>
    </row>
    <row r="3535" spans="1:11" x14ac:dyDescent="0.25">
      <c r="A3535" s="1" t="s">
        <v>633</v>
      </c>
      <c r="B3535" s="1" t="s">
        <v>1701</v>
      </c>
      <c r="C3535" s="1" t="s">
        <v>2014</v>
      </c>
      <c r="D3535" s="1" t="s">
        <v>1998</v>
      </c>
      <c r="E3535" s="1"/>
      <c r="F3535" s="1" t="s">
        <v>11</v>
      </c>
      <c r="G3535">
        <v>15</v>
      </c>
      <c r="H3535">
        <v>15</v>
      </c>
      <c r="I3535" s="2">
        <v>45782</v>
      </c>
      <c r="J3535" s="2">
        <v>45762</v>
      </c>
      <c r="K3535" s="2">
        <v>45782</v>
      </c>
    </row>
    <row r="3536" spans="1:11" x14ac:dyDescent="0.25">
      <c r="A3536" s="1" t="s">
        <v>633</v>
      </c>
      <c r="B3536" s="1" t="s">
        <v>1702</v>
      </c>
      <c r="C3536" s="1" t="s">
        <v>2598</v>
      </c>
      <c r="D3536" s="1" t="s">
        <v>1998</v>
      </c>
      <c r="E3536" s="1"/>
      <c r="F3536" s="1" t="s">
        <v>11</v>
      </c>
      <c r="G3536">
        <v>535</v>
      </c>
      <c r="H3536">
        <v>535</v>
      </c>
      <c r="I3536" s="2">
        <v>45782</v>
      </c>
      <c r="J3536" s="2">
        <v>45762</v>
      </c>
      <c r="K3536" s="2">
        <v>45782</v>
      </c>
    </row>
    <row r="3537" spans="1:11" x14ac:dyDescent="0.25">
      <c r="A3537" s="1" t="s">
        <v>633</v>
      </c>
      <c r="B3537" s="1" t="s">
        <v>1702</v>
      </c>
      <c r="C3537" s="1" t="s">
        <v>2598</v>
      </c>
      <c r="D3537" s="1" t="s">
        <v>1998</v>
      </c>
      <c r="E3537" s="1"/>
      <c r="F3537" s="1" t="s">
        <v>11</v>
      </c>
      <c r="G3537">
        <v>40</v>
      </c>
      <c r="H3537">
        <v>40</v>
      </c>
      <c r="I3537" s="2">
        <v>45782</v>
      </c>
      <c r="J3537" s="2">
        <v>45762</v>
      </c>
      <c r="K3537" s="2">
        <v>45782</v>
      </c>
    </row>
    <row r="3538" spans="1:11" x14ac:dyDescent="0.25">
      <c r="A3538" s="1" t="s">
        <v>633</v>
      </c>
      <c r="B3538" s="1" t="s">
        <v>1703</v>
      </c>
      <c r="C3538" s="1" t="s">
        <v>2599</v>
      </c>
      <c r="D3538" s="1" t="s">
        <v>1998</v>
      </c>
      <c r="E3538" s="1"/>
      <c r="F3538" s="1" t="s">
        <v>11</v>
      </c>
      <c r="G3538">
        <v>575</v>
      </c>
      <c r="H3538">
        <v>575</v>
      </c>
      <c r="I3538" s="2">
        <v>45782</v>
      </c>
      <c r="J3538" s="2">
        <v>45762</v>
      </c>
      <c r="K3538" s="2">
        <v>45782</v>
      </c>
    </row>
    <row r="3539" spans="1:11" x14ac:dyDescent="0.25">
      <c r="A3539" s="1" t="s">
        <v>633</v>
      </c>
      <c r="B3539" s="1" t="s">
        <v>1703</v>
      </c>
      <c r="C3539" s="1" t="s">
        <v>2599</v>
      </c>
      <c r="D3539" s="1" t="s">
        <v>1998</v>
      </c>
      <c r="E3539" s="1"/>
      <c r="F3539" s="1" t="s">
        <v>11</v>
      </c>
      <c r="G3539">
        <v>5</v>
      </c>
      <c r="H3539">
        <v>5</v>
      </c>
      <c r="I3539" s="2">
        <v>45782</v>
      </c>
      <c r="J3539" s="2">
        <v>45762</v>
      </c>
      <c r="K3539" s="2">
        <v>45782</v>
      </c>
    </row>
    <row r="3540" spans="1:11" x14ac:dyDescent="0.25">
      <c r="A3540" s="1" t="s">
        <v>633</v>
      </c>
      <c r="B3540" s="1" t="s">
        <v>1126</v>
      </c>
      <c r="C3540" s="1" t="s">
        <v>2126</v>
      </c>
      <c r="D3540" s="1" t="s">
        <v>1998</v>
      </c>
      <c r="E3540" s="1"/>
      <c r="F3540" s="1" t="s">
        <v>11</v>
      </c>
      <c r="G3540">
        <v>70</v>
      </c>
      <c r="H3540">
        <v>70</v>
      </c>
      <c r="I3540" s="2">
        <v>45782</v>
      </c>
      <c r="J3540" s="2">
        <v>45762</v>
      </c>
      <c r="K3540" s="2">
        <v>45782</v>
      </c>
    </row>
    <row r="3541" spans="1:11" x14ac:dyDescent="0.25">
      <c r="A3541" s="1" t="s">
        <v>633</v>
      </c>
      <c r="B3541" s="1" t="s">
        <v>1704</v>
      </c>
      <c r="C3541" s="1" t="s">
        <v>2600</v>
      </c>
      <c r="D3541" s="1" t="s">
        <v>1998</v>
      </c>
      <c r="E3541" s="1"/>
      <c r="F3541" s="1" t="s">
        <v>11</v>
      </c>
      <c r="G3541">
        <v>260</v>
      </c>
      <c r="H3541">
        <v>260</v>
      </c>
      <c r="I3541" s="2">
        <v>45782</v>
      </c>
      <c r="J3541" s="2">
        <v>45762</v>
      </c>
      <c r="K3541" s="2">
        <v>45782</v>
      </c>
    </row>
    <row r="3542" spans="1:11" x14ac:dyDescent="0.25">
      <c r="A3542" s="1" t="s">
        <v>633</v>
      </c>
      <c r="B3542" s="1" t="s">
        <v>1704</v>
      </c>
      <c r="C3542" s="1" t="s">
        <v>2600</v>
      </c>
      <c r="D3542" s="1" t="s">
        <v>1998</v>
      </c>
      <c r="E3542" s="1"/>
      <c r="F3542" s="1" t="s">
        <v>11</v>
      </c>
      <c r="G3542">
        <v>10</v>
      </c>
      <c r="H3542">
        <v>10</v>
      </c>
      <c r="I3542" s="2">
        <v>45782</v>
      </c>
      <c r="J3542" s="2">
        <v>45762</v>
      </c>
      <c r="K3542" s="2">
        <v>45782</v>
      </c>
    </row>
    <row r="3543" spans="1:11" x14ac:dyDescent="0.25">
      <c r="A3543" s="1" t="s">
        <v>633</v>
      </c>
      <c r="B3543" s="1" t="s">
        <v>1704</v>
      </c>
      <c r="C3543" s="1" t="s">
        <v>2600</v>
      </c>
      <c r="D3543" s="1" t="s">
        <v>1998</v>
      </c>
      <c r="E3543" s="1"/>
      <c r="F3543" s="1" t="s">
        <v>11</v>
      </c>
      <c r="G3543">
        <v>1</v>
      </c>
      <c r="H3543">
        <v>1</v>
      </c>
      <c r="I3543" s="2">
        <v>45782</v>
      </c>
      <c r="J3543" s="2">
        <v>45762</v>
      </c>
      <c r="K3543" s="2">
        <v>45782</v>
      </c>
    </row>
    <row r="3544" spans="1:11" x14ac:dyDescent="0.25">
      <c r="A3544" s="1" t="s">
        <v>633</v>
      </c>
      <c r="B3544" s="1" t="s">
        <v>1705</v>
      </c>
      <c r="C3544" s="1" t="s">
        <v>2601</v>
      </c>
      <c r="D3544" s="1" t="s">
        <v>1998</v>
      </c>
      <c r="E3544" s="1"/>
      <c r="F3544" s="1" t="s">
        <v>11</v>
      </c>
      <c r="G3544">
        <v>120</v>
      </c>
      <c r="H3544">
        <v>120</v>
      </c>
      <c r="I3544" s="2">
        <v>45782</v>
      </c>
      <c r="J3544" s="2">
        <v>45762</v>
      </c>
      <c r="K3544" s="2">
        <v>45782</v>
      </c>
    </row>
    <row r="3545" spans="1:11" x14ac:dyDescent="0.25">
      <c r="A3545" s="1" t="s">
        <v>633</v>
      </c>
      <c r="B3545" s="1" t="s">
        <v>1705</v>
      </c>
      <c r="C3545" s="1" t="s">
        <v>2601</v>
      </c>
      <c r="D3545" s="1" t="s">
        <v>1998</v>
      </c>
      <c r="E3545" s="1"/>
      <c r="F3545" s="1" t="s">
        <v>11</v>
      </c>
      <c r="G3545">
        <v>15</v>
      </c>
      <c r="H3545">
        <v>15</v>
      </c>
      <c r="I3545" s="2">
        <v>45782</v>
      </c>
      <c r="J3545" s="2">
        <v>45762</v>
      </c>
      <c r="K3545" s="2">
        <v>45782</v>
      </c>
    </row>
    <row r="3546" spans="1:11" x14ac:dyDescent="0.25">
      <c r="A3546" s="1" t="s">
        <v>633</v>
      </c>
      <c r="B3546" s="1" t="s">
        <v>1706</v>
      </c>
      <c r="C3546" s="1" t="s">
        <v>2602</v>
      </c>
      <c r="D3546" s="1" t="s">
        <v>1998</v>
      </c>
      <c r="E3546" s="1"/>
      <c r="F3546" s="1" t="s">
        <v>11</v>
      </c>
      <c r="G3546">
        <v>130</v>
      </c>
      <c r="H3546">
        <v>130</v>
      </c>
      <c r="I3546" s="2">
        <v>45782</v>
      </c>
      <c r="J3546" s="2">
        <v>45762</v>
      </c>
      <c r="K3546" s="2">
        <v>45782</v>
      </c>
    </row>
    <row r="3547" spans="1:11" x14ac:dyDescent="0.25">
      <c r="A3547" s="1" t="s">
        <v>633</v>
      </c>
      <c r="B3547" s="1" t="s">
        <v>1707</v>
      </c>
      <c r="C3547" s="1" t="s">
        <v>2603</v>
      </c>
      <c r="D3547" s="1" t="s">
        <v>1998</v>
      </c>
      <c r="E3547" s="1"/>
      <c r="F3547" s="1" t="s">
        <v>11</v>
      </c>
      <c r="G3547">
        <v>265</v>
      </c>
      <c r="H3547">
        <v>265</v>
      </c>
      <c r="I3547" s="2">
        <v>45782</v>
      </c>
      <c r="J3547" s="2">
        <v>45762</v>
      </c>
      <c r="K3547" s="2">
        <v>45782</v>
      </c>
    </row>
    <row r="3548" spans="1:11" x14ac:dyDescent="0.25">
      <c r="A3548" s="1" t="s">
        <v>633</v>
      </c>
      <c r="B3548" s="1" t="s">
        <v>1707</v>
      </c>
      <c r="C3548" s="1" t="s">
        <v>2603</v>
      </c>
      <c r="D3548" s="1" t="s">
        <v>1998</v>
      </c>
      <c r="E3548" s="1"/>
      <c r="F3548" s="1" t="s">
        <v>11</v>
      </c>
      <c r="G3548">
        <v>1</v>
      </c>
      <c r="H3548">
        <v>1</v>
      </c>
      <c r="I3548" s="2">
        <v>45782</v>
      </c>
      <c r="J3548" s="2">
        <v>45762</v>
      </c>
      <c r="K3548" s="2">
        <v>45782</v>
      </c>
    </row>
    <row r="3549" spans="1:11" x14ac:dyDescent="0.25">
      <c r="A3549" s="1" t="s">
        <v>634</v>
      </c>
      <c r="B3549" s="1" t="s">
        <v>1016</v>
      </c>
      <c r="C3549" s="1" t="s">
        <v>2033</v>
      </c>
      <c r="D3549" s="1" t="s">
        <v>1998</v>
      </c>
      <c r="E3549" s="1"/>
      <c r="F3549" s="1" t="s">
        <v>11</v>
      </c>
      <c r="G3549">
        <v>75</v>
      </c>
      <c r="H3549">
        <v>70</v>
      </c>
      <c r="I3549" s="2"/>
      <c r="J3549" s="2">
        <v>45772</v>
      </c>
      <c r="K3549" s="2">
        <v>45782</v>
      </c>
    </row>
    <row r="3550" spans="1:11" x14ac:dyDescent="0.25">
      <c r="A3550" s="1" t="s">
        <v>634</v>
      </c>
      <c r="B3550" s="1" t="s">
        <v>1017</v>
      </c>
      <c r="C3550" s="1" t="s">
        <v>2034</v>
      </c>
      <c r="D3550" s="1" t="s">
        <v>1998</v>
      </c>
      <c r="E3550" s="1"/>
      <c r="F3550" s="1" t="s">
        <v>11</v>
      </c>
      <c r="G3550">
        <v>200</v>
      </c>
      <c r="H3550">
        <v>200</v>
      </c>
      <c r="I3550" s="2"/>
      <c r="J3550" s="2">
        <v>45772</v>
      </c>
      <c r="K3550" s="2">
        <v>45782</v>
      </c>
    </row>
    <row r="3551" spans="1:11" x14ac:dyDescent="0.25">
      <c r="A3551" s="1" t="s">
        <v>634</v>
      </c>
      <c r="B3551" s="1" t="s">
        <v>1018</v>
      </c>
      <c r="C3551" s="1" t="s">
        <v>2035</v>
      </c>
      <c r="D3551" s="1" t="s">
        <v>1998</v>
      </c>
      <c r="E3551" s="1"/>
      <c r="F3551" s="1" t="s">
        <v>11</v>
      </c>
      <c r="G3551">
        <v>885</v>
      </c>
      <c r="H3551">
        <v>905</v>
      </c>
      <c r="I3551" s="2"/>
      <c r="J3551" s="2">
        <v>45772</v>
      </c>
      <c r="K3551" s="2">
        <v>45782</v>
      </c>
    </row>
    <row r="3552" spans="1:11" x14ac:dyDescent="0.25">
      <c r="A3552" s="1" t="s">
        <v>634</v>
      </c>
      <c r="B3552" s="1" t="s">
        <v>999</v>
      </c>
      <c r="C3552" s="1" t="s">
        <v>2017</v>
      </c>
      <c r="D3552" s="1" t="s">
        <v>1998</v>
      </c>
      <c r="E3552" s="1"/>
      <c r="F3552" s="1" t="s">
        <v>11</v>
      </c>
      <c r="G3552">
        <v>1</v>
      </c>
      <c r="H3552">
        <v>1</v>
      </c>
      <c r="I3552" s="2"/>
      <c r="J3552" s="2">
        <v>45772</v>
      </c>
      <c r="K3552" s="2">
        <v>45782</v>
      </c>
    </row>
    <row r="3553" spans="1:11" x14ac:dyDescent="0.25">
      <c r="A3553" s="1" t="s">
        <v>634</v>
      </c>
      <c r="B3553" s="1" t="s">
        <v>1000</v>
      </c>
      <c r="C3553" s="1" t="s">
        <v>2018</v>
      </c>
      <c r="D3553" s="1" t="s">
        <v>1998</v>
      </c>
      <c r="E3553" s="1"/>
      <c r="F3553" s="1" t="s">
        <v>11</v>
      </c>
      <c r="G3553">
        <v>5</v>
      </c>
      <c r="H3553">
        <v>5</v>
      </c>
      <c r="I3553" s="2"/>
      <c r="J3553" s="2">
        <v>45772</v>
      </c>
      <c r="K3553" s="2">
        <v>45782</v>
      </c>
    </row>
    <row r="3554" spans="1:11" x14ac:dyDescent="0.25">
      <c r="A3554" s="1" t="s">
        <v>634</v>
      </c>
      <c r="B3554" s="1" t="s">
        <v>1001</v>
      </c>
      <c r="C3554" s="1" t="s">
        <v>2019</v>
      </c>
      <c r="D3554" s="1" t="s">
        <v>1998</v>
      </c>
      <c r="E3554" s="1"/>
      <c r="F3554" s="1" t="s">
        <v>11</v>
      </c>
      <c r="G3554">
        <v>5</v>
      </c>
      <c r="H3554">
        <v>5</v>
      </c>
      <c r="I3554" s="2"/>
      <c r="J3554" s="2">
        <v>45772</v>
      </c>
      <c r="K3554" s="2">
        <v>45782</v>
      </c>
    </row>
    <row r="3555" spans="1:11" x14ac:dyDescent="0.25">
      <c r="A3555" s="1" t="s">
        <v>634</v>
      </c>
      <c r="B3555" s="1" t="s">
        <v>1019</v>
      </c>
      <c r="C3555" s="1" t="s">
        <v>2036</v>
      </c>
      <c r="D3555" s="1" t="s">
        <v>1998</v>
      </c>
      <c r="E3555" s="1"/>
      <c r="F3555" s="1" t="s">
        <v>11</v>
      </c>
      <c r="G3555">
        <v>3135</v>
      </c>
      <c r="H3555">
        <v>3135</v>
      </c>
      <c r="I3555" s="2"/>
      <c r="J3555" s="2">
        <v>45772</v>
      </c>
      <c r="K3555" s="2">
        <v>45782</v>
      </c>
    </row>
    <row r="3556" spans="1:11" x14ac:dyDescent="0.25">
      <c r="A3556" s="1" t="s">
        <v>634</v>
      </c>
      <c r="B3556" s="1" t="s">
        <v>1020</v>
      </c>
      <c r="C3556" s="1" t="s">
        <v>2037</v>
      </c>
      <c r="D3556" s="1" t="s">
        <v>1998</v>
      </c>
      <c r="E3556" s="1"/>
      <c r="F3556" s="1" t="s">
        <v>11</v>
      </c>
      <c r="G3556">
        <v>8375</v>
      </c>
      <c r="H3556">
        <v>8375</v>
      </c>
      <c r="I3556" s="2"/>
      <c r="J3556" s="2">
        <v>45772</v>
      </c>
      <c r="K3556" s="2">
        <v>45782</v>
      </c>
    </row>
    <row r="3557" spans="1:11" x14ac:dyDescent="0.25">
      <c r="A3557" s="1" t="s">
        <v>635</v>
      </c>
      <c r="B3557" s="1" t="s">
        <v>1708</v>
      </c>
      <c r="C3557" s="1" t="s">
        <v>2604</v>
      </c>
      <c r="D3557" s="1" t="s">
        <v>1998</v>
      </c>
      <c r="E3557" s="1"/>
      <c r="F3557" s="1" t="s">
        <v>11</v>
      </c>
      <c r="G3557">
        <v>30</v>
      </c>
      <c r="H3557">
        <v>30</v>
      </c>
      <c r="I3557" s="2">
        <v>45784</v>
      </c>
      <c r="J3557" s="2">
        <v>45762</v>
      </c>
      <c r="K3557" s="2">
        <v>45784</v>
      </c>
    </row>
    <row r="3558" spans="1:11" x14ac:dyDescent="0.25">
      <c r="A3558" s="1" t="s">
        <v>635</v>
      </c>
      <c r="B3558" s="1" t="s">
        <v>1708</v>
      </c>
      <c r="C3558" s="1" t="s">
        <v>2604</v>
      </c>
      <c r="D3558" s="1" t="s">
        <v>1998</v>
      </c>
      <c r="E3558" s="1"/>
      <c r="F3558" s="1" t="s">
        <v>11</v>
      </c>
      <c r="G3558">
        <v>1</v>
      </c>
      <c r="H3558">
        <v>1</v>
      </c>
      <c r="I3558" s="2">
        <v>45784</v>
      </c>
      <c r="J3558" s="2">
        <v>45762</v>
      </c>
      <c r="K3558" s="2">
        <v>45784</v>
      </c>
    </row>
    <row r="3559" spans="1:11" x14ac:dyDescent="0.25">
      <c r="A3559" s="1" t="s">
        <v>635</v>
      </c>
      <c r="B3559" s="1" t="s">
        <v>1709</v>
      </c>
      <c r="C3559" s="1" t="s">
        <v>2346</v>
      </c>
      <c r="D3559" s="1" t="s">
        <v>1998</v>
      </c>
      <c r="E3559" s="1"/>
      <c r="F3559" s="1" t="s">
        <v>11</v>
      </c>
      <c r="G3559">
        <v>1760</v>
      </c>
      <c r="H3559">
        <v>1760</v>
      </c>
      <c r="I3559" s="2">
        <v>45784</v>
      </c>
      <c r="J3559" s="2">
        <v>45762</v>
      </c>
      <c r="K3559" s="2">
        <v>45784</v>
      </c>
    </row>
    <row r="3560" spans="1:11" x14ac:dyDescent="0.25">
      <c r="A3560" s="1" t="s">
        <v>635</v>
      </c>
      <c r="B3560" s="1" t="s">
        <v>1710</v>
      </c>
      <c r="C3560" s="1" t="s">
        <v>2124</v>
      </c>
      <c r="D3560" s="1" t="s">
        <v>1998</v>
      </c>
      <c r="E3560" s="1"/>
      <c r="F3560" s="1" t="s">
        <v>11</v>
      </c>
      <c r="G3560">
        <v>970</v>
      </c>
      <c r="H3560">
        <v>970</v>
      </c>
      <c r="I3560" s="2">
        <v>45784</v>
      </c>
      <c r="J3560" s="2">
        <v>45762</v>
      </c>
      <c r="K3560" s="2">
        <v>45784</v>
      </c>
    </row>
    <row r="3561" spans="1:11" x14ac:dyDescent="0.25">
      <c r="A3561" s="1" t="s">
        <v>635</v>
      </c>
      <c r="B3561" s="1" t="s">
        <v>1710</v>
      </c>
      <c r="C3561" s="1" t="s">
        <v>2124</v>
      </c>
      <c r="D3561" s="1" t="s">
        <v>1998</v>
      </c>
      <c r="E3561" s="1"/>
      <c r="F3561" s="1" t="s">
        <v>11</v>
      </c>
      <c r="G3561">
        <v>10</v>
      </c>
      <c r="H3561">
        <v>10</v>
      </c>
      <c r="I3561" s="2">
        <v>45784</v>
      </c>
      <c r="J3561" s="2">
        <v>45762</v>
      </c>
      <c r="K3561" s="2">
        <v>45784</v>
      </c>
    </row>
    <row r="3562" spans="1:11" x14ac:dyDescent="0.25">
      <c r="A3562" s="1" t="s">
        <v>635</v>
      </c>
      <c r="B3562" s="1" t="s">
        <v>1711</v>
      </c>
      <c r="C3562" s="1" t="s">
        <v>2605</v>
      </c>
      <c r="D3562" s="1" t="s">
        <v>1998</v>
      </c>
      <c r="E3562" s="1"/>
      <c r="F3562" s="1" t="s">
        <v>11</v>
      </c>
      <c r="G3562">
        <v>115</v>
      </c>
      <c r="H3562">
        <v>115</v>
      </c>
      <c r="I3562" s="2">
        <v>45784</v>
      </c>
      <c r="J3562" s="2">
        <v>45762</v>
      </c>
      <c r="K3562" s="2">
        <v>45784</v>
      </c>
    </row>
    <row r="3563" spans="1:11" x14ac:dyDescent="0.25">
      <c r="A3563" s="1" t="s">
        <v>635</v>
      </c>
      <c r="B3563" s="1" t="s">
        <v>1712</v>
      </c>
      <c r="C3563" s="1" t="s">
        <v>2127</v>
      </c>
      <c r="D3563" s="1" t="s">
        <v>1998</v>
      </c>
      <c r="E3563" s="1"/>
      <c r="F3563" s="1" t="s">
        <v>11</v>
      </c>
      <c r="G3563">
        <v>260</v>
      </c>
      <c r="H3563">
        <v>260</v>
      </c>
      <c r="I3563" s="2">
        <v>45784</v>
      </c>
      <c r="J3563" s="2">
        <v>45762</v>
      </c>
      <c r="K3563" s="2">
        <v>45784</v>
      </c>
    </row>
    <row r="3564" spans="1:11" x14ac:dyDescent="0.25">
      <c r="A3564" s="1" t="s">
        <v>635</v>
      </c>
      <c r="B3564" s="1" t="s">
        <v>1712</v>
      </c>
      <c r="C3564" s="1" t="s">
        <v>2127</v>
      </c>
      <c r="D3564" s="1" t="s">
        <v>1998</v>
      </c>
      <c r="E3564" s="1"/>
      <c r="F3564" s="1" t="s">
        <v>11</v>
      </c>
      <c r="G3564">
        <v>5</v>
      </c>
      <c r="H3564">
        <v>5</v>
      </c>
      <c r="I3564" s="2">
        <v>45784</v>
      </c>
      <c r="J3564" s="2">
        <v>45762</v>
      </c>
      <c r="K3564" s="2">
        <v>45784</v>
      </c>
    </row>
    <row r="3565" spans="1:11" x14ac:dyDescent="0.25">
      <c r="A3565" s="1" t="s">
        <v>635</v>
      </c>
      <c r="B3565" s="1" t="s">
        <v>1713</v>
      </c>
      <c r="C3565" s="1" t="s">
        <v>2606</v>
      </c>
      <c r="D3565" s="1" t="s">
        <v>1998</v>
      </c>
      <c r="E3565" s="1"/>
      <c r="F3565" s="1" t="s">
        <v>11</v>
      </c>
      <c r="G3565">
        <v>2395</v>
      </c>
      <c r="H3565">
        <v>2395</v>
      </c>
      <c r="I3565" s="2">
        <v>45784</v>
      </c>
      <c r="J3565" s="2">
        <v>45762</v>
      </c>
      <c r="K3565" s="2">
        <v>45784</v>
      </c>
    </row>
    <row r="3566" spans="1:11" x14ac:dyDescent="0.25">
      <c r="A3566" s="1" t="s">
        <v>636</v>
      </c>
      <c r="B3566" s="1" t="s">
        <v>1675</v>
      </c>
      <c r="C3566" s="1" t="s">
        <v>2014</v>
      </c>
      <c r="D3566" s="1" t="s">
        <v>1998</v>
      </c>
      <c r="E3566" s="1"/>
      <c r="F3566" s="1" t="s">
        <v>11</v>
      </c>
      <c r="G3566">
        <v>120</v>
      </c>
      <c r="H3566">
        <v>120</v>
      </c>
      <c r="I3566" s="2"/>
      <c r="J3566" s="2">
        <v>45786</v>
      </c>
      <c r="K3566" s="2">
        <v>45789</v>
      </c>
    </row>
    <row r="3567" spans="1:11" x14ac:dyDescent="0.25">
      <c r="A3567" s="1" t="s">
        <v>636</v>
      </c>
      <c r="B3567" s="1" t="s">
        <v>1676</v>
      </c>
      <c r="C3567" s="1" t="s">
        <v>2124</v>
      </c>
      <c r="D3567" s="1" t="s">
        <v>1998</v>
      </c>
      <c r="E3567" s="1"/>
      <c r="F3567" s="1" t="s">
        <v>11</v>
      </c>
      <c r="G3567">
        <v>255</v>
      </c>
      <c r="H3567">
        <v>255</v>
      </c>
      <c r="I3567" s="2"/>
      <c r="J3567" s="2">
        <v>45786</v>
      </c>
      <c r="K3567" s="2">
        <v>45789</v>
      </c>
    </row>
    <row r="3568" spans="1:11" x14ac:dyDescent="0.25">
      <c r="A3568" s="1" t="s">
        <v>636</v>
      </c>
      <c r="B3568" s="1" t="s">
        <v>1676</v>
      </c>
      <c r="C3568" s="1" t="s">
        <v>2124</v>
      </c>
      <c r="D3568" s="1" t="s">
        <v>1998</v>
      </c>
      <c r="E3568" s="1"/>
      <c r="F3568" s="1" t="s">
        <v>11</v>
      </c>
      <c r="G3568">
        <v>75</v>
      </c>
      <c r="H3568">
        <v>75</v>
      </c>
      <c r="I3568" s="2"/>
      <c r="J3568" s="2">
        <v>45786</v>
      </c>
      <c r="K3568" s="2">
        <v>45789</v>
      </c>
    </row>
    <row r="3569" spans="1:11" x14ac:dyDescent="0.25">
      <c r="A3569" s="1" t="s">
        <v>636</v>
      </c>
      <c r="B3569" s="1" t="s">
        <v>1677</v>
      </c>
      <c r="C3569" s="1" t="s">
        <v>2583</v>
      </c>
      <c r="D3569" s="1" t="s">
        <v>1998</v>
      </c>
      <c r="E3569" s="1"/>
      <c r="F3569" s="1" t="s">
        <v>11</v>
      </c>
      <c r="G3569">
        <v>235</v>
      </c>
      <c r="H3569">
        <v>235</v>
      </c>
      <c r="I3569" s="2"/>
      <c r="J3569" s="2">
        <v>45786</v>
      </c>
      <c r="K3569" s="2">
        <v>45789</v>
      </c>
    </row>
    <row r="3570" spans="1:11" x14ac:dyDescent="0.25">
      <c r="A3570" s="1" t="s">
        <v>636</v>
      </c>
      <c r="B3570" s="1" t="s">
        <v>1677</v>
      </c>
      <c r="C3570" s="1" t="s">
        <v>2583</v>
      </c>
      <c r="D3570" s="1" t="s">
        <v>1998</v>
      </c>
      <c r="E3570" s="1"/>
      <c r="F3570" s="1" t="s">
        <v>11</v>
      </c>
      <c r="G3570">
        <v>5</v>
      </c>
      <c r="H3570">
        <v>5</v>
      </c>
      <c r="I3570" s="2"/>
      <c r="J3570" s="2">
        <v>45786</v>
      </c>
      <c r="K3570" s="2">
        <v>45789</v>
      </c>
    </row>
    <row r="3571" spans="1:11" x14ac:dyDescent="0.25">
      <c r="A3571" s="1" t="s">
        <v>636</v>
      </c>
      <c r="B3571" s="1" t="s">
        <v>1126</v>
      </c>
      <c r="C3571" s="1" t="s">
        <v>2126</v>
      </c>
      <c r="D3571" s="1" t="s">
        <v>1998</v>
      </c>
      <c r="E3571" s="1"/>
      <c r="F3571" s="1" t="s">
        <v>11</v>
      </c>
      <c r="G3571">
        <v>10</v>
      </c>
      <c r="H3571">
        <v>10</v>
      </c>
      <c r="I3571" s="2"/>
      <c r="J3571" s="2">
        <v>45786</v>
      </c>
      <c r="K3571" s="2">
        <v>45789</v>
      </c>
    </row>
    <row r="3572" spans="1:11" x14ac:dyDescent="0.25">
      <c r="A3572" s="1" t="s">
        <v>636</v>
      </c>
      <c r="B3572" s="1" t="s">
        <v>1678</v>
      </c>
      <c r="C3572" s="1" t="s">
        <v>2584</v>
      </c>
      <c r="D3572" s="1" t="s">
        <v>1998</v>
      </c>
      <c r="E3572" s="1"/>
      <c r="F3572" s="1" t="s">
        <v>11</v>
      </c>
      <c r="G3572">
        <v>150</v>
      </c>
      <c r="H3572">
        <v>150</v>
      </c>
      <c r="I3572" s="2"/>
      <c r="J3572" s="2">
        <v>45786</v>
      </c>
      <c r="K3572" s="2">
        <v>45789</v>
      </c>
    </row>
    <row r="3573" spans="1:11" x14ac:dyDescent="0.25">
      <c r="A3573" s="1" t="s">
        <v>636</v>
      </c>
      <c r="B3573" s="1" t="s">
        <v>1679</v>
      </c>
      <c r="C3573" s="1" t="s">
        <v>2585</v>
      </c>
      <c r="D3573" s="1" t="s">
        <v>1998</v>
      </c>
      <c r="E3573" s="1"/>
      <c r="F3573" s="1" t="s">
        <v>11</v>
      </c>
      <c r="G3573">
        <v>5</v>
      </c>
      <c r="H3573">
        <v>5</v>
      </c>
      <c r="I3573" s="2"/>
      <c r="J3573" s="2">
        <v>45786</v>
      </c>
      <c r="K3573" s="2">
        <v>45789</v>
      </c>
    </row>
    <row r="3574" spans="1:11" x14ac:dyDescent="0.25">
      <c r="A3574" s="1" t="s">
        <v>636</v>
      </c>
      <c r="B3574" s="1" t="s">
        <v>1680</v>
      </c>
      <c r="C3574" s="1" t="s">
        <v>2586</v>
      </c>
      <c r="D3574" s="1" t="s">
        <v>1998</v>
      </c>
      <c r="E3574" s="1"/>
      <c r="F3574" s="1" t="s">
        <v>11</v>
      </c>
      <c r="G3574">
        <v>180</v>
      </c>
      <c r="H3574">
        <v>180</v>
      </c>
      <c r="I3574" s="2"/>
      <c r="J3574" s="2">
        <v>45786</v>
      </c>
      <c r="K3574" s="2">
        <v>45789</v>
      </c>
    </row>
    <row r="3575" spans="1:11" x14ac:dyDescent="0.25">
      <c r="A3575" s="1" t="s">
        <v>636</v>
      </c>
      <c r="B3575" s="1" t="s">
        <v>1681</v>
      </c>
      <c r="C3575" s="1" t="s">
        <v>2129</v>
      </c>
      <c r="D3575" s="1" t="s">
        <v>1998</v>
      </c>
      <c r="E3575" s="1"/>
      <c r="F3575" s="1" t="s">
        <v>11</v>
      </c>
      <c r="G3575">
        <v>120</v>
      </c>
      <c r="H3575">
        <v>120</v>
      </c>
      <c r="I3575" s="2"/>
      <c r="J3575" s="2">
        <v>45786</v>
      </c>
      <c r="K3575" s="2">
        <v>45789</v>
      </c>
    </row>
    <row r="3576" spans="1:11" x14ac:dyDescent="0.25">
      <c r="A3576" s="1" t="s">
        <v>636</v>
      </c>
      <c r="B3576" s="1" t="s">
        <v>1714</v>
      </c>
      <c r="C3576" s="1" t="s">
        <v>2607</v>
      </c>
      <c r="D3576" s="1" t="s">
        <v>1998</v>
      </c>
      <c r="E3576" s="1"/>
      <c r="F3576" s="1" t="s">
        <v>11</v>
      </c>
      <c r="G3576">
        <v>65</v>
      </c>
      <c r="H3576">
        <v>65</v>
      </c>
      <c r="I3576" s="2"/>
      <c r="J3576" s="2">
        <v>45786</v>
      </c>
      <c r="K3576" s="2">
        <v>45789</v>
      </c>
    </row>
    <row r="3577" spans="1:11" x14ac:dyDescent="0.25">
      <c r="A3577" s="1" t="s">
        <v>636</v>
      </c>
      <c r="B3577" s="1" t="s">
        <v>1715</v>
      </c>
      <c r="C3577" s="1" t="s">
        <v>2518</v>
      </c>
      <c r="D3577" s="1" t="s">
        <v>1998</v>
      </c>
      <c r="E3577" s="1"/>
      <c r="F3577" s="1" t="s">
        <v>11</v>
      </c>
      <c r="G3577">
        <v>10</v>
      </c>
      <c r="H3577">
        <v>10</v>
      </c>
      <c r="I3577" s="2"/>
      <c r="J3577" s="2">
        <v>45786</v>
      </c>
      <c r="K3577" s="2">
        <v>45789</v>
      </c>
    </row>
    <row r="3578" spans="1:11" x14ac:dyDescent="0.25">
      <c r="A3578" s="1" t="s">
        <v>636</v>
      </c>
      <c r="B3578" s="1" t="s">
        <v>1715</v>
      </c>
      <c r="C3578" s="1" t="s">
        <v>2518</v>
      </c>
      <c r="D3578" s="1" t="s">
        <v>1998</v>
      </c>
      <c r="E3578" s="1"/>
      <c r="F3578" s="1" t="s">
        <v>11</v>
      </c>
      <c r="G3578">
        <v>1</v>
      </c>
      <c r="H3578">
        <v>1</v>
      </c>
      <c r="I3578" s="2"/>
      <c r="J3578" s="2">
        <v>45786</v>
      </c>
      <c r="K3578" s="2">
        <v>45789</v>
      </c>
    </row>
    <row r="3579" spans="1:11" x14ac:dyDescent="0.25">
      <c r="A3579" s="1" t="s">
        <v>636</v>
      </c>
      <c r="B3579" s="1" t="s">
        <v>1684</v>
      </c>
      <c r="C3579" s="1" t="s">
        <v>2002</v>
      </c>
      <c r="D3579" s="1" t="s">
        <v>1998</v>
      </c>
      <c r="E3579" s="1"/>
      <c r="F3579" s="1" t="s">
        <v>11</v>
      </c>
      <c r="G3579">
        <v>125</v>
      </c>
      <c r="H3579">
        <v>125</v>
      </c>
      <c r="I3579" s="2"/>
      <c r="J3579" s="2">
        <v>45786</v>
      </c>
      <c r="K3579" s="2">
        <v>45789</v>
      </c>
    </row>
    <row r="3580" spans="1:11" x14ac:dyDescent="0.25">
      <c r="A3580" s="1" t="s">
        <v>636</v>
      </c>
      <c r="B3580" s="1" t="s">
        <v>1685</v>
      </c>
      <c r="C3580" s="1" t="s">
        <v>2002</v>
      </c>
      <c r="D3580" s="1" t="s">
        <v>1998</v>
      </c>
      <c r="E3580" s="1"/>
      <c r="F3580" s="1" t="s">
        <v>11</v>
      </c>
      <c r="G3580">
        <v>195</v>
      </c>
      <c r="H3580">
        <v>195</v>
      </c>
      <c r="I3580" s="2"/>
      <c r="J3580" s="2">
        <v>45786</v>
      </c>
      <c r="K3580" s="2">
        <v>45789</v>
      </c>
    </row>
    <row r="3581" spans="1:11" x14ac:dyDescent="0.25">
      <c r="A3581" s="1" t="s">
        <v>637</v>
      </c>
      <c r="B3581" s="1" t="s">
        <v>1716</v>
      </c>
      <c r="C3581" s="1" t="s">
        <v>2014</v>
      </c>
      <c r="D3581" s="1" t="s">
        <v>1998</v>
      </c>
      <c r="E3581" s="1"/>
      <c r="F3581" s="1" t="s">
        <v>11</v>
      </c>
      <c r="G3581">
        <v>105</v>
      </c>
      <c r="H3581">
        <v>105</v>
      </c>
      <c r="I3581" s="2">
        <v>45782</v>
      </c>
      <c r="J3581" s="2">
        <v>45769</v>
      </c>
      <c r="K3581" s="2">
        <v>45782</v>
      </c>
    </row>
    <row r="3582" spans="1:11" x14ac:dyDescent="0.25">
      <c r="A3582" s="1" t="s">
        <v>637</v>
      </c>
      <c r="B3582" s="1" t="s">
        <v>1717</v>
      </c>
      <c r="C3582" s="1" t="s">
        <v>2124</v>
      </c>
      <c r="D3582" s="1" t="s">
        <v>1998</v>
      </c>
      <c r="E3582" s="1"/>
      <c r="F3582" s="1" t="s">
        <v>11</v>
      </c>
      <c r="G3582">
        <v>180</v>
      </c>
      <c r="H3582">
        <v>180</v>
      </c>
      <c r="I3582" s="2">
        <v>45782</v>
      </c>
      <c r="J3582" s="2">
        <v>45769</v>
      </c>
      <c r="K3582" s="2">
        <v>45782</v>
      </c>
    </row>
    <row r="3583" spans="1:11" x14ac:dyDescent="0.25">
      <c r="A3583" s="1" t="s">
        <v>637</v>
      </c>
      <c r="B3583" s="1" t="s">
        <v>1718</v>
      </c>
      <c r="C3583" s="1" t="s">
        <v>2583</v>
      </c>
      <c r="D3583" s="1" t="s">
        <v>1998</v>
      </c>
      <c r="E3583" s="1"/>
      <c r="F3583" s="1" t="s">
        <v>11</v>
      </c>
      <c r="G3583">
        <v>30</v>
      </c>
      <c r="H3583">
        <v>30</v>
      </c>
      <c r="I3583" s="2">
        <v>45782</v>
      </c>
      <c r="J3583" s="2">
        <v>45769</v>
      </c>
      <c r="K3583" s="2">
        <v>45782</v>
      </c>
    </row>
    <row r="3584" spans="1:11" x14ac:dyDescent="0.25">
      <c r="A3584" s="1" t="s">
        <v>637</v>
      </c>
      <c r="B3584" s="1" t="s">
        <v>1126</v>
      </c>
      <c r="C3584" s="1" t="s">
        <v>2126</v>
      </c>
      <c r="D3584" s="1" t="s">
        <v>1998</v>
      </c>
      <c r="E3584" s="1"/>
      <c r="F3584" s="1" t="s">
        <v>11</v>
      </c>
      <c r="G3584">
        <v>5</v>
      </c>
      <c r="H3584">
        <v>5</v>
      </c>
      <c r="I3584" s="2">
        <v>45782</v>
      </c>
      <c r="J3584" s="2">
        <v>45769</v>
      </c>
      <c r="K3584" s="2">
        <v>45782</v>
      </c>
    </row>
    <row r="3585" spans="1:11" x14ac:dyDescent="0.25">
      <c r="A3585" s="1" t="s">
        <v>637</v>
      </c>
      <c r="B3585" s="1" t="s">
        <v>1719</v>
      </c>
      <c r="C3585" s="1" t="s">
        <v>2608</v>
      </c>
      <c r="D3585" s="1" t="s">
        <v>1998</v>
      </c>
      <c r="E3585" s="1"/>
      <c r="F3585" s="1" t="s">
        <v>11</v>
      </c>
      <c r="G3585">
        <v>50</v>
      </c>
      <c r="H3585">
        <v>50</v>
      </c>
      <c r="I3585" s="2">
        <v>45782</v>
      </c>
      <c r="J3585" s="2">
        <v>45769</v>
      </c>
      <c r="K3585" s="2">
        <v>45782</v>
      </c>
    </row>
    <row r="3586" spans="1:11" x14ac:dyDescent="0.25">
      <c r="A3586" s="1" t="s">
        <v>637</v>
      </c>
      <c r="B3586" s="1" t="s">
        <v>1720</v>
      </c>
      <c r="C3586" s="1" t="s">
        <v>2601</v>
      </c>
      <c r="D3586" s="1" t="s">
        <v>1998</v>
      </c>
      <c r="E3586" s="1"/>
      <c r="F3586" s="1" t="s">
        <v>11</v>
      </c>
      <c r="G3586">
        <v>20</v>
      </c>
      <c r="H3586">
        <v>20</v>
      </c>
      <c r="I3586" s="2">
        <v>45782</v>
      </c>
      <c r="J3586" s="2">
        <v>45769</v>
      </c>
      <c r="K3586" s="2">
        <v>45782</v>
      </c>
    </row>
    <row r="3587" spans="1:11" x14ac:dyDescent="0.25">
      <c r="A3587" s="1" t="s">
        <v>637</v>
      </c>
      <c r="B3587" s="1" t="s">
        <v>1721</v>
      </c>
      <c r="C3587" s="1" t="s">
        <v>2609</v>
      </c>
      <c r="D3587" s="1" t="s">
        <v>1998</v>
      </c>
      <c r="E3587" s="1"/>
      <c r="F3587" s="1" t="s">
        <v>11</v>
      </c>
      <c r="G3587">
        <v>5</v>
      </c>
      <c r="H3587">
        <v>5</v>
      </c>
      <c r="I3587" s="2">
        <v>45782</v>
      </c>
      <c r="J3587" s="2">
        <v>45769</v>
      </c>
      <c r="K3587" s="2">
        <v>45782</v>
      </c>
    </row>
    <row r="3588" spans="1:11" x14ac:dyDescent="0.25">
      <c r="A3588" s="1" t="s">
        <v>637</v>
      </c>
      <c r="B3588" s="1" t="s">
        <v>1722</v>
      </c>
      <c r="C3588" s="1" t="s">
        <v>2610</v>
      </c>
      <c r="D3588" s="1" t="s">
        <v>1998</v>
      </c>
      <c r="E3588" s="1"/>
      <c r="F3588" s="1" t="s">
        <v>11</v>
      </c>
      <c r="G3588">
        <v>10</v>
      </c>
      <c r="H3588">
        <v>10</v>
      </c>
      <c r="I3588" s="2">
        <v>45782</v>
      </c>
      <c r="J3588" s="2">
        <v>45769</v>
      </c>
      <c r="K3588" s="2">
        <v>45782</v>
      </c>
    </row>
    <row r="3589" spans="1:11" x14ac:dyDescent="0.25">
      <c r="A3589" s="1" t="s">
        <v>637</v>
      </c>
      <c r="B3589" s="1" t="s">
        <v>1723</v>
      </c>
      <c r="C3589" s="1" t="s">
        <v>2611</v>
      </c>
      <c r="D3589" s="1" t="s">
        <v>1998</v>
      </c>
      <c r="E3589" s="1"/>
      <c r="F3589" s="1" t="s">
        <v>11</v>
      </c>
      <c r="G3589">
        <v>60</v>
      </c>
      <c r="H3589">
        <v>60</v>
      </c>
      <c r="I3589" s="2">
        <v>45782</v>
      </c>
      <c r="J3589" s="2">
        <v>45769</v>
      </c>
      <c r="K3589" s="2">
        <v>45782</v>
      </c>
    </row>
    <row r="3590" spans="1:11" x14ac:dyDescent="0.25">
      <c r="A3590" s="1" t="s">
        <v>638</v>
      </c>
      <c r="B3590" s="1" t="s">
        <v>1716</v>
      </c>
      <c r="C3590" s="1" t="s">
        <v>2014</v>
      </c>
      <c r="D3590" s="1" t="s">
        <v>1998</v>
      </c>
      <c r="E3590" s="1"/>
      <c r="F3590" s="1" t="s">
        <v>11</v>
      </c>
      <c r="G3590">
        <v>420</v>
      </c>
      <c r="H3590">
        <v>420</v>
      </c>
      <c r="I3590" s="2">
        <v>45782</v>
      </c>
      <c r="J3590" s="2">
        <v>45772</v>
      </c>
      <c r="K3590" s="2">
        <v>45782</v>
      </c>
    </row>
    <row r="3591" spans="1:11" x14ac:dyDescent="0.25">
      <c r="A3591" s="1" t="s">
        <v>638</v>
      </c>
      <c r="B3591" s="1" t="s">
        <v>1717</v>
      </c>
      <c r="C3591" s="1" t="s">
        <v>2124</v>
      </c>
      <c r="D3591" s="1" t="s">
        <v>1998</v>
      </c>
      <c r="E3591" s="1"/>
      <c r="F3591" s="1" t="s">
        <v>11</v>
      </c>
      <c r="G3591">
        <v>720</v>
      </c>
      <c r="H3591">
        <v>720</v>
      </c>
      <c r="I3591" s="2">
        <v>45782</v>
      </c>
      <c r="J3591" s="2">
        <v>45772</v>
      </c>
      <c r="K3591" s="2">
        <v>45782</v>
      </c>
    </row>
    <row r="3592" spans="1:11" x14ac:dyDescent="0.25">
      <c r="A3592" s="1" t="s">
        <v>638</v>
      </c>
      <c r="B3592" s="1" t="s">
        <v>1718</v>
      </c>
      <c r="C3592" s="1" t="s">
        <v>2583</v>
      </c>
      <c r="D3592" s="1" t="s">
        <v>1998</v>
      </c>
      <c r="E3592" s="1"/>
      <c r="F3592" s="1" t="s">
        <v>11</v>
      </c>
      <c r="G3592">
        <v>115</v>
      </c>
      <c r="H3592">
        <v>115</v>
      </c>
      <c r="I3592" s="2">
        <v>45782</v>
      </c>
      <c r="J3592" s="2">
        <v>45772</v>
      </c>
      <c r="K3592" s="2">
        <v>45782</v>
      </c>
    </row>
    <row r="3593" spans="1:11" x14ac:dyDescent="0.25">
      <c r="A3593" s="1" t="s">
        <v>638</v>
      </c>
      <c r="B3593" s="1" t="s">
        <v>1126</v>
      </c>
      <c r="C3593" s="1" t="s">
        <v>2126</v>
      </c>
      <c r="D3593" s="1" t="s">
        <v>1998</v>
      </c>
      <c r="E3593" s="1"/>
      <c r="F3593" s="1" t="s">
        <v>11</v>
      </c>
      <c r="G3593">
        <v>30</v>
      </c>
      <c r="H3593">
        <v>30</v>
      </c>
      <c r="I3593" s="2">
        <v>45782</v>
      </c>
      <c r="J3593" s="2">
        <v>45772</v>
      </c>
      <c r="K3593" s="2">
        <v>45782</v>
      </c>
    </row>
    <row r="3594" spans="1:11" x14ac:dyDescent="0.25">
      <c r="A3594" s="1" t="s">
        <v>638</v>
      </c>
      <c r="B3594" s="1" t="s">
        <v>1719</v>
      </c>
      <c r="C3594" s="1" t="s">
        <v>2608</v>
      </c>
      <c r="D3594" s="1" t="s">
        <v>1998</v>
      </c>
      <c r="E3594" s="1"/>
      <c r="F3594" s="1" t="s">
        <v>11</v>
      </c>
      <c r="G3594">
        <v>200</v>
      </c>
      <c r="H3594">
        <v>200</v>
      </c>
      <c r="I3594" s="2">
        <v>45782</v>
      </c>
      <c r="J3594" s="2">
        <v>45772</v>
      </c>
      <c r="K3594" s="2">
        <v>45782</v>
      </c>
    </row>
    <row r="3595" spans="1:11" x14ac:dyDescent="0.25">
      <c r="A3595" s="1" t="s">
        <v>638</v>
      </c>
      <c r="B3595" s="1" t="s">
        <v>1720</v>
      </c>
      <c r="C3595" s="1" t="s">
        <v>2601</v>
      </c>
      <c r="D3595" s="1" t="s">
        <v>1998</v>
      </c>
      <c r="E3595" s="1"/>
      <c r="F3595" s="1" t="s">
        <v>11</v>
      </c>
      <c r="G3595">
        <v>80</v>
      </c>
      <c r="H3595">
        <v>80</v>
      </c>
      <c r="I3595" s="2">
        <v>45782</v>
      </c>
      <c r="J3595" s="2">
        <v>45772</v>
      </c>
      <c r="K3595" s="2">
        <v>45782</v>
      </c>
    </row>
    <row r="3596" spans="1:11" x14ac:dyDescent="0.25">
      <c r="A3596" s="1" t="s">
        <v>638</v>
      </c>
      <c r="B3596" s="1" t="s">
        <v>1724</v>
      </c>
      <c r="C3596" s="1" t="s">
        <v>2612</v>
      </c>
      <c r="D3596" s="1" t="s">
        <v>1998</v>
      </c>
      <c r="E3596" s="1"/>
      <c r="F3596" s="1" t="s">
        <v>11</v>
      </c>
      <c r="G3596">
        <v>225</v>
      </c>
      <c r="H3596">
        <v>225</v>
      </c>
      <c r="I3596" s="2">
        <v>45782</v>
      </c>
      <c r="J3596" s="2">
        <v>45772</v>
      </c>
      <c r="K3596" s="2">
        <v>45782</v>
      </c>
    </row>
    <row r="3597" spans="1:11" x14ac:dyDescent="0.25">
      <c r="A3597" s="1" t="s">
        <v>638</v>
      </c>
      <c r="B3597" s="1" t="s">
        <v>1722</v>
      </c>
      <c r="C3597" s="1" t="s">
        <v>2610</v>
      </c>
      <c r="D3597" s="1" t="s">
        <v>1998</v>
      </c>
      <c r="E3597" s="1"/>
      <c r="F3597" s="1" t="s">
        <v>11</v>
      </c>
      <c r="G3597">
        <v>30</v>
      </c>
      <c r="H3597">
        <v>30</v>
      </c>
      <c r="I3597" s="2">
        <v>45782</v>
      </c>
      <c r="J3597" s="2">
        <v>45772</v>
      </c>
      <c r="K3597" s="2">
        <v>45782</v>
      </c>
    </row>
    <row r="3598" spans="1:11" x14ac:dyDescent="0.25">
      <c r="A3598" s="1" t="s">
        <v>638</v>
      </c>
      <c r="B3598" s="1" t="s">
        <v>1725</v>
      </c>
      <c r="C3598" s="1" t="s">
        <v>2613</v>
      </c>
      <c r="D3598" s="1" t="s">
        <v>1998</v>
      </c>
      <c r="E3598" s="1"/>
      <c r="F3598" s="1" t="s">
        <v>11</v>
      </c>
      <c r="G3598">
        <v>265</v>
      </c>
      <c r="H3598">
        <v>265</v>
      </c>
      <c r="I3598" s="2">
        <v>45782</v>
      </c>
      <c r="J3598" s="2">
        <v>45772</v>
      </c>
      <c r="K3598" s="2">
        <v>45782</v>
      </c>
    </row>
    <row r="3599" spans="1:11" x14ac:dyDescent="0.25">
      <c r="A3599" s="1" t="s">
        <v>639</v>
      </c>
      <c r="B3599" s="1" t="s">
        <v>1454</v>
      </c>
      <c r="C3599" s="1" t="s">
        <v>2391</v>
      </c>
      <c r="D3599" s="1" t="s">
        <v>1998</v>
      </c>
      <c r="E3599" s="1"/>
      <c r="F3599" s="1" t="s">
        <v>11</v>
      </c>
      <c r="G3599">
        <v>2335</v>
      </c>
      <c r="H3599">
        <v>2335</v>
      </c>
      <c r="I3599" s="2">
        <v>45782</v>
      </c>
      <c r="J3599" s="2">
        <v>45763</v>
      </c>
      <c r="K3599" s="2">
        <v>45782</v>
      </c>
    </row>
    <row r="3600" spans="1:11" x14ac:dyDescent="0.25">
      <c r="A3600" s="1" t="s">
        <v>639</v>
      </c>
      <c r="B3600" s="1" t="s">
        <v>1454</v>
      </c>
      <c r="C3600" s="1" t="s">
        <v>2391</v>
      </c>
      <c r="D3600" s="1" t="s">
        <v>1998</v>
      </c>
      <c r="E3600" s="1"/>
      <c r="F3600" s="1" t="s">
        <v>16</v>
      </c>
      <c r="G3600">
        <v>5</v>
      </c>
      <c r="H3600">
        <v>5</v>
      </c>
      <c r="I3600" s="2">
        <v>45782</v>
      </c>
      <c r="J3600" s="2">
        <v>45763</v>
      </c>
      <c r="K3600" s="2">
        <v>45782</v>
      </c>
    </row>
    <row r="3601" spans="1:11" x14ac:dyDescent="0.25">
      <c r="A3601" s="1" t="s">
        <v>639</v>
      </c>
      <c r="B3601" s="1" t="s">
        <v>1455</v>
      </c>
      <c r="C3601" s="1" t="s">
        <v>2392</v>
      </c>
      <c r="D3601" s="1" t="s">
        <v>1998</v>
      </c>
      <c r="E3601" s="1"/>
      <c r="F3601" s="1" t="s">
        <v>11</v>
      </c>
      <c r="G3601">
        <v>1200</v>
      </c>
      <c r="H3601">
        <v>1200</v>
      </c>
      <c r="I3601" s="2">
        <v>45782</v>
      </c>
      <c r="J3601" s="2">
        <v>45763</v>
      </c>
      <c r="K3601" s="2">
        <v>45782</v>
      </c>
    </row>
    <row r="3602" spans="1:11" x14ac:dyDescent="0.25">
      <c r="A3602" s="1" t="s">
        <v>639</v>
      </c>
      <c r="B3602" s="1" t="s">
        <v>1456</v>
      </c>
      <c r="C3602" s="1" t="s">
        <v>2393</v>
      </c>
      <c r="D3602" s="1" t="s">
        <v>1998</v>
      </c>
      <c r="E3602" s="1"/>
      <c r="F3602" s="1" t="s">
        <v>11</v>
      </c>
      <c r="G3602">
        <v>1655</v>
      </c>
      <c r="H3602">
        <v>1655</v>
      </c>
      <c r="I3602" s="2">
        <v>45782</v>
      </c>
      <c r="J3602" s="2">
        <v>45763</v>
      </c>
      <c r="K3602" s="2">
        <v>45782</v>
      </c>
    </row>
    <row r="3603" spans="1:11" x14ac:dyDescent="0.25">
      <c r="A3603" s="1" t="s">
        <v>639</v>
      </c>
      <c r="B3603" s="1" t="s">
        <v>1726</v>
      </c>
      <c r="C3603" s="1" t="s">
        <v>2614</v>
      </c>
      <c r="D3603" s="1" t="s">
        <v>1998</v>
      </c>
      <c r="E3603" s="1"/>
      <c r="F3603" s="1" t="s">
        <v>11</v>
      </c>
      <c r="G3603">
        <v>3750</v>
      </c>
      <c r="H3603">
        <v>3750</v>
      </c>
      <c r="I3603" s="2">
        <v>45782</v>
      </c>
      <c r="J3603" s="2">
        <v>45763</v>
      </c>
      <c r="K3603" s="2">
        <v>45782</v>
      </c>
    </row>
    <row r="3604" spans="1:11" x14ac:dyDescent="0.25">
      <c r="A3604" s="1" t="s">
        <v>639</v>
      </c>
      <c r="B3604" s="1" t="s">
        <v>1726</v>
      </c>
      <c r="C3604" s="1" t="s">
        <v>2614</v>
      </c>
      <c r="D3604" s="1" t="s">
        <v>1998</v>
      </c>
      <c r="E3604" s="1"/>
      <c r="F3604" s="1" t="s">
        <v>16</v>
      </c>
      <c r="G3604">
        <v>45</v>
      </c>
      <c r="H3604">
        <v>45</v>
      </c>
      <c r="I3604" s="2">
        <v>45782</v>
      </c>
      <c r="J3604" s="2">
        <v>45763</v>
      </c>
      <c r="K3604" s="2">
        <v>45782</v>
      </c>
    </row>
    <row r="3605" spans="1:11" x14ac:dyDescent="0.25">
      <c r="A3605" s="1" t="s">
        <v>639</v>
      </c>
      <c r="B3605" s="1" t="s">
        <v>1727</v>
      </c>
      <c r="C3605" s="1" t="s">
        <v>2471</v>
      </c>
      <c r="D3605" s="1" t="s">
        <v>1998</v>
      </c>
      <c r="E3605" s="1"/>
      <c r="F3605" s="1" t="s">
        <v>11</v>
      </c>
      <c r="G3605">
        <v>3015</v>
      </c>
      <c r="H3605">
        <v>3015</v>
      </c>
      <c r="I3605" s="2">
        <v>45782</v>
      </c>
      <c r="J3605" s="2">
        <v>45763</v>
      </c>
      <c r="K3605" s="2">
        <v>45782</v>
      </c>
    </row>
    <row r="3606" spans="1:11" x14ac:dyDescent="0.25">
      <c r="A3606" s="1" t="s">
        <v>639</v>
      </c>
      <c r="B3606" s="1" t="s">
        <v>1727</v>
      </c>
      <c r="C3606" s="1" t="s">
        <v>2471</v>
      </c>
      <c r="D3606" s="1" t="s">
        <v>1998</v>
      </c>
      <c r="E3606" s="1"/>
      <c r="F3606" s="1" t="s">
        <v>16</v>
      </c>
      <c r="G3606">
        <v>10</v>
      </c>
      <c r="H3606">
        <v>10</v>
      </c>
      <c r="I3606" s="2">
        <v>45782</v>
      </c>
      <c r="J3606" s="2">
        <v>45763</v>
      </c>
      <c r="K3606" s="2">
        <v>45782</v>
      </c>
    </row>
    <row r="3607" spans="1:11" x14ac:dyDescent="0.25">
      <c r="A3607" s="1" t="s">
        <v>640</v>
      </c>
      <c r="B3607" s="1" t="s">
        <v>1716</v>
      </c>
      <c r="C3607" s="1" t="s">
        <v>2014</v>
      </c>
      <c r="D3607" s="1" t="s">
        <v>1998</v>
      </c>
      <c r="E3607" s="1"/>
      <c r="F3607" s="1" t="s">
        <v>11</v>
      </c>
      <c r="G3607">
        <v>105</v>
      </c>
      <c r="H3607">
        <v>105</v>
      </c>
      <c r="I3607" s="2">
        <v>45782</v>
      </c>
      <c r="J3607" s="2">
        <v>45763</v>
      </c>
      <c r="K3607" s="2">
        <v>45782</v>
      </c>
    </row>
    <row r="3608" spans="1:11" x14ac:dyDescent="0.25">
      <c r="A3608" s="1" t="s">
        <v>640</v>
      </c>
      <c r="B3608" s="1" t="s">
        <v>1717</v>
      </c>
      <c r="C3608" s="1" t="s">
        <v>2124</v>
      </c>
      <c r="D3608" s="1" t="s">
        <v>1998</v>
      </c>
      <c r="E3608" s="1"/>
      <c r="F3608" s="1" t="s">
        <v>11</v>
      </c>
      <c r="G3608">
        <v>180</v>
      </c>
      <c r="H3608">
        <v>180</v>
      </c>
      <c r="I3608" s="2">
        <v>45782</v>
      </c>
      <c r="J3608" s="2">
        <v>45763</v>
      </c>
      <c r="K3608" s="2">
        <v>45782</v>
      </c>
    </row>
    <row r="3609" spans="1:11" x14ac:dyDescent="0.25">
      <c r="A3609" s="1" t="s">
        <v>640</v>
      </c>
      <c r="B3609" s="1" t="s">
        <v>1717</v>
      </c>
      <c r="C3609" s="1" t="s">
        <v>2124</v>
      </c>
      <c r="D3609" s="1" t="s">
        <v>1998</v>
      </c>
      <c r="E3609" s="1"/>
      <c r="F3609" s="1" t="s">
        <v>11</v>
      </c>
      <c r="G3609">
        <v>5</v>
      </c>
      <c r="H3609">
        <v>5</v>
      </c>
      <c r="I3609" s="2">
        <v>45782</v>
      </c>
      <c r="J3609" s="2">
        <v>45763</v>
      </c>
      <c r="K3609" s="2">
        <v>45782</v>
      </c>
    </row>
    <row r="3610" spans="1:11" x14ac:dyDescent="0.25">
      <c r="A3610" s="1" t="s">
        <v>640</v>
      </c>
      <c r="B3610" s="1" t="s">
        <v>1717</v>
      </c>
      <c r="C3610" s="1" t="s">
        <v>2124</v>
      </c>
      <c r="D3610" s="1" t="s">
        <v>1998</v>
      </c>
      <c r="E3610" s="1"/>
      <c r="F3610" s="1" t="s">
        <v>11</v>
      </c>
      <c r="G3610">
        <v>5</v>
      </c>
      <c r="H3610">
        <v>5</v>
      </c>
      <c r="I3610" s="2">
        <v>45782</v>
      </c>
      <c r="J3610" s="2">
        <v>45763</v>
      </c>
      <c r="K3610" s="2">
        <v>45782</v>
      </c>
    </row>
    <row r="3611" spans="1:11" x14ac:dyDescent="0.25">
      <c r="A3611" s="1" t="s">
        <v>640</v>
      </c>
      <c r="B3611" s="1" t="s">
        <v>1718</v>
      </c>
      <c r="C3611" s="1" t="s">
        <v>2583</v>
      </c>
      <c r="D3611" s="1" t="s">
        <v>1998</v>
      </c>
      <c r="E3611" s="1"/>
      <c r="F3611" s="1" t="s">
        <v>11</v>
      </c>
      <c r="G3611">
        <v>30</v>
      </c>
      <c r="H3611">
        <v>30</v>
      </c>
      <c r="I3611" s="2">
        <v>45782</v>
      </c>
      <c r="J3611" s="2">
        <v>45763</v>
      </c>
      <c r="K3611" s="2">
        <v>45782</v>
      </c>
    </row>
    <row r="3612" spans="1:11" x14ac:dyDescent="0.25">
      <c r="A3612" s="1" t="s">
        <v>640</v>
      </c>
      <c r="B3612" s="1" t="s">
        <v>1126</v>
      </c>
      <c r="C3612" s="1" t="s">
        <v>2126</v>
      </c>
      <c r="D3612" s="1" t="s">
        <v>1998</v>
      </c>
      <c r="E3612" s="1"/>
      <c r="F3612" s="1" t="s">
        <v>11</v>
      </c>
      <c r="G3612">
        <v>5</v>
      </c>
      <c r="H3612">
        <v>5</v>
      </c>
      <c r="I3612" s="2">
        <v>45782</v>
      </c>
      <c r="J3612" s="2">
        <v>45763</v>
      </c>
      <c r="K3612" s="2">
        <v>45782</v>
      </c>
    </row>
    <row r="3613" spans="1:11" x14ac:dyDescent="0.25">
      <c r="A3613" s="1" t="s">
        <v>640</v>
      </c>
      <c r="B3613" s="1" t="s">
        <v>1719</v>
      </c>
      <c r="C3613" s="1" t="s">
        <v>2608</v>
      </c>
      <c r="D3613" s="1" t="s">
        <v>1998</v>
      </c>
      <c r="E3613" s="1"/>
      <c r="F3613" s="1" t="s">
        <v>11</v>
      </c>
      <c r="G3613">
        <v>50</v>
      </c>
      <c r="H3613">
        <v>50</v>
      </c>
      <c r="I3613" s="2">
        <v>45782</v>
      </c>
      <c r="J3613" s="2">
        <v>45763</v>
      </c>
      <c r="K3613" s="2">
        <v>45782</v>
      </c>
    </row>
    <row r="3614" spans="1:11" x14ac:dyDescent="0.25">
      <c r="A3614" s="1" t="s">
        <v>640</v>
      </c>
      <c r="B3614" s="1" t="s">
        <v>1719</v>
      </c>
      <c r="C3614" s="1" t="s">
        <v>2608</v>
      </c>
      <c r="D3614" s="1" t="s">
        <v>1998</v>
      </c>
      <c r="E3614" s="1"/>
      <c r="F3614" s="1" t="s">
        <v>11</v>
      </c>
      <c r="G3614">
        <v>1</v>
      </c>
      <c r="H3614">
        <v>1</v>
      </c>
      <c r="I3614" s="2">
        <v>45782</v>
      </c>
      <c r="J3614" s="2">
        <v>45763</v>
      </c>
      <c r="K3614" s="2">
        <v>45782</v>
      </c>
    </row>
    <row r="3615" spans="1:11" x14ac:dyDescent="0.25">
      <c r="A3615" s="1" t="s">
        <v>640</v>
      </c>
      <c r="B3615" s="1" t="s">
        <v>1720</v>
      </c>
      <c r="C3615" s="1" t="s">
        <v>2601</v>
      </c>
      <c r="D3615" s="1" t="s">
        <v>1998</v>
      </c>
      <c r="E3615" s="1"/>
      <c r="F3615" s="1" t="s">
        <v>11</v>
      </c>
      <c r="G3615">
        <v>20</v>
      </c>
      <c r="H3615">
        <v>20</v>
      </c>
      <c r="I3615" s="2">
        <v>45782</v>
      </c>
      <c r="J3615" s="2">
        <v>45763</v>
      </c>
      <c r="K3615" s="2">
        <v>45782</v>
      </c>
    </row>
    <row r="3616" spans="1:11" x14ac:dyDescent="0.25">
      <c r="A3616" s="1" t="s">
        <v>640</v>
      </c>
      <c r="B3616" s="1" t="s">
        <v>1715</v>
      </c>
      <c r="C3616" s="1" t="s">
        <v>2518</v>
      </c>
      <c r="D3616" s="1" t="s">
        <v>1998</v>
      </c>
      <c r="E3616" s="1"/>
      <c r="F3616" s="1" t="s">
        <v>11</v>
      </c>
      <c r="G3616">
        <v>10</v>
      </c>
      <c r="H3616">
        <v>10</v>
      </c>
      <c r="I3616" s="2">
        <v>45782</v>
      </c>
      <c r="J3616" s="2">
        <v>45763</v>
      </c>
      <c r="K3616" s="2">
        <v>45782</v>
      </c>
    </row>
    <row r="3617" spans="1:11" x14ac:dyDescent="0.25">
      <c r="A3617" s="1" t="s">
        <v>640</v>
      </c>
      <c r="B3617" s="1" t="s">
        <v>1728</v>
      </c>
      <c r="C3617" s="1" t="s">
        <v>2615</v>
      </c>
      <c r="D3617" s="1" t="s">
        <v>1998</v>
      </c>
      <c r="E3617" s="1"/>
      <c r="F3617" s="1" t="s">
        <v>11</v>
      </c>
      <c r="G3617">
        <v>25</v>
      </c>
      <c r="H3617">
        <v>25</v>
      </c>
      <c r="I3617" s="2">
        <v>45782</v>
      </c>
      <c r="J3617" s="2">
        <v>45763</v>
      </c>
      <c r="K3617" s="2">
        <v>45782</v>
      </c>
    </row>
    <row r="3618" spans="1:11" x14ac:dyDescent="0.25">
      <c r="A3618" s="1" t="s">
        <v>640</v>
      </c>
      <c r="B3618" s="1" t="s">
        <v>1729</v>
      </c>
      <c r="C3618" s="1" t="s">
        <v>2616</v>
      </c>
      <c r="D3618" s="1" t="s">
        <v>1998</v>
      </c>
      <c r="E3618" s="1"/>
      <c r="F3618" s="1" t="s">
        <v>11</v>
      </c>
      <c r="G3618">
        <v>70</v>
      </c>
      <c r="H3618">
        <v>70</v>
      </c>
      <c r="I3618" s="2">
        <v>45782</v>
      </c>
      <c r="J3618" s="2">
        <v>45763</v>
      </c>
      <c r="K3618" s="2">
        <v>45782</v>
      </c>
    </row>
    <row r="3619" spans="1:11" x14ac:dyDescent="0.25">
      <c r="A3619" s="1" t="s">
        <v>641</v>
      </c>
      <c r="B3619" s="1" t="s">
        <v>1730</v>
      </c>
      <c r="C3619" s="1" t="s">
        <v>2617</v>
      </c>
      <c r="D3619" s="1" t="s">
        <v>1998</v>
      </c>
      <c r="E3619" s="1"/>
      <c r="F3619" s="1" t="s">
        <v>11</v>
      </c>
      <c r="G3619">
        <v>20</v>
      </c>
      <c r="H3619">
        <v>20</v>
      </c>
      <c r="I3619" s="2">
        <v>45784</v>
      </c>
      <c r="J3619" s="2">
        <v>45764</v>
      </c>
      <c r="K3619" s="2">
        <v>45784</v>
      </c>
    </row>
    <row r="3620" spans="1:11" x14ac:dyDescent="0.25">
      <c r="A3620" s="1" t="s">
        <v>641</v>
      </c>
      <c r="B3620" s="1" t="s">
        <v>1731</v>
      </c>
      <c r="C3620" s="1" t="s">
        <v>2618</v>
      </c>
      <c r="D3620" s="1" t="s">
        <v>1998</v>
      </c>
      <c r="E3620" s="1"/>
      <c r="F3620" s="1" t="s">
        <v>11</v>
      </c>
      <c r="G3620">
        <v>690</v>
      </c>
      <c r="H3620">
        <v>690</v>
      </c>
      <c r="I3620" s="2">
        <v>45784</v>
      </c>
      <c r="J3620" s="2">
        <v>45764</v>
      </c>
      <c r="K3620" s="2">
        <v>45784</v>
      </c>
    </row>
    <row r="3621" spans="1:11" x14ac:dyDescent="0.25">
      <c r="A3621" s="1" t="s">
        <v>641</v>
      </c>
      <c r="B3621" s="1" t="s">
        <v>1732</v>
      </c>
      <c r="C3621" s="1" t="s">
        <v>2619</v>
      </c>
      <c r="D3621" s="1" t="s">
        <v>1998</v>
      </c>
      <c r="E3621" s="1"/>
      <c r="F3621" s="1" t="s">
        <v>11</v>
      </c>
      <c r="G3621">
        <v>80</v>
      </c>
      <c r="H3621">
        <v>80</v>
      </c>
      <c r="I3621" s="2">
        <v>45784</v>
      </c>
      <c r="J3621" s="2">
        <v>45764</v>
      </c>
      <c r="K3621" s="2">
        <v>45784</v>
      </c>
    </row>
    <row r="3622" spans="1:11" x14ac:dyDescent="0.25">
      <c r="A3622" s="1" t="s">
        <v>641</v>
      </c>
      <c r="B3622" s="1" t="s">
        <v>1733</v>
      </c>
      <c r="C3622" s="1" t="s">
        <v>2620</v>
      </c>
      <c r="D3622" s="1" t="s">
        <v>1998</v>
      </c>
      <c r="E3622" s="1"/>
      <c r="F3622" s="1" t="s">
        <v>11</v>
      </c>
      <c r="G3622">
        <v>1200</v>
      </c>
      <c r="H3622">
        <v>1200</v>
      </c>
      <c r="I3622" s="2">
        <v>45784</v>
      </c>
      <c r="J3622" s="2">
        <v>45764</v>
      </c>
      <c r="K3622" s="2">
        <v>45784</v>
      </c>
    </row>
    <row r="3623" spans="1:11" x14ac:dyDescent="0.25">
      <c r="A3623" s="1" t="s">
        <v>641</v>
      </c>
      <c r="B3623" s="1" t="s">
        <v>1734</v>
      </c>
      <c r="C3623" s="1" t="s">
        <v>2621</v>
      </c>
      <c r="D3623" s="1" t="s">
        <v>1998</v>
      </c>
      <c r="E3623" s="1"/>
      <c r="F3623" s="1" t="s">
        <v>11</v>
      </c>
      <c r="G3623">
        <v>15</v>
      </c>
      <c r="H3623">
        <v>15</v>
      </c>
      <c r="I3623" s="2">
        <v>45784</v>
      </c>
      <c r="J3623" s="2">
        <v>45764</v>
      </c>
      <c r="K3623" s="2">
        <v>45784</v>
      </c>
    </row>
    <row r="3624" spans="1:11" x14ac:dyDescent="0.25">
      <c r="A3624" s="1" t="s">
        <v>641</v>
      </c>
      <c r="B3624" s="1" t="s">
        <v>1735</v>
      </c>
      <c r="C3624" s="1" t="s">
        <v>2115</v>
      </c>
      <c r="D3624" s="1" t="s">
        <v>1998</v>
      </c>
      <c r="E3624" s="1"/>
      <c r="F3624" s="1" t="s">
        <v>11</v>
      </c>
      <c r="G3624">
        <v>2175</v>
      </c>
      <c r="H3624">
        <v>2175</v>
      </c>
      <c r="I3624" s="2">
        <v>45784</v>
      </c>
      <c r="J3624" s="2">
        <v>45764</v>
      </c>
      <c r="K3624" s="2">
        <v>45784</v>
      </c>
    </row>
    <row r="3625" spans="1:11" x14ac:dyDescent="0.25">
      <c r="A3625" s="1" t="s">
        <v>641</v>
      </c>
      <c r="B3625" s="1" t="s">
        <v>1736</v>
      </c>
      <c r="C3625" s="1" t="s">
        <v>2622</v>
      </c>
      <c r="D3625" s="1" t="s">
        <v>1998</v>
      </c>
      <c r="E3625" s="1"/>
      <c r="F3625" s="1" t="s">
        <v>11</v>
      </c>
      <c r="G3625">
        <v>2510</v>
      </c>
      <c r="H3625">
        <v>2510</v>
      </c>
      <c r="I3625" s="2">
        <v>45784</v>
      </c>
      <c r="J3625" s="2">
        <v>45764</v>
      </c>
      <c r="K3625" s="2">
        <v>45784</v>
      </c>
    </row>
    <row r="3626" spans="1:11" x14ac:dyDescent="0.25">
      <c r="A3626" s="1" t="s">
        <v>641</v>
      </c>
      <c r="B3626" s="1" t="s">
        <v>1736</v>
      </c>
      <c r="C3626" s="1" t="s">
        <v>2622</v>
      </c>
      <c r="D3626" s="1" t="s">
        <v>1998</v>
      </c>
      <c r="E3626" s="1"/>
      <c r="F3626" s="1" t="s">
        <v>11</v>
      </c>
      <c r="G3626">
        <v>155</v>
      </c>
      <c r="H3626">
        <v>155</v>
      </c>
      <c r="I3626" s="2">
        <v>45784</v>
      </c>
      <c r="J3626" s="2">
        <v>45764</v>
      </c>
      <c r="K3626" s="2">
        <v>45784</v>
      </c>
    </row>
    <row r="3627" spans="1:11" x14ac:dyDescent="0.25">
      <c r="A3627" s="1" t="s">
        <v>641</v>
      </c>
      <c r="B3627" s="1" t="s">
        <v>1737</v>
      </c>
      <c r="C3627" s="1" t="s">
        <v>2623</v>
      </c>
      <c r="D3627" s="1" t="s">
        <v>1998</v>
      </c>
      <c r="E3627" s="1"/>
      <c r="F3627" s="1" t="s">
        <v>11</v>
      </c>
      <c r="G3627">
        <v>40</v>
      </c>
      <c r="H3627">
        <v>40</v>
      </c>
      <c r="I3627" s="2">
        <v>45784</v>
      </c>
      <c r="J3627" s="2">
        <v>45764</v>
      </c>
      <c r="K3627" s="2">
        <v>45784</v>
      </c>
    </row>
    <row r="3628" spans="1:11" x14ac:dyDescent="0.25">
      <c r="A3628" s="1" t="s">
        <v>641</v>
      </c>
      <c r="B3628" s="1" t="s">
        <v>1737</v>
      </c>
      <c r="C3628" s="1" t="s">
        <v>2623</v>
      </c>
      <c r="D3628" s="1" t="s">
        <v>1998</v>
      </c>
      <c r="E3628" s="1"/>
      <c r="F3628" s="1" t="s">
        <v>11</v>
      </c>
      <c r="G3628">
        <v>5</v>
      </c>
      <c r="H3628">
        <v>5</v>
      </c>
      <c r="I3628" s="2">
        <v>45784</v>
      </c>
      <c r="J3628" s="2">
        <v>45764</v>
      </c>
      <c r="K3628" s="2">
        <v>45784</v>
      </c>
    </row>
    <row r="3629" spans="1:11" x14ac:dyDescent="0.25">
      <c r="A3629" s="1" t="s">
        <v>641</v>
      </c>
      <c r="B3629" s="1" t="s">
        <v>1738</v>
      </c>
      <c r="C3629" s="1" t="s">
        <v>2624</v>
      </c>
      <c r="D3629" s="1" t="s">
        <v>1998</v>
      </c>
      <c r="E3629" s="1"/>
      <c r="F3629" s="1" t="s">
        <v>11</v>
      </c>
      <c r="G3629">
        <v>830</v>
      </c>
      <c r="H3629">
        <v>830</v>
      </c>
      <c r="I3629" s="2">
        <v>45784</v>
      </c>
      <c r="J3629" s="2">
        <v>45764</v>
      </c>
      <c r="K3629" s="2">
        <v>45784</v>
      </c>
    </row>
    <row r="3630" spans="1:11" x14ac:dyDescent="0.25">
      <c r="A3630" s="1" t="s">
        <v>641</v>
      </c>
      <c r="B3630" s="1" t="s">
        <v>1738</v>
      </c>
      <c r="C3630" s="1" t="s">
        <v>2624</v>
      </c>
      <c r="D3630" s="1" t="s">
        <v>1998</v>
      </c>
      <c r="E3630" s="1"/>
      <c r="F3630" s="1" t="s">
        <v>11</v>
      </c>
      <c r="G3630">
        <v>50</v>
      </c>
      <c r="H3630">
        <v>50</v>
      </c>
      <c r="I3630" s="2">
        <v>45784</v>
      </c>
      <c r="J3630" s="2">
        <v>45764</v>
      </c>
      <c r="K3630" s="2">
        <v>45784</v>
      </c>
    </row>
    <row r="3631" spans="1:11" x14ac:dyDescent="0.25">
      <c r="A3631" s="1" t="s">
        <v>641</v>
      </c>
      <c r="B3631" s="1" t="s">
        <v>1739</v>
      </c>
      <c r="C3631" s="1" t="s">
        <v>2625</v>
      </c>
      <c r="D3631" s="1" t="s">
        <v>1998</v>
      </c>
      <c r="E3631" s="1"/>
      <c r="F3631" s="1" t="s">
        <v>11</v>
      </c>
      <c r="G3631">
        <v>1905</v>
      </c>
      <c r="H3631">
        <v>1905</v>
      </c>
      <c r="I3631" s="2">
        <v>45784</v>
      </c>
      <c r="J3631" s="2">
        <v>45764</v>
      </c>
      <c r="K3631" s="2">
        <v>45784</v>
      </c>
    </row>
    <row r="3632" spans="1:11" x14ac:dyDescent="0.25">
      <c r="A3632" s="1" t="s">
        <v>641</v>
      </c>
      <c r="B3632" s="1" t="s">
        <v>1739</v>
      </c>
      <c r="C3632" s="1" t="s">
        <v>2625</v>
      </c>
      <c r="D3632" s="1" t="s">
        <v>1998</v>
      </c>
      <c r="E3632" s="1"/>
      <c r="F3632" s="1" t="s">
        <v>11</v>
      </c>
      <c r="G3632">
        <v>120</v>
      </c>
      <c r="H3632">
        <v>120</v>
      </c>
      <c r="I3632" s="2">
        <v>45784</v>
      </c>
      <c r="J3632" s="2">
        <v>45764</v>
      </c>
      <c r="K3632" s="2">
        <v>45784</v>
      </c>
    </row>
    <row r="3633" spans="1:11" x14ac:dyDescent="0.25">
      <c r="A3633" s="1" t="s">
        <v>641</v>
      </c>
      <c r="B3633" s="1" t="s">
        <v>1740</v>
      </c>
      <c r="C3633" s="1" t="s">
        <v>2626</v>
      </c>
      <c r="D3633" s="1" t="s">
        <v>1998</v>
      </c>
      <c r="E3633" s="1"/>
      <c r="F3633" s="1" t="s">
        <v>11</v>
      </c>
      <c r="G3633">
        <v>5</v>
      </c>
      <c r="H3633">
        <v>5</v>
      </c>
      <c r="I3633" s="2">
        <v>45784</v>
      </c>
      <c r="J3633" s="2">
        <v>45764</v>
      </c>
      <c r="K3633" s="2">
        <v>45784</v>
      </c>
    </row>
    <row r="3634" spans="1:11" x14ac:dyDescent="0.25">
      <c r="A3634" s="1" t="s">
        <v>642</v>
      </c>
      <c r="B3634" s="1" t="s">
        <v>1697</v>
      </c>
      <c r="C3634" s="1" t="s">
        <v>2346</v>
      </c>
      <c r="D3634" s="1" t="s">
        <v>1998</v>
      </c>
      <c r="E3634" s="1"/>
      <c r="F3634" s="1" t="s">
        <v>11</v>
      </c>
      <c r="G3634">
        <v>1880</v>
      </c>
      <c r="H3634">
        <v>1880</v>
      </c>
      <c r="I3634" s="2">
        <v>45782</v>
      </c>
      <c r="J3634" s="2">
        <v>45770</v>
      </c>
      <c r="K3634" s="2">
        <v>45782</v>
      </c>
    </row>
    <row r="3635" spans="1:11" x14ac:dyDescent="0.25">
      <c r="A3635" s="1" t="s">
        <v>642</v>
      </c>
      <c r="B3635" s="1" t="s">
        <v>1669</v>
      </c>
      <c r="C3635" s="1" t="s">
        <v>2578</v>
      </c>
      <c r="D3635" s="1" t="s">
        <v>1998</v>
      </c>
      <c r="E3635" s="1"/>
      <c r="F3635" s="1" t="s">
        <v>11</v>
      </c>
      <c r="G3635">
        <v>550</v>
      </c>
      <c r="H3635">
        <v>550</v>
      </c>
      <c r="I3635" s="2">
        <v>45782</v>
      </c>
      <c r="J3635" s="2">
        <v>45770</v>
      </c>
      <c r="K3635" s="2">
        <v>45782</v>
      </c>
    </row>
    <row r="3636" spans="1:11" x14ac:dyDescent="0.25">
      <c r="A3636" s="1" t="s">
        <v>642</v>
      </c>
      <c r="B3636" s="1" t="s">
        <v>1669</v>
      </c>
      <c r="C3636" s="1" t="s">
        <v>2578</v>
      </c>
      <c r="D3636" s="1" t="s">
        <v>1998</v>
      </c>
      <c r="E3636" s="1"/>
      <c r="F3636" s="1" t="s">
        <v>16</v>
      </c>
      <c r="G3636">
        <v>1</v>
      </c>
      <c r="H3636">
        <v>1</v>
      </c>
      <c r="I3636" s="2">
        <v>45782</v>
      </c>
      <c r="J3636" s="2">
        <v>45770</v>
      </c>
      <c r="K3636" s="2">
        <v>45782</v>
      </c>
    </row>
    <row r="3637" spans="1:11" x14ac:dyDescent="0.25">
      <c r="A3637" s="1" t="s">
        <v>642</v>
      </c>
      <c r="B3637" s="1" t="s">
        <v>1670</v>
      </c>
      <c r="C3637" s="1" t="s">
        <v>2579</v>
      </c>
      <c r="D3637" s="1" t="s">
        <v>1998</v>
      </c>
      <c r="E3637" s="1"/>
      <c r="F3637" s="1" t="s">
        <v>11</v>
      </c>
      <c r="G3637">
        <v>95</v>
      </c>
      <c r="H3637">
        <v>95</v>
      </c>
      <c r="I3637" s="2">
        <v>45782</v>
      </c>
      <c r="J3637" s="2">
        <v>45770</v>
      </c>
      <c r="K3637" s="2">
        <v>45782</v>
      </c>
    </row>
    <row r="3638" spans="1:11" x14ac:dyDescent="0.25">
      <c r="A3638" s="1" t="s">
        <v>642</v>
      </c>
      <c r="B3638" s="1" t="s">
        <v>1698</v>
      </c>
      <c r="C3638" s="1" t="s">
        <v>2102</v>
      </c>
      <c r="D3638" s="1" t="s">
        <v>1998</v>
      </c>
      <c r="E3638" s="1"/>
      <c r="F3638" s="1" t="s">
        <v>11</v>
      </c>
      <c r="G3638">
        <v>405</v>
      </c>
      <c r="H3638">
        <v>405</v>
      </c>
      <c r="I3638" s="2">
        <v>45782</v>
      </c>
      <c r="J3638" s="2">
        <v>45770</v>
      </c>
      <c r="K3638" s="2">
        <v>45782</v>
      </c>
    </row>
    <row r="3639" spans="1:11" x14ac:dyDescent="0.25">
      <c r="A3639" s="1" t="s">
        <v>643</v>
      </c>
      <c r="B3639" s="1" t="s">
        <v>1716</v>
      </c>
      <c r="C3639" s="1" t="s">
        <v>2014</v>
      </c>
      <c r="D3639" s="1" t="s">
        <v>1998</v>
      </c>
      <c r="E3639" s="1"/>
      <c r="F3639" s="1" t="s">
        <v>11</v>
      </c>
      <c r="G3639">
        <v>105</v>
      </c>
      <c r="H3639">
        <v>105</v>
      </c>
      <c r="I3639" s="2">
        <v>45782</v>
      </c>
      <c r="J3639" s="2">
        <v>45772</v>
      </c>
      <c r="K3639" s="2">
        <v>45782</v>
      </c>
    </row>
    <row r="3640" spans="1:11" x14ac:dyDescent="0.25">
      <c r="A3640" s="1" t="s">
        <v>643</v>
      </c>
      <c r="B3640" s="1" t="s">
        <v>1716</v>
      </c>
      <c r="C3640" s="1" t="s">
        <v>2014</v>
      </c>
      <c r="D3640" s="1" t="s">
        <v>1998</v>
      </c>
      <c r="E3640" s="1"/>
      <c r="F3640" s="1" t="s">
        <v>11</v>
      </c>
      <c r="G3640">
        <v>5</v>
      </c>
      <c r="H3640">
        <v>5</v>
      </c>
      <c r="I3640" s="2">
        <v>45782</v>
      </c>
      <c r="J3640" s="2">
        <v>45772</v>
      </c>
      <c r="K3640" s="2">
        <v>45782</v>
      </c>
    </row>
    <row r="3641" spans="1:11" x14ac:dyDescent="0.25">
      <c r="A3641" s="1" t="s">
        <v>643</v>
      </c>
      <c r="B3641" s="1" t="s">
        <v>1717</v>
      </c>
      <c r="C3641" s="1" t="s">
        <v>2124</v>
      </c>
      <c r="D3641" s="1" t="s">
        <v>1998</v>
      </c>
      <c r="E3641" s="1"/>
      <c r="F3641" s="1" t="s">
        <v>11</v>
      </c>
      <c r="G3641">
        <v>180</v>
      </c>
      <c r="H3641">
        <v>180</v>
      </c>
      <c r="I3641" s="2">
        <v>45782</v>
      </c>
      <c r="J3641" s="2">
        <v>45772</v>
      </c>
      <c r="K3641" s="2">
        <v>45782</v>
      </c>
    </row>
    <row r="3642" spans="1:11" x14ac:dyDescent="0.25">
      <c r="A3642" s="1" t="s">
        <v>643</v>
      </c>
      <c r="B3642" s="1" t="s">
        <v>1718</v>
      </c>
      <c r="C3642" s="1" t="s">
        <v>2583</v>
      </c>
      <c r="D3642" s="1" t="s">
        <v>1998</v>
      </c>
      <c r="E3642" s="1"/>
      <c r="F3642" s="1" t="s">
        <v>11</v>
      </c>
      <c r="G3642">
        <v>30</v>
      </c>
      <c r="H3642">
        <v>30</v>
      </c>
      <c r="I3642" s="2">
        <v>45782</v>
      </c>
      <c r="J3642" s="2">
        <v>45772</v>
      </c>
      <c r="K3642" s="2">
        <v>45782</v>
      </c>
    </row>
    <row r="3643" spans="1:11" x14ac:dyDescent="0.25">
      <c r="A3643" s="1" t="s">
        <v>643</v>
      </c>
      <c r="B3643" s="1" t="s">
        <v>1126</v>
      </c>
      <c r="C3643" s="1" t="s">
        <v>2126</v>
      </c>
      <c r="D3643" s="1" t="s">
        <v>1998</v>
      </c>
      <c r="E3643" s="1"/>
      <c r="F3643" s="1" t="s">
        <v>11</v>
      </c>
      <c r="G3643">
        <v>5</v>
      </c>
      <c r="H3643">
        <v>5</v>
      </c>
      <c r="I3643" s="2">
        <v>45782</v>
      </c>
      <c r="J3643" s="2">
        <v>45772</v>
      </c>
      <c r="K3643" s="2">
        <v>45782</v>
      </c>
    </row>
    <row r="3644" spans="1:11" x14ac:dyDescent="0.25">
      <c r="A3644" s="1" t="s">
        <v>643</v>
      </c>
      <c r="B3644" s="1" t="s">
        <v>1719</v>
      </c>
      <c r="C3644" s="1" t="s">
        <v>2608</v>
      </c>
      <c r="D3644" s="1" t="s">
        <v>1998</v>
      </c>
      <c r="E3644" s="1"/>
      <c r="F3644" s="1" t="s">
        <v>11</v>
      </c>
      <c r="G3644">
        <v>50</v>
      </c>
      <c r="H3644">
        <v>50</v>
      </c>
      <c r="I3644" s="2">
        <v>45782</v>
      </c>
      <c r="J3644" s="2">
        <v>45772</v>
      </c>
      <c r="K3644" s="2">
        <v>45782</v>
      </c>
    </row>
    <row r="3645" spans="1:11" x14ac:dyDescent="0.25">
      <c r="A3645" s="1" t="s">
        <v>643</v>
      </c>
      <c r="B3645" s="1" t="s">
        <v>1719</v>
      </c>
      <c r="C3645" s="1" t="s">
        <v>2608</v>
      </c>
      <c r="D3645" s="1" t="s">
        <v>1998</v>
      </c>
      <c r="E3645" s="1"/>
      <c r="F3645" s="1" t="s">
        <v>11</v>
      </c>
      <c r="G3645">
        <v>5</v>
      </c>
      <c r="H3645">
        <v>5</v>
      </c>
      <c r="I3645" s="2">
        <v>45782</v>
      </c>
      <c r="J3645" s="2">
        <v>45772</v>
      </c>
      <c r="K3645" s="2">
        <v>45782</v>
      </c>
    </row>
    <row r="3646" spans="1:11" x14ac:dyDescent="0.25">
      <c r="A3646" s="1" t="s">
        <v>643</v>
      </c>
      <c r="B3646" s="1" t="s">
        <v>1720</v>
      </c>
      <c r="C3646" s="1" t="s">
        <v>2601</v>
      </c>
      <c r="D3646" s="1" t="s">
        <v>1998</v>
      </c>
      <c r="E3646" s="1"/>
      <c r="F3646" s="1" t="s">
        <v>11</v>
      </c>
      <c r="G3646">
        <v>20</v>
      </c>
      <c r="H3646">
        <v>20</v>
      </c>
      <c r="I3646" s="2">
        <v>45782</v>
      </c>
      <c r="J3646" s="2">
        <v>45772</v>
      </c>
      <c r="K3646" s="2">
        <v>45782</v>
      </c>
    </row>
    <row r="3647" spans="1:11" x14ac:dyDescent="0.25">
      <c r="A3647" s="1" t="s">
        <v>643</v>
      </c>
      <c r="B3647" s="1" t="s">
        <v>1720</v>
      </c>
      <c r="C3647" s="1" t="s">
        <v>2601</v>
      </c>
      <c r="D3647" s="1" t="s">
        <v>1998</v>
      </c>
      <c r="E3647" s="1"/>
      <c r="F3647" s="1" t="s">
        <v>11</v>
      </c>
      <c r="G3647">
        <v>1</v>
      </c>
      <c r="H3647">
        <v>1</v>
      </c>
      <c r="I3647" s="2">
        <v>45782</v>
      </c>
      <c r="J3647" s="2">
        <v>45772</v>
      </c>
      <c r="K3647" s="2">
        <v>45782</v>
      </c>
    </row>
    <row r="3648" spans="1:11" x14ac:dyDescent="0.25">
      <c r="A3648" s="1" t="s">
        <v>643</v>
      </c>
      <c r="B3648" s="1" t="s">
        <v>1715</v>
      </c>
      <c r="C3648" s="1" t="s">
        <v>2518</v>
      </c>
      <c r="D3648" s="1" t="s">
        <v>1998</v>
      </c>
      <c r="E3648" s="1"/>
      <c r="F3648" s="1" t="s">
        <v>11</v>
      </c>
      <c r="G3648">
        <v>10</v>
      </c>
      <c r="H3648">
        <v>10</v>
      </c>
      <c r="I3648" s="2">
        <v>45782</v>
      </c>
      <c r="J3648" s="2">
        <v>45772</v>
      </c>
      <c r="K3648" s="2">
        <v>45782</v>
      </c>
    </row>
    <row r="3649" spans="1:11" x14ac:dyDescent="0.25">
      <c r="A3649" s="1" t="s">
        <v>643</v>
      </c>
      <c r="B3649" s="1" t="s">
        <v>1728</v>
      </c>
      <c r="C3649" s="1" t="s">
        <v>2615</v>
      </c>
      <c r="D3649" s="1" t="s">
        <v>1998</v>
      </c>
      <c r="E3649" s="1"/>
      <c r="F3649" s="1" t="s">
        <v>11</v>
      </c>
      <c r="G3649">
        <v>25</v>
      </c>
      <c r="H3649">
        <v>25</v>
      </c>
      <c r="I3649" s="2">
        <v>45782</v>
      </c>
      <c r="J3649" s="2">
        <v>45772</v>
      </c>
      <c r="K3649" s="2">
        <v>45782</v>
      </c>
    </row>
    <row r="3650" spans="1:11" x14ac:dyDescent="0.25">
      <c r="A3650" s="1" t="s">
        <v>643</v>
      </c>
      <c r="B3650" s="1" t="s">
        <v>1729</v>
      </c>
      <c r="C3650" s="1" t="s">
        <v>2616</v>
      </c>
      <c r="D3650" s="1" t="s">
        <v>1998</v>
      </c>
      <c r="E3650" s="1"/>
      <c r="F3650" s="1" t="s">
        <v>11</v>
      </c>
      <c r="G3650">
        <v>70</v>
      </c>
      <c r="H3650">
        <v>70</v>
      </c>
      <c r="I3650" s="2">
        <v>45782</v>
      </c>
      <c r="J3650" s="2">
        <v>45772</v>
      </c>
      <c r="K3650" s="2">
        <v>45782</v>
      </c>
    </row>
    <row r="3651" spans="1:11" x14ac:dyDescent="0.25">
      <c r="A3651" s="1" t="s">
        <v>644</v>
      </c>
      <c r="B3651" s="1" t="s">
        <v>1716</v>
      </c>
      <c r="C3651" s="1" t="s">
        <v>2014</v>
      </c>
      <c r="D3651" s="1" t="s">
        <v>1998</v>
      </c>
      <c r="E3651" s="1"/>
      <c r="F3651" s="1" t="s">
        <v>11</v>
      </c>
      <c r="G3651">
        <v>330</v>
      </c>
      <c r="H3651">
        <v>330</v>
      </c>
      <c r="I3651" s="2">
        <v>45789</v>
      </c>
      <c r="J3651" s="2">
        <v>45783</v>
      </c>
      <c r="K3651" s="2">
        <v>45789</v>
      </c>
    </row>
    <row r="3652" spans="1:11" x14ac:dyDescent="0.25">
      <c r="A3652" s="1" t="s">
        <v>644</v>
      </c>
      <c r="B3652" s="1" t="s">
        <v>1717</v>
      </c>
      <c r="C3652" s="1" t="s">
        <v>2124</v>
      </c>
      <c r="D3652" s="1" t="s">
        <v>1998</v>
      </c>
      <c r="E3652" s="1"/>
      <c r="F3652" s="1" t="s">
        <v>11</v>
      </c>
      <c r="G3652">
        <v>570</v>
      </c>
      <c r="H3652">
        <v>570</v>
      </c>
      <c r="I3652" s="2">
        <v>45789</v>
      </c>
      <c r="J3652" s="2">
        <v>45783</v>
      </c>
      <c r="K3652" s="2">
        <v>45789</v>
      </c>
    </row>
    <row r="3653" spans="1:11" x14ac:dyDescent="0.25">
      <c r="A3653" s="1" t="s">
        <v>644</v>
      </c>
      <c r="B3653" s="1" t="s">
        <v>1717</v>
      </c>
      <c r="C3653" s="1" t="s">
        <v>2124</v>
      </c>
      <c r="D3653" s="1" t="s">
        <v>1998</v>
      </c>
      <c r="E3653" s="1"/>
      <c r="F3653" s="1" t="s">
        <v>11</v>
      </c>
      <c r="G3653">
        <v>5</v>
      </c>
      <c r="H3653">
        <v>5</v>
      </c>
      <c r="I3653" s="2">
        <v>45789</v>
      </c>
      <c r="J3653" s="2">
        <v>45783</v>
      </c>
      <c r="K3653" s="2">
        <v>45789</v>
      </c>
    </row>
    <row r="3654" spans="1:11" x14ac:dyDescent="0.25">
      <c r="A3654" s="1" t="s">
        <v>644</v>
      </c>
      <c r="B3654" s="1" t="s">
        <v>1718</v>
      </c>
      <c r="C3654" s="1" t="s">
        <v>2583</v>
      </c>
      <c r="D3654" s="1" t="s">
        <v>1998</v>
      </c>
      <c r="E3654" s="1"/>
      <c r="F3654" s="1" t="s">
        <v>11</v>
      </c>
      <c r="G3654">
        <v>90</v>
      </c>
      <c r="H3654">
        <v>90</v>
      </c>
      <c r="I3654" s="2">
        <v>45789</v>
      </c>
      <c r="J3654" s="2">
        <v>45783</v>
      </c>
      <c r="K3654" s="2">
        <v>45789</v>
      </c>
    </row>
    <row r="3655" spans="1:11" x14ac:dyDescent="0.25">
      <c r="A3655" s="1" t="s">
        <v>644</v>
      </c>
      <c r="B3655" s="1" t="s">
        <v>1126</v>
      </c>
      <c r="C3655" s="1" t="s">
        <v>2126</v>
      </c>
      <c r="D3655" s="1" t="s">
        <v>1998</v>
      </c>
      <c r="E3655" s="1"/>
      <c r="F3655" s="1" t="s">
        <v>11</v>
      </c>
      <c r="G3655">
        <v>25</v>
      </c>
      <c r="H3655">
        <v>25</v>
      </c>
      <c r="I3655" s="2">
        <v>45789</v>
      </c>
      <c r="J3655" s="2">
        <v>45783</v>
      </c>
      <c r="K3655" s="2">
        <v>45789</v>
      </c>
    </row>
    <row r="3656" spans="1:11" x14ac:dyDescent="0.25">
      <c r="A3656" s="1" t="s">
        <v>644</v>
      </c>
      <c r="B3656" s="1" t="s">
        <v>1719</v>
      </c>
      <c r="C3656" s="1" t="s">
        <v>2608</v>
      </c>
      <c r="D3656" s="1" t="s">
        <v>1998</v>
      </c>
      <c r="E3656" s="1"/>
      <c r="F3656" s="1" t="s">
        <v>11</v>
      </c>
      <c r="G3656">
        <v>155</v>
      </c>
      <c r="H3656">
        <v>155</v>
      </c>
      <c r="I3656" s="2">
        <v>45789</v>
      </c>
      <c r="J3656" s="2">
        <v>45783</v>
      </c>
      <c r="K3656" s="2">
        <v>45789</v>
      </c>
    </row>
    <row r="3657" spans="1:11" x14ac:dyDescent="0.25">
      <c r="A3657" s="1" t="s">
        <v>644</v>
      </c>
      <c r="B3657" s="1" t="s">
        <v>1719</v>
      </c>
      <c r="C3657" s="1" t="s">
        <v>2608</v>
      </c>
      <c r="D3657" s="1" t="s">
        <v>1998</v>
      </c>
      <c r="E3657" s="1"/>
      <c r="F3657" s="1" t="s">
        <v>16</v>
      </c>
      <c r="G3657">
        <v>1</v>
      </c>
      <c r="H3657">
        <v>1</v>
      </c>
      <c r="I3657" s="2">
        <v>45789</v>
      </c>
      <c r="J3657" s="2">
        <v>45783</v>
      </c>
      <c r="K3657" s="2">
        <v>45789</v>
      </c>
    </row>
    <row r="3658" spans="1:11" x14ac:dyDescent="0.25">
      <c r="A3658" s="1" t="s">
        <v>644</v>
      </c>
      <c r="B3658" s="1" t="s">
        <v>1720</v>
      </c>
      <c r="C3658" s="1" t="s">
        <v>2601</v>
      </c>
      <c r="D3658" s="1" t="s">
        <v>1998</v>
      </c>
      <c r="E3658" s="1"/>
      <c r="F3658" s="1" t="s">
        <v>11</v>
      </c>
      <c r="G3658">
        <v>65</v>
      </c>
      <c r="H3658">
        <v>65</v>
      </c>
      <c r="I3658" s="2">
        <v>45789</v>
      </c>
      <c r="J3658" s="2">
        <v>45783</v>
      </c>
      <c r="K3658" s="2">
        <v>45789</v>
      </c>
    </row>
    <row r="3659" spans="1:11" x14ac:dyDescent="0.25">
      <c r="A3659" s="1" t="s">
        <v>644</v>
      </c>
      <c r="B3659" s="1" t="s">
        <v>1741</v>
      </c>
      <c r="C3659" s="1" t="s">
        <v>2518</v>
      </c>
      <c r="D3659" s="1" t="s">
        <v>1998</v>
      </c>
      <c r="E3659" s="1"/>
      <c r="F3659" s="1" t="s">
        <v>11</v>
      </c>
      <c r="G3659">
        <v>105</v>
      </c>
      <c r="H3659">
        <v>105</v>
      </c>
      <c r="I3659" s="2">
        <v>45789</v>
      </c>
      <c r="J3659" s="2">
        <v>45783</v>
      </c>
      <c r="K3659" s="2">
        <v>45789</v>
      </c>
    </row>
    <row r="3660" spans="1:11" x14ac:dyDescent="0.25">
      <c r="A3660" s="1" t="s">
        <v>644</v>
      </c>
      <c r="B3660" s="1" t="s">
        <v>1742</v>
      </c>
      <c r="C3660" s="1" t="s">
        <v>2627</v>
      </c>
      <c r="D3660" s="1" t="s">
        <v>1998</v>
      </c>
      <c r="E3660" s="1"/>
      <c r="F3660" s="1" t="s">
        <v>11</v>
      </c>
      <c r="G3660">
        <v>80</v>
      </c>
      <c r="H3660">
        <v>80</v>
      </c>
      <c r="I3660" s="2">
        <v>45789</v>
      </c>
      <c r="J3660" s="2">
        <v>45783</v>
      </c>
      <c r="K3660" s="2">
        <v>45789</v>
      </c>
    </row>
    <row r="3661" spans="1:11" x14ac:dyDescent="0.25">
      <c r="A3661" s="1" t="s">
        <v>644</v>
      </c>
      <c r="B3661" s="1" t="s">
        <v>1742</v>
      </c>
      <c r="C3661" s="1" t="s">
        <v>2627</v>
      </c>
      <c r="D3661" s="1" t="s">
        <v>1998</v>
      </c>
      <c r="E3661" s="1"/>
      <c r="F3661" s="1" t="s">
        <v>11</v>
      </c>
      <c r="G3661">
        <v>1</v>
      </c>
      <c r="H3661">
        <v>1</v>
      </c>
      <c r="I3661" s="2">
        <v>45789</v>
      </c>
      <c r="J3661" s="2">
        <v>45783</v>
      </c>
      <c r="K3661" s="2">
        <v>45789</v>
      </c>
    </row>
    <row r="3662" spans="1:11" x14ac:dyDescent="0.25">
      <c r="A3662" s="1" t="s">
        <v>645</v>
      </c>
      <c r="B3662" s="1" t="s">
        <v>1716</v>
      </c>
      <c r="C3662" s="1" t="s">
        <v>2014</v>
      </c>
      <c r="D3662" s="1" t="s">
        <v>1998</v>
      </c>
      <c r="E3662" s="1"/>
      <c r="F3662" s="1" t="s">
        <v>11</v>
      </c>
      <c r="G3662">
        <v>250</v>
      </c>
      <c r="H3662">
        <v>250</v>
      </c>
      <c r="I3662" s="2">
        <v>45782</v>
      </c>
      <c r="J3662" s="2">
        <v>45769</v>
      </c>
      <c r="K3662" s="2">
        <v>45782</v>
      </c>
    </row>
    <row r="3663" spans="1:11" x14ac:dyDescent="0.25">
      <c r="A3663" s="1" t="s">
        <v>645</v>
      </c>
      <c r="B3663" s="1" t="s">
        <v>1717</v>
      </c>
      <c r="C3663" s="1" t="s">
        <v>2124</v>
      </c>
      <c r="D3663" s="1" t="s">
        <v>1998</v>
      </c>
      <c r="E3663" s="1"/>
      <c r="F3663" s="1" t="s">
        <v>11</v>
      </c>
      <c r="G3663">
        <v>430</v>
      </c>
      <c r="H3663">
        <v>430</v>
      </c>
      <c r="I3663" s="2">
        <v>45782</v>
      </c>
      <c r="J3663" s="2">
        <v>45769</v>
      </c>
      <c r="K3663" s="2">
        <v>45782</v>
      </c>
    </row>
    <row r="3664" spans="1:11" x14ac:dyDescent="0.25">
      <c r="A3664" s="1" t="s">
        <v>645</v>
      </c>
      <c r="B3664" s="1" t="s">
        <v>1717</v>
      </c>
      <c r="C3664" s="1" t="s">
        <v>2124</v>
      </c>
      <c r="D3664" s="1" t="s">
        <v>1998</v>
      </c>
      <c r="E3664" s="1"/>
      <c r="F3664" s="1" t="s">
        <v>16</v>
      </c>
      <c r="G3664">
        <v>15</v>
      </c>
      <c r="H3664">
        <v>15</v>
      </c>
      <c r="I3664" s="2">
        <v>45782</v>
      </c>
      <c r="J3664" s="2">
        <v>45769</v>
      </c>
      <c r="K3664" s="2">
        <v>45782</v>
      </c>
    </row>
    <row r="3665" spans="1:11" x14ac:dyDescent="0.25">
      <c r="A3665" s="1" t="s">
        <v>645</v>
      </c>
      <c r="B3665" s="1" t="s">
        <v>1718</v>
      </c>
      <c r="C3665" s="1" t="s">
        <v>2583</v>
      </c>
      <c r="D3665" s="1" t="s">
        <v>1998</v>
      </c>
      <c r="E3665" s="1"/>
      <c r="F3665" s="1" t="s">
        <v>11</v>
      </c>
      <c r="G3665">
        <v>70</v>
      </c>
      <c r="H3665">
        <v>70</v>
      </c>
      <c r="I3665" s="2">
        <v>45782</v>
      </c>
      <c r="J3665" s="2">
        <v>45769</v>
      </c>
      <c r="K3665" s="2">
        <v>45782</v>
      </c>
    </row>
    <row r="3666" spans="1:11" x14ac:dyDescent="0.25">
      <c r="A3666" s="1" t="s">
        <v>645</v>
      </c>
      <c r="B3666" s="1" t="s">
        <v>1126</v>
      </c>
      <c r="C3666" s="1" t="s">
        <v>2126</v>
      </c>
      <c r="D3666" s="1" t="s">
        <v>1998</v>
      </c>
      <c r="E3666" s="1"/>
      <c r="F3666" s="1" t="s">
        <v>11</v>
      </c>
      <c r="G3666">
        <v>15</v>
      </c>
      <c r="H3666">
        <v>15</v>
      </c>
      <c r="I3666" s="2">
        <v>45782</v>
      </c>
      <c r="J3666" s="2">
        <v>45769</v>
      </c>
      <c r="K3666" s="2">
        <v>45782</v>
      </c>
    </row>
    <row r="3667" spans="1:11" x14ac:dyDescent="0.25">
      <c r="A3667" s="1" t="s">
        <v>645</v>
      </c>
      <c r="B3667" s="1" t="s">
        <v>1719</v>
      </c>
      <c r="C3667" s="1" t="s">
        <v>2608</v>
      </c>
      <c r="D3667" s="1" t="s">
        <v>1998</v>
      </c>
      <c r="E3667" s="1"/>
      <c r="F3667" s="1" t="s">
        <v>11</v>
      </c>
      <c r="G3667">
        <v>120</v>
      </c>
      <c r="H3667">
        <v>120</v>
      </c>
      <c r="I3667" s="2">
        <v>45782</v>
      </c>
      <c r="J3667" s="2">
        <v>45769</v>
      </c>
      <c r="K3667" s="2">
        <v>45782</v>
      </c>
    </row>
    <row r="3668" spans="1:11" x14ac:dyDescent="0.25">
      <c r="A3668" s="1" t="s">
        <v>645</v>
      </c>
      <c r="B3668" s="1" t="s">
        <v>1720</v>
      </c>
      <c r="C3668" s="1" t="s">
        <v>2601</v>
      </c>
      <c r="D3668" s="1" t="s">
        <v>1998</v>
      </c>
      <c r="E3668" s="1"/>
      <c r="F3668" s="1" t="s">
        <v>11</v>
      </c>
      <c r="G3668">
        <v>50</v>
      </c>
      <c r="H3668">
        <v>50</v>
      </c>
      <c r="I3668" s="2">
        <v>45782</v>
      </c>
      <c r="J3668" s="2">
        <v>45769</v>
      </c>
      <c r="K3668" s="2">
        <v>45782</v>
      </c>
    </row>
    <row r="3669" spans="1:11" x14ac:dyDescent="0.25">
      <c r="A3669" s="1" t="s">
        <v>645</v>
      </c>
      <c r="B3669" s="1" t="s">
        <v>1721</v>
      </c>
      <c r="C3669" s="1" t="s">
        <v>2609</v>
      </c>
      <c r="D3669" s="1" t="s">
        <v>1998</v>
      </c>
      <c r="E3669" s="1"/>
      <c r="F3669" s="1" t="s">
        <v>11</v>
      </c>
      <c r="G3669">
        <v>15</v>
      </c>
      <c r="H3669">
        <v>15</v>
      </c>
      <c r="I3669" s="2">
        <v>45782</v>
      </c>
      <c r="J3669" s="2">
        <v>45769</v>
      </c>
      <c r="K3669" s="2">
        <v>45782</v>
      </c>
    </row>
    <row r="3670" spans="1:11" x14ac:dyDescent="0.25">
      <c r="A3670" s="1" t="s">
        <v>645</v>
      </c>
      <c r="B3670" s="1" t="s">
        <v>1722</v>
      </c>
      <c r="C3670" s="1" t="s">
        <v>2610</v>
      </c>
      <c r="D3670" s="1" t="s">
        <v>1998</v>
      </c>
      <c r="E3670" s="1"/>
      <c r="F3670" s="1" t="s">
        <v>11</v>
      </c>
      <c r="G3670">
        <v>20</v>
      </c>
      <c r="H3670">
        <v>20</v>
      </c>
      <c r="I3670" s="2">
        <v>45782</v>
      </c>
      <c r="J3670" s="2">
        <v>45769</v>
      </c>
      <c r="K3670" s="2">
        <v>45782</v>
      </c>
    </row>
    <row r="3671" spans="1:11" x14ac:dyDescent="0.25">
      <c r="A3671" s="1" t="s">
        <v>645</v>
      </c>
      <c r="B3671" s="1" t="s">
        <v>1723</v>
      </c>
      <c r="C3671" s="1" t="s">
        <v>2611</v>
      </c>
      <c r="D3671" s="1" t="s">
        <v>1998</v>
      </c>
      <c r="E3671" s="1"/>
      <c r="F3671" s="1" t="s">
        <v>11</v>
      </c>
      <c r="G3671">
        <v>140</v>
      </c>
      <c r="H3671">
        <v>140</v>
      </c>
      <c r="I3671" s="2">
        <v>45782</v>
      </c>
      <c r="J3671" s="2">
        <v>45769</v>
      </c>
      <c r="K3671" s="2">
        <v>45782</v>
      </c>
    </row>
    <row r="3672" spans="1:11" x14ac:dyDescent="0.25">
      <c r="A3672" s="1" t="s">
        <v>646</v>
      </c>
      <c r="B3672" s="1" t="s">
        <v>1701</v>
      </c>
      <c r="C3672" s="1" t="s">
        <v>2014</v>
      </c>
      <c r="D3672" s="1" t="s">
        <v>1998</v>
      </c>
      <c r="E3672" s="1"/>
      <c r="F3672" s="1" t="s">
        <v>11</v>
      </c>
      <c r="G3672">
        <v>4200</v>
      </c>
      <c r="H3672">
        <v>1</v>
      </c>
      <c r="I3672" s="2"/>
      <c r="J3672" s="2">
        <v>45772</v>
      </c>
      <c r="K3672" s="2">
        <v>45782</v>
      </c>
    </row>
    <row r="3673" spans="1:11" x14ac:dyDescent="0.25">
      <c r="A3673" s="1" t="s">
        <v>646</v>
      </c>
      <c r="B3673" s="1" t="s">
        <v>1702</v>
      </c>
      <c r="C3673" s="1" t="s">
        <v>2598</v>
      </c>
      <c r="D3673" s="1" t="s">
        <v>1998</v>
      </c>
      <c r="E3673" s="1"/>
      <c r="F3673" s="1" t="s">
        <v>11</v>
      </c>
      <c r="G3673">
        <v>535</v>
      </c>
      <c r="H3673">
        <v>535</v>
      </c>
      <c r="I3673" s="2"/>
      <c r="J3673" s="2">
        <v>45772</v>
      </c>
      <c r="K3673" s="2">
        <v>45782</v>
      </c>
    </row>
    <row r="3674" spans="1:11" x14ac:dyDescent="0.25">
      <c r="A3674" s="1" t="s">
        <v>646</v>
      </c>
      <c r="B3674" s="1" t="s">
        <v>1703</v>
      </c>
      <c r="C3674" s="1" t="s">
        <v>2599</v>
      </c>
      <c r="D3674" s="1" t="s">
        <v>1998</v>
      </c>
      <c r="E3674" s="1"/>
      <c r="F3674" s="1" t="s">
        <v>11</v>
      </c>
      <c r="G3674">
        <v>575</v>
      </c>
      <c r="H3674">
        <v>575</v>
      </c>
      <c r="I3674" s="2"/>
      <c r="J3674" s="2">
        <v>45772</v>
      </c>
      <c r="K3674" s="2">
        <v>45782</v>
      </c>
    </row>
    <row r="3675" spans="1:11" x14ac:dyDescent="0.25">
      <c r="A3675" s="1" t="s">
        <v>646</v>
      </c>
      <c r="B3675" s="1" t="s">
        <v>1126</v>
      </c>
      <c r="C3675" s="1" t="s">
        <v>2126</v>
      </c>
      <c r="D3675" s="1" t="s">
        <v>1998</v>
      </c>
      <c r="E3675" s="1"/>
      <c r="F3675" s="1" t="s">
        <v>11</v>
      </c>
      <c r="G3675">
        <v>70</v>
      </c>
      <c r="H3675">
        <v>70</v>
      </c>
      <c r="I3675" s="2"/>
      <c r="J3675" s="2">
        <v>45772</v>
      </c>
      <c r="K3675" s="2">
        <v>45782</v>
      </c>
    </row>
    <row r="3676" spans="1:11" x14ac:dyDescent="0.25">
      <c r="A3676" s="1" t="s">
        <v>646</v>
      </c>
      <c r="B3676" s="1" t="s">
        <v>1704</v>
      </c>
      <c r="C3676" s="1" t="s">
        <v>2600</v>
      </c>
      <c r="D3676" s="1" t="s">
        <v>1998</v>
      </c>
      <c r="E3676" s="1"/>
      <c r="F3676" s="1" t="s">
        <v>11</v>
      </c>
      <c r="G3676">
        <v>260</v>
      </c>
      <c r="H3676">
        <v>260</v>
      </c>
      <c r="I3676" s="2"/>
      <c r="J3676" s="2">
        <v>45772</v>
      </c>
      <c r="K3676" s="2">
        <v>45782</v>
      </c>
    </row>
    <row r="3677" spans="1:11" x14ac:dyDescent="0.25">
      <c r="A3677" s="1" t="s">
        <v>646</v>
      </c>
      <c r="B3677" s="1" t="s">
        <v>1705</v>
      </c>
      <c r="C3677" s="1" t="s">
        <v>2601</v>
      </c>
      <c r="D3677" s="1" t="s">
        <v>1998</v>
      </c>
      <c r="E3677" s="1"/>
      <c r="F3677" s="1" t="s">
        <v>11</v>
      </c>
      <c r="G3677">
        <v>120</v>
      </c>
      <c r="H3677">
        <v>120</v>
      </c>
      <c r="I3677" s="2"/>
      <c r="J3677" s="2">
        <v>45772</v>
      </c>
      <c r="K3677" s="2">
        <v>45782</v>
      </c>
    </row>
    <row r="3678" spans="1:11" x14ac:dyDescent="0.25">
      <c r="A3678" s="1" t="s">
        <v>646</v>
      </c>
      <c r="B3678" s="1" t="s">
        <v>1743</v>
      </c>
      <c r="C3678" s="1" t="s">
        <v>2628</v>
      </c>
      <c r="D3678" s="1" t="s">
        <v>1998</v>
      </c>
      <c r="E3678" s="1"/>
      <c r="F3678" s="1" t="s">
        <v>11</v>
      </c>
      <c r="G3678">
        <v>145</v>
      </c>
      <c r="H3678">
        <v>145</v>
      </c>
      <c r="I3678" s="2"/>
      <c r="J3678" s="2">
        <v>45772</v>
      </c>
      <c r="K3678" s="2">
        <v>45782</v>
      </c>
    </row>
    <row r="3679" spans="1:11" x14ac:dyDescent="0.25">
      <c r="A3679" s="1" t="s">
        <v>646</v>
      </c>
      <c r="B3679" s="1" t="s">
        <v>1744</v>
      </c>
      <c r="C3679" s="1" t="s">
        <v>2629</v>
      </c>
      <c r="D3679" s="1" t="s">
        <v>1998</v>
      </c>
      <c r="E3679" s="1"/>
      <c r="F3679" s="1" t="s">
        <v>11</v>
      </c>
      <c r="G3679">
        <v>275</v>
      </c>
      <c r="H3679">
        <v>275</v>
      </c>
      <c r="I3679" s="2"/>
      <c r="J3679" s="2">
        <v>45772</v>
      </c>
      <c r="K3679" s="2">
        <v>45782</v>
      </c>
    </row>
    <row r="3680" spans="1:11" x14ac:dyDescent="0.25">
      <c r="A3680" s="1" t="s">
        <v>646</v>
      </c>
      <c r="B3680" s="1" t="s">
        <v>1745</v>
      </c>
      <c r="C3680" s="1" t="s">
        <v>2630</v>
      </c>
      <c r="D3680" s="1" t="s">
        <v>1998</v>
      </c>
      <c r="E3680" s="1"/>
      <c r="F3680" s="1" t="s">
        <v>11</v>
      </c>
      <c r="G3680">
        <v>170</v>
      </c>
      <c r="H3680">
        <v>170</v>
      </c>
      <c r="I3680" s="2"/>
      <c r="J3680" s="2">
        <v>45772</v>
      </c>
      <c r="K3680" s="2">
        <v>45782</v>
      </c>
    </row>
    <row r="3681" spans="1:11" x14ac:dyDescent="0.25">
      <c r="A3681" s="1" t="s">
        <v>647</v>
      </c>
      <c r="B3681" s="1" t="s">
        <v>1565</v>
      </c>
      <c r="C3681" s="1" t="s">
        <v>2115</v>
      </c>
      <c r="D3681" s="1" t="s">
        <v>1998</v>
      </c>
      <c r="E3681" s="1"/>
      <c r="F3681" s="1" t="s">
        <v>11</v>
      </c>
      <c r="G3681">
        <v>3210</v>
      </c>
      <c r="H3681">
        <v>3210</v>
      </c>
      <c r="I3681" s="2">
        <v>45785</v>
      </c>
      <c r="J3681" s="2">
        <v>45779</v>
      </c>
      <c r="K3681" s="2">
        <v>45785</v>
      </c>
    </row>
    <row r="3682" spans="1:11" x14ac:dyDescent="0.25">
      <c r="A3682" s="1" t="s">
        <v>647</v>
      </c>
      <c r="B3682" s="1" t="s">
        <v>1566</v>
      </c>
      <c r="C3682" s="1" t="s">
        <v>2487</v>
      </c>
      <c r="D3682" s="1" t="s">
        <v>1998</v>
      </c>
      <c r="E3682" s="1"/>
      <c r="F3682" s="1" t="s">
        <v>11</v>
      </c>
      <c r="G3682">
        <v>1360</v>
      </c>
      <c r="H3682">
        <v>1360</v>
      </c>
      <c r="I3682" s="2">
        <v>45785</v>
      </c>
      <c r="J3682" s="2">
        <v>45779</v>
      </c>
      <c r="K3682" s="2">
        <v>45785</v>
      </c>
    </row>
    <row r="3683" spans="1:11" x14ac:dyDescent="0.25">
      <c r="A3683" s="1" t="s">
        <v>647</v>
      </c>
      <c r="B3683" s="1" t="s">
        <v>1126</v>
      </c>
      <c r="C3683" s="1" t="s">
        <v>2126</v>
      </c>
      <c r="D3683" s="1" t="s">
        <v>1998</v>
      </c>
      <c r="E3683" s="1"/>
      <c r="F3683" s="1" t="s">
        <v>11</v>
      </c>
      <c r="G3683">
        <v>145</v>
      </c>
      <c r="H3683">
        <v>145</v>
      </c>
      <c r="I3683" s="2">
        <v>45785</v>
      </c>
      <c r="J3683" s="2">
        <v>45779</v>
      </c>
      <c r="K3683" s="2">
        <v>45785</v>
      </c>
    </row>
    <row r="3684" spans="1:11" x14ac:dyDescent="0.25">
      <c r="A3684" s="1" t="s">
        <v>647</v>
      </c>
      <c r="B3684" s="1" t="s">
        <v>1567</v>
      </c>
      <c r="C3684" s="1" t="s">
        <v>2488</v>
      </c>
      <c r="D3684" s="1" t="s">
        <v>1998</v>
      </c>
      <c r="E3684" s="1"/>
      <c r="F3684" s="1" t="s">
        <v>11</v>
      </c>
      <c r="G3684">
        <v>625</v>
      </c>
      <c r="H3684">
        <v>625</v>
      </c>
      <c r="I3684" s="2">
        <v>45785</v>
      </c>
      <c r="J3684" s="2">
        <v>45779</v>
      </c>
      <c r="K3684" s="2">
        <v>45785</v>
      </c>
    </row>
    <row r="3685" spans="1:11" x14ac:dyDescent="0.25">
      <c r="A3685" s="1" t="s">
        <v>648</v>
      </c>
      <c r="B3685" s="1" t="s">
        <v>1108</v>
      </c>
      <c r="C3685" s="1" t="s">
        <v>2108</v>
      </c>
      <c r="D3685" s="1" t="s">
        <v>1998</v>
      </c>
      <c r="E3685" s="1"/>
      <c r="F3685" s="1" t="s">
        <v>11</v>
      </c>
      <c r="G3685">
        <v>2200</v>
      </c>
      <c r="H3685">
        <v>2410</v>
      </c>
      <c r="I3685" s="2">
        <v>45786</v>
      </c>
      <c r="J3685" s="2">
        <v>45763</v>
      </c>
      <c r="K3685" s="2">
        <v>45786</v>
      </c>
    </row>
    <row r="3686" spans="1:11" x14ac:dyDescent="0.25">
      <c r="A3686" s="1" t="s">
        <v>648</v>
      </c>
      <c r="B3686" s="1" t="s">
        <v>1105</v>
      </c>
      <c r="C3686" s="1" t="s">
        <v>2106</v>
      </c>
      <c r="D3686" s="1" t="s">
        <v>1998</v>
      </c>
      <c r="E3686" s="1"/>
      <c r="F3686" s="1" t="s">
        <v>11</v>
      </c>
      <c r="G3686">
        <v>865</v>
      </c>
      <c r="H3686">
        <v>945</v>
      </c>
      <c r="I3686" s="2">
        <v>45786</v>
      </c>
      <c r="J3686" s="2">
        <v>45763</v>
      </c>
      <c r="K3686" s="2">
        <v>45786</v>
      </c>
    </row>
    <row r="3687" spans="1:11" x14ac:dyDescent="0.25">
      <c r="A3687" s="1" t="s">
        <v>648</v>
      </c>
      <c r="B3687" s="1" t="s">
        <v>1746</v>
      </c>
      <c r="C3687" s="1" t="s">
        <v>2631</v>
      </c>
      <c r="D3687" s="1" t="s">
        <v>1998</v>
      </c>
      <c r="E3687" s="1"/>
      <c r="F3687" s="1" t="s">
        <v>11</v>
      </c>
      <c r="G3687">
        <v>2420</v>
      </c>
      <c r="H3687">
        <v>2460</v>
      </c>
      <c r="I3687" s="2">
        <v>45786</v>
      </c>
      <c r="J3687" s="2">
        <v>45763</v>
      </c>
      <c r="K3687" s="2">
        <v>45786</v>
      </c>
    </row>
    <row r="3688" spans="1:11" x14ac:dyDescent="0.25">
      <c r="A3688" s="1" t="s">
        <v>648</v>
      </c>
      <c r="B3688" s="1" t="s">
        <v>1747</v>
      </c>
      <c r="C3688" s="1" t="s">
        <v>2632</v>
      </c>
      <c r="D3688" s="1" t="s">
        <v>1998</v>
      </c>
      <c r="E3688" s="1"/>
      <c r="F3688" s="1" t="s">
        <v>11</v>
      </c>
      <c r="G3688">
        <v>1925</v>
      </c>
      <c r="H3688">
        <v>2110</v>
      </c>
      <c r="I3688" s="2">
        <v>45786</v>
      </c>
      <c r="J3688" s="2">
        <v>45763</v>
      </c>
      <c r="K3688" s="2">
        <v>45786</v>
      </c>
    </row>
    <row r="3689" spans="1:11" x14ac:dyDescent="0.25">
      <c r="A3689" s="1" t="s">
        <v>649</v>
      </c>
      <c r="B3689" s="1" t="s">
        <v>1289</v>
      </c>
      <c r="C3689" s="1" t="s">
        <v>2266</v>
      </c>
      <c r="D3689" s="1" t="s">
        <v>1998</v>
      </c>
      <c r="E3689" s="1"/>
      <c r="F3689" s="1" t="s">
        <v>11</v>
      </c>
      <c r="G3689">
        <v>29985</v>
      </c>
      <c r="H3689">
        <v>29985</v>
      </c>
      <c r="I3689" s="2"/>
      <c r="J3689" s="2">
        <v>45765</v>
      </c>
      <c r="K3689" s="2">
        <v>45768</v>
      </c>
    </row>
    <row r="3690" spans="1:11" x14ac:dyDescent="0.25">
      <c r="A3690" s="1" t="s">
        <v>650</v>
      </c>
      <c r="B3690" s="1" t="s">
        <v>981</v>
      </c>
      <c r="C3690" s="1" t="s">
        <v>1999</v>
      </c>
      <c r="D3690" s="1" t="s">
        <v>1998</v>
      </c>
      <c r="E3690" s="1"/>
      <c r="F3690" s="1" t="s">
        <v>11</v>
      </c>
      <c r="G3690">
        <v>895</v>
      </c>
      <c r="H3690">
        <v>895</v>
      </c>
      <c r="I3690" s="2">
        <v>45784</v>
      </c>
      <c r="J3690" s="2">
        <v>45763</v>
      </c>
      <c r="K3690" s="2">
        <v>45784</v>
      </c>
    </row>
    <row r="3691" spans="1:11" x14ac:dyDescent="0.25">
      <c r="A3691" s="1" t="s">
        <v>650</v>
      </c>
      <c r="B3691" s="1" t="s">
        <v>981</v>
      </c>
      <c r="C3691" s="1" t="s">
        <v>1999</v>
      </c>
      <c r="D3691" s="1" t="s">
        <v>1998</v>
      </c>
      <c r="E3691" s="1"/>
      <c r="F3691" s="1" t="s">
        <v>16</v>
      </c>
      <c r="G3691">
        <v>5</v>
      </c>
      <c r="H3691">
        <v>5</v>
      </c>
      <c r="I3691" s="2">
        <v>45784</v>
      </c>
      <c r="J3691" s="2">
        <v>45763</v>
      </c>
      <c r="K3691" s="2">
        <v>45784</v>
      </c>
    </row>
    <row r="3692" spans="1:11" x14ac:dyDescent="0.25">
      <c r="A3692" s="1" t="s">
        <v>650</v>
      </c>
      <c r="B3692" s="1" t="s">
        <v>1748</v>
      </c>
      <c r="C3692" s="1" t="s">
        <v>2633</v>
      </c>
      <c r="D3692" s="1" t="s">
        <v>1998</v>
      </c>
      <c r="E3692" s="1"/>
      <c r="F3692" s="1" t="s">
        <v>11</v>
      </c>
      <c r="G3692">
        <v>1025</v>
      </c>
      <c r="H3692">
        <v>1025</v>
      </c>
      <c r="I3692" s="2">
        <v>45784</v>
      </c>
      <c r="J3692" s="2">
        <v>45763</v>
      </c>
      <c r="K3692" s="2">
        <v>45784</v>
      </c>
    </row>
    <row r="3693" spans="1:11" x14ac:dyDescent="0.25">
      <c r="A3693" s="1" t="s">
        <v>650</v>
      </c>
      <c r="B3693" s="1" t="s">
        <v>1748</v>
      </c>
      <c r="C3693" s="1" t="s">
        <v>2633</v>
      </c>
      <c r="D3693" s="1" t="s">
        <v>1998</v>
      </c>
      <c r="E3693" s="1"/>
      <c r="F3693" s="1" t="s">
        <v>16</v>
      </c>
      <c r="G3693">
        <v>15</v>
      </c>
      <c r="H3693">
        <v>15</v>
      </c>
      <c r="I3693" s="2">
        <v>45784</v>
      </c>
      <c r="J3693" s="2">
        <v>45763</v>
      </c>
      <c r="K3693" s="2">
        <v>45784</v>
      </c>
    </row>
    <row r="3694" spans="1:11" x14ac:dyDescent="0.25">
      <c r="A3694" s="1" t="s">
        <v>650</v>
      </c>
      <c r="B3694" s="1" t="s">
        <v>983</v>
      </c>
      <c r="C3694" s="1" t="s">
        <v>2001</v>
      </c>
      <c r="D3694" s="1" t="s">
        <v>1998</v>
      </c>
      <c r="E3694" s="1"/>
      <c r="F3694" s="1" t="s">
        <v>11</v>
      </c>
      <c r="G3694">
        <v>995</v>
      </c>
      <c r="H3694">
        <v>995</v>
      </c>
      <c r="I3694" s="2">
        <v>45784</v>
      </c>
      <c r="J3694" s="2">
        <v>45763</v>
      </c>
      <c r="K3694" s="2">
        <v>45784</v>
      </c>
    </row>
    <row r="3695" spans="1:11" x14ac:dyDescent="0.25">
      <c r="A3695" s="1" t="s">
        <v>650</v>
      </c>
      <c r="B3695" s="1" t="s">
        <v>983</v>
      </c>
      <c r="C3695" s="1" t="s">
        <v>2001</v>
      </c>
      <c r="D3695" s="1" t="s">
        <v>1998</v>
      </c>
      <c r="E3695" s="1"/>
      <c r="F3695" s="1" t="s">
        <v>16</v>
      </c>
      <c r="G3695">
        <v>15</v>
      </c>
      <c r="H3695">
        <v>15</v>
      </c>
      <c r="I3695" s="2">
        <v>45784</v>
      </c>
      <c r="J3695" s="2">
        <v>45763</v>
      </c>
      <c r="K3695" s="2">
        <v>45784</v>
      </c>
    </row>
    <row r="3696" spans="1:11" x14ac:dyDescent="0.25">
      <c r="A3696" s="1" t="s">
        <v>650</v>
      </c>
      <c r="B3696" s="1" t="s">
        <v>984</v>
      </c>
      <c r="C3696" s="1" t="s">
        <v>2002</v>
      </c>
      <c r="D3696" s="1" t="s">
        <v>1998</v>
      </c>
      <c r="E3696" s="1"/>
      <c r="F3696" s="1" t="s">
        <v>11</v>
      </c>
      <c r="G3696">
        <v>560</v>
      </c>
      <c r="H3696">
        <v>560</v>
      </c>
      <c r="I3696" s="2">
        <v>45784</v>
      </c>
      <c r="J3696" s="2">
        <v>45763</v>
      </c>
      <c r="K3696" s="2">
        <v>45784</v>
      </c>
    </row>
    <row r="3697" spans="1:11" x14ac:dyDescent="0.25">
      <c r="A3697" s="1" t="s">
        <v>651</v>
      </c>
      <c r="B3697" s="1" t="s">
        <v>1749</v>
      </c>
      <c r="C3697" s="1" t="s">
        <v>2634</v>
      </c>
      <c r="D3697" s="1" t="s">
        <v>1998</v>
      </c>
      <c r="E3697" s="1"/>
      <c r="F3697" s="1" t="s">
        <v>11</v>
      </c>
      <c r="G3697">
        <v>15</v>
      </c>
      <c r="H3697">
        <v>15</v>
      </c>
      <c r="I3697" s="2">
        <v>45775</v>
      </c>
      <c r="J3697" s="2">
        <v>45772</v>
      </c>
      <c r="K3697" s="2">
        <v>45775</v>
      </c>
    </row>
    <row r="3698" spans="1:11" x14ac:dyDescent="0.25">
      <c r="A3698" s="1" t="s">
        <v>651</v>
      </c>
      <c r="B3698" s="1" t="s">
        <v>1473</v>
      </c>
      <c r="C3698" s="1" t="s">
        <v>2410</v>
      </c>
      <c r="D3698" s="1" t="s">
        <v>1998</v>
      </c>
      <c r="E3698" s="1"/>
      <c r="F3698" s="1" t="s">
        <v>11</v>
      </c>
      <c r="G3698">
        <v>105</v>
      </c>
      <c r="H3698">
        <v>105</v>
      </c>
      <c r="I3698" s="2">
        <v>45775</v>
      </c>
      <c r="J3698" s="2">
        <v>45772</v>
      </c>
      <c r="K3698" s="2">
        <v>45775</v>
      </c>
    </row>
    <row r="3699" spans="1:11" x14ac:dyDescent="0.25">
      <c r="A3699" s="1" t="s">
        <v>652</v>
      </c>
      <c r="B3699" s="1" t="s">
        <v>1482</v>
      </c>
      <c r="C3699" s="1" t="s">
        <v>2419</v>
      </c>
      <c r="D3699" s="1" t="s">
        <v>1998</v>
      </c>
      <c r="E3699" s="1"/>
      <c r="F3699" s="1" t="s">
        <v>11</v>
      </c>
      <c r="G3699">
        <v>1</v>
      </c>
      <c r="H3699">
        <v>1</v>
      </c>
      <c r="I3699" s="2">
        <v>45780</v>
      </c>
      <c r="J3699" s="2">
        <v>45764</v>
      </c>
      <c r="K3699" s="2">
        <v>45780</v>
      </c>
    </row>
    <row r="3700" spans="1:11" x14ac:dyDescent="0.25">
      <c r="A3700" s="1" t="s">
        <v>652</v>
      </c>
      <c r="B3700" s="1" t="s">
        <v>1483</v>
      </c>
      <c r="C3700" s="1" t="s">
        <v>2420</v>
      </c>
      <c r="D3700" s="1" t="s">
        <v>1998</v>
      </c>
      <c r="E3700" s="1"/>
      <c r="F3700" s="1" t="s">
        <v>11</v>
      </c>
      <c r="G3700">
        <v>2100</v>
      </c>
      <c r="H3700">
        <v>2100</v>
      </c>
      <c r="I3700" s="2">
        <v>45780</v>
      </c>
      <c r="J3700" s="2">
        <v>45764</v>
      </c>
      <c r="K3700" s="2">
        <v>45780</v>
      </c>
    </row>
    <row r="3701" spans="1:11" x14ac:dyDescent="0.25">
      <c r="A3701" s="1" t="s">
        <v>652</v>
      </c>
      <c r="B3701" s="1" t="s">
        <v>1484</v>
      </c>
      <c r="C3701" s="1" t="s">
        <v>2421</v>
      </c>
      <c r="D3701" s="1" t="s">
        <v>1998</v>
      </c>
      <c r="E3701" s="1"/>
      <c r="F3701" s="1" t="s">
        <v>11</v>
      </c>
      <c r="G3701">
        <v>5380</v>
      </c>
      <c r="H3701">
        <v>5380</v>
      </c>
      <c r="I3701" s="2">
        <v>45780</v>
      </c>
      <c r="J3701" s="2">
        <v>45764</v>
      </c>
      <c r="K3701" s="2">
        <v>45780</v>
      </c>
    </row>
    <row r="3702" spans="1:11" x14ac:dyDescent="0.25">
      <c r="A3702" s="1" t="s">
        <v>652</v>
      </c>
      <c r="B3702" s="1" t="s">
        <v>1485</v>
      </c>
      <c r="C3702" s="1" t="s">
        <v>2422</v>
      </c>
      <c r="D3702" s="1" t="s">
        <v>1998</v>
      </c>
      <c r="E3702" s="1"/>
      <c r="F3702" s="1" t="s">
        <v>11</v>
      </c>
      <c r="G3702">
        <v>30</v>
      </c>
      <c r="H3702">
        <v>30</v>
      </c>
      <c r="I3702" s="2">
        <v>45780</v>
      </c>
      <c r="J3702" s="2">
        <v>45764</v>
      </c>
      <c r="K3702" s="2">
        <v>45780</v>
      </c>
    </row>
    <row r="3703" spans="1:11" x14ac:dyDescent="0.25">
      <c r="A3703" s="1" t="s">
        <v>652</v>
      </c>
      <c r="B3703" s="1" t="s">
        <v>1486</v>
      </c>
      <c r="C3703" s="1" t="s">
        <v>2423</v>
      </c>
      <c r="D3703" s="1" t="s">
        <v>1998</v>
      </c>
      <c r="E3703" s="1"/>
      <c r="F3703" s="1" t="s">
        <v>11</v>
      </c>
      <c r="G3703">
        <v>2915</v>
      </c>
      <c r="H3703">
        <v>2915</v>
      </c>
      <c r="I3703" s="2">
        <v>45780</v>
      </c>
      <c r="J3703" s="2">
        <v>45764</v>
      </c>
      <c r="K3703" s="2">
        <v>45780</v>
      </c>
    </row>
    <row r="3704" spans="1:11" x14ac:dyDescent="0.25">
      <c r="A3704" s="1" t="s">
        <v>652</v>
      </c>
      <c r="B3704" s="1" t="s">
        <v>1487</v>
      </c>
      <c r="C3704" s="1" t="s">
        <v>2424</v>
      </c>
      <c r="D3704" s="1" t="s">
        <v>1998</v>
      </c>
      <c r="E3704" s="1"/>
      <c r="F3704" s="1" t="s">
        <v>11</v>
      </c>
      <c r="G3704">
        <v>210</v>
      </c>
      <c r="H3704">
        <v>210</v>
      </c>
      <c r="I3704" s="2">
        <v>45780</v>
      </c>
      <c r="J3704" s="2">
        <v>45764</v>
      </c>
      <c r="K3704" s="2">
        <v>45780</v>
      </c>
    </row>
    <row r="3705" spans="1:11" x14ac:dyDescent="0.25">
      <c r="A3705" s="1" t="s">
        <v>652</v>
      </c>
      <c r="B3705" s="1" t="s">
        <v>1470</v>
      </c>
      <c r="C3705" s="1" t="s">
        <v>2407</v>
      </c>
      <c r="D3705" s="1" t="s">
        <v>1998</v>
      </c>
      <c r="E3705" s="1"/>
      <c r="F3705" s="1" t="s">
        <v>11</v>
      </c>
      <c r="G3705">
        <v>20</v>
      </c>
      <c r="H3705">
        <v>20</v>
      </c>
      <c r="I3705" s="2">
        <v>45780</v>
      </c>
      <c r="J3705" s="2">
        <v>45764</v>
      </c>
      <c r="K3705" s="2">
        <v>45780</v>
      </c>
    </row>
    <row r="3706" spans="1:11" x14ac:dyDescent="0.25">
      <c r="A3706" s="1" t="s">
        <v>652</v>
      </c>
      <c r="B3706" s="1" t="s">
        <v>1488</v>
      </c>
      <c r="C3706" s="1" t="s">
        <v>2425</v>
      </c>
      <c r="D3706" s="1" t="s">
        <v>1998</v>
      </c>
      <c r="E3706" s="1"/>
      <c r="F3706" s="1" t="s">
        <v>11</v>
      </c>
      <c r="G3706">
        <v>120</v>
      </c>
      <c r="H3706">
        <v>120</v>
      </c>
      <c r="I3706" s="2">
        <v>45780</v>
      </c>
      <c r="J3706" s="2">
        <v>45764</v>
      </c>
      <c r="K3706" s="2">
        <v>45780</v>
      </c>
    </row>
    <row r="3707" spans="1:11" x14ac:dyDescent="0.25">
      <c r="A3707" s="1" t="s">
        <v>652</v>
      </c>
      <c r="B3707" s="1" t="s">
        <v>1472</v>
      </c>
      <c r="C3707" s="1" t="s">
        <v>2409</v>
      </c>
      <c r="D3707" s="1" t="s">
        <v>1998</v>
      </c>
      <c r="E3707" s="1"/>
      <c r="F3707" s="1" t="s">
        <v>11</v>
      </c>
      <c r="G3707">
        <v>5</v>
      </c>
      <c r="H3707">
        <v>5</v>
      </c>
      <c r="I3707" s="2">
        <v>45780</v>
      </c>
      <c r="J3707" s="2">
        <v>45764</v>
      </c>
      <c r="K3707" s="2">
        <v>45780</v>
      </c>
    </row>
    <row r="3708" spans="1:11" x14ac:dyDescent="0.25">
      <c r="A3708" s="1" t="s">
        <v>652</v>
      </c>
      <c r="B3708" s="1" t="s">
        <v>1489</v>
      </c>
      <c r="C3708" s="1" t="s">
        <v>2426</v>
      </c>
      <c r="D3708" s="1" t="s">
        <v>1998</v>
      </c>
      <c r="E3708" s="1"/>
      <c r="F3708" s="1" t="s">
        <v>11</v>
      </c>
      <c r="G3708">
        <v>1</v>
      </c>
      <c r="H3708">
        <v>1</v>
      </c>
      <c r="I3708" s="2">
        <v>45780</v>
      </c>
      <c r="J3708" s="2">
        <v>45764</v>
      </c>
      <c r="K3708" s="2">
        <v>45780</v>
      </c>
    </row>
    <row r="3709" spans="1:11" x14ac:dyDescent="0.25">
      <c r="A3709" s="1" t="s">
        <v>652</v>
      </c>
      <c r="B3709" s="1" t="s">
        <v>1490</v>
      </c>
      <c r="C3709" s="1" t="s">
        <v>2427</v>
      </c>
      <c r="D3709" s="1" t="s">
        <v>1998</v>
      </c>
      <c r="E3709" s="1"/>
      <c r="F3709" s="1" t="s">
        <v>11</v>
      </c>
      <c r="G3709">
        <v>1</v>
      </c>
      <c r="H3709">
        <v>1</v>
      </c>
      <c r="I3709" s="2">
        <v>45780</v>
      </c>
      <c r="J3709" s="2">
        <v>45764</v>
      </c>
      <c r="K3709" s="2">
        <v>45780</v>
      </c>
    </row>
    <row r="3710" spans="1:11" x14ac:dyDescent="0.25">
      <c r="A3710" s="1" t="s">
        <v>652</v>
      </c>
      <c r="B3710" s="1" t="s">
        <v>1491</v>
      </c>
      <c r="C3710" s="1" t="s">
        <v>2428</v>
      </c>
      <c r="D3710" s="1" t="s">
        <v>1998</v>
      </c>
      <c r="E3710" s="1"/>
      <c r="F3710" s="1" t="s">
        <v>11</v>
      </c>
      <c r="G3710">
        <v>35</v>
      </c>
      <c r="H3710">
        <v>35</v>
      </c>
      <c r="I3710" s="2">
        <v>45780</v>
      </c>
      <c r="J3710" s="2">
        <v>45764</v>
      </c>
      <c r="K3710" s="2">
        <v>45780</v>
      </c>
    </row>
    <row r="3711" spans="1:11" x14ac:dyDescent="0.25">
      <c r="A3711" s="1" t="s">
        <v>652</v>
      </c>
      <c r="B3711" s="1" t="s">
        <v>1492</v>
      </c>
      <c r="C3711" s="1" t="s">
        <v>2429</v>
      </c>
      <c r="D3711" s="1" t="s">
        <v>1998</v>
      </c>
      <c r="E3711" s="1"/>
      <c r="F3711" s="1" t="s">
        <v>11</v>
      </c>
      <c r="G3711">
        <v>5</v>
      </c>
      <c r="H3711">
        <v>5</v>
      </c>
      <c r="I3711" s="2">
        <v>45780</v>
      </c>
      <c r="J3711" s="2">
        <v>45764</v>
      </c>
      <c r="K3711" s="2">
        <v>45780</v>
      </c>
    </row>
    <row r="3712" spans="1:11" x14ac:dyDescent="0.25">
      <c r="A3712" s="1" t="s">
        <v>652</v>
      </c>
      <c r="B3712" s="1" t="s">
        <v>1493</v>
      </c>
      <c r="C3712" s="1" t="s">
        <v>2429</v>
      </c>
      <c r="D3712" s="1" t="s">
        <v>1998</v>
      </c>
      <c r="E3712" s="1"/>
      <c r="F3712" s="1" t="s">
        <v>11</v>
      </c>
      <c r="G3712">
        <v>5</v>
      </c>
      <c r="H3712">
        <v>5</v>
      </c>
      <c r="I3712" s="2">
        <v>45780</v>
      </c>
      <c r="J3712" s="2">
        <v>45764</v>
      </c>
      <c r="K3712" s="2">
        <v>45780</v>
      </c>
    </row>
    <row r="3713" spans="1:11" x14ac:dyDescent="0.25">
      <c r="A3713" s="1" t="s">
        <v>652</v>
      </c>
      <c r="B3713" s="1" t="s">
        <v>1494</v>
      </c>
      <c r="C3713" s="1" t="s">
        <v>2430</v>
      </c>
      <c r="D3713" s="1" t="s">
        <v>1998</v>
      </c>
      <c r="E3713" s="1"/>
      <c r="F3713" s="1" t="s">
        <v>11</v>
      </c>
      <c r="G3713">
        <v>1</v>
      </c>
      <c r="H3713">
        <v>1</v>
      </c>
      <c r="I3713" s="2">
        <v>45780</v>
      </c>
      <c r="J3713" s="2">
        <v>45764</v>
      </c>
      <c r="K3713" s="2">
        <v>45780</v>
      </c>
    </row>
    <row r="3714" spans="1:11" x14ac:dyDescent="0.25">
      <c r="A3714" s="1" t="s">
        <v>652</v>
      </c>
      <c r="B3714" s="1" t="s">
        <v>1495</v>
      </c>
      <c r="C3714" s="1" t="s">
        <v>2431</v>
      </c>
      <c r="D3714" s="1" t="s">
        <v>1998</v>
      </c>
      <c r="E3714" s="1"/>
      <c r="F3714" s="1" t="s">
        <v>11</v>
      </c>
      <c r="G3714">
        <v>1</v>
      </c>
      <c r="H3714">
        <v>1</v>
      </c>
      <c r="I3714" s="2">
        <v>45780</v>
      </c>
      <c r="J3714" s="2">
        <v>45764</v>
      </c>
      <c r="K3714" s="2">
        <v>45780</v>
      </c>
    </row>
    <row r="3715" spans="1:11" x14ac:dyDescent="0.25">
      <c r="A3715" s="1" t="s">
        <v>652</v>
      </c>
      <c r="B3715" s="1" t="s">
        <v>1496</v>
      </c>
      <c r="C3715" s="1" t="s">
        <v>2432</v>
      </c>
      <c r="D3715" s="1" t="s">
        <v>1998</v>
      </c>
      <c r="E3715" s="1"/>
      <c r="F3715" s="1" t="s">
        <v>11</v>
      </c>
      <c r="G3715">
        <v>1</v>
      </c>
      <c r="H3715">
        <v>1</v>
      </c>
      <c r="I3715" s="2">
        <v>45780</v>
      </c>
      <c r="J3715" s="2">
        <v>45764</v>
      </c>
      <c r="K3715" s="2">
        <v>45780</v>
      </c>
    </row>
    <row r="3716" spans="1:11" x14ac:dyDescent="0.25">
      <c r="A3716" s="1" t="s">
        <v>652</v>
      </c>
      <c r="B3716" s="1" t="s">
        <v>1497</v>
      </c>
      <c r="C3716" s="1" t="s">
        <v>2432</v>
      </c>
      <c r="D3716" s="1" t="s">
        <v>1998</v>
      </c>
      <c r="E3716" s="1"/>
      <c r="F3716" s="1" t="s">
        <v>11</v>
      </c>
      <c r="G3716">
        <v>1</v>
      </c>
      <c r="H3716">
        <v>1</v>
      </c>
      <c r="I3716" s="2">
        <v>45780</v>
      </c>
      <c r="J3716" s="2">
        <v>45764</v>
      </c>
      <c r="K3716" s="2">
        <v>45780</v>
      </c>
    </row>
    <row r="3717" spans="1:11" x14ac:dyDescent="0.25">
      <c r="A3717" s="1" t="s">
        <v>652</v>
      </c>
      <c r="B3717" s="1" t="s">
        <v>1027</v>
      </c>
      <c r="C3717" s="1" t="s">
        <v>2040</v>
      </c>
      <c r="D3717" s="1" t="s">
        <v>1998</v>
      </c>
      <c r="E3717" s="1"/>
      <c r="F3717" s="1" t="s">
        <v>11</v>
      </c>
      <c r="G3717">
        <v>30</v>
      </c>
      <c r="H3717">
        <v>30</v>
      </c>
      <c r="I3717" s="2">
        <v>45780</v>
      </c>
      <c r="J3717" s="2">
        <v>45764</v>
      </c>
      <c r="K3717" s="2">
        <v>45780</v>
      </c>
    </row>
    <row r="3718" spans="1:11" x14ac:dyDescent="0.25">
      <c r="A3718" s="1" t="s">
        <v>652</v>
      </c>
      <c r="B3718" s="1" t="s">
        <v>1013</v>
      </c>
      <c r="C3718" s="1" t="s">
        <v>2030</v>
      </c>
      <c r="D3718" s="1" t="s">
        <v>1998</v>
      </c>
      <c r="E3718" s="1"/>
      <c r="F3718" s="1" t="s">
        <v>11</v>
      </c>
      <c r="G3718">
        <v>5</v>
      </c>
      <c r="H3718">
        <v>5</v>
      </c>
      <c r="I3718" s="2">
        <v>45780</v>
      </c>
      <c r="J3718" s="2">
        <v>45764</v>
      </c>
      <c r="K3718" s="2">
        <v>45780</v>
      </c>
    </row>
    <row r="3719" spans="1:11" x14ac:dyDescent="0.25">
      <c r="A3719" s="1" t="s">
        <v>652</v>
      </c>
      <c r="B3719" s="1" t="s">
        <v>1498</v>
      </c>
      <c r="C3719" s="1" t="s">
        <v>2433</v>
      </c>
      <c r="D3719" s="1" t="s">
        <v>1998</v>
      </c>
      <c r="E3719" s="1"/>
      <c r="F3719" s="1" t="s">
        <v>11</v>
      </c>
      <c r="G3719">
        <v>1</v>
      </c>
      <c r="H3719">
        <v>1</v>
      </c>
      <c r="I3719" s="2">
        <v>45780</v>
      </c>
      <c r="J3719" s="2">
        <v>45764</v>
      </c>
      <c r="K3719" s="2">
        <v>45780</v>
      </c>
    </row>
    <row r="3720" spans="1:11" x14ac:dyDescent="0.25">
      <c r="A3720" s="1" t="s">
        <v>652</v>
      </c>
      <c r="B3720" s="1" t="s">
        <v>1499</v>
      </c>
      <c r="C3720" s="1" t="s">
        <v>2433</v>
      </c>
      <c r="D3720" s="1" t="s">
        <v>1998</v>
      </c>
      <c r="E3720" s="1"/>
      <c r="F3720" s="1" t="s">
        <v>11</v>
      </c>
      <c r="G3720">
        <v>1</v>
      </c>
      <c r="H3720">
        <v>1</v>
      </c>
      <c r="I3720" s="2">
        <v>45780</v>
      </c>
      <c r="J3720" s="2">
        <v>45764</v>
      </c>
      <c r="K3720" s="2">
        <v>45780</v>
      </c>
    </row>
    <row r="3721" spans="1:11" x14ac:dyDescent="0.25">
      <c r="A3721" s="1" t="s">
        <v>652</v>
      </c>
      <c r="B3721" s="1" t="s">
        <v>993</v>
      </c>
      <c r="C3721" s="1" t="s">
        <v>2011</v>
      </c>
      <c r="D3721" s="1" t="s">
        <v>1998</v>
      </c>
      <c r="E3721" s="1"/>
      <c r="F3721" s="1" t="s">
        <v>11</v>
      </c>
      <c r="G3721">
        <v>1</v>
      </c>
      <c r="H3721">
        <v>1</v>
      </c>
      <c r="I3721" s="2">
        <v>45780</v>
      </c>
      <c r="J3721" s="2">
        <v>45764</v>
      </c>
      <c r="K3721" s="2">
        <v>45780</v>
      </c>
    </row>
    <row r="3722" spans="1:11" x14ac:dyDescent="0.25">
      <c r="A3722" s="1" t="s">
        <v>652</v>
      </c>
      <c r="B3722" s="1" t="s">
        <v>993</v>
      </c>
      <c r="C3722" s="1" t="s">
        <v>2011</v>
      </c>
      <c r="D3722" s="1" t="s">
        <v>1998</v>
      </c>
      <c r="E3722" s="1"/>
      <c r="F3722" s="1" t="s">
        <v>11</v>
      </c>
      <c r="G3722">
        <v>5</v>
      </c>
      <c r="H3722">
        <v>5</v>
      </c>
      <c r="I3722" s="2">
        <v>45780</v>
      </c>
      <c r="J3722" s="2">
        <v>45764</v>
      </c>
      <c r="K3722" s="2">
        <v>45780</v>
      </c>
    </row>
    <row r="3723" spans="1:11" x14ac:dyDescent="0.25">
      <c r="A3723" s="1" t="s">
        <v>652</v>
      </c>
      <c r="B3723" s="1" t="s">
        <v>993</v>
      </c>
      <c r="C3723" s="1" t="s">
        <v>2011</v>
      </c>
      <c r="D3723" s="1" t="s">
        <v>1998</v>
      </c>
      <c r="E3723" s="1"/>
      <c r="F3723" s="1" t="s">
        <v>11</v>
      </c>
      <c r="G3723">
        <v>1</v>
      </c>
      <c r="H3723">
        <v>1</v>
      </c>
      <c r="I3723" s="2">
        <v>45780</v>
      </c>
      <c r="J3723" s="2">
        <v>45764</v>
      </c>
      <c r="K3723" s="2">
        <v>45780</v>
      </c>
    </row>
    <row r="3724" spans="1:11" x14ac:dyDescent="0.25">
      <c r="A3724" s="1" t="s">
        <v>652</v>
      </c>
      <c r="B3724" s="1" t="s">
        <v>1473</v>
      </c>
      <c r="C3724" s="1" t="s">
        <v>2410</v>
      </c>
      <c r="D3724" s="1" t="s">
        <v>1998</v>
      </c>
      <c r="E3724" s="1"/>
      <c r="F3724" s="1" t="s">
        <v>11</v>
      </c>
      <c r="G3724">
        <v>1</v>
      </c>
      <c r="H3724">
        <v>1</v>
      </c>
      <c r="I3724" s="2">
        <v>45780</v>
      </c>
      <c r="J3724" s="2">
        <v>45764</v>
      </c>
      <c r="K3724" s="2">
        <v>45780</v>
      </c>
    </row>
    <row r="3725" spans="1:11" x14ac:dyDescent="0.25">
      <c r="A3725" s="1" t="s">
        <v>652</v>
      </c>
      <c r="B3725" s="1" t="s">
        <v>1275</v>
      </c>
      <c r="C3725" s="1" t="s">
        <v>2252</v>
      </c>
      <c r="D3725" s="1" t="s">
        <v>1998</v>
      </c>
      <c r="E3725" s="1"/>
      <c r="F3725" s="1" t="s">
        <v>11</v>
      </c>
      <c r="G3725">
        <v>15</v>
      </c>
      <c r="H3725">
        <v>15</v>
      </c>
      <c r="I3725" s="2">
        <v>45780</v>
      </c>
      <c r="J3725" s="2">
        <v>45764</v>
      </c>
      <c r="K3725" s="2">
        <v>45780</v>
      </c>
    </row>
    <row r="3726" spans="1:11" x14ac:dyDescent="0.25">
      <c r="A3726" s="1" t="s">
        <v>652</v>
      </c>
      <c r="B3726" s="1" t="s">
        <v>1474</v>
      </c>
      <c r="C3726" s="1" t="s">
        <v>2411</v>
      </c>
      <c r="D3726" s="1" t="s">
        <v>1998</v>
      </c>
      <c r="E3726" s="1"/>
      <c r="F3726" s="1" t="s">
        <v>11</v>
      </c>
      <c r="G3726">
        <v>1</v>
      </c>
      <c r="H3726">
        <v>1</v>
      </c>
      <c r="I3726" s="2">
        <v>45780</v>
      </c>
      <c r="J3726" s="2">
        <v>45764</v>
      </c>
      <c r="K3726" s="2">
        <v>45780</v>
      </c>
    </row>
    <row r="3727" spans="1:11" x14ac:dyDescent="0.25">
      <c r="A3727" s="1" t="s">
        <v>652</v>
      </c>
      <c r="B3727" s="1" t="s">
        <v>1475</v>
      </c>
      <c r="C3727" s="1" t="s">
        <v>2412</v>
      </c>
      <c r="D3727" s="1" t="s">
        <v>1998</v>
      </c>
      <c r="E3727" s="1"/>
      <c r="F3727" s="1" t="s">
        <v>11</v>
      </c>
      <c r="G3727">
        <v>1</v>
      </c>
      <c r="H3727">
        <v>1</v>
      </c>
      <c r="I3727" s="2">
        <v>45780</v>
      </c>
      <c r="J3727" s="2">
        <v>45764</v>
      </c>
      <c r="K3727" s="2">
        <v>45780</v>
      </c>
    </row>
    <row r="3728" spans="1:11" x14ac:dyDescent="0.25">
      <c r="A3728" s="1" t="s">
        <v>652</v>
      </c>
      <c r="B3728" s="1" t="s">
        <v>1500</v>
      </c>
      <c r="C3728" s="1" t="s">
        <v>2434</v>
      </c>
      <c r="D3728" s="1" t="s">
        <v>1998</v>
      </c>
      <c r="E3728" s="1"/>
      <c r="F3728" s="1" t="s">
        <v>11</v>
      </c>
      <c r="G3728">
        <v>80</v>
      </c>
      <c r="H3728">
        <v>80</v>
      </c>
      <c r="I3728" s="2">
        <v>45780</v>
      </c>
      <c r="J3728" s="2">
        <v>45764</v>
      </c>
      <c r="K3728" s="2">
        <v>45780</v>
      </c>
    </row>
    <row r="3729" spans="1:11" x14ac:dyDescent="0.25">
      <c r="A3729" s="1" t="s">
        <v>653</v>
      </c>
      <c r="B3729" s="1" t="s">
        <v>1482</v>
      </c>
      <c r="C3729" s="1" t="s">
        <v>2419</v>
      </c>
      <c r="D3729" s="1" t="s">
        <v>1998</v>
      </c>
      <c r="E3729" s="1"/>
      <c r="F3729" s="1" t="s">
        <v>11</v>
      </c>
      <c r="G3729">
        <v>1</v>
      </c>
      <c r="H3729">
        <v>1</v>
      </c>
      <c r="I3729" s="2"/>
      <c r="J3729" s="2">
        <v>45765</v>
      </c>
      <c r="K3729" s="2">
        <v>45789</v>
      </c>
    </row>
    <row r="3730" spans="1:11" x14ac:dyDescent="0.25">
      <c r="A3730" s="1" t="s">
        <v>653</v>
      </c>
      <c r="B3730" s="1" t="s">
        <v>1483</v>
      </c>
      <c r="C3730" s="1" t="s">
        <v>2420</v>
      </c>
      <c r="D3730" s="1" t="s">
        <v>1998</v>
      </c>
      <c r="E3730" s="1"/>
      <c r="F3730" s="1" t="s">
        <v>11</v>
      </c>
      <c r="G3730">
        <v>2100</v>
      </c>
      <c r="H3730">
        <v>2100</v>
      </c>
      <c r="I3730" s="2"/>
      <c r="J3730" s="2">
        <v>45765</v>
      </c>
      <c r="K3730" s="2">
        <v>45789</v>
      </c>
    </row>
    <row r="3731" spans="1:11" x14ac:dyDescent="0.25">
      <c r="A3731" s="1" t="s">
        <v>653</v>
      </c>
      <c r="B3731" s="1" t="s">
        <v>1484</v>
      </c>
      <c r="C3731" s="1" t="s">
        <v>2421</v>
      </c>
      <c r="D3731" s="1" t="s">
        <v>1998</v>
      </c>
      <c r="E3731" s="1"/>
      <c r="F3731" s="1" t="s">
        <v>11</v>
      </c>
      <c r="G3731">
        <v>5380</v>
      </c>
      <c r="H3731">
        <v>5380</v>
      </c>
      <c r="I3731" s="2"/>
      <c r="J3731" s="2">
        <v>45765</v>
      </c>
      <c r="K3731" s="2">
        <v>45789</v>
      </c>
    </row>
    <row r="3732" spans="1:11" x14ac:dyDescent="0.25">
      <c r="A3732" s="1" t="s">
        <v>653</v>
      </c>
      <c r="B3732" s="1" t="s">
        <v>1485</v>
      </c>
      <c r="C3732" s="1" t="s">
        <v>2422</v>
      </c>
      <c r="D3732" s="1" t="s">
        <v>1998</v>
      </c>
      <c r="E3732" s="1"/>
      <c r="F3732" s="1" t="s">
        <v>11</v>
      </c>
      <c r="G3732">
        <v>30</v>
      </c>
      <c r="H3732">
        <v>30</v>
      </c>
      <c r="I3732" s="2"/>
      <c r="J3732" s="2">
        <v>45765</v>
      </c>
      <c r="K3732" s="2">
        <v>45789</v>
      </c>
    </row>
    <row r="3733" spans="1:11" x14ac:dyDescent="0.25">
      <c r="A3733" s="1" t="s">
        <v>653</v>
      </c>
      <c r="B3733" s="1" t="s">
        <v>1486</v>
      </c>
      <c r="C3733" s="1" t="s">
        <v>2423</v>
      </c>
      <c r="D3733" s="1" t="s">
        <v>1998</v>
      </c>
      <c r="E3733" s="1"/>
      <c r="F3733" s="1" t="s">
        <v>11</v>
      </c>
      <c r="G3733">
        <v>2915</v>
      </c>
      <c r="H3733">
        <v>2915</v>
      </c>
      <c r="I3733" s="2"/>
      <c r="J3733" s="2">
        <v>45765</v>
      </c>
      <c r="K3733" s="2">
        <v>45789</v>
      </c>
    </row>
    <row r="3734" spans="1:11" x14ac:dyDescent="0.25">
      <c r="A3734" s="1" t="s">
        <v>653</v>
      </c>
      <c r="B3734" s="1" t="s">
        <v>1487</v>
      </c>
      <c r="C3734" s="1" t="s">
        <v>2424</v>
      </c>
      <c r="D3734" s="1" t="s">
        <v>1998</v>
      </c>
      <c r="E3734" s="1"/>
      <c r="F3734" s="1" t="s">
        <v>11</v>
      </c>
      <c r="G3734">
        <v>210</v>
      </c>
      <c r="H3734">
        <v>210</v>
      </c>
      <c r="I3734" s="2"/>
      <c r="J3734" s="2">
        <v>45765</v>
      </c>
      <c r="K3734" s="2">
        <v>45789</v>
      </c>
    </row>
    <row r="3735" spans="1:11" x14ac:dyDescent="0.25">
      <c r="A3735" s="1" t="s">
        <v>653</v>
      </c>
      <c r="B3735" s="1" t="s">
        <v>1470</v>
      </c>
      <c r="C3735" s="1" t="s">
        <v>2407</v>
      </c>
      <c r="D3735" s="1" t="s">
        <v>1998</v>
      </c>
      <c r="E3735" s="1"/>
      <c r="F3735" s="1" t="s">
        <v>11</v>
      </c>
      <c r="G3735">
        <v>20</v>
      </c>
      <c r="H3735">
        <v>20</v>
      </c>
      <c r="I3735" s="2"/>
      <c r="J3735" s="2">
        <v>45765</v>
      </c>
      <c r="K3735" s="2">
        <v>45789</v>
      </c>
    </row>
    <row r="3736" spans="1:11" x14ac:dyDescent="0.25">
      <c r="A3736" s="1" t="s">
        <v>653</v>
      </c>
      <c r="B3736" s="1" t="s">
        <v>1488</v>
      </c>
      <c r="C3736" s="1" t="s">
        <v>2425</v>
      </c>
      <c r="D3736" s="1" t="s">
        <v>1998</v>
      </c>
      <c r="E3736" s="1"/>
      <c r="F3736" s="1" t="s">
        <v>11</v>
      </c>
      <c r="G3736">
        <v>120</v>
      </c>
      <c r="H3736">
        <v>120</v>
      </c>
      <c r="I3736" s="2"/>
      <c r="J3736" s="2">
        <v>45765</v>
      </c>
      <c r="K3736" s="2">
        <v>45789</v>
      </c>
    </row>
    <row r="3737" spans="1:11" x14ac:dyDescent="0.25">
      <c r="A3737" s="1" t="s">
        <v>653</v>
      </c>
      <c r="B3737" s="1" t="s">
        <v>1472</v>
      </c>
      <c r="C3737" s="1" t="s">
        <v>2409</v>
      </c>
      <c r="D3737" s="1" t="s">
        <v>1998</v>
      </c>
      <c r="E3737" s="1"/>
      <c r="F3737" s="1" t="s">
        <v>11</v>
      </c>
      <c r="G3737">
        <v>5</v>
      </c>
      <c r="H3737">
        <v>5</v>
      </c>
      <c r="I3737" s="2"/>
      <c r="J3737" s="2">
        <v>45765</v>
      </c>
      <c r="K3737" s="2">
        <v>45789</v>
      </c>
    </row>
    <row r="3738" spans="1:11" x14ac:dyDescent="0.25">
      <c r="A3738" s="1" t="s">
        <v>653</v>
      </c>
      <c r="B3738" s="1" t="s">
        <v>1489</v>
      </c>
      <c r="C3738" s="1" t="s">
        <v>2426</v>
      </c>
      <c r="D3738" s="1" t="s">
        <v>1998</v>
      </c>
      <c r="E3738" s="1"/>
      <c r="F3738" s="1" t="s">
        <v>11</v>
      </c>
      <c r="G3738">
        <v>1</v>
      </c>
      <c r="H3738">
        <v>1</v>
      </c>
      <c r="I3738" s="2"/>
      <c r="J3738" s="2">
        <v>45765</v>
      </c>
      <c r="K3738" s="2">
        <v>45789</v>
      </c>
    </row>
    <row r="3739" spans="1:11" x14ac:dyDescent="0.25">
      <c r="A3739" s="1" t="s">
        <v>653</v>
      </c>
      <c r="B3739" s="1" t="s">
        <v>1490</v>
      </c>
      <c r="C3739" s="1" t="s">
        <v>2427</v>
      </c>
      <c r="D3739" s="1" t="s">
        <v>1998</v>
      </c>
      <c r="E3739" s="1"/>
      <c r="F3739" s="1" t="s">
        <v>11</v>
      </c>
      <c r="G3739">
        <v>1</v>
      </c>
      <c r="H3739">
        <v>1</v>
      </c>
      <c r="I3739" s="2"/>
      <c r="J3739" s="2">
        <v>45765</v>
      </c>
      <c r="K3739" s="2">
        <v>45789</v>
      </c>
    </row>
    <row r="3740" spans="1:11" x14ac:dyDescent="0.25">
      <c r="A3740" s="1" t="s">
        <v>653</v>
      </c>
      <c r="B3740" s="1" t="s">
        <v>1491</v>
      </c>
      <c r="C3740" s="1" t="s">
        <v>2428</v>
      </c>
      <c r="D3740" s="1" t="s">
        <v>1998</v>
      </c>
      <c r="E3740" s="1"/>
      <c r="F3740" s="1" t="s">
        <v>11</v>
      </c>
      <c r="G3740">
        <v>35</v>
      </c>
      <c r="H3740">
        <v>35</v>
      </c>
      <c r="I3740" s="2"/>
      <c r="J3740" s="2">
        <v>45765</v>
      </c>
      <c r="K3740" s="2">
        <v>45789</v>
      </c>
    </row>
    <row r="3741" spans="1:11" x14ac:dyDescent="0.25">
      <c r="A3741" s="1" t="s">
        <v>653</v>
      </c>
      <c r="B3741" s="1" t="s">
        <v>1492</v>
      </c>
      <c r="C3741" s="1" t="s">
        <v>2429</v>
      </c>
      <c r="D3741" s="1" t="s">
        <v>1998</v>
      </c>
      <c r="E3741" s="1"/>
      <c r="F3741" s="1" t="s">
        <v>11</v>
      </c>
      <c r="G3741">
        <v>5</v>
      </c>
      <c r="H3741">
        <v>5</v>
      </c>
      <c r="I3741" s="2"/>
      <c r="J3741" s="2">
        <v>45765</v>
      </c>
      <c r="K3741" s="2">
        <v>45789</v>
      </c>
    </row>
    <row r="3742" spans="1:11" x14ac:dyDescent="0.25">
      <c r="A3742" s="1" t="s">
        <v>653</v>
      </c>
      <c r="B3742" s="1" t="s">
        <v>1493</v>
      </c>
      <c r="C3742" s="1" t="s">
        <v>2429</v>
      </c>
      <c r="D3742" s="1" t="s">
        <v>1998</v>
      </c>
      <c r="E3742" s="1"/>
      <c r="F3742" s="1" t="s">
        <v>11</v>
      </c>
      <c r="G3742">
        <v>5</v>
      </c>
      <c r="H3742">
        <v>5</v>
      </c>
      <c r="I3742" s="2"/>
      <c r="J3742" s="2">
        <v>45765</v>
      </c>
      <c r="K3742" s="2">
        <v>45789</v>
      </c>
    </row>
    <row r="3743" spans="1:11" x14ac:dyDescent="0.25">
      <c r="A3743" s="1" t="s">
        <v>653</v>
      </c>
      <c r="B3743" s="1" t="s">
        <v>1494</v>
      </c>
      <c r="C3743" s="1" t="s">
        <v>2430</v>
      </c>
      <c r="D3743" s="1" t="s">
        <v>1998</v>
      </c>
      <c r="E3743" s="1"/>
      <c r="F3743" s="1" t="s">
        <v>11</v>
      </c>
      <c r="G3743">
        <v>1</v>
      </c>
      <c r="H3743">
        <v>1</v>
      </c>
      <c r="I3743" s="2"/>
      <c r="J3743" s="2">
        <v>45765</v>
      </c>
      <c r="K3743" s="2">
        <v>45789</v>
      </c>
    </row>
    <row r="3744" spans="1:11" x14ac:dyDescent="0.25">
      <c r="A3744" s="1" t="s">
        <v>653</v>
      </c>
      <c r="B3744" s="1" t="s">
        <v>1495</v>
      </c>
      <c r="C3744" s="1" t="s">
        <v>2431</v>
      </c>
      <c r="D3744" s="1" t="s">
        <v>1998</v>
      </c>
      <c r="E3744" s="1"/>
      <c r="F3744" s="1" t="s">
        <v>11</v>
      </c>
      <c r="G3744">
        <v>1</v>
      </c>
      <c r="H3744">
        <v>1</v>
      </c>
      <c r="I3744" s="2"/>
      <c r="J3744" s="2">
        <v>45765</v>
      </c>
      <c r="K3744" s="2">
        <v>45789</v>
      </c>
    </row>
    <row r="3745" spans="1:11" x14ac:dyDescent="0.25">
      <c r="A3745" s="1" t="s">
        <v>653</v>
      </c>
      <c r="B3745" s="1" t="s">
        <v>1496</v>
      </c>
      <c r="C3745" s="1" t="s">
        <v>2432</v>
      </c>
      <c r="D3745" s="1" t="s">
        <v>1998</v>
      </c>
      <c r="E3745" s="1"/>
      <c r="F3745" s="1" t="s">
        <v>11</v>
      </c>
      <c r="G3745">
        <v>1</v>
      </c>
      <c r="H3745">
        <v>1</v>
      </c>
      <c r="I3745" s="2"/>
      <c r="J3745" s="2">
        <v>45765</v>
      </c>
      <c r="K3745" s="2">
        <v>45789</v>
      </c>
    </row>
    <row r="3746" spans="1:11" x14ac:dyDescent="0.25">
      <c r="A3746" s="1" t="s">
        <v>653</v>
      </c>
      <c r="B3746" s="1" t="s">
        <v>1497</v>
      </c>
      <c r="C3746" s="1" t="s">
        <v>2432</v>
      </c>
      <c r="D3746" s="1" t="s">
        <v>1998</v>
      </c>
      <c r="E3746" s="1"/>
      <c r="F3746" s="1" t="s">
        <v>11</v>
      </c>
      <c r="G3746">
        <v>1</v>
      </c>
      <c r="H3746">
        <v>1</v>
      </c>
      <c r="I3746" s="2"/>
      <c r="J3746" s="2">
        <v>45765</v>
      </c>
      <c r="K3746" s="2">
        <v>45789</v>
      </c>
    </row>
    <row r="3747" spans="1:11" x14ac:dyDescent="0.25">
      <c r="A3747" s="1" t="s">
        <v>653</v>
      </c>
      <c r="B3747" s="1" t="s">
        <v>1027</v>
      </c>
      <c r="C3747" s="1" t="s">
        <v>2040</v>
      </c>
      <c r="D3747" s="1" t="s">
        <v>1998</v>
      </c>
      <c r="E3747" s="1"/>
      <c r="F3747" s="1" t="s">
        <v>11</v>
      </c>
      <c r="G3747">
        <v>30</v>
      </c>
      <c r="H3747">
        <v>30</v>
      </c>
      <c r="I3747" s="2"/>
      <c r="J3747" s="2">
        <v>45765</v>
      </c>
      <c r="K3747" s="2">
        <v>45789</v>
      </c>
    </row>
    <row r="3748" spans="1:11" x14ac:dyDescent="0.25">
      <c r="A3748" s="1" t="s">
        <v>653</v>
      </c>
      <c r="B3748" s="1" t="s">
        <v>1013</v>
      </c>
      <c r="C3748" s="1" t="s">
        <v>2030</v>
      </c>
      <c r="D3748" s="1" t="s">
        <v>1998</v>
      </c>
      <c r="E3748" s="1"/>
      <c r="F3748" s="1" t="s">
        <v>11</v>
      </c>
      <c r="G3748">
        <v>5</v>
      </c>
      <c r="H3748">
        <v>5</v>
      </c>
      <c r="I3748" s="2"/>
      <c r="J3748" s="2">
        <v>45765</v>
      </c>
      <c r="K3748" s="2">
        <v>45789</v>
      </c>
    </row>
    <row r="3749" spans="1:11" x14ac:dyDescent="0.25">
      <c r="A3749" s="1" t="s">
        <v>653</v>
      </c>
      <c r="B3749" s="1" t="s">
        <v>1498</v>
      </c>
      <c r="C3749" s="1" t="s">
        <v>2433</v>
      </c>
      <c r="D3749" s="1" t="s">
        <v>1998</v>
      </c>
      <c r="E3749" s="1"/>
      <c r="F3749" s="1" t="s">
        <v>11</v>
      </c>
      <c r="G3749">
        <v>1</v>
      </c>
      <c r="H3749">
        <v>1</v>
      </c>
      <c r="I3749" s="2"/>
      <c r="J3749" s="2">
        <v>45765</v>
      </c>
      <c r="K3749" s="2">
        <v>45789</v>
      </c>
    </row>
    <row r="3750" spans="1:11" x14ac:dyDescent="0.25">
      <c r="A3750" s="1" t="s">
        <v>653</v>
      </c>
      <c r="B3750" s="1" t="s">
        <v>1499</v>
      </c>
      <c r="C3750" s="1" t="s">
        <v>2433</v>
      </c>
      <c r="D3750" s="1" t="s">
        <v>1998</v>
      </c>
      <c r="E3750" s="1"/>
      <c r="F3750" s="1" t="s">
        <v>11</v>
      </c>
      <c r="G3750">
        <v>1</v>
      </c>
      <c r="H3750">
        <v>1</v>
      </c>
      <c r="I3750" s="2"/>
      <c r="J3750" s="2">
        <v>45765</v>
      </c>
      <c r="K3750" s="2">
        <v>45789</v>
      </c>
    </row>
    <row r="3751" spans="1:11" x14ac:dyDescent="0.25">
      <c r="A3751" s="1" t="s">
        <v>653</v>
      </c>
      <c r="B3751" s="1" t="s">
        <v>993</v>
      </c>
      <c r="C3751" s="1" t="s">
        <v>2011</v>
      </c>
      <c r="D3751" s="1" t="s">
        <v>1998</v>
      </c>
      <c r="E3751" s="1"/>
      <c r="F3751" s="1" t="s">
        <v>11</v>
      </c>
      <c r="G3751">
        <v>1</v>
      </c>
      <c r="H3751">
        <v>1</v>
      </c>
      <c r="I3751" s="2"/>
      <c r="J3751" s="2">
        <v>45765</v>
      </c>
      <c r="K3751" s="2">
        <v>45789</v>
      </c>
    </row>
    <row r="3752" spans="1:11" x14ac:dyDescent="0.25">
      <c r="A3752" s="1" t="s">
        <v>653</v>
      </c>
      <c r="B3752" s="1" t="s">
        <v>993</v>
      </c>
      <c r="C3752" s="1" t="s">
        <v>2011</v>
      </c>
      <c r="D3752" s="1" t="s">
        <v>1998</v>
      </c>
      <c r="E3752" s="1"/>
      <c r="F3752" s="1" t="s">
        <v>11</v>
      </c>
      <c r="G3752">
        <v>5</v>
      </c>
      <c r="H3752">
        <v>5</v>
      </c>
      <c r="I3752" s="2"/>
      <c r="J3752" s="2">
        <v>45765</v>
      </c>
      <c r="K3752" s="2">
        <v>45789</v>
      </c>
    </row>
    <row r="3753" spans="1:11" x14ac:dyDescent="0.25">
      <c r="A3753" s="1" t="s">
        <v>653</v>
      </c>
      <c r="B3753" s="1" t="s">
        <v>993</v>
      </c>
      <c r="C3753" s="1" t="s">
        <v>2011</v>
      </c>
      <c r="D3753" s="1" t="s">
        <v>1998</v>
      </c>
      <c r="E3753" s="1"/>
      <c r="F3753" s="1" t="s">
        <v>11</v>
      </c>
      <c r="G3753">
        <v>1</v>
      </c>
      <c r="H3753">
        <v>1</v>
      </c>
      <c r="I3753" s="2"/>
      <c r="J3753" s="2">
        <v>45765</v>
      </c>
      <c r="K3753" s="2">
        <v>45789</v>
      </c>
    </row>
    <row r="3754" spans="1:11" x14ac:dyDescent="0.25">
      <c r="A3754" s="1" t="s">
        <v>653</v>
      </c>
      <c r="B3754" s="1" t="s">
        <v>1473</v>
      </c>
      <c r="C3754" s="1" t="s">
        <v>2410</v>
      </c>
      <c r="D3754" s="1" t="s">
        <v>1998</v>
      </c>
      <c r="E3754" s="1"/>
      <c r="F3754" s="1" t="s">
        <v>11</v>
      </c>
      <c r="G3754">
        <v>1</v>
      </c>
      <c r="H3754">
        <v>1</v>
      </c>
      <c r="I3754" s="2"/>
      <c r="J3754" s="2">
        <v>45765</v>
      </c>
      <c r="K3754" s="2">
        <v>45789</v>
      </c>
    </row>
    <row r="3755" spans="1:11" x14ac:dyDescent="0.25">
      <c r="A3755" s="1" t="s">
        <v>653</v>
      </c>
      <c r="B3755" s="1" t="s">
        <v>1275</v>
      </c>
      <c r="C3755" s="1" t="s">
        <v>2252</v>
      </c>
      <c r="D3755" s="1" t="s">
        <v>1998</v>
      </c>
      <c r="E3755" s="1"/>
      <c r="F3755" s="1" t="s">
        <v>11</v>
      </c>
      <c r="G3755">
        <v>15</v>
      </c>
      <c r="H3755">
        <v>15</v>
      </c>
      <c r="I3755" s="2"/>
      <c r="J3755" s="2">
        <v>45765</v>
      </c>
      <c r="K3755" s="2">
        <v>45789</v>
      </c>
    </row>
    <row r="3756" spans="1:11" x14ac:dyDescent="0.25">
      <c r="A3756" s="1" t="s">
        <v>653</v>
      </c>
      <c r="B3756" s="1" t="s">
        <v>1474</v>
      </c>
      <c r="C3756" s="1" t="s">
        <v>2411</v>
      </c>
      <c r="D3756" s="1" t="s">
        <v>1998</v>
      </c>
      <c r="E3756" s="1"/>
      <c r="F3756" s="1" t="s">
        <v>11</v>
      </c>
      <c r="G3756">
        <v>1</v>
      </c>
      <c r="H3756">
        <v>1</v>
      </c>
      <c r="I3756" s="2"/>
      <c r="J3756" s="2">
        <v>45765</v>
      </c>
      <c r="K3756" s="2">
        <v>45789</v>
      </c>
    </row>
    <row r="3757" spans="1:11" x14ac:dyDescent="0.25">
      <c r="A3757" s="1" t="s">
        <v>653</v>
      </c>
      <c r="B3757" s="1" t="s">
        <v>1475</v>
      </c>
      <c r="C3757" s="1" t="s">
        <v>2412</v>
      </c>
      <c r="D3757" s="1" t="s">
        <v>1998</v>
      </c>
      <c r="E3757" s="1"/>
      <c r="F3757" s="1" t="s">
        <v>11</v>
      </c>
      <c r="G3757">
        <v>1</v>
      </c>
      <c r="H3757">
        <v>1</v>
      </c>
      <c r="I3757" s="2"/>
      <c r="J3757" s="2">
        <v>45765</v>
      </c>
      <c r="K3757" s="2">
        <v>45789</v>
      </c>
    </row>
    <row r="3758" spans="1:11" x14ac:dyDescent="0.25">
      <c r="A3758" s="1" t="s">
        <v>653</v>
      </c>
      <c r="B3758" s="1" t="s">
        <v>1500</v>
      </c>
      <c r="C3758" s="1" t="s">
        <v>2434</v>
      </c>
      <c r="D3758" s="1" t="s">
        <v>1998</v>
      </c>
      <c r="E3758" s="1"/>
      <c r="F3758" s="1" t="s">
        <v>11</v>
      </c>
      <c r="G3758">
        <v>80</v>
      </c>
      <c r="H3758">
        <v>80</v>
      </c>
      <c r="I3758" s="2"/>
      <c r="J3758" s="2">
        <v>45765</v>
      </c>
      <c r="K3758" s="2">
        <v>45789</v>
      </c>
    </row>
    <row r="3759" spans="1:11" x14ac:dyDescent="0.25">
      <c r="A3759" s="1" t="s">
        <v>654</v>
      </c>
      <c r="B3759" s="1" t="s">
        <v>1482</v>
      </c>
      <c r="C3759" s="1" t="s">
        <v>2419</v>
      </c>
      <c r="D3759" s="1" t="s">
        <v>1998</v>
      </c>
      <c r="E3759" s="1"/>
      <c r="F3759" s="1" t="s">
        <v>11</v>
      </c>
      <c r="G3759">
        <v>1</v>
      </c>
      <c r="H3759">
        <v>1</v>
      </c>
      <c r="I3759" s="2"/>
      <c r="J3759" s="2">
        <v>45765</v>
      </c>
      <c r="K3759" s="2">
        <v>45789</v>
      </c>
    </row>
    <row r="3760" spans="1:11" x14ac:dyDescent="0.25">
      <c r="A3760" s="1" t="s">
        <v>654</v>
      </c>
      <c r="B3760" s="1" t="s">
        <v>1483</v>
      </c>
      <c r="C3760" s="1" t="s">
        <v>2420</v>
      </c>
      <c r="D3760" s="1" t="s">
        <v>1998</v>
      </c>
      <c r="E3760" s="1"/>
      <c r="F3760" s="1" t="s">
        <v>11</v>
      </c>
      <c r="G3760">
        <v>2100</v>
      </c>
      <c r="H3760">
        <v>2100</v>
      </c>
      <c r="I3760" s="2"/>
      <c r="J3760" s="2">
        <v>45765</v>
      </c>
      <c r="K3760" s="2">
        <v>45789</v>
      </c>
    </row>
    <row r="3761" spans="1:11" x14ac:dyDescent="0.25">
      <c r="A3761" s="1" t="s">
        <v>654</v>
      </c>
      <c r="B3761" s="1" t="s">
        <v>1484</v>
      </c>
      <c r="C3761" s="1" t="s">
        <v>2421</v>
      </c>
      <c r="D3761" s="1" t="s">
        <v>1998</v>
      </c>
      <c r="E3761" s="1"/>
      <c r="F3761" s="1" t="s">
        <v>11</v>
      </c>
      <c r="G3761">
        <v>5380</v>
      </c>
      <c r="H3761">
        <v>5380</v>
      </c>
      <c r="I3761" s="2"/>
      <c r="J3761" s="2">
        <v>45765</v>
      </c>
      <c r="K3761" s="2">
        <v>45789</v>
      </c>
    </row>
    <row r="3762" spans="1:11" x14ac:dyDescent="0.25">
      <c r="A3762" s="1" t="s">
        <v>654</v>
      </c>
      <c r="B3762" s="1" t="s">
        <v>1485</v>
      </c>
      <c r="C3762" s="1" t="s">
        <v>2422</v>
      </c>
      <c r="D3762" s="1" t="s">
        <v>1998</v>
      </c>
      <c r="E3762" s="1"/>
      <c r="F3762" s="1" t="s">
        <v>11</v>
      </c>
      <c r="G3762">
        <v>30</v>
      </c>
      <c r="H3762">
        <v>30</v>
      </c>
      <c r="I3762" s="2"/>
      <c r="J3762" s="2">
        <v>45765</v>
      </c>
      <c r="K3762" s="2">
        <v>45789</v>
      </c>
    </row>
    <row r="3763" spans="1:11" x14ac:dyDescent="0.25">
      <c r="A3763" s="1" t="s">
        <v>654</v>
      </c>
      <c r="B3763" s="1" t="s">
        <v>1486</v>
      </c>
      <c r="C3763" s="1" t="s">
        <v>2423</v>
      </c>
      <c r="D3763" s="1" t="s">
        <v>1998</v>
      </c>
      <c r="E3763" s="1"/>
      <c r="F3763" s="1" t="s">
        <v>11</v>
      </c>
      <c r="G3763">
        <v>2915</v>
      </c>
      <c r="H3763">
        <v>2915</v>
      </c>
      <c r="I3763" s="2"/>
      <c r="J3763" s="2">
        <v>45765</v>
      </c>
      <c r="K3763" s="2">
        <v>45789</v>
      </c>
    </row>
    <row r="3764" spans="1:11" x14ac:dyDescent="0.25">
      <c r="A3764" s="1" t="s">
        <v>654</v>
      </c>
      <c r="B3764" s="1" t="s">
        <v>1487</v>
      </c>
      <c r="C3764" s="1" t="s">
        <v>2424</v>
      </c>
      <c r="D3764" s="1" t="s">
        <v>1998</v>
      </c>
      <c r="E3764" s="1"/>
      <c r="F3764" s="1" t="s">
        <v>11</v>
      </c>
      <c r="G3764">
        <v>210</v>
      </c>
      <c r="H3764">
        <v>210</v>
      </c>
      <c r="I3764" s="2"/>
      <c r="J3764" s="2">
        <v>45765</v>
      </c>
      <c r="K3764" s="2">
        <v>45789</v>
      </c>
    </row>
    <row r="3765" spans="1:11" x14ac:dyDescent="0.25">
      <c r="A3765" s="1" t="s">
        <v>654</v>
      </c>
      <c r="B3765" s="1" t="s">
        <v>1470</v>
      </c>
      <c r="C3765" s="1" t="s">
        <v>2407</v>
      </c>
      <c r="D3765" s="1" t="s">
        <v>1998</v>
      </c>
      <c r="E3765" s="1"/>
      <c r="F3765" s="1" t="s">
        <v>11</v>
      </c>
      <c r="G3765">
        <v>20</v>
      </c>
      <c r="H3765">
        <v>1</v>
      </c>
      <c r="I3765" s="2"/>
      <c r="J3765" s="2">
        <v>45765</v>
      </c>
      <c r="K3765" s="2">
        <v>45789</v>
      </c>
    </row>
    <row r="3766" spans="1:11" x14ac:dyDescent="0.25">
      <c r="A3766" s="1" t="s">
        <v>654</v>
      </c>
      <c r="B3766" s="1" t="s">
        <v>1488</v>
      </c>
      <c r="C3766" s="1" t="s">
        <v>2425</v>
      </c>
      <c r="D3766" s="1" t="s">
        <v>1998</v>
      </c>
      <c r="E3766" s="1"/>
      <c r="F3766" s="1" t="s">
        <v>11</v>
      </c>
      <c r="G3766">
        <v>120</v>
      </c>
      <c r="H3766">
        <v>120</v>
      </c>
      <c r="I3766" s="2"/>
      <c r="J3766" s="2">
        <v>45765</v>
      </c>
      <c r="K3766" s="2">
        <v>45789</v>
      </c>
    </row>
    <row r="3767" spans="1:11" x14ac:dyDescent="0.25">
      <c r="A3767" s="1" t="s">
        <v>654</v>
      </c>
      <c r="B3767" s="1" t="s">
        <v>1472</v>
      </c>
      <c r="C3767" s="1" t="s">
        <v>2409</v>
      </c>
      <c r="D3767" s="1" t="s">
        <v>1998</v>
      </c>
      <c r="E3767" s="1"/>
      <c r="F3767" s="1" t="s">
        <v>11</v>
      </c>
      <c r="G3767">
        <v>5</v>
      </c>
      <c r="H3767">
        <v>1</v>
      </c>
      <c r="I3767" s="2"/>
      <c r="J3767" s="2">
        <v>45765</v>
      </c>
      <c r="K3767" s="2">
        <v>45789</v>
      </c>
    </row>
    <row r="3768" spans="1:11" x14ac:dyDescent="0.25">
      <c r="A3768" s="1" t="s">
        <v>654</v>
      </c>
      <c r="B3768" s="1" t="s">
        <v>1489</v>
      </c>
      <c r="C3768" s="1" t="s">
        <v>2426</v>
      </c>
      <c r="D3768" s="1" t="s">
        <v>1998</v>
      </c>
      <c r="E3768" s="1"/>
      <c r="F3768" s="1" t="s">
        <v>11</v>
      </c>
      <c r="G3768">
        <v>1</v>
      </c>
      <c r="H3768">
        <v>1</v>
      </c>
      <c r="I3768" s="2"/>
      <c r="J3768" s="2">
        <v>45765</v>
      </c>
      <c r="K3768" s="2">
        <v>45789</v>
      </c>
    </row>
    <row r="3769" spans="1:11" x14ac:dyDescent="0.25">
      <c r="A3769" s="1" t="s">
        <v>654</v>
      </c>
      <c r="B3769" s="1" t="s">
        <v>1490</v>
      </c>
      <c r="C3769" s="1" t="s">
        <v>2427</v>
      </c>
      <c r="D3769" s="1" t="s">
        <v>1998</v>
      </c>
      <c r="E3769" s="1"/>
      <c r="F3769" s="1" t="s">
        <v>11</v>
      </c>
      <c r="G3769">
        <v>1</v>
      </c>
      <c r="H3769">
        <v>1</v>
      </c>
      <c r="I3769" s="2"/>
      <c r="J3769" s="2">
        <v>45765</v>
      </c>
      <c r="K3769" s="2">
        <v>45789</v>
      </c>
    </row>
    <row r="3770" spans="1:11" x14ac:dyDescent="0.25">
      <c r="A3770" s="1" t="s">
        <v>654</v>
      </c>
      <c r="B3770" s="1" t="s">
        <v>1491</v>
      </c>
      <c r="C3770" s="1" t="s">
        <v>2428</v>
      </c>
      <c r="D3770" s="1" t="s">
        <v>1998</v>
      </c>
      <c r="E3770" s="1"/>
      <c r="F3770" s="1" t="s">
        <v>11</v>
      </c>
      <c r="G3770">
        <v>35</v>
      </c>
      <c r="H3770">
        <v>35</v>
      </c>
      <c r="I3770" s="2"/>
      <c r="J3770" s="2">
        <v>45765</v>
      </c>
      <c r="K3770" s="2">
        <v>45789</v>
      </c>
    </row>
    <row r="3771" spans="1:11" x14ac:dyDescent="0.25">
      <c r="A3771" s="1" t="s">
        <v>654</v>
      </c>
      <c r="B3771" s="1" t="s">
        <v>1492</v>
      </c>
      <c r="C3771" s="1" t="s">
        <v>2429</v>
      </c>
      <c r="D3771" s="1" t="s">
        <v>1998</v>
      </c>
      <c r="E3771" s="1"/>
      <c r="F3771" s="1" t="s">
        <v>11</v>
      </c>
      <c r="G3771">
        <v>5</v>
      </c>
      <c r="H3771">
        <v>5</v>
      </c>
      <c r="I3771" s="2"/>
      <c r="J3771" s="2">
        <v>45765</v>
      </c>
      <c r="K3771" s="2">
        <v>45789</v>
      </c>
    </row>
    <row r="3772" spans="1:11" x14ac:dyDescent="0.25">
      <c r="A3772" s="1" t="s">
        <v>654</v>
      </c>
      <c r="B3772" s="1" t="s">
        <v>1493</v>
      </c>
      <c r="C3772" s="1" t="s">
        <v>2429</v>
      </c>
      <c r="D3772" s="1" t="s">
        <v>1998</v>
      </c>
      <c r="E3772" s="1"/>
      <c r="F3772" s="1" t="s">
        <v>11</v>
      </c>
      <c r="G3772">
        <v>5</v>
      </c>
      <c r="H3772">
        <v>5</v>
      </c>
      <c r="I3772" s="2"/>
      <c r="J3772" s="2">
        <v>45765</v>
      </c>
      <c r="K3772" s="2">
        <v>45789</v>
      </c>
    </row>
    <row r="3773" spans="1:11" x14ac:dyDescent="0.25">
      <c r="A3773" s="1" t="s">
        <v>654</v>
      </c>
      <c r="B3773" s="1" t="s">
        <v>1494</v>
      </c>
      <c r="C3773" s="1" t="s">
        <v>2430</v>
      </c>
      <c r="D3773" s="1" t="s">
        <v>1998</v>
      </c>
      <c r="E3773" s="1"/>
      <c r="F3773" s="1" t="s">
        <v>11</v>
      </c>
      <c r="G3773">
        <v>1</v>
      </c>
      <c r="H3773">
        <v>1</v>
      </c>
      <c r="I3773" s="2"/>
      <c r="J3773" s="2">
        <v>45765</v>
      </c>
      <c r="K3773" s="2">
        <v>45789</v>
      </c>
    </row>
    <row r="3774" spans="1:11" x14ac:dyDescent="0.25">
      <c r="A3774" s="1" t="s">
        <v>654</v>
      </c>
      <c r="B3774" s="1" t="s">
        <v>1495</v>
      </c>
      <c r="C3774" s="1" t="s">
        <v>2431</v>
      </c>
      <c r="D3774" s="1" t="s">
        <v>1998</v>
      </c>
      <c r="E3774" s="1"/>
      <c r="F3774" s="1" t="s">
        <v>11</v>
      </c>
      <c r="G3774">
        <v>1</v>
      </c>
      <c r="H3774">
        <v>1</v>
      </c>
      <c r="I3774" s="2"/>
      <c r="J3774" s="2">
        <v>45765</v>
      </c>
      <c r="K3774" s="2">
        <v>45789</v>
      </c>
    </row>
    <row r="3775" spans="1:11" x14ac:dyDescent="0.25">
      <c r="A3775" s="1" t="s">
        <v>654</v>
      </c>
      <c r="B3775" s="1" t="s">
        <v>1496</v>
      </c>
      <c r="C3775" s="1" t="s">
        <v>2432</v>
      </c>
      <c r="D3775" s="1" t="s">
        <v>1998</v>
      </c>
      <c r="E3775" s="1"/>
      <c r="F3775" s="1" t="s">
        <v>11</v>
      </c>
      <c r="G3775">
        <v>1</v>
      </c>
      <c r="H3775">
        <v>1</v>
      </c>
      <c r="I3775" s="2"/>
      <c r="J3775" s="2">
        <v>45765</v>
      </c>
      <c r="K3775" s="2">
        <v>45789</v>
      </c>
    </row>
    <row r="3776" spans="1:11" x14ac:dyDescent="0.25">
      <c r="A3776" s="1" t="s">
        <v>654</v>
      </c>
      <c r="B3776" s="1" t="s">
        <v>1497</v>
      </c>
      <c r="C3776" s="1" t="s">
        <v>2432</v>
      </c>
      <c r="D3776" s="1" t="s">
        <v>1998</v>
      </c>
      <c r="E3776" s="1"/>
      <c r="F3776" s="1" t="s">
        <v>11</v>
      </c>
      <c r="G3776">
        <v>1</v>
      </c>
      <c r="H3776">
        <v>1</v>
      </c>
      <c r="I3776" s="2"/>
      <c r="J3776" s="2">
        <v>45765</v>
      </c>
      <c r="K3776" s="2">
        <v>45789</v>
      </c>
    </row>
    <row r="3777" spans="1:11" x14ac:dyDescent="0.25">
      <c r="A3777" s="1" t="s">
        <v>654</v>
      </c>
      <c r="B3777" s="1" t="s">
        <v>1027</v>
      </c>
      <c r="C3777" s="1" t="s">
        <v>2040</v>
      </c>
      <c r="D3777" s="1" t="s">
        <v>1998</v>
      </c>
      <c r="E3777" s="1"/>
      <c r="F3777" s="1" t="s">
        <v>11</v>
      </c>
      <c r="G3777">
        <v>30</v>
      </c>
      <c r="H3777">
        <v>30</v>
      </c>
      <c r="I3777" s="2"/>
      <c r="J3777" s="2">
        <v>45765</v>
      </c>
      <c r="K3777" s="2">
        <v>45789</v>
      </c>
    </row>
    <row r="3778" spans="1:11" x14ac:dyDescent="0.25">
      <c r="A3778" s="1" t="s">
        <v>654</v>
      </c>
      <c r="B3778" s="1" t="s">
        <v>1013</v>
      </c>
      <c r="C3778" s="1" t="s">
        <v>2030</v>
      </c>
      <c r="D3778" s="1" t="s">
        <v>1998</v>
      </c>
      <c r="E3778" s="1"/>
      <c r="F3778" s="1" t="s">
        <v>11</v>
      </c>
      <c r="G3778">
        <v>5</v>
      </c>
      <c r="H3778">
        <v>5</v>
      </c>
      <c r="I3778" s="2"/>
      <c r="J3778" s="2">
        <v>45765</v>
      </c>
      <c r="K3778" s="2">
        <v>45789</v>
      </c>
    </row>
    <row r="3779" spans="1:11" x14ac:dyDescent="0.25">
      <c r="A3779" s="1" t="s">
        <v>654</v>
      </c>
      <c r="B3779" s="1" t="s">
        <v>1498</v>
      </c>
      <c r="C3779" s="1" t="s">
        <v>2433</v>
      </c>
      <c r="D3779" s="1" t="s">
        <v>1998</v>
      </c>
      <c r="E3779" s="1"/>
      <c r="F3779" s="1" t="s">
        <v>11</v>
      </c>
      <c r="G3779">
        <v>1</v>
      </c>
      <c r="H3779">
        <v>1</v>
      </c>
      <c r="I3779" s="2"/>
      <c r="J3779" s="2">
        <v>45765</v>
      </c>
      <c r="K3779" s="2">
        <v>45789</v>
      </c>
    </row>
    <row r="3780" spans="1:11" x14ac:dyDescent="0.25">
      <c r="A3780" s="1" t="s">
        <v>654</v>
      </c>
      <c r="B3780" s="1" t="s">
        <v>1499</v>
      </c>
      <c r="C3780" s="1" t="s">
        <v>2433</v>
      </c>
      <c r="D3780" s="1" t="s">
        <v>1998</v>
      </c>
      <c r="E3780" s="1"/>
      <c r="F3780" s="1" t="s">
        <v>11</v>
      </c>
      <c r="G3780">
        <v>1</v>
      </c>
      <c r="H3780">
        <v>1</v>
      </c>
      <c r="I3780" s="2"/>
      <c r="J3780" s="2">
        <v>45765</v>
      </c>
      <c r="K3780" s="2">
        <v>45789</v>
      </c>
    </row>
    <row r="3781" spans="1:11" x14ac:dyDescent="0.25">
      <c r="A3781" s="1" t="s">
        <v>654</v>
      </c>
      <c r="B3781" s="1" t="s">
        <v>993</v>
      </c>
      <c r="C3781" s="1" t="s">
        <v>2011</v>
      </c>
      <c r="D3781" s="1" t="s">
        <v>1998</v>
      </c>
      <c r="E3781" s="1"/>
      <c r="F3781" s="1" t="s">
        <v>11</v>
      </c>
      <c r="G3781">
        <v>1</v>
      </c>
      <c r="H3781">
        <v>1</v>
      </c>
      <c r="I3781" s="2"/>
      <c r="J3781" s="2">
        <v>45765</v>
      </c>
      <c r="K3781" s="2">
        <v>45789</v>
      </c>
    </row>
    <row r="3782" spans="1:11" x14ac:dyDescent="0.25">
      <c r="A3782" s="1" t="s">
        <v>654</v>
      </c>
      <c r="B3782" s="1" t="s">
        <v>993</v>
      </c>
      <c r="C3782" s="1" t="s">
        <v>2011</v>
      </c>
      <c r="D3782" s="1" t="s">
        <v>1998</v>
      </c>
      <c r="E3782" s="1"/>
      <c r="F3782" s="1" t="s">
        <v>11</v>
      </c>
      <c r="G3782">
        <v>5</v>
      </c>
      <c r="H3782">
        <v>5</v>
      </c>
      <c r="I3782" s="2"/>
      <c r="J3782" s="2">
        <v>45765</v>
      </c>
      <c r="K3782" s="2">
        <v>45789</v>
      </c>
    </row>
    <row r="3783" spans="1:11" x14ac:dyDescent="0.25">
      <c r="A3783" s="1" t="s">
        <v>654</v>
      </c>
      <c r="B3783" s="1" t="s">
        <v>993</v>
      </c>
      <c r="C3783" s="1" t="s">
        <v>2011</v>
      </c>
      <c r="D3783" s="1" t="s">
        <v>1998</v>
      </c>
      <c r="E3783" s="1"/>
      <c r="F3783" s="1" t="s">
        <v>11</v>
      </c>
      <c r="G3783">
        <v>1</v>
      </c>
      <c r="H3783">
        <v>1</v>
      </c>
      <c r="I3783" s="2"/>
      <c r="J3783" s="2">
        <v>45765</v>
      </c>
      <c r="K3783" s="2">
        <v>45789</v>
      </c>
    </row>
    <row r="3784" spans="1:11" x14ac:dyDescent="0.25">
      <c r="A3784" s="1" t="s">
        <v>654</v>
      </c>
      <c r="B3784" s="1" t="s">
        <v>1473</v>
      </c>
      <c r="C3784" s="1" t="s">
        <v>2410</v>
      </c>
      <c r="D3784" s="1" t="s">
        <v>1998</v>
      </c>
      <c r="E3784" s="1"/>
      <c r="F3784" s="1" t="s">
        <v>11</v>
      </c>
      <c r="G3784">
        <v>1</v>
      </c>
      <c r="H3784">
        <v>1</v>
      </c>
      <c r="I3784" s="2"/>
      <c r="J3784" s="2">
        <v>45765</v>
      </c>
      <c r="K3784" s="2">
        <v>45789</v>
      </c>
    </row>
    <row r="3785" spans="1:11" x14ac:dyDescent="0.25">
      <c r="A3785" s="1" t="s">
        <v>654</v>
      </c>
      <c r="B3785" s="1" t="s">
        <v>1275</v>
      </c>
      <c r="C3785" s="1" t="s">
        <v>2252</v>
      </c>
      <c r="D3785" s="1" t="s">
        <v>1998</v>
      </c>
      <c r="E3785" s="1"/>
      <c r="F3785" s="1" t="s">
        <v>11</v>
      </c>
      <c r="G3785">
        <v>15</v>
      </c>
      <c r="H3785">
        <v>1</v>
      </c>
      <c r="I3785" s="2"/>
      <c r="J3785" s="2">
        <v>45765</v>
      </c>
      <c r="K3785" s="2">
        <v>45789</v>
      </c>
    </row>
    <row r="3786" spans="1:11" x14ac:dyDescent="0.25">
      <c r="A3786" s="1" t="s">
        <v>654</v>
      </c>
      <c r="B3786" s="1" t="s">
        <v>1474</v>
      </c>
      <c r="C3786" s="1" t="s">
        <v>2411</v>
      </c>
      <c r="D3786" s="1" t="s">
        <v>1998</v>
      </c>
      <c r="E3786" s="1"/>
      <c r="F3786" s="1" t="s">
        <v>11</v>
      </c>
      <c r="G3786">
        <v>1</v>
      </c>
      <c r="H3786">
        <v>1</v>
      </c>
      <c r="I3786" s="2"/>
      <c r="J3786" s="2">
        <v>45765</v>
      </c>
      <c r="K3786" s="2">
        <v>45789</v>
      </c>
    </row>
    <row r="3787" spans="1:11" x14ac:dyDescent="0.25">
      <c r="A3787" s="1" t="s">
        <v>654</v>
      </c>
      <c r="B3787" s="1" t="s">
        <v>1475</v>
      </c>
      <c r="C3787" s="1" t="s">
        <v>2412</v>
      </c>
      <c r="D3787" s="1" t="s">
        <v>1998</v>
      </c>
      <c r="E3787" s="1"/>
      <c r="F3787" s="1" t="s">
        <v>11</v>
      </c>
      <c r="G3787">
        <v>1</v>
      </c>
      <c r="H3787">
        <v>1</v>
      </c>
      <c r="I3787" s="2"/>
      <c r="J3787" s="2">
        <v>45765</v>
      </c>
      <c r="K3787" s="2">
        <v>45789</v>
      </c>
    </row>
    <row r="3788" spans="1:11" x14ac:dyDescent="0.25">
      <c r="A3788" s="1" t="s">
        <v>654</v>
      </c>
      <c r="B3788" s="1" t="s">
        <v>1500</v>
      </c>
      <c r="C3788" s="1" t="s">
        <v>2434</v>
      </c>
      <c r="D3788" s="1" t="s">
        <v>1998</v>
      </c>
      <c r="E3788" s="1"/>
      <c r="F3788" s="1" t="s">
        <v>11</v>
      </c>
      <c r="G3788">
        <v>80</v>
      </c>
      <c r="H3788">
        <v>80</v>
      </c>
      <c r="I3788" s="2"/>
      <c r="J3788" s="2">
        <v>45765</v>
      </c>
      <c r="K3788" s="2">
        <v>45789</v>
      </c>
    </row>
    <row r="3789" spans="1:11" x14ac:dyDescent="0.25">
      <c r="A3789" s="1" t="s">
        <v>655</v>
      </c>
      <c r="B3789" s="1" t="s">
        <v>1482</v>
      </c>
      <c r="C3789" s="1" t="s">
        <v>2419</v>
      </c>
      <c r="D3789" s="1" t="s">
        <v>1998</v>
      </c>
      <c r="E3789" s="1"/>
      <c r="F3789" s="1" t="s">
        <v>11</v>
      </c>
      <c r="G3789">
        <v>1</v>
      </c>
      <c r="H3789">
        <v>1</v>
      </c>
      <c r="I3789" s="2">
        <v>45787</v>
      </c>
      <c r="J3789" s="2">
        <v>45765</v>
      </c>
      <c r="K3789" s="2">
        <v>45787</v>
      </c>
    </row>
    <row r="3790" spans="1:11" x14ac:dyDescent="0.25">
      <c r="A3790" s="1" t="s">
        <v>655</v>
      </c>
      <c r="B3790" s="1" t="s">
        <v>1483</v>
      </c>
      <c r="C3790" s="1" t="s">
        <v>2420</v>
      </c>
      <c r="D3790" s="1" t="s">
        <v>1998</v>
      </c>
      <c r="E3790" s="1"/>
      <c r="F3790" s="1" t="s">
        <v>11</v>
      </c>
      <c r="G3790">
        <v>2100</v>
      </c>
      <c r="H3790">
        <v>2100</v>
      </c>
      <c r="I3790" s="2">
        <v>45787</v>
      </c>
      <c r="J3790" s="2">
        <v>45765</v>
      </c>
      <c r="K3790" s="2">
        <v>45787</v>
      </c>
    </row>
    <row r="3791" spans="1:11" x14ac:dyDescent="0.25">
      <c r="A3791" s="1" t="s">
        <v>655</v>
      </c>
      <c r="B3791" s="1" t="s">
        <v>1484</v>
      </c>
      <c r="C3791" s="1" t="s">
        <v>2421</v>
      </c>
      <c r="D3791" s="1" t="s">
        <v>1998</v>
      </c>
      <c r="E3791" s="1"/>
      <c r="F3791" s="1" t="s">
        <v>11</v>
      </c>
      <c r="G3791">
        <v>5380</v>
      </c>
      <c r="H3791">
        <v>5380</v>
      </c>
      <c r="I3791" s="2">
        <v>45787</v>
      </c>
      <c r="J3791" s="2">
        <v>45765</v>
      </c>
      <c r="K3791" s="2">
        <v>45787</v>
      </c>
    </row>
    <row r="3792" spans="1:11" x14ac:dyDescent="0.25">
      <c r="A3792" s="1" t="s">
        <v>655</v>
      </c>
      <c r="B3792" s="1" t="s">
        <v>1485</v>
      </c>
      <c r="C3792" s="1" t="s">
        <v>2422</v>
      </c>
      <c r="D3792" s="1" t="s">
        <v>1998</v>
      </c>
      <c r="E3792" s="1"/>
      <c r="F3792" s="1" t="s">
        <v>11</v>
      </c>
      <c r="G3792">
        <v>30</v>
      </c>
      <c r="H3792">
        <v>30</v>
      </c>
      <c r="I3792" s="2">
        <v>45787</v>
      </c>
      <c r="J3792" s="2">
        <v>45765</v>
      </c>
      <c r="K3792" s="2">
        <v>45787</v>
      </c>
    </row>
    <row r="3793" spans="1:11" x14ac:dyDescent="0.25">
      <c r="A3793" s="1" t="s">
        <v>655</v>
      </c>
      <c r="B3793" s="1" t="s">
        <v>1486</v>
      </c>
      <c r="C3793" s="1" t="s">
        <v>2423</v>
      </c>
      <c r="D3793" s="1" t="s">
        <v>1998</v>
      </c>
      <c r="E3793" s="1"/>
      <c r="F3793" s="1" t="s">
        <v>11</v>
      </c>
      <c r="G3793">
        <v>2915</v>
      </c>
      <c r="H3793">
        <v>2915</v>
      </c>
      <c r="I3793" s="2">
        <v>45787</v>
      </c>
      <c r="J3793" s="2">
        <v>45765</v>
      </c>
      <c r="K3793" s="2">
        <v>45787</v>
      </c>
    </row>
    <row r="3794" spans="1:11" x14ac:dyDescent="0.25">
      <c r="A3794" s="1" t="s">
        <v>655</v>
      </c>
      <c r="B3794" s="1" t="s">
        <v>1487</v>
      </c>
      <c r="C3794" s="1" t="s">
        <v>2424</v>
      </c>
      <c r="D3794" s="1" t="s">
        <v>1998</v>
      </c>
      <c r="E3794" s="1"/>
      <c r="F3794" s="1" t="s">
        <v>11</v>
      </c>
      <c r="G3794">
        <v>210</v>
      </c>
      <c r="H3794">
        <v>210</v>
      </c>
      <c r="I3794" s="2">
        <v>45787</v>
      </c>
      <c r="J3794" s="2">
        <v>45765</v>
      </c>
      <c r="K3794" s="2">
        <v>45787</v>
      </c>
    </row>
    <row r="3795" spans="1:11" x14ac:dyDescent="0.25">
      <c r="A3795" s="1" t="s">
        <v>655</v>
      </c>
      <c r="B3795" s="1" t="s">
        <v>1470</v>
      </c>
      <c r="C3795" s="1" t="s">
        <v>2407</v>
      </c>
      <c r="D3795" s="1" t="s">
        <v>1998</v>
      </c>
      <c r="E3795" s="1"/>
      <c r="F3795" s="1" t="s">
        <v>11</v>
      </c>
      <c r="G3795">
        <v>20</v>
      </c>
      <c r="H3795">
        <v>20</v>
      </c>
      <c r="I3795" s="2">
        <v>45787</v>
      </c>
      <c r="J3795" s="2">
        <v>45765</v>
      </c>
      <c r="K3795" s="2">
        <v>45787</v>
      </c>
    </row>
    <row r="3796" spans="1:11" x14ac:dyDescent="0.25">
      <c r="A3796" s="1" t="s">
        <v>655</v>
      </c>
      <c r="B3796" s="1" t="s">
        <v>1488</v>
      </c>
      <c r="C3796" s="1" t="s">
        <v>2425</v>
      </c>
      <c r="D3796" s="1" t="s">
        <v>1998</v>
      </c>
      <c r="E3796" s="1"/>
      <c r="F3796" s="1" t="s">
        <v>11</v>
      </c>
      <c r="G3796">
        <v>120</v>
      </c>
      <c r="H3796">
        <v>120</v>
      </c>
      <c r="I3796" s="2">
        <v>45787</v>
      </c>
      <c r="J3796" s="2">
        <v>45765</v>
      </c>
      <c r="K3796" s="2">
        <v>45787</v>
      </c>
    </row>
    <row r="3797" spans="1:11" x14ac:dyDescent="0.25">
      <c r="A3797" s="1" t="s">
        <v>655</v>
      </c>
      <c r="B3797" s="1" t="s">
        <v>1472</v>
      </c>
      <c r="C3797" s="1" t="s">
        <v>2409</v>
      </c>
      <c r="D3797" s="1" t="s">
        <v>1998</v>
      </c>
      <c r="E3797" s="1"/>
      <c r="F3797" s="1" t="s">
        <v>11</v>
      </c>
      <c r="G3797">
        <v>5</v>
      </c>
      <c r="H3797">
        <v>5</v>
      </c>
      <c r="I3797" s="2">
        <v>45787</v>
      </c>
      <c r="J3797" s="2">
        <v>45765</v>
      </c>
      <c r="K3797" s="2">
        <v>45787</v>
      </c>
    </row>
    <row r="3798" spans="1:11" x14ac:dyDescent="0.25">
      <c r="A3798" s="1" t="s">
        <v>655</v>
      </c>
      <c r="B3798" s="1" t="s">
        <v>1489</v>
      </c>
      <c r="C3798" s="1" t="s">
        <v>2426</v>
      </c>
      <c r="D3798" s="1" t="s">
        <v>1998</v>
      </c>
      <c r="E3798" s="1"/>
      <c r="F3798" s="1" t="s">
        <v>11</v>
      </c>
      <c r="G3798">
        <v>1</v>
      </c>
      <c r="H3798">
        <v>1</v>
      </c>
      <c r="I3798" s="2">
        <v>45787</v>
      </c>
      <c r="J3798" s="2">
        <v>45765</v>
      </c>
      <c r="K3798" s="2">
        <v>45787</v>
      </c>
    </row>
    <row r="3799" spans="1:11" x14ac:dyDescent="0.25">
      <c r="A3799" s="1" t="s">
        <v>655</v>
      </c>
      <c r="B3799" s="1" t="s">
        <v>1490</v>
      </c>
      <c r="C3799" s="1" t="s">
        <v>2427</v>
      </c>
      <c r="D3799" s="1" t="s">
        <v>1998</v>
      </c>
      <c r="E3799" s="1"/>
      <c r="F3799" s="1" t="s">
        <v>11</v>
      </c>
      <c r="G3799">
        <v>1</v>
      </c>
      <c r="H3799">
        <v>1</v>
      </c>
      <c r="I3799" s="2">
        <v>45787</v>
      </c>
      <c r="J3799" s="2">
        <v>45765</v>
      </c>
      <c r="K3799" s="2">
        <v>45787</v>
      </c>
    </row>
    <row r="3800" spans="1:11" x14ac:dyDescent="0.25">
      <c r="A3800" s="1" t="s">
        <v>655</v>
      </c>
      <c r="B3800" s="1" t="s">
        <v>1491</v>
      </c>
      <c r="C3800" s="1" t="s">
        <v>2428</v>
      </c>
      <c r="D3800" s="1" t="s">
        <v>1998</v>
      </c>
      <c r="E3800" s="1"/>
      <c r="F3800" s="1" t="s">
        <v>11</v>
      </c>
      <c r="G3800">
        <v>35</v>
      </c>
      <c r="H3800">
        <v>35</v>
      </c>
      <c r="I3800" s="2">
        <v>45787</v>
      </c>
      <c r="J3800" s="2">
        <v>45765</v>
      </c>
      <c r="K3800" s="2">
        <v>45787</v>
      </c>
    </row>
    <row r="3801" spans="1:11" x14ac:dyDescent="0.25">
      <c r="A3801" s="1" t="s">
        <v>655</v>
      </c>
      <c r="B3801" s="1" t="s">
        <v>1492</v>
      </c>
      <c r="C3801" s="1" t="s">
        <v>2429</v>
      </c>
      <c r="D3801" s="1" t="s">
        <v>1998</v>
      </c>
      <c r="E3801" s="1"/>
      <c r="F3801" s="1" t="s">
        <v>11</v>
      </c>
      <c r="G3801">
        <v>5</v>
      </c>
      <c r="H3801">
        <v>5</v>
      </c>
      <c r="I3801" s="2">
        <v>45787</v>
      </c>
      <c r="J3801" s="2">
        <v>45765</v>
      </c>
      <c r="K3801" s="2">
        <v>45787</v>
      </c>
    </row>
    <row r="3802" spans="1:11" x14ac:dyDescent="0.25">
      <c r="A3802" s="1" t="s">
        <v>655</v>
      </c>
      <c r="B3802" s="1" t="s">
        <v>1493</v>
      </c>
      <c r="C3802" s="1" t="s">
        <v>2429</v>
      </c>
      <c r="D3802" s="1" t="s">
        <v>1998</v>
      </c>
      <c r="E3802" s="1"/>
      <c r="F3802" s="1" t="s">
        <v>11</v>
      </c>
      <c r="G3802">
        <v>5</v>
      </c>
      <c r="H3802">
        <v>5</v>
      </c>
      <c r="I3802" s="2">
        <v>45787</v>
      </c>
      <c r="J3802" s="2">
        <v>45765</v>
      </c>
      <c r="K3802" s="2">
        <v>45787</v>
      </c>
    </row>
    <row r="3803" spans="1:11" x14ac:dyDescent="0.25">
      <c r="A3803" s="1" t="s">
        <v>655</v>
      </c>
      <c r="B3803" s="1" t="s">
        <v>1494</v>
      </c>
      <c r="C3803" s="1" t="s">
        <v>2430</v>
      </c>
      <c r="D3803" s="1" t="s">
        <v>1998</v>
      </c>
      <c r="E3803" s="1"/>
      <c r="F3803" s="1" t="s">
        <v>11</v>
      </c>
      <c r="G3803">
        <v>1</v>
      </c>
      <c r="H3803">
        <v>1</v>
      </c>
      <c r="I3803" s="2">
        <v>45787</v>
      </c>
      <c r="J3803" s="2">
        <v>45765</v>
      </c>
      <c r="K3803" s="2">
        <v>45787</v>
      </c>
    </row>
    <row r="3804" spans="1:11" x14ac:dyDescent="0.25">
      <c r="A3804" s="1" t="s">
        <v>655</v>
      </c>
      <c r="B3804" s="1" t="s">
        <v>1495</v>
      </c>
      <c r="C3804" s="1" t="s">
        <v>2431</v>
      </c>
      <c r="D3804" s="1" t="s">
        <v>1998</v>
      </c>
      <c r="E3804" s="1"/>
      <c r="F3804" s="1" t="s">
        <v>11</v>
      </c>
      <c r="G3804">
        <v>1</v>
      </c>
      <c r="H3804">
        <v>1</v>
      </c>
      <c r="I3804" s="2">
        <v>45787</v>
      </c>
      <c r="J3804" s="2">
        <v>45765</v>
      </c>
      <c r="K3804" s="2">
        <v>45787</v>
      </c>
    </row>
    <row r="3805" spans="1:11" x14ac:dyDescent="0.25">
      <c r="A3805" s="1" t="s">
        <v>655</v>
      </c>
      <c r="B3805" s="1" t="s">
        <v>1496</v>
      </c>
      <c r="C3805" s="1" t="s">
        <v>2432</v>
      </c>
      <c r="D3805" s="1" t="s">
        <v>1998</v>
      </c>
      <c r="E3805" s="1"/>
      <c r="F3805" s="1" t="s">
        <v>11</v>
      </c>
      <c r="G3805">
        <v>1</v>
      </c>
      <c r="H3805">
        <v>1</v>
      </c>
      <c r="I3805" s="2">
        <v>45787</v>
      </c>
      <c r="J3805" s="2">
        <v>45765</v>
      </c>
      <c r="K3805" s="2">
        <v>45787</v>
      </c>
    </row>
    <row r="3806" spans="1:11" x14ac:dyDescent="0.25">
      <c r="A3806" s="1" t="s">
        <v>655</v>
      </c>
      <c r="B3806" s="1" t="s">
        <v>1497</v>
      </c>
      <c r="C3806" s="1" t="s">
        <v>2432</v>
      </c>
      <c r="D3806" s="1" t="s">
        <v>1998</v>
      </c>
      <c r="E3806" s="1"/>
      <c r="F3806" s="1" t="s">
        <v>11</v>
      </c>
      <c r="G3806">
        <v>1</v>
      </c>
      <c r="H3806">
        <v>1</v>
      </c>
      <c r="I3806" s="2">
        <v>45787</v>
      </c>
      <c r="J3806" s="2">
        <v>45765</v>
      </c>
      <c r="K3806" s="2">
        <v>45787</v>
      </c>
    </row>
    <row r="3807" spans="1:11" x14ac:dyDescent="0.25">
      <c r="A3807" s="1" t="s">
        <v>655</v>
      </c>
      <c r="B3807" s="1" t="s">
        <v>1027</v>
      </c>
      <c r="C3807" s="1" t="s">
        <v>2040</v>
      </c>
      <c r="D3807" s="1" t="s">
        <v>1998</v>
      </c>
      <c r="E3807" s="1"/>
      <c r="F3807" s="1" t="s">
        <v>11</v>
      </c>
      <c r="G3807">
        <v>30</v>
      </c>
      <c r="H3807">
        <v>30</v>
      </c>
      <c r="I3807" s="2">
        <v>45787</v>
      </c>
      <c r="J3807" s="2">
        <v>45765</v>
      </c>
      <c r="K3807" s="2">
        <v>45787</v>
      </c>
    </row>
    <row r="3808" spans="1:11" x14ac:dyDescent="0.25">
      <c r="A3808" s="1" t="s">
        <v>655</v>
      </c>
      <c r="B3808" s="1" t="s">
        <v>1013</v>
      </c>
      <c r="C3808" s="1" t="s">
        <v>2030</v>
      </c>
      <c r="D3808" s="1" t="s">
        <v>1998</v>
      </c>
      <c r="E3808" s="1"/>
      <c r="F3808" s="1" t="s">
        <v>11</v>
      </c>
      <c r="G3808">
        <v>5</v>
      </c>
      <c r="H3808">
        <v>5</v>
      </c>
      <c r="I3808" s="2">
        <v>45787</v>
      </c>
      <c r="J3808" s="2">
        <v>45765</v>
      </c>
      <c r="K3808" s="2">
        <v>45787</v>
      </c>
    </row>
    <row r="3809" spans="1:11" x14ac:dyDescent="0.25">
      <c r="A3809" s="1" t="s">
        <v>655</v>
      </c>
      <c r="B3809" s="1" t="s">
        <v>1498</v>
      </c>
      <c r="C3809" s="1" t="s">
        <v>2433</v>
      </c>
      <c r="D3809" s="1" t="s">
        <v>1998</v>
      </c>
      <c r="E3809" s="1"/>
      <c r="F3809" s="1" t="s">
        <v>11</v>
      </c>
      <c r="G3809">
        <v>1</v>
      </c>
      <c r="H3809">
        <v>1</v>
      </c>
      <c r="I3809" s="2">
        <v>45787</v>
      </c>
      <c r="J3809" s="2">
        <v>45765</v>
      </c>
      <c r="K3809" s="2">
        <v>45787</v>
      </c>
    </row>
    <row r="3810" spans="1:11" x14ac:dyDescent="0.25">
      <c r="A3810" s="1" t="s">
        <v>655</v>
      </c>
      <c r="B3810" s="1" t="s">
        <v>1499</v>
      </c>
      <c r="C3810" s="1" t="s">
        <v>2433</v>
      </c>
      <c r="D3810" s="1" t="s">
        <v>1998</v>
      </c>
      <c r="E3810" s="1"/>
      <c r="F3810" s="1" t="s">
        <v>11</v>
      </c>
      <c r="G3810">
        <v>1</v>
      </c>
      <c r="H3810">
        <v>1</v>
      </c>
      <c r="I3810" s="2">
        <v>45787</v>
      </c>
      <c r="J3810" s="2">
        <v>45765</v>
      </c>
      <c r="K3810" s="2">
        <v>45787</v>
      </c>
    </row>
    <row r="3811" spans="1:11" x14ac:dyDescent="0.25">
      <c r="A3811" s="1" t="s">
        <v>655</v>
      </c>
      <c r="B3811" s="1" t="s">
        <v>993</v>
      </c>
      <c r="C3811" s="1" t="s">
        <v>2011</v>
      </c>
      <c r="D3811" s="1" t="s">
        <v>1998</v>
      </c>
      <c r="E3811" s="1"/>
      <c r="F3811" s="1" t="s">
        <v>11</v>
      </c>
      <c r="G3811">
        <v>1</v>
      </c>
      <c r="H3811">
        <v>1</v>
      </c>
      <c r="I3811" s="2">
        <v>45787</v>
      </c>
      <c r="J3811" s="2">
        <v>45765</v>
      </c>
      <c r="K3811" s="2">
        <v>45787</v>
      </c>
    </row>
    <row r="3812" spans="1:11" x14ac:dyDescent="0.25">
      <c r="A3812" s="1" t="s">
        <v>655</v>
      </c>
      <c r="B3812" s="1" t="s">
        <v>993</v>
      </c>
      <c r="C3812" s="1" t="s">
        <v>2011</v>
      </c>
      <c r="D3812" s="1" t="s">
        <v>1998</v>
      </c>
      <c r="E3812" s="1"/>
      <c r="F3812" s="1" t="s">
        <v>11</v>
      </c>
      <c r="G3812">
        <v>5</v>
      </c>
      <c r="H3812">
        <v>5</v>
      </c>
      <c r="I3812" s="2">
        <v>45787</v>
      </c>
      <c r="J3812" s="2">
        <v>45765</v>
      </c>
      <c r="K3812" s="2">
        <v>45787</v>
      </c>
    </row>
    <row r="3813" spans="1:11" x14ac:dyDescent="0.25">
      <c r="A3813" s="1" t="s">
        <v>655</v>
      </c>
      <c r="B3813" s="1" t="s">
        <v>993</v>
      </c>
      <c r="C3813" s="1" t="s">
        <v>2011</v>
      </c>
      <c r="D3813" s="1" t="s">
        <v>1998</v>
      </c>
      <c r="E3813" s="1"/>
      <c r="F3813" s="1" t="s">
        <v>11</v>
      </c>
      <c r="G3813">
        <v>1</v>
      </c>
      <c r="H3813">
        <v>1</v>
      </c>
      <c r="I3813" s="2">
        <v>45787</v>
      </c>
      <c r="J3813" s="2">
        <v>45765</v>
      </c>
      <c r="K3813" s="2">
        <v>45787</v>
      </c>
    </row>
    <row r="3814" spans="1:11" x14ac:dyDescent="0.25">
      <c r="A3814" s="1" t="s">
        <v>655</v>
      </c>
      <c r="B3814" s="1" t="s">
        <v>1473</v>
      </c>
      <c r="C3814" s="1" t="s">
        <v>2410</v>
      </c>
      <c r="D3814" s="1" t="s">
        <v>1998</v>
      </c>
      <c r="E3814" s="1"/>
      <c r="F3814" s="1" t="s">
        <v>11</v>
      </c>
      <c r="G3814">
        <v>1</v>
      </c>
      <c r="H3814">
        <v>1</v>
      </c>
      <c r="I3814" s="2">
        <v>45787</v>
      </c>
      <c r="J3814" s="2">
        <v>45765</v>
      </c>
      <c r="K3814" s="2">
        <v>45787</v>
      </c>
    </row>
    <row r="3815" spans="1:11" x14ac:dyDescent="0.25">
      <c r="A3815" s="1" t="s">
        <v>655</v>
      </c>
      <c r="B3815" s="1" t="s">
        <v>1275</v>
      </c>
      <c r="C3815" s="1" t="s">
        <v>2252</v>
      </c>
      <c r="D3815" s="1" t="s">
        <v>1998</v>
      </c>
      <c r="E3815" s="1"/>
      <c r="F3815" s="1" t="s">
        <v>11</v>
      </c>
      <c r="G3815">
        <v>15</v>
      </c>
      <c r="H3815">
        <v>15</v>
      </c>
      <c r="I3815" s="2">
        <v>45787</v>
      </c>
      <c r="J3815" s="2">
        <v>45765</v>
      </c>
      <c r="K3815" s="2">
        <v>45787</v>
      </c>
    </row>
    <row r="3816" spans="1:11" x14ac:dyDescent="0.25">
      <c r="A3816" s="1" t="s">
        <v>655</v>
      </c>
      <c r="B3816" s="1" t="s">
        <v>1474</v>
      </c>
      <c r="C3816" s="1" t="s">
        <v>2411</v>
      </c>
      <c r="D3816" s="1" t="s">
        <v>1998</v>
      </c>
      <c r="E3816" s="1"/>
      <c r="F3816" s="1" t="s">
        <v>11</v>
      </c>
      <c r="G3816">
        <v>1</v>
      </c>
      <c r="H3816">
        <v>1</v>
      </c>
      <c r="I3816" s="2">
        <v>45787</v>
      </c>
      <c r="J3816" s="2">
        <v>45765</v>
      </c>
      <c r="K3816" s="2">
        <v>45787</v>
      </c>
    </row>
    <row r="3817" spans="1:11" x14ac:dyDescent="0.25">
      <c r="A3817" s="1" t="s">
        <v>655</v>
      </c>
      <c r="B3817" s="1" t="s">
        <v>1475</v>
      </c>
      <c r="C3817" s="1" t="s">
        <v>2412</v>
      </c>
      <c r="D3817" s="1" t="s">
        <v>1998</v>
      </c>
      <c r="E3817" s="1"/>
      <c r="F3817" s="1" t="s">
        <v>11</v>
      </c>
      <c r="G3817">
        <v>1</v>
      </c>
      <c r="H3817">
        <v>1</v>
      </c>
      <c r="I3817" s="2">
        <v>45787</v>
      </c>
      <c r="J3817" s="2">
        <v>45765</v>
      </c>
      <c r="K3817" s="2">
        <v>45787</v>
      </c>
    </row>
    <row r="3818" spans="1:11" x14ac:dyDescent="0.25">
      <c r="A3818" s="1" t="s">
        <v>655</v>
      </c>
      <c r="B3818" s="1" t="s">
        <v>1500</v>
      </c>
      <c r="C3818" s="1" t="s">
        <v>2434</v>
      </c>
      <c r="D3818" s="1" t="s">
        <v>1998</v>
      </c>
      <c r="E3818" s="1"/>
      <c r="F3818" s="1" t="s">
        <v>11</v>
      </c>
      <c r="G3818">
        <v>80</v>
      </c>
      <c r="H3818">
        <v>80</v>
      </c>
      <c r="I3818" s="2">
        <v>45787</v>
      </c>
      <c r="J3818" s="2">
        <v>45765</v>
      </c>
      <c r="K3818" s="2">
        <v>45787</v>
      </c>
    </row>
    <row r="3819" spans="1:11" x14ac:dyDescent="0.25">
      <c r="A3819" s="1" t="s">
        <v>656</v>
      </c>
      <c r="B3819" s="1" t="s">
        <v>1482</v>
      </c>
      <c r="C3819" s="1" t="s">
        <v>2419</v>
      </c>
      <c r="D3819" s="1" t="s">
        <v>1998</v>
      </c>
      <c r="E3819" s="1"/>
      <c r="F3819" s="1" t="s">
        <v>11</v>
      </c>
      <c r="G3819">
        <v>1</v>
      </c>
      <c r="H3819">
        <v>1</v>
      </c>
      <c r="I3819" s="2">
        <v>45787</v>
      </c>
      <c r="J3819" s="2">
        <v>45765</v>
      </c>
      <c r="K3819" s="2">
        <v>45787</v>
      </c>
    </row>
    <row r="3820" spans="1:11" x14ac:dyDescent="0.25">
      <c r="A3820" s="1" t="s">
        <v>656</v>
      </c>
      <c r="B3820" s="1" t="s">
        <v>1483</v>
      </c>
      <c r="C3820" s="1" t="s">
        <v>2420</v>
      </c>
      <c r="D3820" s="1" t="s">
        <v>1998</v>
      </c>
      <c r="E3820" s="1"/>
      <c r="F3820" s="1" t="s">
        <v>11</v>
      </c>
      <c r="G3820">
        <v>2100</v>
      </c>
      <c r="H3820">
        <v>2100</v>
      </c>
      <c r="I3820" s="2">
        <v>45787</v>
      </c>
      <c r="J3820" s="2">
        <v>45765</v>
      </c>
      <c r="K3820" s="2">
        <v>45787</v>
      </c>
    </row>
    <row r="3821" spans="1:11" x14ac:dyDescent="0.25">
      <c r="A3821" s="1" t="s">
        <v>656</v>
      </c>
      <c r="B3821" s="1" t="s">
        <v>1484</v>
      </c>
      <c r="C3821" s="1" t="s">
        <v>2421</v>
      </c>
      <c r="D3821" s="1" t="s">
        <v>1998</v>
      </c>
      <c r="E3821" s="1"/>
      <c r="F3821" s="1" t="s">
        <v>11</v>
      </c>
      <c r="G3821">
        <v>5380</v>
      </c>
      <c r="H3821">
        <v>5380</v>
      </c>
      <c r="I3821" s="2">
        <v>45787</v>
      </c>
      <c r="J3821" s="2">
        <v>45765</v>
      </c>
      <c r="K3821" s="2">
        <v>45787</v>
      </c>
    </row>
    <row r="3822" spans="1:11" x14ac:dyDescent="0.25">
      <c r="A3822" s="1" t="s">
        <v>656</v>
      </c>
      <c r="B3822" s="1" t="s">
        <v>1485</v>
      </c>
      <c r="C3822" s="1" t="s">
        <v>2422</v>
      </c>
      <c r="D3822" s="1" t="s">
        <v>1998</v>
      </c>
      <c r="E3822" s="1"/>
      <c r="F3822" s="1" t="s">
        <v>11</v>
      </c>
      <c r="G3822">
        <v>30</v>
      </c>
      <c r="H3822">
        <v>30</v>
      </c>
      <c r="I3822" s="2">
        <v>45787</v>
      </c>
      <c r="J3822" s="2">
        <v>45765</v>
      </c>
      <c r="K3822" s="2">
        <v>45787</v>
      </c>
    </row>
    <row r="3823" spans="1:11" x14ac:dyDescent="0.25">
      <c r="A3823" s="1" t="s">
        <v>656</v>
      </c>
      <c r="B3823" s="1" t="s">
        <v>1486</v>
      </c>
      <c r="C3823" s="1" t="s">
        <v>2423</v>
      </c>
      <c r="D3823" s="1" t="s">
        <v>1998</v>
      </c>
      <c r="E3823" s="1"/>
      <c r="F3823" s="1" t="s">
        <v>11</v>
      </c>
      <c r="G3823">
        <v>2915</v>
      </c>
      <c r="H3823">
        <v>2915</v>
      </c>
      <c r="I3823" s="2">
        <v>45787</v>
      </c>
      <c r="J3823" s="2">
        <v>45765</v>
      </c>
      <c r="K3823" s="2">
        <v>45787</v>
      </c>
    </row>
    <row r="3824" spans="1:11" x14ac:dyDescent="0.25">
      <c r="A3824" s="1" t="s">
        <v>656</v>
      </c>
      <c r="B3824" s="1" t="s">
        <v>1487</v>
      </c>
      <c r="C3824" s="1" t="s">
        <v>2424</v>
      </c>
      <c r="D3824" s="1" t="s">
        <v>1998</v>
      </c>
      <c r="E3824" s="1"/>
      <c r="F3824" s="1" t="s">
        <v>11</v>
      </c>
      <c r="G3824">
        <v>210</v>
      </c>
      <c r="H3824">
        <v>210</v>
      </c>
      <c r="I3824" s="2">
        <v>45787</v>
      </c>
      <c r="J3824" s="2">
        <v>45765</v>
      </c>
      <c r="K3824" s="2">
        <v>45787</v>
      </c>
    </row>
    <row r="3825" spans="1:11" x14ac:dyDescent="0.25">
      <c r="A3825" s="1" t="s">
        <v>656</v>
      </c>
      <c r="B3825" s="1" t="s">
        <v>1470</v>
      </c>
      <c r="C3825" s="1" t="s">
        <v>2407</v>
      </c>
      <c r="D3825" s="1" t="s">
        <v>1998</v>
      </c>
      <c r="E3825" s="1"/>
      <c r="F3825" s="1" t="s">
        <v>11</v>
      </c>
      <c r="G3825">
        <v>20</v>
      </c>
      <c r="H3825">
        <v>20</v>
      </c>
      <c r="I3825" s="2">
        <v>45787</v>
      </c>
      <c r="J3825" s="2">
        <v>45765</v>
      </c>
      <c r="K3825" s="2">
        <v>45787</v>
      </c>
    </row>
    <row r="3826" spans="1:11" x14ac:dyDescent="0.25">
      <c r="A3826" s="1" t="s">
        <v>656</v>
      </c>
      <c r="B3826" s="1" t="s">
        <v>1488</v>
      </c>
      <c r="C3826" s="1" t="s">
        <v>2425</v>
      </c>
      <c r="D3826" s="1" t="s">
        <v>1998</v>
      </c>
      <c r="E3826" s="1"/>
      <c r="F3826" s="1" t="s">
        <v>11</v>
      </c>
      <c r="G3826">
        <v>120</v>
      </c>
      <c r="H3826">
        <v>120</v>
      </c>
      <c r="I3826" s="2">
        <v>45787</v>
      </c>
      <c r="J3826" s="2">
        <v>45765</v>
      </c>
      <c r="K3826" s="2">
        <v>45787</v>
      </c>
    </row>
    <row r="3827" spans="1:11" x14ac:dyDescent="0.25">
      <c r="A3827" s="1" t="s">
        <v>656</v>
      </c>
      <c r="B3827" s="1" t="s">
        <v>1472</v>
      </c>
      <c r="C3827" s="1" t="s">
        <v>2409</v>
      </c>
      <c r="D3827" s="1" t="s">
        <v>1998</v>
      </c>
      <c r="E3827" s="1"/>
      <c r="F3827" s="1" t="s">
        <v>11</v>
      </c>
      <c r="G3827">
        <v>5</v>
      </c>
      <c r="H3827">
        <v>5</v>
      </c>
      <c r="I3827" s="2">
        <v>45787</v>
      </c>
      <c r="J3827" s="2">
        <v>45765</v>
      </c>
      <c r="K3827" s="2">
        <v>45787</v>
      </c>
    </row>
    <row r="3828" spans="1:11" x14ac:dyDescent="0.25">
      <c r="A3828" s="1" t="s">
        <v>656</v>
      </c>
      <c r="B3828" s="1" t="s">
        <v>1489</v>
      </c>
      <c r="C3828" s="1" t="s">
        <v>2426</v>
      </c>
      <c r="D3828" s="1" t="s">
        <v>1998</v>
      </c>
      <c r="E3828" s="1"/>
      <c r="F3828" s="1" t="s">
        <v>11</v>
      </c>
      <c r="G3828">
        <v>1</v>
      </c>
      <c r="H3828">
        <v>1</v>
      </c>
      <c r="I3828" s="2">
        <v>45787</v>
      </c>
      <c r="J3828" s="2">
        <v>45765</v>
      </c>
      <c r="K3828" s="2">
        <v>45787</v>
      </c>
    </row>
    <row r="3829" spans="1:11" x14ac:dyDescent="0.25">
      <c r="A3829" s="1" t="s">
        <v>656</v>
      </c>
      <c r="B3829" s="1" t="s">
        <v>1490</v>
      </c>
      <c r="C3829" s="1" t="s">
        <v>2427</v>
      </c>
      <c r="D3829" s="1" t="s">
        <v>1998</v>
      </c>
      <c r="E3829" s="1"/>
      <c r="F3829" s="1" t="s">
        <v>11</v>
      </c>
      <c r="G3829">
        <v>1</v>
      </c>
      <c r="H3829">
        <v>1</v>
      </c>
      <c r="I3829" s="2">
        <v>45787</v>
      </c>
      <c r="J3829" s="2">
        <v>45765</v>
      </c>
      <c r="K3829" s="2">
        <v>45787</v>
      </c>
    </row>
    <row r="3830" spans="1:11" x14ac:dyDescent="0.25">
      <c r="A3830" s="1" t="s">
        <v>656</v>
      </c>
      <c r="B3830" s="1" t="s">
        <v>1491</v>
      </c>
      <c r="C3830" s="1" t="s">
        <v>2428</v>
      </c>
      <c r="D3830" s="1" t="s">
        <v>1998</v>
      </c>
      <c r="E3830" s="1"/>
      <c r="F3830" s="1" t="s">
        <v>11</v>
      </c>
      <c r="G3830">
        <v>35</v>
      </c>
      <c r="H3830">
        <v>35</v>
      </c>
      <c r="I3830" s="2">
        <v>45787</v>
      </c>
      <c r="J3830" s="2">
        <v>45765</v>
      </c>
      <c r="K3830" s="2">
        <v>45787</v>
      </c>
    </row>
    <row r="3831" spans="1:11" x14ac:dyDescent="0.25">
      <c r="A3831" s="1" t="s">
        <v>656</v>
      </c>
      <c r="B3831" s="1" t="s">
        <v>1492</v>
      </c>
      <c r="C3831" s="1" t="s">
        <v>2429</v>
      </c>
      <c r="D3831" s="1" t="s">
        <v>1998</v>
      </c>
      <c r="E3831" s="1"/>
      <c r="F3831" s="1" t="s">
        <v>11</v>
      </c>
      <c r="G3831">
        <v>5</v>
      </c>
      <c r="H3831">
        <v>5</v>
      </c>
      <c r="I3831" s="2">
        <v>45787</v>
      </c>
      <c r="J3831" s="2">
        <v>45765</v>
      </c>
      <c r="K3831" s="2">
        <v>45787</v>
      </c>
    </row>
    <row r="3832" spans="1:11" x14ac:dyDescent="0.25">
      <c r="A3832" s="1" t="s">
        <v>656</v>
      </c>
      <c r="B3832" s="1" t="s">
        <v>1493</v>
      </c>
      <c r="C3832" s="1" t="s">
        <v>2429</v>
      </c>
      <c r="D3832" s="1" t="s">
        <v>1998</v>
      </c>
      <c r="E3832" s="1"/>
      <c r="F3832" s="1" t="s">
        <v>11</v>
      </c>
      <c r="G3832">
        <v>5</v>
      </c>
      <c r="H3832">
        <v>5</v>
      </c>
      <c r="I3832" s="2">
        <v>45787</v>
      </c>
      <c r="J3832" s="2">
        <v>45765</v>
      </c>
      <c r="K3832" s="2">
        <v>45787</v>
      </c>
    </row>
    <row r="3833" spans="1:11" x14ac:dyDescent="0.25">
      <c r="A3833" s="1" t="s">
        <v>656</v>
      </c>
      <c r="B3833" s="1" t="s">
        <v>1494</v>
      </c>
      <c r="C3833" s="1" t="s">
        <v>2430</v>
      </c>
      <c r="D3833" s="1" t="s">
        <v>1998</v>
      </c>
      <c r="E3833" s="1"/>
      <c r="F3833" s="1" t="s">
        <v>11</v>
      </c>
      <c r="G3833">
        <v>1</v>
      </c>
      <c r="H3833">
        <v>1</v>
      </c>
      <c r="I3833" s="2">
        <v>45787</v>
      </c>
      <c r="J3833" s="2">
        <v>45765</v>
      </c>
      <c r="K3833" s="2">
        <v>45787</v>
      </c>
    </row>
    <row r="3834" spans="1:11" x14ac:dyDescent="0.25">
      <c r="A3834" s="1" t="s">
        <v>656</v>
      </c>
      <c r="B3834" s="1" t="s">
        <v>1495</v>
      </c>
      <c r="C3834" s="1" t="s">
        <v>2431</v>
      </c>
      <c r="D3834" s="1" t="s">
        <v>1998</v>
      </c>
      <c r="E3834" s="1"/>
      <c r="F3834" s="1" t="s">
        <v>11</v>
      </c>
      <c r="G3834">
        <v>1</v>
      </c>
      <c r="H3834">
        <v>1</v>
      </c>
      <c r="I3834" s="2">
        <v>45787</v>
      </c>
      <c r="J3834" s="2">
        <v>45765</v>
      </c>
      <c r="K3834" s="2">
        <v>45787</v>
      </c>
    </row>
    <row r="3835" spans="1:11" x14ac:dyDescent="0.25">
      <c r="A3835" s="1" t="s">
        <v>656</v>
      </c>
      <c r="B3835" s="1" t="s">
        <v>1496</v>
      </c>
      <c r="C3835" s="1" t="s">
        <v>2432</v>
      </c>
      <c r="D3835" s="1" t="s">
        <v>1998</v>
      </c>
      <c r="E3835" s="1"/>
      <c r="F3835" s="1" t="s">
        <v>11</v>
      </c>
      <c r="G3835">
        <v>1</v>
      </c>
      <c r="H3835">
        <v>1</v>
      </c>
      <c r="I3835" s="2">
        <v>45787</v>
      </c>
      <c r="J3835" s="2">
        <v>45765</v>
      </c>
      <c r="K3835" s="2">
        <v>45787</v>
      </c>
    </row>
    <row r="3836" spans="1:11" x14ac:dyDescent="0.25">
      <c r="A3836" s="1" t="s">
        <v>656</v>
      </c>
      <c r="B3836" s="1" t="s">
        <v>1497</v>
      </c>
      <c r="C3836" s="1" t="s">
        <v>2432</v>
      </c>
      <c r="D3836" s="1" t="s">
        <v>1998</v>
      </c>
      <c r="E3836" s="1"/>
      <c r="F3836" s="1" t="s">
        <v>11</v>
      </c>
      <c r="G3836">
        <v>1</v>
      </c>
      <c r="H3836">
        <v>1</v>
      </c>
      <c r="I3836" s="2">
        <v>45787</v>
      </c>
      <c r="J3836" s="2">
        <v>45765</v>
      </c>
      <c r="K3836" s="2">
        <v>45787</v>
      </c>
    </row>
    <row r="3837" spans="1:11" x14ac:dyDescent="0.25">
      <c r="A3837" s="1" t="s">
        <v>656</v>
      </c>
      <c r="B3837" s="1" t="s">
        <v>1027</v>
      </c>
      <c r="C3837" s="1" t="s">
        <v>2040</v>
      </c>
      <c r="D3837" s="1" t="s">
        <v>1998</v>
      </c>
      <c r="E3837" s="1"/>
      <c r="F3837" s="1" t="s">
        <v>11</v>
      </c>
      <c r="G3837">
        <v>30</v>
      </c>
      <c r="H3837">
        <v>30</v>
      </c>
      <c r="I3837" s="2">
        <v>45787</v>
      </c>
      <c r="J3837" s="2">
        <v>45765</v>
      </c>
      <c r="K3837" s="2">
        <v>45787</v>
      </c>
    </row>
    <row r="3838" spans="1:11" x14ac:dyDescent="0.25">
      <c r="A3838" s="1" t="s">
        <v>656</v>
      </c>
      <c r="B3838" s="1" t="s">
        <v>1013</v>
      </c>
      <c r="C3838" s="1" t="s">
        <v>2030</v>
      </c>
      <c r="D3838" s="1" t="s">
        <v>1998</v>
      </c>
      <c r="E3838" s="1"/>
      <c r="F3838" s="1" t="s">
        <v>11</v>
      </c>
      <c r="G3838">
        <v>5</v>
      </c>
      <c r="H3838">
        <v>5</v>
      </c>
      <c r="I3838" s="2">
        <v>45787</v>
      </c>
      <c r="J3838" s="2">
        <v>45765</v>
      </c>
      <c r="K3838" s="2">
        <v>45787</v>
      </c>
    </row>
    <row r="3839" spans="1:11" x14ac:dyDescent="0.25">
      <c r="A3839" s="1" t="s">
        <v>656</v>
      </c>
      <c r="B3839" s="1" t="s">
        <v>1498</v>
      </c>
      <c r="C3839" s="1" t="s">
        <v>2433</v>
      </c>
      <c r="D3839" s="1" t="s">
        <v>1998</v>
      </c>
      <c r="E3839" s="1"/>
      <c r="F3839" s="1" t="s">
        <v>11</v>
      </c>
      <c r="G3839">
        <v>1</v>
      </c>
      <c r="H3839">
        <v>1</v>
      </c>
      <c r="I3839" s="2">
        <v>45787</v>
      </c>
      <c r="J3839" s="2">
        <v>45765</v>
      </c>
      <c r="K3839" s="2">
        <v>45787</v>
      </c>
    </row>
    <row r="3840" spans="1:11" x14ac:dyDescent="0.25">
      <c r="A3840" s="1" t="s">
        <v>656</v>
      </c>
      <c r="B3840" s="1" t="s">
        <v>1499</v>
      </c>
      <c r="C3840" s="1" t="s">
        <v>2433</v>
      </c>
      <c r="D3840" s="1" t="s">
        <v>1998</v>
      </c>
      <c r="E3840" s="1"/>
      <c r="F3840" s="1" t="s">
        <v>11</v>
      </c>
      <c r="G3840">
        <v>1</v>
      </c>
      <c r="H3840">
        <v>1</v>
      </c>
      <c r="I3840" s="2">
        <v>45787</v>
      </c>
      <c r="J3840" s="2">
        <v>45765</v>
      </c>
      <c r="K3840" s="2">
        <v>45787</v>
      </c>
    </row>
    <row r="3841" spans="1:11" x14ac:dyDescent="0.25">
      <c r="A3841" s="1" t="s">
        <v>656</v>
      </c>
      <c r="B3841" s="1" t="s">
        <v>993</v>
      </c>
      <c r="C3841" s="1" t="s">
        <v>2011</v>
      </c>
      <c r="D3841" s="1" t="s">
        <v>1998</v>
      </c>
      <c r="E3841" s="1"/>
      <c r="F3841" s="1" t="s">
        <v>11</v>
      </c>
      <c r="G3841">
        <v>1</v>
      </c>
      <c r="H3841">
        <v>1</v>
      </c>
      <c r="I3841" s="2">
        <v>45787</v>
      </c>
      <c r="J3841" s="2">
        <v>45765</v>
      </c>
      <c r="K3841" s="2">
        <v>45787</v>
      </c>
    </row>
    <row r="3842" spans="1:11" x14ac:dyDescent="0.25">
      <c r="A3842" s="1" t="s">
        <v>656</v>
      </c>
      <c r="B3842" s="1" t="s">
        <v>993</v>
      </c>
      <c r="C3842" s="1" t="s">
        <v>2011</v>
      </c>
      <c r="D3842" s="1" t="s">
        <v>1998</v>
      </c>
      <c r="E3842" s="1"/>
      <c r="F3842" s="1" t="s">
        <v>11</v>
      </c>
      <c r="G3842">
        <v>5</v>
      </c>
      <c r="H3842">
        <v>5</v>
      </c>
      <c r="I3842" s="2">
        <v>45787</v>
      </c>
      <c r="J3842" s="2">
        <v>45765</v>
      </c>
      <c r="K3842" s="2">
        <v>45787</v>
      </c>
    </row>
    <row r="3843" spans="1:11" x14ac:dyDescent="0.25">
      <c r="A3843" s="1" t="s">
        <v>656</v>
      </c>
      <c r="B3843" s="1" t="s">
        <v>993</v>
      </c>
      <c r="C3843" s="1" t="s">
        <v>2011</v>
      </c>
      <c r="D3843" s="1" t="s">
        <v>1998</v>
      </c>
      <c r="E3843" s="1"/>
      <c r="F3843" s="1" t="s">
        <v>11</v>
      </c>
      <c r="G3843">
        <v>1</v>
      </c>
      <c r="H3843">
        <v>1</v>
      </c>
      <c r="I3843" s="2">
        <v>45787</v>
      </c>
      <c r="J3843" s="2">
        <v>45765</v>
      </c>
      <c r="K3843" s="2">
        <v>45787</v>
      </c>
    </row>
    <row r="3844" spans="1:11" x14ac:dyDescent="0.25">
      <c r="A3844" s="1" t="s">
        <v>656</v>
      </c>
      <c r="B3844" s="1" t="s">
        <v>1473</v>
      </c>
      <c r="C3844" s="1" t="s">
        <v>2410</v>
      </c>
      <c r="D3844" s="1" t="s">
        <v>1998</v>
      </c>
      <c r="E3844" s="1"/>
      <c r="F3844" s="1" t="s">
        <v>11</v>
      </c>
      <c r="G3844">
        <v>1</v>
      </c>
      <c r="H3844">
        <v>1</v>
      </c>
      <c r="I3844" s="2">
        <v>45787</v>
      </c>
      <c r="J3844" s="2">
        <v>45765</v>
      </c>
      <c r="K3844" s="2">
        <v>45787</v>
      </c>
    </row>
    <row r="3845" spans="1:11" x14ac:dyDescent="0.25">
      <c r="A3845" s="1" t="s">
        <v>656</v>
      </c>
      <c r="B3845" s="1" t="s">
        <v>1275</v>
      </c>
      <c r="C3845" s="1" t="s">
        <v>2252</v>
      </c>
      <c r="D3845" s="1" t="s">
        <v>1998</v>
      </c>
      <c r="E3845" s="1"/>
      <c r="F3845" s="1" t="s">
        <v>11</v>
      </c>
      <c r="G3845">
        <v>15</v>
      </c>
      <c r="H3845">
        <v>15</v>
      </c>
      <c r="I3845" s="2">
        <v>45787</v>
      </c>
      <c r="J3845" s="2">
        <v>45765</v>
      </c>
      <c r="K3845" s="2">
        <v>45787</v>
      </c>
    </row>
    <row r="3846" spans="1:11" x14ac:dyDescent="0.25">
      <c r="A3846" s="1" t="s">
        <v>656</v>
      </c>
      <c r="B3846" s="1" t="s">
        <v>1474</v>
      </c>
      <c r="C3846" s="1" t="s">
        <v>2411</v>
      </c>
      <c r="D3846" s="1" t="s">
        <v>1998</v>
      </c>
      <c r="E3846" s="1"/>
      <c r="F3846" s="1" t="s">
        <v>11</v>
      </c>
      <c r="G3846">
        <v>1</v>
      </c>
      <c r="H3846">
        <v>1</v>
      </c>
      <c r="I3846" s="2">
        <v>45787</v>
      </c>
      <c r="J3846" s="2">
        <v>45765</v>
      </c>
      <c r="K3846" s="2">
        <v>45787</v>
      </c>
    </row>
    <row r="3847" spans="1:11" x14ac:dyDescent="0.25">
      <c r="A3847" s="1" t="s">
        <v>656</v>
      </c>
      <c r="B3847" s="1" t="s">
        <v>1475</v>
      </c>
      <c r="C3847" s="1" t="s">
        <v>2412</v>
      </c>
      <c r="D3847" s="1" t="s">
        <v>1998</v>
      </c>
      <c r="E3847" s="1"/>
      <c r="F3847" s="1" t="s">
        <v>11</v>
      </c>
      <c r="G3847">
        <v>1</v>
      </c>
      <c r="H3847">
        <v>1</v>
      </c>
      <c r="I3847" s="2">
        <v>45787</v>
      </c>
      <c r="J3847" s="2">
        <v>45765</v>
      </c>
      <c r="K3847" s="2">
        <v>45787</v>
      </c>
    </row>
    <row r="3848" spans="1:11" x14ac:dyDescent="0.25">
      <c r="A3848" s="1" t="s">
        <v>656</v>
      </c>
      <c r="B3848" s="1" t="s">
        <v>1500</v>
      </c>
      <c r="C3848" s="1" t="s">
        <v>2434</v>
      </c>
      <c r="D3848" s="1" t="s">
        <v>1998</v>
      </c>
      <c r="E3848" s="1"/>
      <c r="F3848" s="1" t="s">
        <v>11</v>
      </c>
      <c r="G3848">
        <v>80</v>
      </c>
      <c r="H3848">
        <v>80</v>
      </c>
      <c r="I3848" s="2">
        <v>45787</v>
      </c>
      <c r="J3848" s="2">
        <v>45765</v>
      </c>
      <c r="K3848" s="2">
        <v>45787</v>
      </c>
    </row>
    <row r="3849" spans="1:11" x14ac:dyDescent="0.25">
      <c r="A3849" s="1" t="s">
        <v>657</v>
      </c>
      <c r="B3849" s="1" t="s">
        <v>1750</v>
      </c>
      <c r="C3849" s="1" t="s">
        <v>2635</v>
      </c>
      <c r="D3849" s="1" t="s">
        <v>1998</v>
      </c>
      <c r="E3849" s="1"/>
      <c r="F3849" s="1" t="s">
        <v>11</v>
      </c>
      <c r="G3849">
        <v>8320</v>
      </c>
      <c r="H3849">
        <v>8320</v>
      </c>
      <c r="I3849" s="2">
        <v>45780</v>
      </c>
      <c r="J3849" s="2">
        <v>45765</v>
      </c>
      <c r="K3849" s="2">
        <v>45780</v>
      </c>
    </row>
    <row r="3850" spans="1:11" x14ac:dyDescent="0.25">
      <c r="A3850" s="1" t="s">
        <v>657</v>
      </c>
      <c r="B3850" s="1" t="s">
        <v>1490</v>
      </c>
      <c r="C3850" s="1" t="s">
        <v>2427</v>
      </c>
      <c r="D3850" s="1" t="s">
        <v>1998</v>
      </c>
      <c r="E3850" s="1"/>
      <c r="F3850" s="1" t="s">
        <v>11</v>
      </c>
      <c r="G3850">
        <v>1</v>
      </c>
      <c r="H3850">
        <v>1</v>
      </c>
      <c r="I3850" s="2">
        <v>45780</v>
      </c>
      <c r="J3850" s="2">
        <v>45765</v>
      </c>
      <c r="K3850" s="2">
        <v>45780</v>
      </c>
    </row>
    <row r="3851" spans="1:11" x14ac:dyDescent="0.25">
      <c r="A3851" s="1" t="s">
        <v>657</v>
      </c>
      <c r="B3851" s="1" t="s">
        <v>1491</v>
      </c>
      <c r="C3851" s="1" t="s">
        <v>2428</v>
      </c>
      <c r="D3851" s="1" t="s">
        <v>1998</v>
      </c>
      <c r="E3851" s="1"/>
      <c r="F3851" s="1" t="s">
        <v>11</v>
      </c>
      <c r="G3851">
        <v>140</v>
      </c>
      <c r="H3851">
        <v>140</v>
      </c>
      <c r="I3851" s="2">
        <v>45780</v>
      </c>
      <c r="J3851" s="2">
        <v>45765</v>
      </c>
      <c r="K3851" s="2">
        <v>45780</v>
      </c>
    </row>
    <row r="3852" spans="1:11" x14ac:dyDescent="0.25">
      <c r="A3852" s="1" t="s">
        <v>657</v>
      </c>
      <c r="B3852" s="1" t="s">
        <v>1492</v>
      </c>
      <c r="C3852" s="1" t="s">
        <v>2429</v>
      </c>
      <c r="D3852" s="1" t="s">
        <v>1998</v>
      </c>
      <c r="E3852" s="1"/>
      <c r="F3852" s="1" t="s">
        <v>11</v>
      </c>
      <c r="G3852">
        <v>1</v>
      </c>
      <c r="H3852">
        <v>1</v>
      </c>
      <c r="I3852" s="2">
        <v>45780</v>
      </c>
      <c r="J3852" s="2">
        <v>45765</v>
      </c>
      <c r="K3852" s="2">
        <v>45780</v>
      </c>
    </row>
    <row r="3853" spans="1:11" x14ac:dyDescent="0.25">
      <c r="A3853" s="1" t="s">
        <v>657</v>
      </c>
      <c r="B3853" s="1" t="s">
        <v>1493</v>
      </c>
      <c r="C3853" s="1" t="s">
        <v>2429</v>
      </c>
      <c r="D3853" s="1" t="s">
        <v>1998</v>
      </c>
      <c r="E3853" s="1"/>
      <c r="F3853" s="1" t="s">
        <v>11</v>
      </c>
      <c r="G3853">
        <v>1</v>
      </c>
      <c r="H3853">
        <v>1</v>
      </c>
      <c r="I3853" s="2">
        <v>45780</v>
      </c>
      <c r="J3853" s="2">
        <v>45765</v>
      </c>
      <c r="K3853" s="2">
        <v>45780</v>
      </c>
    </row>
    <row r="3854" spans="1:11" x14ac:dyDescent="0.25">
      <c r="A3854" s="1" t="s">
        <v>657</v>
      </c>
      <c r="B3854" s="1" t="s">
        <v>1494</v>
      </c>
      <c r="C3854" s="1" t="s">
        <v>2430</v>
      </c>
      <c r="D3854" s="1" t="s">
        <v>1998</v>
      </c>
      <c r="E3854" s="1"/>
      <c r="F3854" s="1" t="s">
        <v>11</v>
      </c>
      <c r="G3854">
        <v>1</v>
      </c>
      <c r="H3854">
        <v>1</v>
      </c>
      <c r="I3854" s="2">
        <v>45780</v>
      </c>
      <c r="J3854" s="2">
        <v>45765</v>
      </c>
      <c r="K3854" s="2">
        <v>45780</v>
      </c>
    </row>
    <row r="3855" spans="1:11" x14ac:dyDescent="0.25">
      <c r="A3855" s="1" t="s">
        <v>657</v>
      </c>
      <c r="B3855" s="1" t="s">
        <v>1495</v>
      </c>
      <c r="C3855" s="1" t="s">
        <v>2431</v>
      </c>
      <c r="D3855" s="1" t="s">
        <v>1998</v>
      </c>
      <c r="E3855" s="1"/>
      <c r="F3855" s="1" t="s">
        <v>11</v>
      </c>
      <c r="G3855">
        <v>1</v>
      </c>
      <c r="H3855">
        <v>1</v>
      </c>
      <c r="I3855" s="2">
        <v>45780</v>
      </c>
      <c r="J3855" s="2">
        <v>45765</v>
      </c>
      <c r="K3855" s="2">
        <v>45780</v>
      </c>
    </row>
    <row r="3856" spans="1:11" x14ac:dyDescent="0.25">
      <c r="A3856" s="1" t="s">
        <v>657</v>
      </c>
      <c r="B3856" s="1" t="s">
        <v>1496</v>
      </c>
      <c r="C3856" s="1" t="s">
        <v>2432</v>
      </c>
      <c r="D3856" s="1" t="s">
        <v>1998</v>
      </c>
      <c r="E3856" s="1"/>
      <c r="F3856" s="1" t="s">
        <v>11</v>
      </c>
      <c r="G3856">
        <v>1</v>
      </c>
      <c r="H3856">
        <v>1</v>
      </c>
      <c r="I3856" s="2">
        <v>45780</v>
      </c>
      <c r="J3856" s="2">
        <v>45765</v>
      </c>
      <c r="K3856" s="2">
        <v>45780</v>
      </c>
    </row>
    <row r="3857" spans="1:11" x14ac:dyDescent="0.25">
      <c r="A3857" s="1" t="s">
        <v>657</v>
      </c>
      <c r="B3857" s="1" t="s">
        <v>1497</v>
      </c>
      <c r="C3857" s="1" t="s">
        <v>2432</v>
      </c>
      <c r="D3857" s="1" t="s">
        <v>1998</v>
      </c>
      <c r="E3857" s="1"/>
      <c r="F3857" s="1" t="s">
        <v>11</v>
      </c>
      <c r="G3857">
        <v>1</v>
      </c>
      <c r="H3857">
        <v>1</v>
      </c>
      <c r="I3857" s="2">
        <v>45780</v>
      </c>
      <c r="J3857" s="2">
        <v>45765</v>
      </c>
      <c r="K3857" s="2">
        <v>45780</v>
      </c>
    </row>
    <row r="3858" spans="1:11" x14ac:dyDescent="0.25">
      <c r="A3858" s="1" t="s">
        <v>657</v>
      </c>
      <c r="B3858" s="1" t="s">
        <v>1498</v>
      </c>
      <c r="C3858" s="1" t="s">
        <v>2433</v>
      </c>
      <c r="D3858" s="1" t="s">
        <v>1998</v>
      </c>
      <c r="E3858" s="1"/>
      <c r="F3858" s="1" t="s">
        <v>11</v>
      </c>
      <c r="G3858">
        <v>1</v>
      </c>
      <c r="H3858">
        <v>1</v>
      </c>
      <c r="I3858" s="2">
        <v>45780</v>
      </c>
      <c r="J3858" s="2">
        <v>45765</v>
      </c>
      <c r="K3858" s="2">
        <v>45780</v>
      </c>
    </row>
    <row r="3859" spans="1:11" x14ac:dyDescent="0.25">
      <c r="A3859" s="1" t="s">
        <v>657</v>
      </c>
      <c r="B3859" s="1" t="s">
        <v>1499</v>
      </c>
      <c r="C3859" s="1" t="s">
        <v>2433</v>
      </c>
      <c r="D3859" s="1" t="s">
        <v>1998</v>
      </c>
      <c r="E3859" s="1"/>
      <c r="F3859" s="1" t="s">
        <v>11</v>
      </c>
      <c r="G3859">
        <v>1</v>
      </c>
      <c r="H3859">
        <v>1</v>
      </c>
      <c r="I3859" s="2">
        <v>45780</v>
      </c>
      <c r="J3859" s="2">
        <v>45765</v>
      </c>
      <c r="K3859" s="2">
        <v>45780</v>
      </c>
    </row>
    <row r="3860" spans="1:11" x14ac:dyDescent="0.25">
      <c r="A3860" s="1" t="s">
        <v>657</v>
      </c>
      <c r="B3860" s="1" t="s">
        <v>993</v>
      </c>
      <c r="C3860" s="1" t="s">
        <v>2011</v>
      </c>
      <c r="D3860" s="1" t="s">
        <v>1998</v>
      </c>
      <c r="E3860" s="1"/>
      <c r="F3860" s="1" t="s">
        <v>11</v>
      </c>
      <c r="G3860">
        <v>1</v>
      </c>
      <c r="H3860">
        <v>1</v>
      </c>
      <c r="I3860" s="2">
        <v>45780</v>
      </c>
      <c r="J3860" s="2">
        <v>45765</v>
      </c>
      <c r="K3860" s="2">
        <v>45780</v>
      </c>
    </row>
    <row r="3861" spans="1:11" x14ac:dyDescent="0.25">
      <c r="A3861" s="1" t="s">
        <v>657</v>
      </c>
      <c r="B3861" s="1" t="s">
        <v>1275</v>
      </c>
      <c r="C3861" s="1" t="s">
        <v>2252</v>
      </c>
      <c r="D3861" s="1" t="s">
        <v>1998</v>
      </c>
      <c r="E3861" s="1"/>
      <c r="F3861" s="1" t="s">
        <v>11</v>
      </c>
      <c r="G3861">
        <v>15</v>
      </c>
      <c r="H3861">
        <v>15</v>
      </c>
      <c r="I3861" s="2">
        <v>45780</v>
      </c>
      <c r="J3861" s="2">
        <v>45765</v>
      </c>
      <c r="K3861" s="2">
        <v>45780</v>
      </c>
    </row>
    <row r="3862" spans="1:11" x14ac:dyDescent="0.25">
      <c r="A3862" s="1" t="s">
        <v>657</v>
      </c>
      <c r="B3862" s="1" t="s">
        <v>1751</v>
      </c>
      <c r="C3862" s="1" t="s">
        <v>2636</v>
      </c>
      <c r="D3862" s="1" t="s">
        <v>1998</v>
      </c>
      <c r="E3862" s="1"/>
      <c r="F3862" s="1" t="s">
        <v>11</v>
      </c>
      <c r="G3862">
        <v>115</v>
      </c>
      <c r="H3862">
        <v>115</v>
      </c>
      <c r="I3862" s="2">
        <v>45780</v>
      </c>
      <c r="J3862" s="2">
        <v>45765</v>
      </c>
      <c r="K3862" s="2">
        <v>45780</v>
      </c>
    </row>
    <row r="3863" spans="1:11" x14ac:dyDescent="0.25">
      <c r="A3863" s="1" t="s">
        <v>658</v>
      </c>
      <c r="B3863" s="1" t="s">
        <v>1750</v>
      </c>
      <c r="C3863" s="1" t="s">
        <v>2635</v>
      </c>
      <c r="D3863" s="1" t="s">
        <v>1998</v>
      </c>
      <c r="E3863" s="1"/>
      <c r="F3863" s="1" t="s">
        <v>11</v>
      </c>
      <c r="G3863">
        <v>8320</v>
      </c>
      <c r="H3863">
        <v>8320</v>
      </c>
      <c r="I3863" s="2">
        <v>45780</v>
      </c>
      <c r="J3863" s="2">
        <v>45765</v>
      </c>
      <c r="K3863" s="2">
        <v>45780</v>
      </c>
    </row>
    <row r="3864" spans="1:11" x14ac:dyDescent="0.25">
      <c r="A3864" s="1" t="s">
        <v>658</v>
      </c>
      <c r="B3864" s="1" t="s">
        <v>1490</v>
      </c>
      <c r="C3864" s="1" t="s">
        <v>2427</v>
      </c>
      <c r="D3864" s="1" t="s">
        <v>1998</v>
      </c>
      <c r="E3864" s="1"/>
      <c r="F3864" s="1" t="s">
        <v>11</v>
      </c>
      <c r="G3864">
        <v>1</v>
      </c>
      <c r="H3864">
        <v>1</v>
      </c>
      <c r="I3864" s="2">
        <v>45780</v>
      </c>
      <c r="J3864" s="2">
        <v>45765</v>
      </c>
      <c r="K3864" s="2">
        <v>45780</v>
      </c>
    </row>
    <row r="3865" spans="1:11" x14ac:dyDescent="0.25">
      <c r="A3865" s="1" t="s">
        <v>658</v>
      </c>
      <c r="B3865" s="1" t="s">
        <v>1491</v>
      </c>
      <c r="C3865" s="1" t="s">
        <v>2428</v>
      </c>
      <c r="D3865" s="1" t="s">
        <v>1998</v>
      </c>
      <c r="E3865" s="1"/>
      <c r="F3865" s="1" t="s">
        <v>11</v>
      </c>
      <c r="G3865">
        <v>140</v>
      </c>
      <c r="H3865">
        <v>140</v>
      </c>
      <c r="I3865" s="2">
        <v>45780</v>
      </c>
      <c r="J3865" s="2">
        <v>45765</v>
      </c>
      <c r="K3865" s="2">
        <v>45780</v>
      </c>
    </row>
    <row r="3866" spans="1:11" x14ac:dyDescent="0.25">
      <c r="A3866" s="1" t="s">
        <v>658</v>
      </c>
      <c r="B3866" s="1" t="s">
        <v>1492</v>
      </c>
      <c r="C3866" s="1" t="s">
        <v>2429</v>
      </c>
      <c r="D3866" s="1" t="s">
        <v>1998</v>
      </c>
      <c r="E3866" s="1"/>
      <c r="F3866" s="1" t="s">
        <v>11</v>
      </c>
      <c r="G3866">
        <v>1</v>
      </c>
      <c r="H3866">
        <v>1</v>
      </c>
      <c r="I3866" s="2">
        <v>45780</v>
      </c>
      <c r="J3866" s="2">
        <v>45765</v>
      </c>
      <c r="K3866" s="2">
        <v>45780</v>
      </c>
    </row>
    <row r="3867" spans="1:11" x14ac:dyDescent="0.25">
      <c r="A3867" s="1" t="s">
        <v>658</v>
      </c>
      <c r="B3867" s="1" t="s">
        <v>1493</v>
      </c>
      <c r="C3867" s="1" t="s">
        <v>2429</v>
      </c>
      <c r="D3867" s="1" t="s">
        <v>1998</v>
      </c>
      <c r="E3867" s="1"/>
      <c r="F3867" s="1" t="s">
        <v>11</v>
      </c>
      <c r="G3867">
        <v>1</v>
      </c>
      <c r="H3867">
        <v>1</v>
      </c>
      <c r="I3867" s="2">
        <v>45780</v>
      </c>
      <c r="J3867" s="2">
        <v>45765</v>
      </c>
      <c r="K3867" s="2">
        <v>45780</v>
      </c>
    </row>
    <row r="3868" spans="1:11" x14ac:dyDescent="0.25">
      <c r="A3868" s="1" t="s">
        <v>658</v>
      </c>
      <c r="B3868" s="1" t="s">
        <v>1494</v>
      </c>
      <c r="C3868" s="1" t="s">
        <v>2430</v>
      </c>
      <c r="D3868" s="1" t="s">
        <v>1998</v>
      </c>
      <c r="E3868" s="1"/>
      <c r="F3868" s="1" t="s">
        <v>11</v>
      </c>
      <c r="G3868">
        <v>1</v>
      </c>
      <c r="H3868">
        <v>1</v>
      </c>
      <c r="I3868" s="2">
        <v>45780</v>
      </c>
      <c r="J3868" s="2">
        <v>45765</v>
      </c>
      <c r="K3868" s="2">
        <v>45780</v>
      </c>
    </row>
    <row r="3869" spans="1:11" x14ac:dyDescent="0.25">
      <c r="A3869" s="1" t="s">
        <v>658</v>
      </c>
      <c r="B3869" s="1" t="s">
        <v>1495</v>
      </c>
      <c r="C3869" s="1" t="s">
        <v>2431</v>
      </c>
      <c r="D3869" s="1" t="s">
        <v>1998</v>
      </c>
      <c r="E3869" s="1"/>
      <c r="F3869" s="1" t="s">
        <v>11</v>
      </c>
      <c r="G3869">
        <v>1</v>
      </c>
      <c r="H3869">
        <v>1</v>
      </c>
      <c r="I3869" s="2">
        <v>45780</v>
      </c>
      <c r="J3869" s="2">
        <v>45765</v>
      </c>
      <c r="K3869" s="2">
        <v>45780</v>
      </c>
    </row>
    <row r="3870" spans="1:11" x14ac:dyDescent="0.25">
      <c r="A3870" s="1" t="s">
        <v>658</v>
      </c>
      <c r="B3870" s="1" t="s">
        <v>1496</v>
      </c>
      <c r="C3870" s="1" t="s">
        <v>2432</v>
      </c>
      <c r="D3870" s="1" t="s">
        <v>1998</v>
      </c>
      <c r="E3870" s="1"/>
      <c r="F3870" s="1" t="s">
        <v>11</v>
      </c>
      <c r="G3870">
        <v>1</v>
      </c>
      <c r="H3870">
        <v>1</v>
      </c>
      <c r="I3870" s="2">
        <v>45780</v>
      </c>
      <c r="J3870" s="2">
        <v>45765</v>
      </c>
      <c r="K3870" s="2">
        <v>45780</v>
      </c>
    </row>
    <row r="3871" spans="1:11" x14ac:dyDescent="0.25">
      <c r="A3871" s="1" t="s">
        <v>658</v>
      </c>
      <c r="B3871" s="1" t="s">
        <v>1497</v>
      </c>
      <c r="C3871" s="1" t="s">
        <v>2432</v>
      </c>
      <c r="D3871" s="1" t="s">
        <v>1998</v>
      </c>
      <c r="E3871" s="1"/>
      <c r="F3871" s="1" t="s">
        <v>11</v>
      </c>
      <c r="G3871">
        <v>1</v>
      </c>
      <c r="H3871">
        <v>1</v>
      </c>
      <c r="I3871" s="2">
        <v>45780</v>
      </c>
      <c r="J3871" s="2">
        <v>45765</v>
      </c>
      <c r="K3871" s="2">
        <v>45780</v>
      </c>
    </row>
    <row r="3872" spans="1:11" x14ac:dyDescent="0.25">
      <c r="A3872" s="1" t="s">
        <v>658</v>
      </c>
      <c r="B3872" s="1" t="s">
        <v>1498</v>
      </c>
      <c r="C3872" s="1" t="s">
        <v>2433</v>
      </c>
      <c r="D3872" s="1" t="s">
        <v>1998</v>
      </c>
      <c r="E3872" s="1"/>
      <c r="F3872" s="1" t="s">
        <v>11</v>
      </c>
      <c r="G3872">
        <v>1</v>
      </c>
      <c r="H3872">
        <v>1</v>
      </c>
      <c r="I3872" s="2">
        <v>45780</v>
      </c>
      <c r="J3872" s="2">
        <v>45765</v>
      </c>
      <c r="K3872" s="2">
        <v>45780</v>
      </c>
    </row>
    <row r="3873" spans="1:11" x14ac:dyDescent="0.25">
      <c r="A3873" s="1" t="s">
        <v>658</v>
      </c>
      <c r="B3873" s="1" t="s">
        <v>1499</v>
      </c>
      <c r="C3873" s="1" t="s">
        <v>2433</v>
      </c>
      <c r="D3873" s="1" t="s">
        <v>1998</v>
      </c>
      <c r="E3873" s="1"/>
      <c r="F3873" s="1" t="s">
        <v>11</v>
      </c>
      <c r="G3873">
        <v>1</v>
      </c>
      <c r="H3873">
        <v>1</v>
      </c>
      <c r="I3873" s="2">
        <v>45780</v>
      </c>
      <c r="J3873" s="2">
        <v>45765</v>
      </c>
      <c r="K3873" s="2">
        <v>45780</v>
      </c>
    </row>
    <row r="3874" spans="1:11" x14ac:dyDescent="0.25">
      <c r="A3874" s="1" t="s">
        <v>658</v>
      </c>
      <c r="B3874" s="1" t="s">
        <v>993</v>
      </c>
      <c r="C3874" s="1" t="s">
        <v>2011</v>
      </c>
      <c r="D3874" s="1" t="s">
        <v>1998</v>
      </c>
      <c r="E3874" s="1"/>
      <c r="F3874" s="1" t="s">
        <v>11</v>
      </c>
      <c r="G3874">
        <v>1</v>
      </c>
      <c r="H3874">
        <v>1</v>
      </c>
      <c r="I3874" s="2">
        <v>45780</v>
      </c>
      <c r="J3874" s="2">
        <v>45765</v>
      </c>
      <c r="K3874" s="2">
        <v>45780</v>
      </c>
    </row>
    <row r="3875" spans="1:11" x14ac:dyDescent="0.25">
      <c r="A3875" s="1" t="s">
        <v>658</v>
      </c>
      <c r="B3875" s="1" t="s">
        <v>1275</v>
      </c>
      <c r="C3875" s="1" t="s">
        <v>2252</v>
      </c>
      <c r="D3875" s="1" t="s">
        <v>1998</v>
      </c>
      <c r="E3875" s="1"/>
      <c r="F3875" s="1" t="s">
        <v>11</v>
      </c>
      <c r="G3875">
        <v>15</v>
      </c>
      <c r="H3875">
        <v>15</v>
      </c>
      <c r="I3875" s="2">
        <v>45780</v>
      </c>
      <c r="J3875" s="2">
        <v>45765</v>
      </c>
      <c r="K3875" s="2">
        <v>45780</v>
      </c>
    </row>
    <row r="3876" spans="1:11" x14ac:dyDescent="0.25">
      <c r="A3876" s="1" t="s">
        <v>658</v>
      </c>
      <c r="B3876" s="1" t="s">
        <v>1751</v>
      </c>
      <c r="C3876" s="1" t="s">
        <v>2636</v>
      </c>
      <c r="D3876" s="1" t="s">
        <v>1998</v>
      </c>
      <c r="E3876" s="1"/>
      <c r="F3876" s="1" t="s">
        <v>11</v>
      </c>
      <c r="G3876">
        <v>115</v>
      </c>
      <c r="H3876">
        <v>115</v>
      </c>
      <c r="I3876" s="2">
        <v>45780</v>
      </c>
      <c r="J3876" s="2">
        <v>45765</v>
      </c>
      <c r="K3876" s="2">
        <v>45780</v>
      </c>
    </row>
    <row r="3877" spans="1:11" x14ac:dyDescent="0.25">
      <c r="A3877" s="1" t="s">
        <v>659</v>
      </c>
      <c r="B3877" s="1" t="s">
        <v>1750</v>
      </c>
      <c r="C3877" s="1" t="s">
        <v>2635</v>
      </c>
      <c r="D3877" s="1" t="s">
        <v>1998</v>
      </c>
      <c r="E3877" s="1"/>
      <c r="F3877" s="1" t="s">
        <v>11</v>
      </c>
      <c r="G3877">
        <v>8320</v>
      </c>
      <c r="H3877">
        <v>8320</v>
      </c>
      <c r="I3877" s="2">
        <v>45780</v>
      </c>
      <c r="J3877" s="2">
        <v>45765</v>
      </c>
      <c r="K3877" s="2">
        <v>45780</v>
      </c>
    </row>
    <row r="3878" spans="1:11" x14ac:dyDescent="0.25">
      <c r="A3878" s="1" t="s">
        <v>659</v>
      </c>
      <c r="B3878" s="1" t="s">
        <v>1490</v>
      </c>
      <c r="C3878" s="1" t="s">
        <v>2427</v>
      </c>
      <c r="D3878" s="1" t="s">
        <v>1998</v>
      </c>
      <c r="E3878" s="1"/>
      <c r="F3878" s="1" t="s">
        <v>11</v>
      </c>
      <c r="G3878">
        <v>1</v>
      </c>
      <c r="H3878">
        <v>1</v>
      </c>
      <c r="I3878" s="2">
        <v>45780</v>
      </c>
      <c r="J3878" s="2">
        <v>45765</v>
      </c>
      <c r="K3878" s="2">
        <v>45780</v>
      </c>
    </row>
    <row r="3879" spans="1:11" x14ac:dyDescent="0.25">
      <c r="A3879" s="1" t="s">
        <v>659</v>
      </c>
      <c r="B3879" s="1" t="s">
        <v>1491</v>
      </c>
      <c r="C3879" s="1" t="s">
        <v>2428</v>
      </c>
      <c r="D3879" s="1" t="s">
        <v>1998</v>
      </c>
      <c r="E3879" s="1"/>
      <c r="F3879" s="1" t="s">
        <v>11</v>
      </c>
      <c r="G3879">
        <v>140</v>
      </c>
      <c r="H3879">
        <v>140</v>
      </c>
      <c r="I3879" s="2">
        <v>45780</v>
      </c>
      <c r="J3879" s="2">
        <v>45765</v>
      </c>
      <c r="K3879" s="2">
        <v>45780</v>
      </c>
    </row>
    <row r="3880" spans="1:11" x14ac:dyDescent="0.25">
      <c r="A3880" s="1" t="s">
        <v>659</v>
      </c>
      <c r="B3880" s="1" t="s">
        <v>1492</v>
      </c>
      <c r="C3880" s="1" t="s">
        <v>2429</v>
      </c>
      <c r="D3880" s="1" t="s">
        <v>1998</v>
      </c>
      <c r="E3880" s="1"/>
      <c r="F3880" s="1" t="s">
        <v>11</v>
      </c>
      <c r="G3880">
        <v>1</v>
      </c>
      <c r="H3880">
        <v>1</v>
      </c>
      <c r="I3880" s="2">
        <v>45780</v>
      </c>
      <c r="J3880" s="2">
        <v>45765</v>
      </c>
      <c r="K3880" s="2">
        <v>45780</v>
      </c>
    </row>
    <row r="3881" spans="1:11" x14ac:dyDescent="0.25">
      <c r="A3881" s="1" t="s">
        <v>659</v>
      </c>
      <c r="B3881" s="1" t="s">
        <v>1493</v>
      </c>
      <c r="C3881" s="1" t="s">
        <v>2429</v>
      </c>
      <c r="D3881" s="1" t="s">
        <v>1998</v>
      </c>
      <c r="E3881" s="1"/>
      <c r="F3881" s="1" t="s">
        <v>11</v>
      </c>
      <c r="G3881">
        <v>1</v>
      </c>
      <c r="H3881">
        <v>1</v>
      </c>
      <c r="I3881" s="2">
        <v>45780</v>
      </c>
      <c r="J3881" s="2">
        <v>45765</v>
      </c>
      <c r="K3881" s="2">
        <v>45780</v>
      </c>
    </row>
    <row r="3882" spans="1:11" x14ac:dyDescent="0.25">
      <c r="A3882" s="1" t="s">
        <v>659</v>
      </c>
      <c r="B3882" s="1" t="s">
        <v>1494</v>
      </c>
      <c r="C3882" s="1" t="s">
        <v>2430</v>
      </c>
      <c r="D3882" s="1" t="s">
        <v>1998</v>
      </c>
      <c r="E3882" s="1"/>
      <c r="F3882" s="1" t="s">
        <v>11</v>
      </c>
      <c r="G3882">
        <v>1</v>
      </c>
      <c r="H3882">
        <v>1</v>
      </c>
      <c r="I3882" s="2">
        <v>45780</v>
      </c>
      <c r="J3882" s="2">
        <v>45765</v>
      </c>
      <c r="K3882" s="2">
        <v>45780</v>
      </c>
    </row>
    <row r="3883" spans="1:11" x14ac:dyDescent="0.25">
      <c r="A3883" s="1" t="s">
        <v>659</v>
      </c>
      <c r="B3883" s="1" t="s">
        <v>1495</v>
      </c>
      <c r="C3883" s="1" t="s">
        <v>2431</v>
      </c>
      <c r="D3883" s="1" t="s">
        <v>1998</v>
      </c>
      <c r="E3883" s="1"/>
      <c r="F3883" s="1" t="s">
        <v>11</v>
      </c>
      <c r="G3883">
        <v>1</v>
      </c>
      <c r="H3883">
        <v>1</v>
      </c>
      <c r="I3883" s="2">
        <v>45780</v>
      </c>
      <c r="J3883" s="2">
        <v>45765</v>
      </c>
      <c r="K3883" s="2">
        <v>45780</v>
      </c>
    </row>
    <row r="3884" spans="1:11" x14ac:dyDescent="0.25">
      <c r="A3884" s="1" t="s">
        <v>659</v>
      </c>
      <c r="B3884" s="1" t="s">
        <v>1496</v>
      </c>
      <c r="C3884" s="1" t="s">
        <v>2432</v>
      </c>
      <c r="D3884" s="1" t="s">
        <v>1998</v>
      </c>
      <c r="E3884" s="1"/>
      <c r="F3884" s="1" t="s">
        <v>11</v>
      </c>
      <c r="G3884">
        <v>1</v>
      </c>
      <c r="H3884">
        <v>1</v>
      </c>
      <c r="I3884" s="2">
        <v>45780</v>
      </c>
      <c r="J3884" s="2">
        <v>45765</v>
      </c>
      <c r="K3884" s="2">
        <v>45780</v>
      </c>
    </row>
    <row r="3885" spans="1:11" x14ac:dyDescent="0.25">
      <c r="A3885" s="1" t="s">
        <v>659</v>
      </c>
      <c r="B3885" s="1" t="s">
        <v>1497</v>
      </c>
      <c r="C3885" s="1" t="s">
        <v>2432</v>
      </c>
      <c r="D3885" s="1" t="s">
        <v>1998</v>
      </c>
      <c r="E3885" s="1"/>
      <c r="F3885" s="1" t="s">
        <v>11</v>
      </c>
      <c r="G3885">
        <v>1</v>
      </c>
      <c r="H3885">
        <v>1</v>
      </c>
      <c r="I3885" s="2">
        <v>45780</v>
      </c>
      <c r="J3885" s="2">
        <v>45765</v>
      </c>
      <c r="K3885" s="2">
        <v>45780</v>
      </c>
    </row>
    <row r="3886" spans="1:11" x14ac:dyDescent="0.25">
      <c r="A3886" s="1" t="s">
        <v>659</v>
      </c>
      <c r="B3886" s="1" t="s">
        <v>1498</v>
      </c>
      <c r="C3886" s="1" t="s">
        <v>2433</v>
      </c>
      <c r="D3886" s="1" t="s">
        <v>1998</v>
      </c>
      <c r="E3886" s="1"/>
      <c r="F3886" s="1" t="s">
        <v>11</v>
      </c>
      <c r="G3886">
        <v>1</v>
      </c>
      <c r="H3886">
        <v>1</v>
      </c>
      <c r="I3886" s="2">
        <v>45780</v>
      </c>
      <c r="J3886" s="2">
        <v>45765</v>
      </c>
      <c r="K3886" s="2">
        <v>45780</v>
      </c>
    </row>
    <row r="3887" spans="1:11" x14ac:dyDescent="0.25">
      <c r="A3887" s="1" t="s">
        <v>659</v>
      </c>
      <c r="B3887" s="1" t="s">
        <v>1499</v>
      </c>
      <c r="C3887" s="1" t="s">
        <v>2433</v>
      </c>
      <c r="D3887" s="1" t="s">
        <v>1998</v>
      </c>
      <c r="E3887" s="1"/>
      <c r="F3887" s="1" t="s">
        <v>11</v>
      </c>
      <c r="G3887">
        <v>1</v>
      </c>
      <c r="H3887">
        <v>1</v>
      </c>
      <c r="I3887" s="2">
        <v>45780</v>
      </c>
      <c r="J3887" s="2">
        <v>45765</v>
      </c>
      <c r="K3887" s="2">
        <v>45780</v>
      </c>
    </row>
    <row r="3888" spans="1:11" x14ac:dyDescent="0.25">
      <c r="A3888" s="1" t="s">
        <v>659</v>
      </c>
      <c r="B3888" s="1" t="s">
        <v>993</v>
      </c>
      <c r="C3888" s="1" t="s">
        <v>2011</v>
      </c>
      <c r="D3888" s="1" t="s">
        <v>1998</v>
      </c>
      <c r="E3888" s="1"/>
      <c r="F3888" s="1" t="s">
        <v>11</v>
      </c>
      <c r="G3888">
        <v>1</v>
      </c>
      <c r="H3888">
        <v>1</v>
      </c>
      <c r="I3888" s="2">
        <v>45780</v>
      </c>
      <c r="J3888" s="2">
        <v>45765</v>
      </c>
      <c r="K3888" s="2">
        <v>45780</v>
      </c>
    </row>
    <row r="3889" spans="1:11" x14ac:dyDescent="0.25">
      <c r="A3889" s="1" t="s">
        <v>659</v>
      </c>
      <c r="B3889" s="1" t="s">
        <v>1275</v>
      </c>
      <c r="C3889" s="1" t="s">
        <v>2252</v>
      </c>
      <c r="D3889" s="1" t="s">
        <v>1998</v>
      </c>
      <c r="E3889" s="1"/>
      <c r="F3889" s="1" t="s">
        <v>11</v>
      </c>
      <c r="G3889">
        <v>15</v>
      </c>
      <c r="H3889">
        <v>15</v>
      </c>
      <c r="I3889" s="2">
        <v>45780</v>
      </c>
      <c r="J3889" s="2">
        <v>45765</v>
      </c>
      <c r="K3889" s="2">
        <v>45780</v>
      </c>
    </row>
    <row r="3890" spans="1:11" x14ac:dyDescent="0.25">
      <c r="A3890" s="1" t="s">
        <v>659</v>
      </c>
      <c r="B3890" s="1" t="s">
        <v>1751</v>
      </c>
      <c r="C3890" s="1" t="s">
        <v>2636</v>
      </c>
      <c r="D3890" s="1" t="s">
        <v>1998</v>
      </c>
      <c r="E3890" s="1"/>
      <c r="F3890" s="1" t="s">
        <v>11</v>
      </c>
      <c r="G3890">
        <v>115</v>
      </c>
      <c r="H3890">
        <v>115</v>
      </c>
      <c r="I3890" s="2">
        <v>45780</v>
      </c>
      <c r="J3890" s="2">
        <v>45765</v>
      </c>
      <c r="K3890" s="2">
        <v>45780</v>
      </c>
    </row>
    <row r="3891" spans="1:11" x14ac:dyDescent="0.25">
      <c r="A3891" s="1" t="s">
        <v>660</v>
      </c>
      <c r="B3891" s="1" t="s">
        <v>1750</v>
      </c>
      <c r="C3891" s="1" t="s">
        <v>2635</v>
      </c>
      <c r="D3891" s="1" t="s">
        <v>1998</v>
      </c>
      <c r="E3891" s="1"/>
      <c r="F3891" s="1" t="s">
        <v>11</v>
      </c>
      <c r="G3891">
        <v>8320</v>
      </c>
      <c r="H3891">
        <v>8320</v>
      </c>
      <c r="I3891" s="2">
        <v>45780</v>
      </c>
      <c r="J3891" s="2">
        <v>45765</v>
      </c>
      <c r="K3891" s="2">
        <v>45780</v>
      </c>
    </row>
    <row r="3892" spans="1:11" x14ac:dyDescent="0.25">
      <c r="A3892" s="1" t="s">
        <v>660</v>
      </c>
      <c r="B3892" s="1" t="s">
        <v>1490</v>
      </c>
      <c r="C3892" s="1" t="s">
        <v>2427</v>
      </c>
      <c r="D3892" s="1" t="s">
        <v>1998</v>
      </c>
      <c r="E3892" s="1"/>
      <c r="F3892" s="1" t="s">
        <v>11</v>
      </c>
      <c r="G3892">
        <v>1</v>
      </c>
      <c r="H3892">
        <v>1</v>
      </c>
      <c r="I3892" s="2">
        <v>45780</v>
      </c>
      <c r="J3892" s="2">
        <v>45765</v>
      </c>
      <c r="K3892" s="2">
        <v>45780</v>
      </c>
    </row>
    <row r="3893" spans="1:11" x14ac:dyDescent="0.25">
      <c r="A3893" s="1" t="s">
        <v>660</v>
      </c>
      <c r="B3893" s="1" t="s">
        <v>1491</v>
      </c>
      <c r="C3893" s="1" t="s">
        <v>2428</v>
      </c>
      <c r="D3893" s="1" t="s">
        <v>1998</v>
      </c>
      <c r="E3893" s="1"/>
      <c r="F3893" s="1" t="s">
        <v>11</v>
      </c>
      <c r="G3893">
        <v>140</v>
      </c>
      <c r="H3893">
        <v>140</v>
      </c>
      <c r="I3893" s="2">
        <v>45780</v>
      </c>
      <c r="J3893" s="2">
        <v>45765</v>
      </c>
      <c r="K3893" s="2">
        <v>45780</v>
      </c>
    </row>
    <row r="3894" spans="1:11" x14ac:dyDescent="0.25">
      <c r="A3894" s="1" t="s">
        <v>660</v>
      </c>
      <c r="B3894" s="1" t="s">
        <v>1492</v>
      </c>
      <c r="C3894" s="1" t="s">
        <v>2429</v>
      </c>
      <c r="D3894" s="1" t="s">
        <v>1998</v>
      </c>
      <c r="E3894" s="1"/>
      <c r="F3894" s="1" t="s">
        <v>11</v>
      </c>
      <c r="G3894">
        <v>1</v>
      </c>
      <c r="H3894">
        <v>1</v>
      </c>
      <c r="I3894" s="2">
        <v>45780</v>
      </c>
      <c r="J3894" s="2">
        <v>45765</v>
      </c>
      <c r="K3894" s="2">
        <v>45780</v>
      </c>
    </row>
    <row r="3895" spans="1:11" x14ac:dyDescent="0.25">
      <c r="A3895" s="1" t="s">
        <v>660</v>
      </c>
      <c r="B3895" s="1" t="s">
        <v>1493</v>
      </c>
      <c r="C3895" s="1" t="s">
        <v>2429</v>
      </c>
      <c r="D3895" s="1" t="s">
        <v>1998</v>
      </c>
      <c r="E3895" s="1"/>
      <c r="F3895" s="1" t="s">
        <v>11</v>
      </c>
      <c r="G3895">
        <v>1</v>
      </c>
      <c r="H3895">
        <v>1</v>
      </c>
      <c r="I3895" s="2">
        <v>45780</v>
      </c>
      <c r="J3895" s="2">
        <v>45765</v>
      </c>
      <c r="K3895" s="2">
        <v>45780</v>
      </c>
    </row>
    <row r="3896" spans="1:11" x14ac:dyDescent="0.25">
      <c r="A3896" s="1" t="s">
        <v>660</v>
      </c>
      <c r="B3896" s="1" t="s">
        <v>1494</v>
      </c>
      <c r="C3896" s="1" t="s">
        <v>2430</v>
      </c>
      <c r="D3896" s="1" t="s">
        <v>1998</v>
      </c>
      <c r="E3896" s="1"/>
      <c r="F3896" s="1" t="s">
        <v>11</v>
      </c>
      <c r="G3896">
        <v>1</v>
      </c>
      <c r="H3896">
        <v>1</v>
      </c>
      <c r="I3896" s="2">
        <v>45780</v>
      </c>
      <c r="J3896" s="2">
        <v>45765</v>
      </c>
      <c r="K3896" s="2">
        <v>45780</v>
      </c>
    </row>
    <row r="3897" spans="1:11" x14ac:dyDescent="0.25">
      <c r="A3897" s="1" t="s">
        <v>660</v>
      </c>
      <c r="B3897" s="1" t="s">
        <v>1495</v>
      </c>
      <c r="C3897" s="1" t="s">
        <v>2431</v>
      </c>
      <c r="D3897" s="1" t="s">
        <v>1998</v>
      </c>
      <c r="E3897" s="1"/>
      <c r="F3897" s="1" t="s">
        <v>11</v>
      </c>
      <c r="G3897">
        <v>1</v>
      </c>
      <c r="H3897">
        <v>1</v>
      </c>
      <c r="I3897" s="2">
        <v>45780</v>
      </c>
      <c r="J3897" s="2">
        <v>45765</v>
      </c>
      <c r="K3897" s="2">
        <v>45780</v>
      </c>
    </row>
    <row r="3898" spans="1:11" x14ac:dyDescent="0.25">
      <c r="A3898" s="1" t="s">
        <v>660</v>
      </c>
      <c r="B3898" s="1" t="s">
        <v>1496</v>
      </c>
      <c r="C3898" s="1" t="s">
        <v>2432</v>
      </c>
      <c r="D3898" s="1" t="s">
        <v>1998</v>
      </c>
      <c r="E3898" s="1"/>
      <c r="F3898" s="1" t="s">
        <v>11</v>
      </c>
      <c r="G3898">
        <v>1</v>
      </c>
      <c r="H3898">
        <v>1</v>
      </c>
      <c r="I3898" s="2">
        <v>45780</v>
      </c>
      <c r="J3898" s="2">
        <v>45765</v>
      </c>
      <c r="K3898" s="2">
        <v>45780</v>
      </c>
    </row>
    <row r="3899" spans="1:11" x14ac:dyDescent="0.25">
      <c r="A3899" s="1" t="s">
        <v>660</v>
      </c>
      <c r="B3899" s="1" t="s">
        <v>1497</v>
      </c>
      <c r="C3899" s="1" t="s">
        <v>2432</v>
      </c>
      <c r="D3899" s="1" t="s">
        <v>1998</v>
      </c>
      <c r="E3899" s="1"/>
      <c r="F3899" s="1" t="s">
        <v>11</v>
      </c>
      <c r="G3899">
        <v>1</v>
      </c>
      <c r="H3899">
        <v>1</v>
      </c>
      <c r="I3899" s="2">
        <v>45780</v>
      </c>
      <c r="J3899" s="2">
        <v>45765</v>
      </c>
      <c r="K3899" s="2">
        <v>45780</v>
      </c>
    </row>
    <row r="3900" spans="1:11" x14ac:dyDescent="0.25">
      <c r="A3900" s="1" t="s">
        <v>660</v>
      </c>
      <c r="B3900" s="1" t="s">
        <v>1498</v>
      </c>
      <c r="C3900" s="1" t="s">
        <v>2433</v>
      </c>
      <c r="D3900" s="1" t="s">
        <v>1998</v>
      </c>
      <c r="E3900" s="1"/>
      <c r="F3900" s="1" t="s">
        <v>11</v>
      </c>
      <c r="G3900">
        <v>1</v>
      </c>
      <c r="H3900">
        <v>1</v>
      </c>
      <c r="I3900" s="2">
        <v>45780</v>
      </c>
      <c r="J3900" s="2">
        <v>45765</v>
      </c>
      <c r="K3900" s="2">
        <v>45780</v>
      </c>
    </row>
    <row r="3901" spans="1:11" x14ac:dyDescent="0.25">
      <c r="A3901" s="1" t="s">
        <v>660</v>
      </c>
      <c r="B3901" s="1" t="s">
        <v>1499</v>
      </c>
      <c r="C3901" s="1" t="s">
        <v>2433</v>
      </c>
      <c r="D3901" s="1" t="s">
        <v>1998</v>
      </c>
      <c r="E3901" s="1"/>
      <c r="F3901" s="1" t="s">
        <v>11</v>
      </c>
      <c r="G3901">
        <v>1</v>
      </c>
      <c r="H3901">
        <v>1</v>
      </c>
      <c r="I3901" s="2">
        <v>45780</v>
      </c>
      <c r="J3901" s="2">
        <v>45765</v>
      </c>
      <c r="K3901" s="2">
        <v>45780</v>
      </c>
    </row>
    <row r="3902" spans="1:11" x14ac:dyDescent="0.25">
      <c r="A3902" s="1" t="s">
        <v>660</v>
      </c>
      <c r="B3902" s="1" t="s">
        <v>993</v>
      </c>
      <c r="C3902" s="1" t="s">
        <v>2011</v>
      </c>
      <c r="D3902" s="1" t="s">
        <v>1998</v>
      </c>
      <c r="E3902" s="1"/>
      <c r="F3902" s="1" t="s">
        <v>11</v>
      </c>
      <c r="G3902">
        <v>1</v>
      </c>
      <c r="H3902">
        <v>1</v>
      </c>
      <c r="I3902" s="2">
        <v>45780</v>
      </c>
      <c r="J3902" s="2">
        <v>45765</v>
      </c>
      <c r="K3902" s="2">
        <v>45780</v>
      </c>
    </row>
    <row r="3903" spans="1:11" x14ac:dyDescent="0.25">
      <c r="A3903" s="1" t="s">
        <v>660</v>
      </c>
      <c r="B3903" s="1" t="s">
        <v>1275</v>
      </c>
      <c r="C3903" s="1" t="s">
        <v>2252</v>
      </c>
      <c r="D3903" s="1" t="s">
        <v>1998</v>
      </c>
      <c r="E3903" s="1"/>
      <c r="F3903" s="1" t="s">
        <v>11</v>
      </c>
      <c r="G3903">
        <v>15</v>
      </c>
      <c r="H3903">
        <v>15</v>
      </c>
      <c r="I3903" s="2">
        <v>45780</v>
      </c>
      <c r="J3903" s="2">
        <v>45765</v>
      </c>
      <c r="K3903" s="2">
        <v>45780</v>
      </c>
    </row>
    <row r="3904" spans="1:11" x14ac:dyDescent="0.25">
      <c r="A3904" s="1" t="s">
        <v>660</v>
      </c>
      <c r="B3904" s="1" t="s">
        <v>1751</v>
      </c>
      <c r="C3904" s="1" t="s">
        <v>2636</v>
      </c>
      <c r="D3904" s="1" t="s">
        <v>1998</v>
      </c>
      <c r="E3904" s="1"/>
      <c r="F3904" s="1" t="s">
        <v>11</v>
      </c>
      <c r="G3904">
        <v>115</v>
      </c>
      <c r="H3904">
        <v>115</v>
      </c>
      <c r="I3904" s="2">
        <v>45780</v>
      </c>
      <c r="J3904" s="2">
        <v>45765</v>
      </c>
      <c r="K3904" s="2">
        <v>45780</v>
      </c>
    </row>
    <row r="3905" spans="1:11" x14ac:dyDescent="0.25">
      <c r="A3905" s="1" t="s">
        <v>661</v>
      </c>
      <c r="B3905" s="1" t="s">
        <v>1697</v>
      </c>
      <c r="C3905" s="1" t="s">
        <v>2346</v>
      </c>
      <c r="D3905" s="1" t="s">
        <v>1998</v>
      </c>
      <c r="E3905" s="1"/>
      <c r="F3905" s="1" t="s">
        <v>11</v>
      </c>
      <c r="G3905">
        <v>1880</v>
      </c>
      <c r="H3905">
        <v>1880</v>
      </c>
      <c r="I3905" s="2">
        <v>45784</v>
      </c>
      <c r="J3905" s="2">
        <v>45771</v>
      </c>
      <c r="K3905" s="2">
        <v>45784</v>
      </c>
    </row>
    <row r="3906" spans="1:11" x14ac:dyDescent="0.25">
      <c r="A3906" s="1" t="s">
        <v>661</v>
      </c>
      <c r="B3906" s="1" t="s">
        <v>1669</v>
      </c>
      <c r="C3906" s="1" t="s">
        <v>2578</v>
      </c>
      <c r="D3906" s="1" t="s">
        <v>1998</v>
      </c>
      <c r="E3906" s="1"/>
      <c r="F3906" s="1" t="s">
        <v>11</v>
      </c>
      <c r="G3906">
        <v>550</v>
      </c>
      <c r="H3906">
        <v>550</v>
      </c>
      <c r="I3906" s="2">
        <v>45784</v>
      </c>
      <c r="J3906" s="2">
        <v>45771</v>
      </c>
      <c r="K3906" s="2">
        <v>45784</v>
      </c>
    </row>
    <row r="3907" spans="1:11" x14ac:dyDescent="0.25">
      <c r="A3907" s="1" t="s">
        <v>661</v>
      </c>
      <c r="B3907" s="1" t="s">
        <v>1670</v>
      </c>
      <c r="C3907" s="1" t="s">
        <v>2579</v>
      </c>
      <c r="D3907" s="1" t="s">
        <v>1998</v>
      </c>
      <c r="E3907" s="1"/>
      <c r="F3907" s="1" t="s">
        <v>11</v>
      </c>
      <c r="G3907">
        <v>95</v>
      </c>
      <c r="H3907">
        <v>95</v>
      </c>
      <c r="I3907" s="2">
        <v>45784</v>
      </c>
      <c r="J3907" s="2">
        <v>45771</v>
      </c>
      <c r="K3907" s="2">
        <v>45784</v>
      </c>
    </row>
    <row r="3908" spans="1:11" x14ac:dyDescent="0.25">
      <c r="A3908" s="1" t="s">
        <v>661</v>
      </c>
      <c r="B3908" s="1" t="s">
        <v>1698</v>
      </c>
      <c r="C3908" s="1" t="s">
        <v>2102</v>
      </c>
      <c r="D3908" s="1" t="s">
        <v>1998</v>
      </c>
      <c r="E3908" s="1"/>
      <c r="F3908" s="1" t="s">
        <v>11</v>
      </c>
      <c r="G3908">
        <v>405</v>
      </c>
      <c r="H3908">
        <v>405</v>
      </c>
      <c r="I3908" s="2">
        <v>45784</v>
      </c>
      <c r="J3908" s="2">
        <v>45771</v>
      </c>
      <c r="K3908" s="2">
        <v>45784</v>
      </c>
    </row>
    <row r="3909" spans="1:11" x14ac:dyDescent="0.25">
      <c r="A3909" s="1" t="s">
        <v>662</v>
      </c>
      <c r="B3909" s="1" t="s">
        <v>1697</v>
      </c>
      <c r="C3909" s="1" t="s">
        <v>2346</v>
      </c>
      <c r="D3909" s="1" t="s">
        <v>1998</v>
      </c>
      <c r="E3909" s="1"/>
      <c r="F3909" s="1" t="s">
        <v>11</v>
      </c>
      <c r="G3909">
        <v>1880</v>
      </c>
      <c r="H3909">
        <v>1880</v>
      </c>
      <c r="I3909" s="2">
        <v>45784</v>
      </c>
      <c r="J3909" s="2">
        <v>45771</v>
      </c>
      <c r="K3909" s="2">
        <v>45784</v>
      </c>
    </row>
    <row r="3910" spans="1:11" x14ac:dyDescent="0.25">
      <c r="A3910" s="1" t="s">
        <v>662</v>
      </c>
      <c r="B3910" s="1" t="s">
        <v>1669</v>
      </c>
      <c r="C3910" s="1" t="s">
        <v>2578</v>
      </c>
      <c r="D3910" s="1" t="s">
        <v>1998</v>
      </c>
      <c r="E3910" s="1"/>
      <c r="F3910" s="1" t="s">
        <v>11</v>
      </c>
      <c r="G3910">
        <v>550</v>
      </c>
      <c r="H3910">
        <v>550</v>
      </c>
      <c r="I3910" s="2">
        <v>45784</v>
      </c>
      <c r="J3910" s="2">
        <v>45771</v>
      </c>
      <c r="K3910" s="2">
        <v>45784</v>
      </c>
    </row>
    <row r="3911" spans="1:11" x14ac:dyDescent="0.25">
      <c r="A3911" s="1" t="s">
        <v>662</v>
      </c>
      <c r="B3911" s="1" t="s">
        <v>1669</v>
      </c>
      <c r="C3911" s="1" t="s">
        <v>2578</v>
      </c>
      <c r="D3911" s="1" t="s">
        <v>1998</v>
      </c>
      <c r="E3911" s="1"/>
      <c r="F3911" s="1" t="s">
        <v>11</v>
      </c>
      <c r="G3911">
        <v>10</v>
      </c>
      <c r="H3911">
        <v>10</v>
      </c>
      <c r="I3911" s="2">
        <v>45784</v>
      </c>
      <c r="J3911" s="2">
        <v>45771</v>
      </c>
      <c r="K3911" s="2">
        <v>45784</v>
      </c>
    </row>
    <row r="3912" spans="1:11" x14ac:dyDescent="0.25">
      <c r="A3912" s="1" t="s">
        <v>662</v>
      </c>
      <c r="B3912" s="1" t="s">
        <v>1670</v>
      </c>
      <c r="C3912" s="1" t="s">
        <v>2579</v>
      </c>
      <c r="D3912" s="1" t="s">
        <v>1998</v>
      </c>
      <c r="E3912" s="1"/>
      <c r="F3912" s="1" t="s">
        <v>11</v>
      </c>
      <c r="G3912">
        <v>95</v>
      </c>
      <c r="H3912">
        <v>95</v>
      </c>
      <c r="I3912" s="2">
        <v>45784</v>
      </c>
      <c r="J3912" s="2">
        <v>45771</v>
      </c>
      <c r="K3912" s="2">
        <v>45784</v>
      </c>
    </row>
    <row r="3913" spans="1:11" x14ac:dyDescent="0.25">
      <c r="A3913" s="1" t="s">
        <v>662</v>
      </c>
      <c r="B3913" s="1" t="s">
        <v>1698</v>
      </c>
      <c r="C3913" s="1" t="s">
        <v>2102</v>
      </c>
      <c r="D3913" s="1" t="s">
        <v>1998</v>
      </c>
      <c r="E3913" s="1"/>
      <c r="F3913" s="1" t="s">
        <v>11</v>
      </c>
      <c r="G3913">
        <v>405</v>
      </c>
      <c r="H3913">
        <v>405</v>
      </c>
      <c r="I3913" s="2">
        <v>45784</v>
      </c>
      <c r="J3913" s="2">
        <v>45771</v>
      </c>
      <c r="K3913" s="2">
        <v>45784</v>
      </c>
    </row>
    <row r="3914" spans="1:11" x14ac:dyDescent="0.25">
      <c r="A3914" s="1" t="s">
        <v>663</v>
      </c>
      <c r="B3914" s="1" t="s">
        <v>1752</v>
      </c>
      <c r="C3914" s="1" t="s">
        <v>2637</v>
      </c>
      <c r="D3914" s="1" t="s">
        <v>1998</v>
      </c>
      <c r="E3914" s="1"/>
      <c r="F3914" s="1" t="s">
        <v>11</v>
      </c>
      <c r="G3914">
        <v>7520</v>
      </c>
      <c r="H3914">
        <v>7650</v>
      </c>
      <c r="I3914" s="2"/>
      <c r="J3914" s="2">
        <v>45769</v>
      </c>
      <c r="K3914" s="2">
        <v>45778</v>
      </c>
    </row>
    <row r="3915" spans="1:11" x14ac:dyDescent="0.25">
      <c r="A3915" s="1" t="s">
        <v>664</v>
      </c>
      <c r="B3915" s="1" t="s">
        <v>1752</v>
      </c>
      <c r="C3915" s="1" t="s">
        <v>2637</v>
      </c>
      <c r="D3915" s="1" t="s">
        <v>1998</v>
      </c>
      <c r="E3915" s="1"/>
      <c r="F3915" s="1" t="s">
        <v>11</v>
      </c>
      <c r="G3915">
        <v>5505</v>
      </c>
      <c r="H3915">
        <v>5505</v>
      </c>
      <c r="I3915" s="2"/>
      <c r="J3915" s="2">
        <v>45769</v>
      </c>
      <c r="K3915" s="2">
        <v>45778</v>
      </c>
    </row>
    <row r="3916" spans="1:11" x14ac:dyDescent="0.25">
      <c r="A3916" s="1" t="s">
        <v>665</v>
      </c>
      <c r="B3916" s="1" t="s">
        <v>1753</v>
      </c>
      <c r="C3916" s="1" t="s">
        <v>2638</v>
      </c>
      <c r="D3916" s="1" t="s">
        <v>1998</v>
      </c>
      <c r="E3916" s="1"/>
      <c r="F3916" s="1" t="s">
        <v>11</v>
      </c>
      <c r="G3916">
        <v>30</v>
      </c>
      <c r="H3916">
        <v>40</v>
      </c>
      <c r="I3916" s="2"/>
      <c r="J3916" s="2">
        <v>45770</v>
      </c>
      <c r="K3916" s="2">
        <v>45782</v>
      </c>
    </row>
    <row r="3917" spans="1:11" x14ac:dyDescent="0.25">
      <c r="A3917" s="1" t="s">
        <v>666</v>
      </c>
      <c r="B3917" s="1" t="s">
        <v>1754</v>
      </c>
      <c r="C3917" s="1" t="s">
        <v>2639</v>
      </c>
      <c r="D3917" s="1" t="s">
        <v>1998</v>
      </c>
      <c r="E3917" s="1"/>
      <c r="F3917" s="1" t="s">
        <v>11</v>
      </c>
      <c r="G3917">
        <v>605</v>
      </c>
      <c r="H3917">
        <v>665</v>
      </c>
      <c r="I3917" s="2"/>
      <c r="J3917" s="2">
        <v>45768</v>
      </c>
      <c r="K3917" s="2">
        <v>45789</v>
      </c>
    </row>
    <row r="3918" spans="1:11" x14ac:dyDescent="0.25">
      <c r="A3918" s="1" t="s">
        <v>667</v>
      </c>
      <c r="B3918" s="1" t="s">
        <v>1265</v>
      </c>
      <c r="C3918" s="1" t="s">
        <v>2242</v>
      </c>
      <c r="D3918" s="1" t="s">
        <v>1998</v>
      </c>
      <c r="E3918" s="1"/>
      <c r="F3918" s="1" t="s">
        <v>11</v>
      </c>
      <c r="G3918">
        <v>1035</v>
      </c>
      <c r="H3918">
        <v>1035</v>
      </c>
      <c r="I3918" s="2">
        <v>45789</v>
      </c>
      <c r="J3918" s="2">
        <v>45782</v>
      </c>
      <c r="K3918" s="2">
        <v>45783</v>
      </c>
    </row>
    <row r="3919" spans="1:11" x14ac:dyDescent="0.25">
      <c r="A3919" s="1" t="s">
        <v>667</v>
      </c>
      <c r="B3919" s="1" t="s">
        <v>1206</v>
      </c>
      <c r="C3919" s="1" t="s">
        <v>2196</v>
      </c>
      <c r="D3919" s="1" t="s">
        <v>1998</v>
      </c>
      <c r="E3919" s="1"/>
      <c r="F3919" s="1" t="s">
        <v>11</v>
      </c>
      <c r="G3919">
        <v>1</v>
      </c>
      <c r="H3919">
        <v>1</v>
      </c>
      <c r="I3919" s="2">
        <v>45789</v>
      </c>
      <c r="J3919" s="2">
        <v>45782</v>
      </c>
      <c r="K3919" s="2">
        <v>45783</v>
      </c>
    </row>
    <row r="3920" spans="1:11" x14ac:dyDescent="0.25">
      <c r="A3920" s="1" t="s">
        <v>668</v>
      </c>
      <c r="B3920" s="1" t="s">
        <v>1265</v>
      </c>
      <c r="C3920" s="1" t="s">
        <v>2242</v>
      </c>
      <c r="D3920" s="1" t="s">
        <v>1998</v>
      </c>
      <c r="E3920" s="1"/>
      <c r="F3920" s="1" t="s">
        <v>11</v>
      </c>
      <c r="G3920">
        <v>1035</v>
      </c>
      <c r="H3920">
        <v>1035</v>
      </c>
      <c r="I3920" s="2">
        <v>45789</v>
      </c>
      <c r="J3920" s="2">
        <v>45783</v>
      </c>
      <c r="K3920" s="2">
        <v>45785</v>
      </c>
    </row>
    <row r="3921" spans="1:11" x14ac:dyDescent="0.25">
      <c r="A3921" s="1" t="s">
        <v>668</v>
      </c>
      <c r="B3921" s="1" t="s">
        <v>1206</v>
      </c>
      <c r="C3921" s="1" t="s">
        <v>2196</v>
      </c>
      <c r="D3921" s="1" t="s">
        <v>1998</v>
      </c>
      <c r="E3921" s="1"/>
      <c r="F3921" s="1" t="s">
        <v>11</v>
      </c>
      <c r="G3921">
        <v>1</v>
      </c>
      <c r="H3921">
        <v>1</v>
      </c>
      <c r="I3921" s="2">
        <v>45789</v>
      </c>
      <c r="J3921" s="2">
        <v>45783</v>
      </c>
      <c r="K3921" s="2">
        <v>45785</v>
      </c>
    </row>
    <row r="3922" spans="1:11" x14ac:dyDescent="0.25">
      <c r="A3922" s="1" t="s">
        <v>669</v>
      </c>
      <c r="B3922" s="1" t="s">
        <v>1755</v>
      </c>
      <c r="C3922" s="1" t="s">
        <v>2640</v>
      </c>
      <c r="D3922" s="1" t="s">
        <v>1998</v>
      </c>
      <c r="E3922" s="1"/>
      <c r="F3922" s="1" t="s">
        <v>11</v>
      </c>
      <c r="G3922">
        <v>5485</v>
      </c>
      <c r="H3922">
        <v>5485</v>
      </c>
      <c r="I3922" s="2">
        <v>45780</v>
      </c>
      <c r="J3922" s="2">
        <v>45764</v>
      </c>
      <c r="K3922" s="2">
        <v>45780</v>
      </c>
    </row>
    <row r="3923" spans="1:11" x14ac:dyDescent="0.25">
      <c r="A3923" s="1" t="s">
        <v>669</v>
      </c>
      <c r="B3923" s="1" t="s">
        <v>1492</v>
      </c>
      <c r="C3923" s="1" t="s">
        <v>2429</v>
      </c>
      <c r="D3923" s="1" t="s">
        <v>1998</v>
      </c>
      <c r="E3923" s="1"/>
      <c r="F3923" s="1" t="s">
        <v>11</v>
      </c>
      <c r="G3923">
        <v>15</v>
      </c>
      <c r="H3923">
        <v>15</v>
      </c>
      <c r="I3923" s="2">
        <v>45780</v>
      </c>
      <c r="J3923" s="2">
        <v>45764</v>
      </c>
      <c r="K3923" s="2">
        <v>45780</v>
      </c>
    </row>
    <row r="3924" spans="1:11" x14ac:dyDescent="0.25">
      <c r="A3924" s="1" t="s">
        <v>669</v>
      </c>
      <c r="B3924" s="1" t="s">
        <v>1493</v>
      </c>
      <c r="C3924" s="1" t="s">
        <v>2429</v>
      </c>
      <c r="D3924" s="1" t="s">
        <v>1998</v>
      </c>
      <c r="E3924" s="1"/>
      <c r="F3924" s="1" t="s">
        <v>11</v>
      </c>
      <c r="G3924">
        <v>15</v>
      </c>
      <c r="H3924">
        <v>15</v>
      </c>
      <c r="I3924" s="2">
        <v>45780</v>
      </c>
      <c r="J3924" s="2">
        <v>45764</v>
      </c>
      <c r="K3924" s="2">
        <v>45780</v>
      </c>
    </row>
    <row r="3925" spans="1:11" x14ac:dyDescent="0.25">
      <c r="A3925" s="1" t="s">
        <v>669</v>
      </c>
      <c r="B3925" s="1" t="s">
        <v>1494</v>
      </c>
      <c r="C3925" s="1" t="s">
        <v>2430</v>
      </c>
      <c r="D3925" s="1" t="s">
        <v>1998</v>
      </c>
      <c r="E3925" s="1"/>
      <c r="F3925" s="1" t="s">
        <v>11</v>
      </c>
      <c r="G3925">
        <v>1</v>
      </c>
      <c r="H3925">
        <v>1</v>
      </c>
      <c r="I3925" s="2">
        <v>45780</v>
      </c>
      <c r="J3925" s="2">
        <v>45764</v>
      </c>
      <c r="K3925" s="2">
        <v>45780</v>
      </c>
    </row>
    <row r="3926" spans="1:11" x14ac:dyDescent="0.25">
      <c r="A3926" s="1" t="s">
        <v>669</v>
      </c>
      <c r="B3926" s="1" t="s">
        <v>1495</v>
      </c>
      <c r="C3926" s="1" t="s">
        <v>2431</v>
      </c>
      <c r="D3926" s="1" t="s">
        <v>1998</v>
      </c>
      <c r="E3926" s="1"/>
      <c r="F3926" s="1" t="s">
        <v>11</v>
      </c>
      <c r="G3926">
        <v>1</v>
      </c>
      <c r="H3926">
        <v>1</v>
      </c>
      <c r="I3926" s="2">
        <v>45780</v>
      </c>
      <c r="J3926" s="2">
        <v>45764</v>
      </c>
      <c r="K3926" s="2">
        <v>45780</v>
      </c>
    </row>
    <row r="3927" spans="1:11" x14ac:dyDescent="0.25">
      <c r="A3927" s="1" t="s">
        <v>669</v>
      </c>
      <c r="B3927" s="1" t="s">
        <v>1496</v>
      </c>
      <c r="C3927" s="1" t="s">
        <v>2432</v>
      </c>
      <c r="D3927" s="1" t="s">
        <v>1998</v>
      </c>
      <c r="E3927" s="1"/>
      <c r="F3927" s="1" t="s">
        <v>11</v>
      </c>
      <c r="G3927">
        <v>1</v>
      </c>
      <c r="H3927">
        <v>1</v>
      </c>
      <c r="I3927" s="2">
        <v>45780</v>
      </c>
      <c r="J3927" s="2">
        <v>45764</v>
      </c>
      <c r="K3927" s="2">
        <v>45780</v>
      </c>
    </row>
    <row r="3928" spans="1:11" x14ac:dyDescent="0.25">
      <c r="A3928" s="1" t="s">
        <v>669</v>
      </c>
      <c r="B3928" s="1" t="s">
        <v>1497</v>
      </c>
      <c r="C3928" s="1" t="s">
        <v>2432</v>
      </c>
      <c r="D3928" s="1" t="s">
        <v>1998</v>
      </c>
      <c r="E3928" s="1"/>
      <c r="F3928" s="1" t="s">
        <v>11</v>
      </c>
      <c r="G3928">
        <v>1</v>
      </c>
      <c r="H3928">
        <v>1</v>
      </c>
      <c r="I3928" s="2">
        <v>45780</v>
      </c>
      <c r="J3928" s="2">
        <v>45764</v>
      </c>
      <c r="K3928" s="2">
        <v>45780</v>
      </c>
    </row>
    <row r="3929" spans="1:11" x14ac:dyDescent="0.25">
      <c r="A3929" s="1" t="s">
        <v>669</v>
      </c>
      <c r="B3929" s="1" t="s">
        <v>1498</v>
      </c>
      <c r="C3929" s="1" t="s">
        <v>2433</v>
      </c>
      <c r="D3929" s="1" t="s">
        <v>1998</v>
      </c>
      <c r="E3929" s="1"/>
      <c r="F3929" s="1" t="s">
        <v>11</v>
      </c>
      <c r="G3929">
        <v>5</v>
      </c>
      <c r="H3929">
        <v>5</v>
      </c>
      <c r="I3929" s="2">
        <v>45780</v>
      </c>
      <c r="J3929" s="2">
        <v>45764</v>
      </c>
      <c r="K3929" s="2">
        <v>45780</v>
      </c>
    </row>
    <row r="3930" spans="1:11" x14ac:dyDescent="0.25">
      <c r="A3930" s="1" t="s">
        <v>669</v>
      </c>
      <c r="B3930" s="1" t="s">
        <v>1499</v>
      </c>
      <c r="C3930" s="1" t="s">
        <v>2433</v>
      </c>
      <c r="D3930" s="1" t="s">
        <v>1998</v>
      </c>
      <c r="E3930" s="1"/>
      <c r="F3930" s="1" t="s">
        <v>11</v>
      </c>
      <c r="G3930">
        <v>5</v>
      </c>
      <c r="H3930">
        <v>5</v>
      </c>
      <c r="I3930" s="2">
        <v>45780</v>
      </c>
      <c r="J3930" s="2">
        <v>45764</v>
      </c>
      <c r="K3930" s="2">
        <v>45780</v>
      </c>
    </row>
    <row r="3931" spans="1:11" x14ac:dyDescent="0.25">
      <c r="A3931" s="1" t="s">
        <v>669</v>
      </c>
      <c r="B3931" s="1" t="s">
        <v>993</v>
      </c>
      <c r="C3931" s="1" t="s">
        <v>2011</v>
      </c>
      <c r="D3931" s="1" t="s">
        <v>1998</v>
      </c>
      <c r="E3931" s="1"/>
      <c r="F3931" s="1" t="s">
        <v>11</v>
      </c>
      <c r="G3931">
        <v>1</v>
      </c>
      <c r="H3931">
        <v>1</v>
      </c>
      <c r="I3931" s="2">
        <v>45780</v>
      </c>
      <c r="J3931" s="2">
        <v>45764</v>
      </c>
      <c r="K3931" s="2">
        <v>45780</v>
      </c>
    </row>
    <row r="3932" spans="1:11" x14ac:dyDescent="0.25">
      <c r="A3932" s="1" t="s">
        <v>670</v>
      </c>
      <c r="B3932" s="1" t="s">
        <v>1755</v>
      </c>
      <c r="C3932" s="1" t="s">
        <v>2640</v>
      </c>
      <c r="D3932" s="1" t="s">
        <v>1998</v>
      </c>
      <c r="E3932" s="1"/>
      <c r="F3932" s="1" t="s">
        <v>11</v>
      </c>
      <c r="G3932">
        <v>5485</v>
      </c>
      <c r="H3932">
        <v>5485</v>
      </c>
      <c r="I3932" s="2">
        <v>45780</v>
      </c>
      <c r="J3932" s="2">
        <v>45764</v>
      </c>
      <c r="K3932" s="2">
        <v>45775</v>
      </c>
    </row>
    <row r="3933" spans="1:11" x14ac:dyDescent="0.25">
      <c r="A3933" s="1" t="s">
        <v>670</v>
      </c>
      <c r="B3933" s="1" t="s">
        <v>1492</v>
      </c>
      <c r="C3933" s="1" t="s">
        <v>2429</v>
      </c>
      <c r="D3933" s="1" t="s">
        <v>1998</v>
      </c>
      <c r="E3933" s="1"/>
      <c r="F3933" s="1" t="s">
        <v>11</v>
      </c>
      <c r="G3933">
        <v>15</v>
      </c>
      <c r="H3933">
        <v>15</v>
      </c>
      <c r="I3933" s="2">
        <v>45780</v>
      </c>
      <c r="J3933" s="2">
        <v>45764</v>
      </c>
      <c r="K3933" s="2">
        <v>45775</v>
      </c>
    </row>
    <row r="3934" spans="1:11" x14ac:dyDescent="0.25">
      <c r="A3934" s="1" t="s">
        <v>670</v>
      </c>
      <c r="B3934" s="1" t="s">
        <v>1493</v>
      </c>
      <c r="C3934" s="1" t="s">
        <v>2429</v>
      </c>
      <c r="D3934" s="1" t="s">
        <v>1998</v>
      </c>
      <c r="E3934" s="1"/>
      <c r="F3934" s="1" t="s">
        <v>11</v>
      </c>
      <c r="G3934">
        <v>15</v>
      </c>
      <c r="H3934">
        <v>15</v>
      </c>
      <c r="I3934" s="2">
        <v>45780</v>
      </c>
      <c r="J3934" s="2">
        <v>45764</v>
      </c>
      <c r="K3934" s="2">
        <v>45775</v>
      </c>
    </row>
    <row r="3935" spans="1:11" x14ac:dyDescent="0.25">
      <c r="A3935" s="1" t="s">
        <v>670</v>
      </c>
      <c r="B3935" s="1" t="s">
        <v>1494</v>
      </c>
      <c r="C3935" s="1" t="s">
        <v>2430</v>
      </c>
      <c r="D3935" s="1" t="s">
        <v>1998</v>
      </c>
      <c r="E3935" s="1"/>
      <c r="F3935" s="1" t="s">
        <v>11</v>
      </c>
      <c r="G3935">
        <v>1</v>
      </c>
      <c r="H3935">
        <v>1</v>
      </c>
      <c r="I3935" s="2">
        <v>45780</v>
      </c>
      <c r="J3935" s="2">
        <v>45764</v>
      </c>
      <c r="K3935" s="2">
        <v>45775</v>
      </c>
    </row>
    <row r="3936" spans="1:11" x14ac:dyDescent="0.25">
      <c r="A3936" s="1" t="s">
        <v>670</v>
      </c>
      <c r="B3936" s="1" t="s">
        <v>1495</v>
      </c>
      <c r="C3936" s="1" t="s">
        <v>2431</v>
      </c>
      <c r="D3936" s="1" t="s">
        <v>1998</v>
      </c>
      <c r="E3936" s="1"/>
      <c r="F3936" s="1" t="s">
        <v>11</v>
      </c>
      <c r="G3936">
        <v>1</v>
      </c>
      <c r="H3936">
        <v>1</v>
      </c>
      <c r="I3936" s="2">
        <v>45780</v>
      </c>
      <c r="J3936" s="2">
        <v>45764</v>
      </c>
      <c r="K3936" s="2">
        <v>45775</v>
      </c>
    </row>
    <row r="3937" spans="1:11" x14ac:dyDescent="0.25">
      <c r="A3937" s="1" t="s">
        <v>670</v>
      </c>
      <c r="B3937" s="1" t="s">
        <v>1496</v>
      </c>
      <c r="C3937" s="1" t="s">
        <v>2432</v>
      </c>
      <c r="D3937" s="1" t="s">
        <v>1998</v>
      </c>
      <c r="E3937" s="1"/>
      <c r="F3937" s="1" t="s">
        <v>11</v>
      </c>
      <c r="G3937">
        <v>1</v>
      </c>
      <c r="H3937">
        <v>1</v>
      </c>
      <c r="I3937" s="2">
        <v>45780</v>
      </c>
      <c r="J3937" s="2">
        <v>45764</v>
      </c>
      <c r="K3937" s="2">
        <v>45775</v>
      </c>
    </row>
    <row r="3938" spans="1:11" x14ac:dyDescent="0.25">
      <c r="A3938" s="1" t="s">
        <v>670</v>
      </c>
      <c r="B3938" s="1" t="s">
        <v>1497</v>
      </c>
      <c r="C3938" s="1" t="s">
        <v>2432</v>
      </c>
      <c r="D3938" s="1" t="s">
        <v>1998</v>
      </c>
      <c r="E3938" s="1"/>
      <c r="F3938" s="1" t="s">
        <v>11</v>
      </c>
      <c r="G3938">
        <v>1</v>
      </c>
      <c r="H3938">
        <v>1</v>
      </c>
      <c r="I3938" s="2">
        <v>45780</v>
      </c>
      <c r="J3938" s="2">
        <v>45764</v>
      </c>
      <c r="K3938" s="2">
        <v>45775</v>
      </c>
    </row>
    <row r="3939" spans="1:11" x14ac:dyDescent="0.25">
      <c r="A3939" s="1" t="s">
        <v>670</v>
      </c>
      <c r="B3939" s="1" t="s">
        <v>1498</v>
      </c>
      <c r="C3939" s="1" t="s">
        <v>2433</v>
      </c>
      <c r="D3939" s="1" t="s">
        <v>1998</v>
      </c>
      <c r="E3939" s="1"/>
      <c r="F3939" s="1" t="s">
        <v>11</v>
      </c>
      <c r="G3939">
        <v>5</v>
      </c>
      <c r="H3939">
        <v>5</v>
      </c>
      <c r="I3939" s="2">
        <v>45780</v>
      </c>
      <c r="J3939" s="2">
        <v>45764</v>
      </c>
      <c r="K3939" s="2">
        <v>45775</v>
      </c>
    </row>
    <row r="3940" spans="1:11" x14ac:dyDescent="0.25">
      <c r="A3940" s="1" t="s">
        <v>670</v>
      </c>
      <c r="B3940" s="1" t="s">
        <v>1499</v>
      </c>
      <c r="C3940" s="1" t="s">
        <v>2433</v>
      </c>
      <c r="D3940" s="1" t="s">
        <v>1998</v>
      </c>
      <c r="E3940" s="1"/>
      <c r="F3940" s="1" t="s">
        <v>11</v>
      </c>
      <c r="G3940">
        <v>5</v>
      </c>
      <c r="H3940">
        <v>5</v>
      </c>
      <c r="I3940" s="2">
        <v>45780</v>
      </c>
      <c r="J3940" s="2">
        <v>45764</v>
      </c>
      <c r="K3940" s="2">
        <v>45775</v>
      </c>
    </row>
    <row r="3941" spans="1:11" x14ac:dyDescent="0.25">
      <c r="A3941" s="1" t="s">
        <v>670</v>
      </c>
      <c r="B3941" s="1" t="s">
        <v>993</v>
      </c>
      <c r="C3941" s="1" t="s">
        <v>2011</v>
      </c>
      <c r="D3941" s="1" t="s">
        <v>1998</v>
      </c>
      <c r="E3941" s="1"/>
      <c r="F3941" s="1" t="s">
        <v>11</v>
      </c>
      <c r="G3941">
        <v>1</v>
      </c>
      <c r="H3941">
        <v>1</v>
      </c>
      <c r="I3941" s="2">
        <v>45780</v>
      </c>
      <c r="J3941" s="2">
        <v>45764</v>
      </c>
      <c r="K3941" s="2">
        <v>45775</v>
      </c>
    </row>
    <row r="3942" spans="1:11" x14ac:dyDescent="0.25">
      <c r="A3942" s="1" t="s">
        <v>671</v>
      </c>
      <c r="B3942" s="1" t="s">
        <v>1756</v>
      </c>
      <c r="C3942" s="1" t="s">
        <v>2641</v>
      </c>
      <c r="D3942" s="1" t="s">
        <v>1998</v>
      </c>
      <c r="E3942" s="1"/>
      <c r="F3942" s="1" t="s">
        <v>11</v>
      </c>
      <c r="G3942">
        <v>60</v>
      </c>
      <c r="H3942">
        <v>60</v>
      </c>
      <c r="I3942" s="2">
        <v>45784</v>
      </c>
      <c r="J3942" s="2">
        <v>45777</v>
      </c>
      <c r="K3942" s="2">
        <v>45784</v>
      </c>
    </row>
    <row r="3943" spans="1:11" x14ac:dyDescent="0.25">
      <c r="A3943" s="1" t="s">
        <v>671</v>
      </c>
      <c r="B3943" s="1" t="s">
        <v>1756</v>
      </c>
      <c r="C3943" s="1" t="s">
        <v>2641</v>
      </c>
      <c r="D3943" s="1" t="s">
        <v>1998</v>
      </c>
      <c r="E3943" s="1"/>
      <c r="F3943" s="1" t="s">
        <v>16</v>
      </c>
      <c r="G3943">
        <v>5</v>
      </c>
      <c r="H3943">
        <v>5</v>
      </c>
      <c r="I3943" s="2">
        <v>45784</v>
      </c>
      <c r="J3943" s="2">
        <v>45777</v>
      </c>
      <c r="K3943" s="2">
        <v>45784</v>
      </c>
    </row>
    <row r="3944" spans="1:11" x14ac:dyDescent="0.25">
      <c r="A3944" s="1" t="s">
        <v>671</v>
      </c>
      <c r="B3944" s="1" t="s">
        <v>1757</v>
      </c>
      <c r="C3944" s="1" t="s">
        <v>2642</v>
      </c>
      <c r="D3944" s="1" t="s">
        <v>1998</v>
      </c>
      <c r="E3944" s="1"/>
      <c r="F3944" s="1" t="s">
        <v>11</v>
      </c>
      <c r="G3944">
        <v>50</v>
      </c>
      <c r="H3944">
        <v>50</v>
      </c>
      <c r="I3944" s="2">
        <v>45784</v>
      </c>
      <c r="J3944" s="2">
        <v>45777</v>
      </c>
      <c r="K3944" s="2">
        <v>45784</v>
      </c>
    </row>
    <row r="3945" spans="1:11" x14ac:dyDescent="0.25">
      <c r="A3945" s="1" t="s">
        <v>671</v>
      </c>
      <c r="B3945" s="1" t="s">
        <v>1758</v>
      </c>
      <c r="C3945" s="1" t="s">
        <v>2014</v>
      </c>
      <c r="D3945" s="1" t="s">
        <v>1998</v>
      </c>
      <c r="E3945" s="1"/>
      <c r="F3945" s="1" t="s">
        <v>11</v>
      </c>
      <c r="G3945">
        <v>100</v>
      </c>
      <c r="H3945">
        <v>100</v>
      </c>
      <c r="I3945" s="2">
        <v>45784</v>
      </c>
      <c r="J3945" s="2">
        <v>45777</v>
      </c>
      <c r="K3945" s="2">
        <v>45784</v>
      </c>
    </row>
    <row r="3946" spans="1:11" x14ac:dyDescent="0.25">
      <c r="A3946" s="1" t="s">
        <v>671</v>
      </c>
      <c r="B3946" s="1" t="s">
        <v>1759</v>
      </c>
      <c r="C3946" s="1" t="s">
        <v>2140</v>
      </c>
      <c r="D3946" s="1" t="s">
        <v>1998</v>
      </c>
      <c r="E3946" s="1"/>
      <c r="F3946" s="1" t="s">
        <v>11</v>
      </c>
      <c r="G3946">
        <v>145</v>
      </c>
      <c r="H3946">
        <v>145</v>
      </c>
      <c r="I3946" s="2">
        <v>45784</v>
      </c>
      <c r="J3946" s="2">
        <v>45777</v>
      </c>
      <c r="K3946" s="2">
        <v>45784</v>
      </c>
    </row>
    <row r="3947" spans="1:11" x14ac:dyDescent="0.25">
      <c r="A3947" s="1" t="s">
        <v>671</v>
      </c>
      <c r="B3947" s="1" t="s">
        <v>1760</v>
      </c>
      <c r="C3947" s="1" t="s">
        <v>2643</v>
      </c>
      <c r="D3947" s="1" t="s">
        <v>1998</v>
      </c>
      <c r="E3947" s="1"/>
      <c r="F3947" s="1" t="s">
        <v>11</v>
      </c>
      <c r="G3947">
        <v>55</v>
      </c>
      <c r="H3947">
        <v>55</v>
      </c>
      <c r="I3947" s="2">
        <v>45784</v>
      </c>
      <c r="J3947" s="2">
        <v>45777</v>
      </c>
      <c r="K3947" s="2">
        <v>45784</v>
      </c>
    </row>
    <row r="3948" spans="1:11" x14ac:dyDescent="0.25">
      <c r="A3948" s="1" t="s">
        <v>671</v>
      </c>
      <c r="B3948" s="1" t="s">
        <v>1126</v>
      </c>
      <c r="C3948" s="1" t="s">
        <v>2126</v>
      </c>
      <c r="D3948" s="1" t="s">
        <v>1998</v>
      </c>
      <c r="E3948" s="1"/>
      <c r="F3948" s="1" t="s">
        <v>11</v>
      </c>
      <c r="G3948">
        <v>5</v>
      </c>
      <c r="H3948">
        <v>5</v>
      </c>
      <c r="I3948" s="2">
        <v>45784</v>
      </c>
      <c r="J3948" s="2">
        <v>45777</v>
      </c>
      <c r="K3948" s="2">
        <v>45784</v>
      </c>
    </row>
    <row r="3949" spans="1:11" x14ac:dyDescent="0.25">
      <c r="A3949" s="1" t="s">
        <v>671</v>
      </c>
      <c r="B3949" s="1" t="s">
        <v>1761</v>
      </c>
      <c r="C3949" s="1" t="s">
        <v>2644</v>
      </c>
      <c r="D3949" s="1" t="s">
        <v>1998</v>
      </c>
      <c r="E3949" s="1"/>
      <c r="F3949" s="1" t="s">
        <v>11</v>
      </c>
      <c r="G3949">
        <v>80</v>
      </c>
      <c r="H3949">
        <v>80</v>
      </c>
      <c r="I3949" s="2">
        <v>45784</v>
      </c>
      <c r="J3949" s="2">
        <v>45777</v>
      </c>
      <c r="K3949" s="2">
        <v>45784</v>
      </c>
    </row>
    <row r="3950" spans="1:11" x14ac:dyDescent="0.25">
      <c r="A3950" s="1" t="s">
        <v>671</v>
      </c>
      <c r="B3950" s="1" t="s">
        <v>1762</v>
      </c>
      <c r="C3950" s="1" t="s">
        <v>2645</v>
      </c>
      <c r="D3950" s="1" t="s">
        <v>1998</v>
      </c>
      <c r="E3950" s="1"/>
      <c r="F3950" s="1" t="s">
        <v>11</v>
      </c>
      <c r="G3950">
        <v>15</v>
      </c>
      <c r="H3950">
        <v>15</v>
      </c>
      <c r="I3950" s="2">
        <v>45784</v>
      </c>
      <c r="J3950" s="2">
        <v>45777</v>
      </c>
      <c r="K3950" s="2">
        <v>45784</v>
      </c>
    </row>
    <row r="3951" spans="1:11" x14ac:dyDescent="0.25">
      <c r="A3951" s="1" t="s">
        <v>671</v>
      </c>
      <c r="B3951" s="1" t="s">
        <v>1763</v>
      </c>
      <c r="C3951" s="1" t="s">
        <v>2646</v>
      </c>
      <c r="D3951" s="1" t="s">
        <v>1998</v>
      </c>
      <c r="E3951" s="1"/>
      <c r="F3951" s="1" t="s">
        <v>11</v>
      </c>
      <c r="G3951">
        <v>50</v>
      </c>
      <c r="H3951">
        <v>50</v>
      </c>
      <c r="I3951" s="2">
        <v>45784</v>
      </c>
      <c r="J3951" s="2">
        <v>45777</v>
      </c>
      <c r="K3951" s="2">
        <v>45784</v>
      </c>
    </row>
    <row r="3952" spans="1:11" x14ac:dyDescent="0.25">
      <c r="A3952" s="1" t="s">
        <v>671</v>
      </c>
      <c r="B3952" s="1" t="s">
        <v>1764</v>
      </c>
      <c r="C3952" s="1" t="s">
        <v>2607</v>
      </c>
      <c r="D3952" s="1" t="s">
        <v>1998</v>
      </c>
      <c r="E3952" s="1"/>
      <c r="F3952" s="1" t="s">
        <v>11</v>
      </c>
      <c r="G3952">
        <v>45</v>
      </c>
      <c r="H3952">
        <v>45</v>
      </c>
      <c r="I3952" s="2">
        <v>45784</v>
      </c>
      <c r="J3952" s="2">
        <v>45777</v>
      </c>
      <c r="K3952" s="2">
        <v>45784</v>
      </c>
    </row>
    <row r="3953" spans="1:11" x14ac:dyDescent="0.25">
      <c r="A3953" s="1" t="s">
        <v>671</v>
      </c>
      <c r="B3953" s="1" t="s">
        <v>1765</v>
      </c>
      <c r="C3953" s="1" t="s">
        <v>2647</v>
      </c>
      <c r="D3953" s="1" t="s">
        <v>1998</v>
      </c>
      <c r="E3953" s="1"/>
      <c r="F3953" s="1" t="s">
        <v>11</v>
      </c>
      <c r="G3953">
        <v>65</v>
      </c>
      <c r="H3953">
        <v>65</v>
      </c>
      <c r="I3953" s="2">
        <v>45784</v>
      </c>
      <c r="J3953" s="2">
        <v>45777</v>
      </c>
      <c r="K3953" s="2">
        <v>45784</v>
      </c>
    </row>
    <row r="3954" spans="1:11" x14ac:dyDescent="0.25">
      <c r="A3954" s="1" t="s">
        <v>671</v>
      </c>
      <c r="B3954" s="1" t="s">
        <v>1766</v>
      </c>
      <c r="C3954" s="1" t="s">
        <v>2648</v>
      </c>
      <c r="D3954" s="1" t="s">
        <v>1998</v>
      </c>
      <c r="E3954" s="1"/>
      <c r="F3954" s="1" t="s">
        <v>11</v>
      </c>
      <c r="G3954">
        <v>15</v>
      </c>
      <c r="H3954">
        <v>15</v>
      </c>
      <c r="I3954" s="2">
        <v>45784</v>
      </c>
      <c r="J3954" s="2">
        <v>45777</v>
      </c>
      <c r="K3954" s="2">
        <v>45784</v>
      </c>
    </row>
    <row r="3955" spans="1:11" x14ac:dyDescent="0.25">
      <c r="A3955" s="1" t="s">
        <v>672</v>
      </c>
      <c r="B3955" s="1" t="s">
        <v>1240</v>
      </c>
      <c r="C3955" s="1" t="s">
        <v>2115</v>
      </c>
      <c r="D3955" s="1" t="s">
        <v>1998</v>
      </c>
      <c r="E3955" s="1"/>
      <c r="F3955" s="1" t="s">
        <v>11</v>
      </c>
      <c r="G3955">
        <v>12720</v>
      </c>
      <c r="H3955">
        <v>12720</v>
      </c>
      <c r="I3955" s="2"/>
      <c r="J3955" s="2">
        <v>45768</v>
      </c>
      <c r="K3955" s="2">
        <v>45779</v>
      </c>
    </row>
    <row r="3956" spans="1:11" x14ac:dyDescent="0.25">
      <c r="A3956" s="1" t="s">
        <v>672</v>
      </c>
      <c r="B3956" s="1" t="s">
        <v>1241</v>
      </c>
      <c r="C3956" s="1" t="s">
        <v>2115</v>
      </c>
      <c r="D3956" s="1" t="s">
        <v>1998</v>
      </c>
      <c r="E3956" s="1"/>
      <c r="F3956" s="1" t="s">
        <v>11</v>
      </c>
      <c r="G3956">
        <v>2190</v>
      </c>
      <c r="H3956">
        <v>2190</v>
      </c>
      <c r="I3956" s="2"/>
      <c r="J3956" s="2">
        <v>45768</v>
      </c>
      <c r="K3956" s="2">
        <v>45779</v>
      </c>
    </row>
    <row r="3957" spans="1:11" x14ac:dyDescent="0.25">
      <c r="A3957" s="1" t="s">
        <v>673</v>
      </c>
      <c r="B3957" s="1" t="s">
        <v>1240</v>
      </c>
      <c r="C3957" s="1" t="s">
        <v>2115</v>
      </c>
      <c r="D3957" s="1" t="s">
        <v>1998</v>
      </c>
      <c r="E3957" s="1"/>
      <c r="F3957" s="1" t="s">
        <v>11</v>
      </c>
      <c r="G3957">
        <v>12720</v>
      </c>
      <c r="H3957">
        <v>12720</v>
      </c>
      <c r="I3957" s="2"/>
      <c r="J3957" s="2">
        <v>45768</v>
      </c>
      <c r="K3957" s="2">
        <v>45779</v>
      </c>
    </row>
    <row r="3958" spans="1:11" x14ac:dyDescent="0.25">
      <c r="A3958" s="1" t="s">
        <v>673</v>
      </c>
      <c r="B3958" s="1" t="s">
        <v>1241</v>
      </c>
      <c r="C3958" s="1" t="s">
        <v>2115</v>
      </c>
      <c r="D3958" s="1" t="s">
        <v>1998</v>
      </c>
      <c r="E3958" s="1"/>
      <c r="F3958" s="1" t="s">
        <v>11</v>
      </c>
      <c r="G3958">
        <v>2190</v>
      </c>
      <c r="H3958">
        <v>2190</v>
      </c>
      <c r="I3958" s="2"/>
      <c r="J3958" s="2">
        <v>45768</v>
      </c>
      <c r="K3958" s="2">
        <v>45779</v>
      </c>
    </row>
    <row r="3959" spans="1:11" x14ac:dyDescent="0.25">
      <c r="A3959" s="1" t="s">
        <v>674</v>
      </c>
      <c r="B3959" s="1" t="s">
        <v>1240</v>
      </c>
      <c r="C3959" s="1" t="s">
        <v>2115</v>
      </c>
      <c r="D3959" s="1" t="s">
        <v>1998</v>
      </c>
      <c r="E3959" s="1"/>
      <c r="F3959" s="1" t="s">
        <v>11</v>
      </c>
      <c r="G3959">
        <v>12720</v>
      </c>
      <c r="H3959">
        <v>12720</v>
      </c>
      <c r="I3959" s="2"/>
      <c r="J3959" s="2">
        <v>45768</v>
      </c>
      <c r="K3959" s="2">
        <v>45779</v>
      </c>
    </row>
    <row r="3960" spans="1:11" x14ac:dyDescent="0.25">
      <c r="A3960" s="1" t="s">
        <v>674</v>
      </c>
      <c r="B3960" s="1" t="s">
        <v>1241</v>
      </c>
      <c r="C3960" s="1" t="s">
        <v>2115</v>
      </c>
      <c r="D3960" s="1" t="s">
        <v>1998</v>
      </c>
      <c r="E3960" s="1"/>
      <c r="F3960" s="1" t="s">
        <v>11</v>
      </c>
      <c r="G3960">
        <v>2190</v>
      </c>
      <c r="H3960">
        <v>2190</v>
      </c>
      <c r="I3960" s="2"/>
      <c r="J3960" s="2">
        <v>45768</v>
      </c>
      <c r="K3960" s="2">
        <v>45779</v>
      </c>
    </row>
    <row r="3961" spans="1:11" x14ac:dyDescent="0.25">
      <c r="A3961" s="1" t="s">
        <v>675</v>
      </c>
      <c r="B3961" s="1" t="s">
        <v>1240</v>
      </c>
      <c r="C3961" s="1" t="s">
        <v>2115</v>
      </c>
      <c r="D3961" s="1" t="s">
        <v>1998</v>
      </c>
      <c r="E3961" s="1"/>
      <c r="F3961" s="1" t="s">
        <v>11</v>
      </c>
      <c r="G3961">
        <v>12720</v>
      </c>
      <c r="H3961">
        <v>12720</v>
      </c>
      <c r="I3961" s="2"/>
      <c r="J3961" s="2">
        <v>45768</v>
      </c>
      <c r="K3961" s="2">
        <v>45779</v>
      </c>
    </row>
    <row r="3962" spans="1:11" x14ac:dyDescent="0.25">
      <c r="A3962" s="1" t="s">
        <v>675</v>
      </c>
      <c r="B3962" s="1" t="s">
        <v>1241</v>
      </c>
      <c r="C3962" s="1" t="s">
        <v>2115</v>
      </c>
      <c r="D3962" s="1" t="s">
        <v>1998</v>
      </c>
      <c r="E3962" s="1"/>
      <c r="F3962" s="1" t="s">
        <v>11</v>
      </c>
      <c r="G3962">
        <v>2190</v>
      </c>
      <c r="H3962">
        <v>2190</v>
      </c>
      <c r="I3962" s="2"/>
      <c r="J3962" s="2">
        <v>45768</v>
      </c>
      <c r="K3962" s="2">
        <v>45779</v>
      </c>
    </row>
    <row r="3963" spans="1:11" x14ac:dyDescent="0.25">
      <c r="A3963" s="1" t="s">
        <v>676</v>
      </c>
      <c r="B3963" s="1" t="s">
        <v>1593</v>
      </c>
      <c r="C3963" s="1" t="s">
        <v>2511</v>
      </c>
      <c r="D3963" s="1" t="s">
        <v>1998</v>
      </c>
      <c r="E3963" s="1"/>
      <c r="F3963" s="1" t="s">
        <v>11</v>
      </c>
      <c r="G3963">
        <v>100</v>
      </c>
      <c r="H3963">
        <v>100</v>
      </c>
      <c r="I3963" s="2">
        <v>45784</v>
      </c>
      <c r="J3963" s="2">
        <v>45772</v>
      </c>
      <c r="K3963" s="2">
        <v>45784</v>
      </c>
    </row>
    <row r="3964" spans="1:11" x14ac:dyDescent="0.25">
      <c r="A3964" s="1" t="s">
        <v>676</v>
      </c>
      <c r="B3964" s="1" t="s">
        <v>1593</v>
      </c>
      <c r="C3964" s="1" t="s">
        <v>2511</v>
      </c>
      <c r="D3964" s="1" t="s">
        <v>1998</v>
      </c>
      <c r="E3964" s="1"/>
      <c r="F3964" s="1" t="s">
        <v>16</v>
      </c>
      <c r="G3964">
        <v>10</v>
      </c>
      <c r="H3964">
        <v>10</v>
      </c>
      <c r="I3964" s="2">
        <v>45784</v>
      </c>
      <c r="J3964" s="2">
        <v>45772</v>
      </c>
      <c r="K3964" s="2">
        <v>45784</v>
      </c>
    </row>
    <row r="3965" spans="1:11" x14ac:dyDescent="0.25">
      <c r="A3965" s="1" t="s">
        <v>676</v>
      </c>
      <c r="B3965" s="1" t="s">
        <v>1594</v>
      </c>
      <c r="C3965" s="1" t="s">
        <v>2512</v>
      </c>
      <c r="D3965" s="1" t="s">
        <v>1998</v>
      </c>
      <c r="E3965" s="1"/>
      <c r="F3965" s="1" t="s">
        <v>11</v>
      </c>
      <c r="G3965">
        <v>110</v>
      </c>
      <c r="H3965">
        <v>110</v>
      </c>
      <c r="I3965" s="2">
        <v>45784</v>
      </c>
      <c r="J3965" s="2">
        <v>45772</v>
      </c>
      <c r="K3965" s="2">
        <v>45784</v>
      </c>
    </row>
    <row r="3966" spans="1:11" x14ac:dyDescent="0.25">
      <c r="A3966" s="1" t="s">
        <v>676</v>
      </c>
      <c r="B3966" s="1" t="s">
        <v>1594</v>
      </c>
      <c r="C3966" s="1" t="s">
        <v>2512</v>
      </c>
      <c r="D3966" s="1" t="s">
        <v>1998</v>
      </c>
      <c r="E3966" s="1"/>
      <c r="F3966" s="1" t="s">
        <v>16</v>
      </c>
      <c r="G3966">
        <v>5</v>
      </c>
      <c r="H3966">
        <v>5</v>
      </c>
      <c r="I3966" s="2">
        <v>45784</v>
      </c>
      <c r="J3966" s="2">
        <v>45772</v>
      </c>
      <c r="K3966" s="2">
        <v>45784</v>
      </c>
    </row>
    <row r="3967" spans="1:11" x14ac:dyDescent="0.25">
      <c r="A3967" s="1" t="s">
        <v>676</v>
      </c>
      <c r="B3967" s="1" t="s">
        <v>1767</v>
      </c>
      <c r="C3967" s="1" t="s">
        <v>2649</v>
      </c>
      <c r="D3967" s="1" t="s">
        <v>1998</v>
      </c>
      <c r="E3967" s="1"/>
      <c r="F3967" s="1" t="s">
        <v>11</v>
      </c>
      <c r="G3967">
        <v>355</v>
      </c>
      <c r="H3967">
        <v>355</v>
      </c>
      <c r="I3967" s="2">
        <v>45784</v>
      </c>
      <c r="J3967" s="2">
        <v>45772</v>
      </c>
      <c r="K3967" s="2">
        <v>45784</v>
      </c>
    </row>
    <row r="3968" spans="1:11" x14ac:dyDescent="0.25">
      <c r="A3968" s="1" t="s">
        <v>676</v>
      </c>
      <c r="B3968" s="1" t="s">
        <v>1767</v>
      </c>
      <c r="C3968" s="1" t="s">
        <v>2649</v>
      </c>
      <c r="D3968" s="1" t="s">
        <v>1998</v>
      </c>
      <c r="E3968" s="1"/>
      <c r="F3968" s="1" t="s">
        <v>16</v>
      </c>
      <c r="G3968">
        <v>5</v>
      </c>
      <c r="H3968">
        <v>5</v>
      </c>
      <c r="I3968" s="2">
        <v>45784</v>
      </c>
      <c r="J3968" s="2">
        <v>45772</v>
      </c>
      <c r="K3968" s="2">
        <v>45784</v>
      </c>
    </row>
    <row r="3969" spans="1:11" x14ac:dyDescent="0.25">
      <c r="A3969" s="1" t="s">
        <v>676</v>
      </c>
      <c r="B3969" s="1" t="s">
        <v>1768</v>
      </c>
      <c r="C3969" s="1" t="s">
        <v>2650</v>
      </c>
      <c r="D3969" s="1" t="s">
        <v>1998</v>
      </c>
      <c r="E3969" s="1"/>
      <c r="F3969" s="1" t="s">
        <v>11</v>
      </c>
      <c r="G3969">
        <v>290</v>
      </c>
      <c r="H3969">
        <v>290</v>
      </c>
      <c r="I3969" s="2">
        <v>45784</v>
      </c>
      <c r="J3969" s="2">
        <v>45772</v>
      </c>
      <c r="K3969" s="2">
        <v>45784</v>
      </c>
    </row>
    <row r="3970" spans="1:11" x14ac:dyDescent="0.25">
      <c r="A3970" s="1" t="s">
        <v>676</v>
      </c>
      <c r="B3970" s="1" t="s">
        <v>1769</v>
      </c>
      <c r="C3970" s="1" t="s">
        <v>2651</v>
      </c>
      <c r="D3970" s="1" t="s">
        <v>1998</v>
      </c>
      <c r="E3970" s="1"/>
      <c r="F3970" s="1" t="s">
        <v>11</v>
      </c>
      <c r="G3970">
        <v>310</v>
      </c>
      <c r="H3970">
        <v>310</v>
      </c>
      <c r="I3970" s="2">
        <v>45784</v>
      </c>
      <c r="J3970" s="2">
        <v>45772</v>
      </c>
      <c r="K3970" s="2">
        <v>45784</v>
      </c>
    </row>
    <row r="3971" spans="1:11" x14ac:dyDescent="0.25">
      <c r="A3971" s="1" t="s">
        <v>677</v>
      </c>
      <c r="B3971" s="1" t="s">
        <v>1518</v>
      </c>
      <c r="C3971" s="1" t="s">
        <v>2451</v>
      </c>
      <c r="D3971" s="1" t="s">
        <v>1998</v>
      </c>
      <c r="E3971" s="1"/>
      <c r="F3971" s="1" t="s">
        <v>11</v>
      </c>
      <c r="G3971">
        <v>65</v>
      </c>
      <c r="H3971">
        <v>65</v>
      </c>
      <c r="I3971" s="2"/>
      <c r="J3971" s="2">
        <v>45778</v>
      </c>
      <c r="K3971" s="2">
        <v>45778</v>
      </c>
    </row>
    <row r="3972" spans="1:11" x14ac:dyDescent="0.25">
      <c r="A3972" s="1" t="s">
        <v>678</v>
      </c>
      <c r="B3972" s="1" t="s">
        <v>1008</v>
      </c>
      <c r="C3972" s="1" t="s">
        <v>2014</v>
      </c>
      <c r="D3972" s="1" t="s">
        <v>1998</v>
      </c>
      <c r="E3972" s="1"/>
      <c r="F3972" s="1" t="s">
        <v>11</v>
      </c>
      <c r="G3972">
        <v>2625</v>
      </c>
      <c r="H3972">
        <v>2625</v>
      </c>
      <c r="I3972" s="2"/>
      <c r="J3972" s="2">
        <v>45764</v>
      </c>
      <c r="K3972" s="2">
        <v>45782</v>
      </c>
    </row>
    <row r="3973" spans="1:11" x14ac:dyDescent="0.25">
      <c r="A3973" s="1" t="s">
        <v>678</v>
      </c>
      <c r="B3973" s="1" t="s">
        <v>1009</v>
      </c>
      <c r="C3973" s="1" t="s">
        <v>2026</v>
      </c>
      <c r="D3973" s="1" t="s">
        <v>1998</v>
      </c>
      <c r="E3973" s="1"/>
      <c r="F3973" s="1" t="s">
        <v>11</v>
      </c>
      <c r="G3973">
        <v>3620</v>
      </c>
      <c r="H3973">
        <v>3620</v>
      </c>
      <c r="I3973" s="2"/>
      <c r="J3973" s="2">
        <v>45764</v>
      </c>
      <c r="K3973" s="2">
        <v>45782</v>
      </c>
    </row>
    <row r="3974" spans="1:11" x14ac:dyDescent="0.25">
      <c r="A3974" s="1" t="s">
        <v>678</v>
      </c>
      <c r="B3974" s="1" t="s">
        <v>1010</v>
      </c>
      <c r="C3974" s="1" t="s">
        <v>2027</v>
      </c>
      <c r="D3974" s="1" t="s">
        <v>1998</v>
      </c>
      <c r="E3974" s="1"/>
      <c r="F3974" s="1" t="s">
        <v>11</v>
      </c>
      <c r="G3974">
        <v>1530</v>
      </c>
      <c r="H3974">
        <v>1530</v>
      </c>
      <c r="I3974" s="2"/>
      <c r="J3974" s="2">
        <v>45764</v>
      </c>
      <c r="K3974" s="2">
        <v>45782</v>
      </c>
    </row>
    <row r="3975" spans="1:11" x14ac:dyDescent="0.25">
      <c r="A3975" s="1" t="s">
        <v>678</v>
      </c>
      <c r="B3975" s="1" t="s">
        <v>1011</v>
      </c>
      <c r="C3975" s="1" t="s">
        <v>2028</v>
      </c>
      <c r="D3975" s="1" t="s">
        <v>1998</v>
      </c>
      <c r="E3975" s="1"/>
      <c r="F3975" s="1" t="s">
        <v>11</v>
      </c>
      <c r="G3975">
        <v>900</v>
      </c>
      <c r="H3975">
        <v>920</v>
      </c>
      <c r="I3975" s="2"/>
      <c r="J3975" s="2">
        <v>45764</v>
      </c>
      <c r="K3975" s="2">
        <v>45782</v>
      </c>
    </row>
    <row r="3976" spans="1:11" x14ac:dyDescent="0.25">
      <c r="A3976" s="1" t="s">
        <v>678</v>
      </c>
      <c r="B3976" s="1" t="s">
        <v>1012</v>
      </c>
      <c r="C3976" s="1" t="s">
        <v>2029</v>
      </c>
      <c r="D3976" s="1" t="s">
        <v>1998</v>
      </c>
      <c r="E3976" s="1"/>
      <c r="F3976" s="1" t="s">
        <v>11</v>
      </c>
      <c r="G3976">
        <v>410</v>
      </c>
      <c r="H3976">
        <v>165</v>
      </c>
      <c r="I3976" s="2"/>
      <c r="J3976" s="2">
        <v>45764</v>
      </c>
      <c r="K3976" s="2">
        <v>45782</v>
      </c>
    </row>
    <row r="3977" spans="1:11" x14ac:dyDescent="0.25">
      <c r="A3977" s="1" t="s">
        <v>678</v>
      </c>
      <c r="B3977" s="1" t="s">
        <v>1013</v>
      </c>
      <c r="C3977" s="1" t="s">
        <v>2030</v>
      </c>
      <c r="D3977" s="1" t="s">
        <v>1998</v>
      </c>
      <c r="E3977" s="1"/>
      <c r="F3977" s="1" t="s">
        <v>11</v>
      </c>
      <c r="G3977">
        <v>80</v>
      </c>
      <c r="H3977">
        <v>25</v>
      </c>
      <c r="I3977" s="2"/>
      <c r="J3977" s="2">
        <v>45764</v>
      </c>
      <c r="K3977" s="2">
        <v>45782</v>
      </c>
    </row>
    <row r="3978" spans="1:11" x14ac:dyDescent="0.25">
      <c r="A3978" s="1" t="s">
        <v>678</v>
      </c>
      <c r="B3978" s="1" t="s">
        <v>993</v>
      </c>
      <c r="C3978" s="1" t="s">
        <v>2011</v>
      </c>
      <c r="D3978" s="1" t="s">
        <v>1998</v>
      </c>
      <c r="E3978" s="1"/>
      <c r="F3978" s="1" t="s">
        <v>11</v>
      </c>
      <c r="G3978">
        <v>30</v>
      </c>
      <c r="H3978">
        <v>25</v>
      </c>
      <c r="I3978" s="2"/>
      <c r="J3978" s="2">
        <v>45764</v>
      </c>
      <c r="K3978" s="2">
        <v>45782</v>
      </c>
    </row>
    <row r="3979" spans="1:11" x14ac:dyDescent="0.25">
      <c r="A3979" s="1" t="s">
        <v>679</v>
      </c>
      <c r="B3979" s="1" t="s">
        <v>1008</v>
      </c>
      <c r="C3979" s="1" t="s">
        <v>2014</v>
      </c>
      <c r="D3979" s="1" t="s">
        <v>1998</v>
      </c>
      <c r="E3979" s="1"/>
      <c r="F3979" s="1" t="s">
        <v>11</v>
      </c>
      <c r="G3979">
        <v>1575</v>
      </c>
      <c r="H3979">
        <v>1575</v>
      </c>
      <c r="I3979" s="2"/>
      <c r="J3979" s="2">
        <v>45764</v>
      </c>
      <c r="K3979" s="2">
        <v>45782</v>
      </c>
    </row>
    <row r="3980" spans="1:11" x14ac:dyDescent="0.25">
      <c r="A3980" s="1" t="s">
        <v>679</v>
      </c>
      <c r="B3980" s="1" t="s">
        <v>1009</v>
      </c>
      <c r="C3980" s="1" t="s">
        <v>2026</v>
      </c>
      <c r="D3980" s="1" t="s">
        <v>1998</v>
      </c>
      <c r="E3980" s="1"/>
      <c r="F3980" s="1" t="s">
        <v>11</v>
      </c>
      <c r="G3980">
        <v>2170</v>
      </c>
      <c r="H3980">
        <v>2170</v>
      </c>
      <c r="I3980" s="2"/>
      <c r="J3980" s="2">
        <v>45764</v>
      </c>
      <c r="K3980" s="2">
        <v>45782</v>
      </c>
    </row>
    <row r="3981" spans="1:11" x14ac:dyDescent="0.25">
      <c r="A3981" s="1" t="s">
        <v>679</v>
      </c>
      <c r="B3981" s="1" t="s">
        <v>1010</v>
      </c>
      <c r="C3981" s="1" t="s">
        <v>2027</v>
      </c>
      <c r="D3981" s="1" t="s">
        <v>1998</v>
      </c>
      <c r="E3981" s="1"/>
      <c r="F3981" s="1" t="s">
        <v>11</v>
      </c>
      <c r="G3981">
        <v>920</v>
      </c>
      <c r="H3981">
        <v>920</v>
      </c>
      <c r="I3981" s="2"/>
      <c r="J3981" s="2">
        <v>45764</v>
      </c>
      <c r="K3981" s="2">
        <v>45782</v>
      </c>
    </row>
    <row r="3982" spans="1:11" x14ac:dyDescent="0.25">
      <c r="A3982" s="1" t="s">
        <v>679</v>
      </c>
      <c r="B3982" s="1" t="s">
        <v>1011</v>
      </c>
      <c r="C3982" s="1" t="s">
        <v>2028</v>
      </c>
      <c r="D3982" s="1" t="s">
        <v>1998</v>
      </c>
      <c r="E3982" s="1"/>
      <c r="F3982" s="1" t="s">
        <v>11</v>
      </c>
      <c r="G3982">
        <v>540</v>
      </c>
      <c r="H3982">
        <v>550</v>
      </c>
      <c r="I3982" s="2"/>
      <c r="J3982" s="2">
        <v>45764</v>
      </c>
      <c r="K3982" s="2">
        <v>45782</v>
      </c>
    </row>
    <row r="3983" spans="1:11" x14ac:dyDescent="0.25">
      <c r="A3983" s="1" t="s">
        <v>679</v>
      </c>
      <c r="B3983" s="1" t="s">
        <v>1012</v>
      </c>
      <c r="C3983" s="1" t="s">
        <v>2029</v>
      </c>
      <c r="D3983" s="1" t="s">
        <v>1998</v>
      </c>
      <c r="E3983" s="1"/>
      <c r="F3983" s="1" t="s">
        <v>11</v>
      </c>
      <c r="G3983">
        <v>245</v>
      </c>
      <c r="H3983">
        <v>10</v>
      </c>
      <c r="I3983" s="2"/>
      <c r="J3983" s="2">
        <v>45764</v>
      </c>
      <c r="K3983" s="2">
        <v>45782</v>
      </c>
    </row>
    <row r="3984" spans="1:11" x14ac:dyDescent="0.25">
      <c r="A3984" s="1" t="s">
        <v>679</v>
      </c>
      <c r="B3984" s="1" t="s">
        <v>1013</v>
      </c>
      <c r="C3984" s="1" t="s">
        <v>2030</v>
      </c>
      <c r="D3984" s="1" t="s">
        <v>1998</v>
      </c>
      <c r="E3984" s="1"/>
      <c r="F3984" s="1" t="s">
        <v>11</v>
      </c>
      <c r="G3984">
        <v>45</v>
      </c>
      <c r="H3984">
        <v>5</v>
      </c>
      <c r="I3984" s="2"/>
      <c r="J3984" s="2">
        <v>45764</v>
      </c>
      <c r="K3984" s="2">
        <v>45782</v>
      </c>
    </row>
    <row r="3985" spans="1:11" x14ac:dyDescent="0.25">
      <c r="A3985" s="1" t="s">
        <v>679</v>
      </c>
      <c r="B3985" s="1" t="s">
        <v>993</v>
      </c>
      <c r="C3985" s="1" t="s">
        <v>2011</v>
      </c>
      <c r="D3985" s="1" t="s">
        <v>1998</v>
      </c>
      <c r="E3985" s="1"/>
      <c r="F3985" s="1" t="s">
        <v>11</v>
      </c>
      <c r="G3985">
        <v>15</v>
      </c>
      <c r="H3985">
        <v>25</v>
      </c>
      <c r="I3985" s="2"/>
      <c r="J3985" s="2">
        <v>45764</v>
      </c>
      <c r="K3985" s="2">
        <v>45782</v>
      </c>
    </row>
    <row r="3986" spans="1:11" x14ac:dyDescent="0.25">
      <c r="A3986" s="1" t="s">
        <v>680</v>
      </c>
      <c r="B3986" s="1" t="s">
        <v>1265</v>
      </c>
      <c r="C3986" s="1" t="s">
        <v>2242</v>
      </c>
      <c r="D3986" s="1" t="s">
        <v>1998</v>
      </c>
      <c r="E3986" s="1"/>
      <c r="F3986" s="1" t="s">
        <v>11</v>
      </c>
      <c r="G3986">
        <v>760</v>
      </c>
      <c r="H3986">
        <v>760</v>
      </c>
      <c r="I3986" s="2">
        <v>45782</v>
      </c>
      <c r="J3986" s="2">
        <v>45765</v>
      </c>
      <c r="K3986" s="2">
        <v>45782</v>
      </c>
    </row>
    <row r="3987" spans="1:11" x14ac:dyDescent="0.25">
      <c r="A3987" s="1" t="s">
        <v>680</v>
      </c>
      <c r="B3987" s="1" t="s">
        <v>1267</v>
      </c>
      <c r="C3987" s="1" t="s">
        <v>2244</v>
      </c>
      <c r="D3987" s="1" t="s">
        <v>1998</v>
      </c>
      <c r="E3987" s="1"/>
      <c r="F3987" s="1" t="s">
        <v>11</v>
      </c>
      <c r="G3987">
        <v>65</v>
      </c>
      <c r="H3987">
        <v>65</v>
      </c>
      <c r="I3987" s="2">
        <v>45782</v>
      </c>
      <c r="J3987" s="2">
        <v>45765</v>
      </c>
      <c r="K3987" s="2">
        <v>45782</v>
      </c>
    </row>
    <row r="3988" spans="1:11" x14ac:dyDescent="0.25">
      <c r="A3988" s="1" t="s">
        <v>680</v>
      </c>
      <c r="B3988" s="1" t="s">
        <v>1206</v>
      </c>
      <c r="C3988" s="1" t="s">
        <v>2196</v>
      </c>
      <c r="D3988" s="1" t="s">
        <v>1998</v>
      </c>
      <c r="E3988" s="1"/>
      <c r="F3988" s="1" t="s">
        <v>11</v>
      </c>
      <c r="G3988">
        <v>1</v>
      </c>
      <c r="H3988">
        <v>1</v>
      </c>
      <c r="I3988" s="2">
        <v>45782</v>
      </c>
      <c r="J3988" s="2">
        <v>45765</v>
      </c>
      <c r="K3988" s="2">
        <v>45782</v>
      </c>
    </row>
    <row r="3989" spans="1:11" x14ac:dyDescent="0.25">
      <c r="A3989" s="1" t="s">
        <v>680</v>
      </c>
      <c r="B3989" s="1" t="s">
        <v>1359</v>
      </c>
      <c r="C3989" s="1" t="s">
        <v>2309</v>
      </c>
      <c r="D3989" s="1" t="s">
        <v>1998</v>
      </c>
      <c r="E3989" s="1"/>
      <c r="F3989" s="1" t="s">
        <v>11</v>
      </c>
      <c r="G3989">
        <v>10</v>
      </c>
      <c r="H3989">
        <v>10</v>
      </c>
      <c r="I3989" s="2">
        <v>45782</v>
      </c>
      <c r="J3989" s="2">
        <v>45765</v>
      </c>
      <c r="K3989" s="2">
        <v>45782</v>
      </c>
    </row>
    <row r="3990" spans="1:11" x14ac:dyDescent="0.25">
      <c r="A3990" s="1" t="s">
        <v>680</v>
      </c>
      <c r="B3990" s="1" t="s">
        <v>1554</v>
      </c>
      <c r="C3990" s="1" t="s">
        <v>2480</v>
      </c>
      <c r="D3990" s="1" t="s">
        <v>1998</v>
      </c>
      <c r="E3990" s="1"/>
      <c r="F3990" s="1" t="s">
        <v>11</v>
      </c>
      <c r="G3990">
        <v>1</v>
      </c>
      <c r="H3990">
        <v>1</v>
      </c>
      <c r="I3990" s="2">
        <v>45782</v>
      </c>
      <c r="J3990" s="2">
        <v>45765</v>
      </c>
      <c r="K3990" s="2">
        <v>45782</v>
      </c>
    </row>
    <row r="3991" spans="1:11" x14ac:dyDescent="0.25">
      <c r="A3991" s="1" t="s">
        <v>680</v>
      </c>
      <c r="B3991" s="1" t="s">
        <v>1266</v>
      </c>
      <c r="C3991" s="1" t="s">
        <v>2243</v>
      </c>
      <c r="D3991" s="1" t="s">
        <v>1998</v>
      </c>
      <c r="E3991" s="1"/>
      <c r="F3991" s="1" t="s">
        <v>11</v>
      </c>
      <c r="G3991">
        <v>1</v>
      </c>
      <c r="H3991">
        <v>1</v>
      </c>
      <c r="I3991" s="2">
        <v>45782</v>
      </c>
      <c r="J3991" s="2">
        <v>45765</v>
      </c>
      <c r="K3991" s="2">
        <v>45782</v>
      </c>
    </row>
    <row r="3992" spans="1:11" x14ac:dyDescent="0.25">
      <c r="A3992" s="1" t="s">
        <v>681</v>
      </c>
      <c r="B3992" s="1" t="s">
        <v>1770</v>
      </c>
      <c r="C3992" s="1" t="s">
        <v>2652</v>
      </c>
      <c r="D3992" s="1" t="s">
        <v>1998</v>
      </c>
      <c r="E3992" s="1"/>
      <c r="F3992" s="1" t="s">
        <v>11</v>
      </c>
      <c r="G3992">
        <v>95</v>
      </c>
      <c r="H3992">
        <v>95</v>
      </c>
      <c r="I3992" s="2">
        <v>45784</v>
      </c>
      <c r="J3992" s="2">
        <v>45765</v>
      </c>
      <c r="K3992" s="2">
        <v>45784</v>
      </c>
    </row>
    <row r="3993" spans="1:11" x14ac:dyDescent="0.25">
      <c r="A3993" s="1" t="s">
        <v>681</v>
      </c>
      <c r="B3993" s="1" t="s">
        <v>1771</v>
      </c>
      <c r="C3993" s="1" t="s">
        <v>2124</v>
      </c>
      <c r="D3993" s="1" t="s">
        <v>1998</v>
      </c>
      <c r="E3993" s="1"/>
      <c r="F3993" s="1" t="s">
        <v>11</v>
      </c>
      <c r="G3993">
        <v>260</v>
      </c>
      <c r="H3993">
        <v>260</v>
      </c>
      <c r="I3993" s="2">
        <v>45784</v>
      </c>
      <c r="J3993" s="2">
        <v>45765</v>
      </c>
      <c r="K3993" s="2">
        <v>45784</v>
      </c>
    </row>
    <row r="3994" spans="1:11" x14ac:dyDescent="0.25">
      <c r="A3994" s="1" t="s">
        <v>681</v>
      </c>
      <c r="B3994" s="1" t="s">
        <v>1771</v>
      </c>
      <c r="C3994" s="1" t="s">
        <v>2124</v>
      </c>
      <c r="D3994" s="1" t="s">
        <v>1998</v>
      </c>
      <c r="E3994" s="1"/>
      <c r="F3994" s="1" t="s">
        <v>11</v>
      </c>
      <c r="G3994">
        <v>10</v>
      </c>
      <c r="H3994">
        <v>10</v>
      </c>
      <c r="I3994" s="2">
        <v>45784</v>
      </c>
      <c r="J3994" s="2">
        <v>45765</v>
      </c>
      <c r="K3994" s="2">
        <v>45784</v>
      </c>
    </row>
    <row r="3995" spans="1:11" x14ac:dyDescent="0.25">
      <c r="A3995" s="1" t="s">
        <v>681</v>
      </c>
      <c r="B3995" s="1" t="s">
        <v>1772</v>
      </c>
      <c r="C3995" s="1" t="s">
        <v>2653</v>
      </c>
      <c r="D3995" s="1" t="s">
        <v>1998</v>
      </c>
      <c r="E3995" s="1"/>
      <c r="F3995" s="1" t="s">
        <v>11</v>
      </c>
      <c r="G3995">
        <v>215</v>
      </c>
      <c r="H3995">
        <v>215</v>
      </c>
      <c r="I3995" s="2">
        <v>45784</v>
      </c>
      <c r="J3995" s="2">
        <v>45765</v>
      </c>
      <c r="K3995" s="2">
        <v>45784</v>
      </c>
    </row>
    <row r="3996" spans="1:11" x14ac:dyDescent="0.25">
      <c r="A3996" s="1" t="s">
        <v>681</v>
      </c>
      <c r="B3996" s="1" t="s">
        <v>1772</v>
      </c>
      <c r="C3996" s="1" t="s">
        <v>2653</v>
      </c>
      <c r="D3996" s="1" t="s">
        <v>1998</v>
      </c>
      <c r="E3996" s="1"/>
      <c r="F3996" s="1" t="s">
        <v>11</v>
      </c>
      <c r="G3996">
        <v>5</v>
      </c>
      <c r="H3996">
        <v>5</v>
      </c>
      <c r="I3996" s="2">
        <v>45784</v>
      </c>
      <c r="J3996" s="2">
        <v>45765</v>
      </c>
      <c r="K3996" s="2">
        <v>45784</v>
      </c>
    </row>
    <row r="3997" spans="1:11" x14ac:dyDescent="0.25">
      <c r="A3997" s="1" t="s">
        <v>681</v>
      </c>
      <c r="B3997" s="1" t="s">
        <v>1670</v>
      </c>
      <c r="C3997" s="1" t="s">
        <v>2579</v>
      </c>
      <c r="D3997" s="1" t="s">
        <v>1998</v>
      </c>
      <c r="E3997" s="1"/>
      <c r="F3997" s="1" t="s">
        <v>11</v>
      </c>
      <c r="G3997">
        <v>5</v>
      </c>
      <c r="H3997">
        <v>5</v>
      </c>
      <c r="I3997" s="2">
        <v>45784</v>
      </c>
      <c r="J3997" s="2">
        <v>45765</v>
      </c>
      <c r="K3997" s="2">
        <v>45784</v>
      </c>
    </row>
    <row r="3998" spans="1:11" x14ac:dyDescent="0.25">
      <c r="A3998" s="1" t="s">
        <v>681</v>
      </c>
      <c r="B3998" s="1" t="s">
        <v>1773</v>
      </c>
      <c r="C3998" s="1" t="s">
        <v>2516</v>
      </c>
      <c r="D3998" s="1" t="s">
        <v>1998</v>
      </c>
      <c r="E3998" s="1"/>
      <c r="F3998" s="1" t="s">
        <v>11</v>
      </c>
      <c r="G3998">
        <v>125</v>
      </c>
      <c r="H3998">
        <v>125</v>
      </c>
      <c r="I3998" s="2">
        <v>45784</v>
      </c>
      <c r="J3998" s="2">
        <v>45765</v>
      </c>
      <c r="K3998" s="2">
        <v>45784</v>
      </c>
    </row>
    <row r="3999" spans="1:11" x14ac:dyDescent="0.25">
      <c r="A3999" s="1" t="s">
        <v>681</v>
      </c>
      <c r="B3999" s="1" t="s">
        <v>1773</v>
      </c>
      <c r="C3999" s="1" t="s">
        <v>2516</v>
      </c>
      <c r="D3999" s="1" t="s">
        <v>1998</v>
      </c>
      <c r="E3999" s="1"/>
      <c r="F3999" s="1" t="s">
        <v>11</v>
      </c>
      <c r="G3999">
        <v>5</v>
      </c>
      <c r="H3999">
        <v>5</v>
      </c>
      <c r="I3999" s="2">
        <v>45784</v>
      </c>
      <c r="J3999" s="2">
        <v>45765</v>
      </c>
      <c r="K3999" s="2">
        <v>45784</v>
      </c>
    </row>
    <row r="4000" spans="1:11" x14ac:dyDescent="0.25">
      <c r="A4000" s="1" t="s">
        <v>681</v>
      </c>
      <c r="B4000" s="1" t="s">
        <v>1774</v>
      </c>
      <c r="C4000" s="1" t="s">
        <v>2586</v>
      </c>
      <c r="D4000" s="1" t="s">
        <v>1998</v>
      </c>
      <c r="E4000" s="1"/>
      <c r="F4000" s="1" t="s">
        <v>11</v>
      </c>
      <c r="G4000">
        <v>10</v>
      </c>
      <c r="H4000">
        <v>10</v>
      </c>
      <c r="I4000" s="2">
        <v>45784</v>
      </c>
      <c r="J4000" s="2">
        <v>45765</v>
      </c>
      <c r="K4000" s="2">
        <v>45784</v>
      </c>
    </row>
    <row r="4001" spans="1:11" x14ac:dyDescent="0.25">
      <c r="A4001" s="1" t="s">
        <v>681</v>
      </c>
      <c r="B4001" s="1" t="s">
        <v>1775</v>
      </c>
      <c r="C4001" s="1" t="s">
        <v>2517</v>
      </c>
      <c r="D4001" s="1" t="s">
        <v>1998</v>
      </c>
      <c r="E4001" s="1"/>
      <c r="F4001" s="1" t="s">
        <v>11</v>
      </c>
      <c r="G4001">
        <v>25</v>
      </c>
      <c r="H4001">
        <v>25</v>
      </c>
      <c r="I4001" s="2">
        <v>45784</v>
      </c>
      <c r="J4001" s="2">
        <v>45765</v>
      </c>
      <c r="K4001" s="2">
        <v>45784</v>
      </c>
    </row>
    <row r="4002" spans="1:11" x14ac:dyDescent="0.25">
      <c r="A4002" s="1" t="s">
        <v>681</v>
      </c>
      <c r="B4002" s="1" t="s">
        <v>1776</v>
      </c>
      <c r="C4002" s="1" t="s">
        <v>2610</v>
      </c>
      <c r="D4002" s="1" t="s">
        <v>1998</v>
      </c>
      <c r="E4002" s="1"/>
      <c r="F4002" s="1" t="s">
        <v>11</v>
      </c>
      <c r="G4002">
        <v>15</v>
      </c>
      <c r="H4002">
        <v>15</v>
      </c>
      <c r="I4002" s="2">
        <v>45784</v>
      </c>
      <c r="J4002" s="2">
        <v>45765</v>
      </c>
      <c r="K4002" s="2">
        <v>45784</v>
      </c>
    </row>
    <row r="4003" spans="1:11" x14ac:dyDescent="0.25">
      <c r="A4003" s="1" t="s">
        <v>681</v>
      </c>
      <c r="B4003" s="1" t="s">
        <v>1777</v>
      </c>
      <c r="C4003" s="1" t="s">
        <v>2654</v>
      </c>
      <c r="D4003" s="1" t="s">
        <v>1998</v>
      </c>
      <c r="E4003" s="1"/>
      <c r="F4003" s="1" t="s">
        <v>11</v>
      </c>
      <c r="G4003">
        <v>45</v>
      </c>
      <c r="H4003">
        <v>45</v>
      </c>
      <c r="I4003" s="2">
        <v>45784</v>
      </c>
      <c r="J4003" s="2">
        <v>45765</v>
      </c>
      <c r="K4003" s="2">
        <v>45784</v>
      </c>
    </row>
    <row r="4004" spans="1:11" x14ac:dyDescent="0.25">
      <c r="A4004" s="1" t="s">
        <v>681</v>
      </c>
      <c r="B4004" s="1" t="s">
        <v>1777</v>
      </c>
      <c r="C4004" s="1" t="s">
        <v>2654</v>
      </c>
      <c r="D4004" s="1" t="s">
        <v>1998</v>
      </c>
      <c r="E4004" s="1"/>
      <c r="F4004" s="1" t="s">
        <v>11</v>
      </c>
      <c r="G4004">
        <v>1</v>
      </c>
      <c r="H4004">
        <v>1</v>
      </c>
      <c r="I4004" s="2">
        <v>45784</v>
      </c>
      <c r="J4004" s="2">
        <v>45765</v>
      </c>
      <c r="K4004" s="2">
        <v>45784</v>
      </c>
    </row>
    <row r="4005" spans="1:11" x14ac:dyDescent="0.25">
      <c r="A4005" s="1" t="s">
        <v>681</v>
      </c>
      <c r="B4005" s="1" t="s">
        <v>1778</v>
      </c>
      <c r="C4005" s="1" t="s">
        <v>2655</v>
      </c>
      <c r="D4005" s="1" t="s">
        <v>1998</v>
      </c>
      <c r="E4005" s="1"/>
      <c r="F4005" s="1" t="s">
        <v>11</v>
      </c>
      <c r="G4005">
        <v>15</v>
      </c>
      <c r="H4005">
        <v>15</v>
      </c>
      <c r="I4005" s="2">
        <v>45784</v>
      </c>
      <c r="J4005" s="2">
        <v>45765</v>
      </c>
      <c r="K4005" s="2">
        <v>45784</v>
      </c>
    </row>
    <row r="4006" spans="1:11" x14ac:dyDescent="0.25">
      <c r="A4006" s="1" t="s">
        <v>682</v>
      </c>
      <c r="B4006" s="1" t="s">
        <v>1770</v>
      </c>
      <c r="C4006" s="1" t="s">
        <v>2652</v>
      </c>
      <c r="D4006" s="1" t="s">
        <v>1998</v>
      </c>
      <c r="E4006" s="1"/>
      <c r="F4006" s="1" t="s">
        <v>11</v>
      </c>
      <c r="G4006">
        <v>750</v>
      </c>
      <c r="H4006">
        <v>750</v>
      </c>
      <c r="I4006" s="2">
        <v>45784</v>
      </c>
      <c r="J4006" s="2">
        <v>45765</v>
      </c>
      <c r="K4006" s="2">
        <v>45784</v>
      </c>
    </row>
    <row r="4007" spans="1:11" x14ac:dyDescent="0.25">
      <c r="A4007" s="1" t="s">
        <v>682</v>
      </c>
      <c r="B4007" s="1" t="s">
        <v>1779</v>
      </c>
      <c r="C4007" s="1" t="s">
        <v>2656</v>
      </c>
      <c r="D4007" s="1" t="s">
        <v>1998</v>
      </c>
      <c r="E4007" s="1"/>
      <c r="F4007" s="1" t="s">
        <v>11</v>
      </c>
      <c r="G4007">
        <v>405</v>
      </c>
      <c r="H4007">
        <v>405</v>
      </c>
      <c r="I4007" s="2">
        <v>45784</v>
      </c>
      <c r="J4007" s="2">
        <v>45765</v>
      </c>
      <c r="K4007" s="2">
        <v>45784</v>
      </c>
    </row>
    <row r="4008" spans="1:11" x14ac:dyDescent="0.25">
      <c r="A4008" s="1" t="s">
        <v>682</v>
      </c>
      <c r="B4008" s="1" t="s">
        <v>1779</v>
      </c>
      <c r="C4008" s="1" t="s">
        <v>2656</v>
      </c>
      <c r="D4008" s="1" t="s">
        <v>1998</v>
      </c>
      <c r="E4008" s="1"/>
      <c r="F4008" s="1" t="s">
        <v>11</v>
      </c>
      <c r="G4008">
        <v>1</v>
      </c>
      <c r="H4008">
        <v>1</v>
      </c>
      <c r="I4008" s="2">
        <v>45784</v>
      </c>
      <c r="J4008" s="2">
        <v>45765</v>
      </c>
      <c r="K4008" s="2">
        <v>45784</v>
      </c>
    </row>
    <row r="4009" spans="1:11" x14ac:dyDescent="0.25">
      <c r="A4009" s="1" t="s">
        <v>682</v>
      </c>
      <c r="B4009" s="1" t="s">
        <v>1772</v>
      </c>
      <c r="C4009" s="1" t="s">
        <v>2653</v>
      </c>
      <c r="D4009" s="1" t="s">
        <v>1998</v>
      </c>
      <c r="E4009" s="1"/>
      <c r="F4009" s="1" t="s">
        <v>11</v>
      </c>
      <c r="G4009">
        <v>1715</v>
      </c>
      <c r="H4009">
        <v>1715</v>
      </c>
      <c r="I4009" s="2">
        <v>45784</v>
      </c>
      <c r="J4009" s="2">
        <v>45765</v>
      </c>
      <c r="K4009" s="2">
        <v>45784</v>
      </c>
    </row>
    <row r="4010" spans="1:11" x14ac:dyDescent="0.25">
      <c r="A4010" s="1" t="s">
        <v>682</v>
      </c>
      <c r="B4010" s="1" t="s">
        <v>1670</v>
      </c>
      <c r="C4010" s="1" t="s">
        <v>2579</v>
      </c>
      <c r="D4010" s="1" t="s">
        <v>1998</v>
      </c>
      <c r="E4010" s="1"/>
      <c r="F4010" s="1" t="s">
        <v>11</v>
      </c>
      <c r="G4010">
        <v>40</v>
      </c>
      <c r="H4010">
        <v>40</v>
      </c>
      <c r="I4010" s="2">
        <v>45784</v>
      </c>
      <c r="J4010" s="2">
        <v>45765</v>
      </c>
      <c r="K4010" s="2">
        <v>45784</v>
      </c>
    </row>
    <row r="4011" spans="1:11" x14ac:dyDescent="0.25">
      <c r="A4011" s="1" t="s">
        <v>682</v>
      </c>
      <c r="B4011" s="1" t="s">
        <v>1780</v>
      </c>
      <c r="C4011" s="1" t="s">
        <v>2127</v>
      </c>
      <c r="D4011" s="1" t="s">
        <v>1998</v>
      </c>
      <c r="E4011" s="1"/>
      <c r="F4011" s="1" t="s">
        <v>11</v>
      </c>
      <c r="G4011">
        <v>805</v>
      </c>
      <c r="H4011">
        <v>805</v>
      </c>
      <c r="I4011" s="2">
        <v>45784</v>
      </c>
      <c r="J4011" s="2">
        <v>45765</v>
      </c>
      <c r="K4011" s="2">
        <v>45784</v>
      </c>
    </row>
    <row r="4012" spans="1:11" x14ac:dyDescent="0.25">
      <c r="A4012" s="1" t="s">
        <v>682</v>
      </c>
      <c r="B4012" s="1" t="s">
        <v>1774</v>
      </c>
      <c r="C4012" s="1" t="s">
        <v>2586</v>
      </c>
      <c r="D4012" s="1" t="s">
        <v>1998</v>
      </c>
      <c r="E4012" s="1"/>
      <c r="F4012" s="1" t="s">
        <v>11</v>
      </c>
      <c r="G4012">
        <v>85</v>
      </c>
      <c r="H4012">
        <v>85</v>
      </c>
      <c r="I4012" s="2">
        <v>45784</v>
      </c>
      <c r="J4012" s="2">
        <v>45765</v>
      </c>
      <c r="K4012" s="2">
        <v>45784</v>
      </c>
    </row>
    <row r="4013" spans="1:11" x14ac:dyDescent="0.25">
      <c r="A4013" s="1" t="s">
        <v>682</v>
      </c>
      <c r="B4013" s="1" t="s">
        <v>1781</v>
      </c>
      <c r="C4013" s="1" t="s">
        <v>2517</v>
      </c>
      <c r="D4013" s="1" t="s">
        <v>1998</v>
      </c>
      <c r="E4013" s="1"/>
      <c r="F4013" s="1" t="s">
        <v>11</v>
      </c>
      <c r="G4013">
        <v>80</v>
      </c>
      <c r="H4013">
        <v>80</v>
      </c>
      <c r="I4013" s="2">
        <v>45784</v>
      </c>
      <c r="J4013" s="2">
        <v>45765</v>
      </c>
      <c r="K4013" s="2">
        <v>45784</v>
      </c>
    </row>
    <row r="4014" spans="1:11" x14ac:dyDescent="0.25">
      <c r="A4014" s="1" t="s">
        <v>682</v>
      </c>
      <c r="B4014" s="1" t="s">
        <v>1782</v>
      </c>
      <c r="C4014" s="1" t="s">
        <v>2610</v>
      </c>
      <c r="D4014" s="1" t="s">
        <v>1998</v>
      </c>
      <c r="E4014" s="1"/>
      <c r="F4014" s="1" t="s">
        <v>11</v>
      </c>
      <c r="G4014">
        <v>95</v>
      </c>
      <c r="H4014">
        <v>95</v>
      </c>
      <c r="I4014" s="2">
        <v>45784</v>
      </c>
      <c r="J4014" s="2">
        <v>45765</v>
      </c>
      <c r="K4014" s="2">
        <v>45784</v>
      </c>
    </row>
    <row r="4015" spans="1:11" x14ac:dyDescent="0.25">
      <c r="A4015" s="1" t="s">
        <v>682</v>
      </c>
      <c r="B4015" s="1" t="s">
        <v>1783</v>
      </c>
      <c r="C4015" s="1" t="s">
        <v>2518</v>
      </c>
      <c r="D4015" s="1" t="s">
        <v>1998</v>
      </c>
      <c r="E4015" s="1"/>
      <c r="F4015" s="1" t="s">
        <v>11</v>
      </c>
      <c r="G4015">
        <v>90</v>
      </c>
      <c r="H4015">
        <v>90</v>
      </c>
      <c r="I4015" s="2">
        <v>45784</v>
      </c>
      <c r="J4015" s="2">
        <v>45765</v>
      </c>
      <c r="K4015" s="2">
        <v>45784</v>
      </c>
    </row>
    <row r="4016" spans="1:11" x14ac:dyDescent="0.25">
      <c r="A4016" s="1" t="s">
        <v>682</v>
      </c>
      <c r="B4016" s="1" t="s">
        <v>1778</v>
      </c>
      <c r="C4016" s="1" t="s">
        <v>2655</v>
      </c>
      <c r="D4016" s="1" t="s">
        <v>1998</v>
      </c>
      <c r="E4016" s="1"/>
      <c r="F4016" s="1" t="s">
        <v>11</v>
      </c>
      <c r="G4016">
        <v>135</v>
      </c>
      <c r="H4016">
        <v>135</v>
      </c>
      <c r="I4016" s="2">
        <v>45784</v>
      </c>
      <c r="J4016" s="2">
        <v>45765</v>
      </c>
      <c r="K4016" s="2">
        <v>45784</v>
      </c>
    </row>
    <row r="4017" spans="1:11" x14ac:dyDescent="0.25">
      <c r="A4017" s="1" t="s">
        <v>683</v>
      </c>
      <c r="B4017" s="1" t="s">
        <v>1770</v>
      </c>
      <c r="C4017" s="1" t="s">
        <v>2652</v>
      </c>
      <c r="D4017" s="1" t="s">
        <v>1998</v>
      </c>
      <c r="E4017" s="1"/>
      <c r="F4017" s="1" t="s">
        <v>11</v>
      </c>
      <c r="G4017">
        <v>95</v>
      </c>
      <c r="H4017">
        <v>95</v>
      </c>
      <c r="I4017" s="2">
        <v>45784</v>
      </c>
      <c r="J4017" s="2">
        <v>45765</v>
      </c>
      <c r="K4017" s="2">
        <v>45784</v>
      </c>
    </row>
    <row r="4018" spans="1:11" x14ac:dyDescent="0.25">
      <c r="A4018" s="1" t="s">
        <v>683</v>
      </c>
      <c r="B4018" s="1" t="s">
        <v>1779</v>
      </c>
      <c r="C4018" s="1" t="s">
        <v>2656</v>
      </c>
      <c r="D4018" s="1" t="s">
        <v>1998</v>
      </c>
      <c r="E4018" s="1"/>
      <c r="F4018" s="1" t="s">
        <v>11</v>
      </c>
      <c r="G4018">
        <v>50</v>
      </c>
      <c r="H4018">
        <v>50</v>
      </c>
      <c r="I4018" s="2">
        <v>45784</v>
      </c>
      <c r="J4018" s="2">
        <v>45765</v>
      </c>
      <c r="K4018" s="2">
        <v>45784</v>
      </c>
    </row>
    <row r="4019" spans="1:11" x14ac:dyDescent="0.25">
      <c r="A4019" s="1" t="s">
        <v>683</v>
      </c>
      <c r="B4019" s="1" t="s">
        <v>1779</v>
      </c>
      <c r="C4019" s="1" t="s">
        <v>2656</v>
      </c>
      <c r="D4019" s="1" t="s">
        <v>1998</v>
      </c>
      <c r="E4019" s="1"/>
      <c r="F4019" s="1" t="s">
        <v>11</v>
      </c>
      <c r="G4019">
        <v>1</v>
      </c>
      <c r="H4019">
        <v>1</v>
      </c>
      <c r="I4019" s="2">
        <v>45784</v>
      </c>
      <c r="J4019" s="2">
        <v>45765</v>
      </c>
      <c r="K4019" s="2">
        <v>45784</v>
      </c>
    </row>
    <row r="4020" spans="1:11" x14ac:dyDescent="0.25">
      <c r="A4020" s="1" t="s">
        <v>683</v>
      </c>
      <c r="B4020" s="1" t="s">
        <v>1772</v>
      </c>
      <c r="C4020" s="1" t="s">
        <v>2653</v>
      </c>
      <c r="D4020" s="1" t="s">
        <v>1998</v>
      </c>
      <c r="E4020" s="1"/>
      <c r="F4020" s="1" t="s">
        <v>11</v>
      </c>
      <c r="G4020">
        <v>215</v>
      </c>
      <c r="H4020">
        <v>215</v>
      </c>
      <c r="I4020" s="2">
        <v>45784</v>
      </c>
      <c r="J4020" s="2">
        <v>45765</v>
      </c>
      <c r="K4020" s="2">
        <v>45784</v>
      </c>
    </row>
    <row r="4021" spans="1:11" x14ac:dyDescent="0.25">
      <c r="A4021" s="1" t="s">
        <v>683</v>
      </c>
      <c r="B4021" s="1" t="s">
        <v>1670</v>
      </c>
      <c r="C4021" s="1" t="s">
        <v>2579</v>
      </c>
      <c r="D4021" s="1" t="s">
        <v>1998</v>
      </c>
      <c r="E4021" s="1"/>
      <c r="F4021" s="1" t="s">
        <v>11</v>
      </c>
      <c r="G4021">
        <v>5</v>
      </c>
      <c r="H4021">
        <v>5</v>
      </c>
      <c r="I4021" s="2">
        <v>45784</v>
      </c>
      <c r="J4021" s="2">
        <v>45765</v>
      </c>
      <c r="K4021" s="2">
        <v>45784</v>
      </c>
    </row>
    <row r="4022" spans="1:11" x14ac:dyDescent="0.25">
      <c r="A4022" s="1" t="s">
        <v>683</v>
      </c>
      <c r="B4022" s="1" t="s">
        <v>1780</v>
      </c>
      <c r="C4022" s="1" t="s">
        <v>2127</v>
      </c>
      <c r="D4022" s="1" t="s">
        <v>1998</v>
      </c>
      <c r="E4022" s="1"/>
      <c r="F4022" s="1" t="s">
        <v>11</v>
      </c>
      <c r="G4022">
        <v>100</v>
      </c>
      <c r="H4022">
        <v>100</v>
      </c>
      <c r="I4022" s="2">
        <v>45784</v>
      </c>
      <c r="J4022" s="2">
        <v>45765</v>
      </c>
      <c r="K4022" s="2">
        <v>45784</v>
      </c>
    </row>
    <row r="4023" spans="1:11" x14ac:dyDescent="0.25">
      <c r="A4023" s="1" t="s">
        <v>683</v>
      </c>
      <c r="B4023" s="1" t="s">
        <v>1780</v>
      </c>
      <c r="C4023" s="1" t="s">
        <v>2127</v>
      </c>
      <c r="D4023" s="1" t="s">
        <v>1998</v>
      </c>
      <c r="E4023" s="1"/>
      <c r="F4023" s="1" t="s">
        <v>11</v>
      </c>
      <c r="G4023">
        <v>100</v>
      </c>
      <c r="H4023">
        <v>100</v>
      </c>
      <c r="I4023" s="2">
        <v>45784</v>
      </c>
      <c r="J4023" s="2">
        <v>45765</v>
      </c>
      <c r="K4023" s="2">
        <v>45784</v>
      </c>
    </row>
    <row r="4024" spans="1:11" x14ac:dyDescent="0.25">
      <c r="A4024" s="1" t="s">
        <v>683</v>
      </c>
      <c r="B4024" s="1" t="s">
        <v>1774</v>
      </c>
      <c r="C4024" s="1" t="s">
        <v>2586</v>
      </c>
      <c r="D4024" s="1" t="s">
        <v>1998</v>
      </c>
      <c r="E4024" s="1"/>
      <c r="F4024" s="1" t="s">
        <v>11</v>
      </c>
      <c r="G4024">
        <v>10</v>
      </c>
      <c r="H4024">
        <v>10</v>
      </c>
      <c r="I4024" s="2">
        <v>45784</v>
      </c>
      <c r="J4024" s="2">
        <v>45765</v>
      </c>
      <c r="K4024" s="2">
        <v>45784</v>
      </c>
    </row>
    <row r="4025" spans="1:11" x14ac:dyDescent="0.25">
      <c r="A4025" s="1" t="s">
        <v>683</v>
      </c>
      <c r="B4025" s="1" t="s">
        <v>1774</v>
      </c>
      <c r="C4025" s="1" t="s">
        <v>2586</v>
      </c>
      <c r="D4025" s="1" t="s">
        <v>1998</v>
      </c>
      <c r="E4025" s="1"/>
      <c r="F4025" s="1" t="s">
        <v>16</v>
      </c>
      <c r="G4025">
        <v>1</v>
      </c>
      <c r="H4025">
        <v>1</v>
      </c>
      <c r="I4025" s="2">
        <v>45784</v>
      </c>
      <c r="J4025" s="2">
        <v>45765</v>
      </c>
      <c r="K4025" s="2">
        <v>45784</v>
      </c>
    </row>
    <row r="4026" spans="1:11" x14ac:dyDescent="0.25">
      <c r="A4026" s="1" t="s">
        <v>683</v>
      </c>
      <c r="B4026" s="1" t="s">
        <v>1775</v>
      </c>
      <c r="C4026" s="1" t="s">
        <v>2517</v>
      </c>
      <c r="D4026" s="1" t="s">
        <v>1998</v>
      </c>
      <c r="E4026" s="1"/>
      <c r="F4026" s="1" t="s">
        <v>11</v>
      </c>
      <c r="G4026">
        <v>25</v>
      </c>
      <c r="H4026">
        <v>25</v>
      </c>
      <c r="I4026" s="2">
        <v>45784</v>
      </c>
      <c r="J4026" s="2">
        <v>45765</v>
      </c>
      <c r="K4026" s="2">
        <v>45784</v>
      </c>
    </row>
    <row r="4027" spans="1:11" x14ac:dyDescent="0.25">
      <c r="A4027" s="1" t="s">
        <v>683</v>
      </c>
      <c r="B4027" s="1" t="s">
        <v>1776</v>
      </c>
      <c r="C4027" s="1" t="s">
        <v>2610</v>
      </c>
      <c r="D4027" s="1" t="s">
        <v>1998</v>
      </c>
      <c r="E4027" s="1"/>
      <c r="F4027" s="1" t="s">
        <v>11</v>
      </c>
      <c r="G4027">
        <v>15</v>
      </c>
      <c r="H4027">
        <v>15</v>
      </c>
      <c r="I4027" s="2">
        <v>45784</v>
      </c>
      <c r="J4027" s="2">
        <v>45765</v>
      </c>
      <c r="K4027" s="2">
        <v>45784</v>
      </c>
    </row>
    <row r="4028" spans="1:11" x14ac:dyDescent="0.25">
      <c r="A4028" s="1" t="s">
        <v>683</v>
      </c>
      <c r="B4028" s="1" t="s">
        <v>1777</v>
      </c>
      <c r="C4028" s="1" t="s">
        <v>2654</v>
      </c>
      <c r="D4028" s="1" t="s">
        <v>1998</v>
      </c>
      <c r="E4028" s="1"/>
      <c r="F4028" s="1" t="s">
        <v>11</v>
      </c>
      <c r="G4028">
        <v>45</v>
      </c>
      <c r="H4028">
        <v>45</v>
      </c>
      <c r="I4028" s="2">
        <v>45784</v>
      </c>
      <c r="J4028" s="2">
        <v>45765</v>
      </c>
      <c r="K4028" s="2">
        <v>45784</v>
      </c>
    </row>
    <row r="4029" spans="1:11" x14ac:dyDescent="0.25">
      <c r="A4029" s="1" t="s">
        <v>683</v>
      </c>
      <c r="B4029" s="1" t="s">
        <v>1778</v>
      </c>
      <c r="C4029" s="1" t="s">
        <v>2655</v>
      </c>
      <c r="D4029" s="1" t="s">
        <v>1998</v>
      </c>
      <c r="E4029" s="1"/>
      <c r="F4029" s="1" t="s">
        <v>11</v>
      </c>
      <c r="G4029">
        <v>15</v>
      </c>
      <c r="H4029">
        <v>15</v>
      </c>
      <c r="I4029" s="2">
        <v>45784</v>
      </c>
      <c r="J4029" s="2">
        <v>45765</v>
      </c>
      <c r="K4029" s="2">
        <v>45784</v>
      </c>
    </row>
    <row r="4030" spans="1:11" x14ac:dyDescent="0.25">
      <c r="A4030" s="1" t="s">
        <v>684</v>
      </c>
      <c r="B4030" s="1" t="s">
        <v>1770</v>
      </c>
      <c r="C4030" s="1" t="s">
        <v>2652</v>
      </c>
      <c r="D4030" s="1" t="s">
        <v>1998</v>
      </c>
      <c r="E4030" s="1"/>
      <c r="F4030" s="1" t="s">
        <v>11</v>
      </c>
      <c r="G4030">
        <v>375</v>
      </c>
      <c r="H4030">
        <v>375</v>
      </c>
      <c r="I4030" s="2">
        <v>45784</v>
      </c>
      <c r="J4030" s="2">
        <v>45768</v>
      </c>
      <c r="K4030" s="2">
        <v>45784</v>
      </c>
    </row>
    <row r="4031" spans="1:11" x14ac:dyDescent="0.25">
      <c r="A4031" s="1" t="s">
        <v>684</v>
      </c>
      <c r="B4031" s="1" t="s">
        <v>1779</v>
      </c>
      <c r="C4031" s="1" t="s">
        <v>2656</v>
      </c>
      <c r="D4031" s="1" t="s">
        <v>1998</v>
      </c>
      <c r="E4031" s="1"/>
      <c r="F4031" s="1" t="s">
        <v>11</v>
      </c>
      <c r="G4031">
        <v>205</v>
      </c>
      <c r="H4031">
        <v>205</v>
      </c>
      <c r="I4031" s="2">
        <v>45784</v>
      </c>
      <c r="J4031" s="2">
        <v>45768</v>
      </c>
      <c r="K4031" s="2">
        <v>45784</v>
      </c>
    </row>
    <row r="4032" spans="1:11" x14ac:dyDescent="0.25">
      <c r="A4032" s="1" t="s">
        <v>684</v>
      </c>
      <c r="B4032" s="1" t="s">
        <v>1779</v>
      </c>
      <c r="C4032" s="1" t="s">
        <v>2656</v>
      </c>
      <c r="D4032" s="1" t="s">
        <v>1998</v>
      </c>
      <c r="E4032" s="1"/>
      <c r="F4032" s="1" t="s">
        <v>11</v>
      </c>
      <c r="G4032">
        <v>10</v>
      </c>
      <c r="H4032">
        <v>10</v>
      </c>
      <c r="I4032" s="2">
        <v>45784</v>
      </c>
      <c r="J4032" s="2">
        <v>45768</v>
      </c>
      <c r="K4032" s="2">
        <v>45784</v>
      </c>
    </row>
    <row r="4033" spans="1:11" x14ac:dyDescent="0.25">
      <c r="A4033" s="1" t="s">
        <v>684</v>
      </c>
      <c r="B4033" s="1" t="s">
        <v>1779</v>
      </c>
      <c r="C4033" s="1" t="s">
        <v>2656</v>
      </c>
      <c r="D4033" s="1" t="s">
        <v>1998</v>
      </c>
      <c r="E4033" s="1"/>
      <c r="F4033" s="1" t="s">
        <v>16</v>
      </c>
      <c r="G4033">
        <v>35</v>
      </c>
      <c r="H4033">
        <v>35</v>
      </c>
      <c r="I4033" s="2">
        <v>45784</v>
      </c>
      <c r="J4033" s="2">
        <v>45768</v>
      </c>
      <c r="K4033" s="2">
        <v>45784</v>
      </c>
    </row>
    <row r="4034" spans="1:11" x14ac:dyDescent="0.25">
      <c r="A4034" s="1" t="s">
        <v>684</v>
      </c>
      <c r="B4034" s="1" t="s">
        <v>1772</v>
      </c>
      <c r="C4034" s="1" t="s">
        <v>2653</v>
      </c>
      <c r="D4034" s="1" t="s">
        <v>1998</v>
      </c>
      <c r="E4034" s="1"/>
      <c r="F4034" s="1" t="s">
        <v>11</v>
      </c>
      <c r="G4034">
        <v>855</v>
      </c>
      <c r="H4034">
        <v>855</v>
      </c>
      <c r="I4034" s="2">
        <v>45784</v>
      </c>
      <c r="J4034" s="2">
        <v>45768</v>
      </c>
      <c r="K4034" s="2">
        <v>45784</v>
      </c>
    </row>
    <row r="4035" spans="1:11" x14ac:dyDescent="0.25">
      <c r="A4035" s="1" t="s">
        <v>684</v>
      </c>
      <c r="B4035" s="1" t="s">
        <v>1670</v>
      </c>
      <c r="C4035" s="1" t="s">
        <v>2579</v>
      </c>
      <c r="D4035" s="1" t="s">
        <v>1998</v>
      </c>
      <c r="E4035" s="1"/>
      <c r="F4035" s="1" t="s">
        <v>11</v>
      </c>
      <c r="G4035">
        <v>20</v>
      </c>
      <c r="H4035">
        <v>20</v>
      </c>
      <c r="I4035" s="2">
        <v>45784</v>
      </c>
      <c r="J4035" s="2">
        <v>45768</v>
      </c>
      <c r="K4035" s="2">
        <v>45784</v>
      </c>
    </row>
    <row r="4036" spans="1:11" x14ac:dyDescent="0.25">
      <c r="A4036" s="1" t="s">
        <v>684</v>
      </c>
      <c r="B4036" s="1" t="s">
        <v>1780</v>
      </c>
      <c r="C4036" s="1" t="s">
        <v>2127</v>
      </c>
      <c r="D4036" s="1" t="s">
        <v>1998</v>
      </c>
      <c r="E4036" s="1"/>
      <c r="F4036" s="1" t="s">
        <v>11</v>
      </c>
      <c r="G4036">
        <v>405</v>
      </c>
      <c r="H4036">
        <v>405</v>
      </c>
      <c r="I4036" s="2">
        <v>45784</v>
      </c>
      <c r="J4036" s="2">
        <v>45768</v>
      </c>
      <c r="K4036" s="2">
        <v>45784</v>
      </c>
    </row>
    <row r="4037" spans="1:11" x14ac:dyDescent="0.25">
      <c r="A4037" s="1" t="s">
        <v>684</v>
      </c>
      <c r="B4037" s="1" t="s">
        <v>1780</v>
      </c>
      <c r="C4037" s="1" t="s">
        <v>2127</v>
      </c>
      <c r="D4037" s="1" t="s">
        <v>1998</v>
      </c>
      <c r="E4037" s="1"/>
      <c r="F4037" s="1" t="s">
        <v>11</v>
      </c>
      <c r="G4037">
        <v>5</v>
      </c>
      <c r="H4037">
        <v>5</v>
      </c>
      <c r="I4037" s="2">
        <v>45784</v>
      </c>
      <c r="J4037" s="2">
        <v>45768</v>
      </c>
      <c r="K4037" s="2">
        <v>45784</v>
      </c>
    </row>
    <row r="4038" spans="1:11" x14ac:dyDescent="0.25">
      <c r="A4038" s="1" t="s">
        <v>684</v>
      </c>
      <c r="B4038" s="1" t="s">
        <v>1774</v>
      </c>
      <c r="C4038" s="1" t="s">
        <v>2586</v>
      </c>
      <c r="D4038" s="1" t="s">
        <v>1998</v>
      </c>
      <c r="E4038" s="1"/>
      <c r="F4038" s="1" t="s">
        <v>11</v>
      </c>
      <c r="G4038">
        <v>40</v>
      </c>
      <c r="H4038">
        <v>40</v>
      </c>
      <c r="I4038" s="2">
        <v>45784</v>
      </c>
      <c r="J4038" s="2">
        <v>45768</v>
      </c>
      <c r="K4038" s="2">
        <v>45784</v>
      </c>
    </row>
    <row r="4039" spans="1:11" x14ac:dyDescent="0.25">
      <c r="A4039" s="1" t="s">
        <v>684</v>
      </c>
      <c r="B4039" s="1" t="s">
        <v>1774</v>
      </c>
      <c r="C4039" s="1" t="s">
        <v>2586</v>
      </c>
      <c r="D4039" s="1" t="s">
        <v>1998</v>
      </c>
      <c r="E4039" s="1"/>
      <c r="F4039" s="1" t="s">
        <v>16</v>
      </c>
      <c r="G4039">
        <v>5</v>
      </c>
      <c r="H4039">
        <v>5</v>
      </c>
      <c r="I4039" s="2">
        <v>45784</v>
      </c>
      <c r="J4039" s="2">
        <v>45768</v>
      </c>
      <c r="K4039" s="2">
        <v>45784</v>
      </c>
    </row>
    <row r="4040" spans="1:11" x14ac:dyDescent="0.25">
      <c r="A4040" s="1" t="s">
        <v>684</v>
      </c>
      <c r="B4040" s="1" t="s">
        <v>1781</v>
      </c>
      <c r="C4040" s="1" t="s">
        <v>2517</v>
      </c>
      <c r="D4040" s="1" t="s">
        <v>1998</v>
      </c>
      <c r="E4040" s="1"/>
      <c r="F4040" s="1" t="s">
        <v>11</v>
      </c>
      <c r="G4040">
        <v>40</v>
      </c>
      <c r="H4040">
        <v>40</v>
      </c>
      <c r="I4040" s="2">
        <v>45784</v>
      </c>
      <c r="J4040" s="2">
        <v>45768</v>
      </c>
      <c r="K4040" s="2">
        <v>45784</v>
      </c>
    </row>
    <row r="4041" spans="1:11" x14ac:dyDescent="0.25">
      <c r="A4041" s="1" t="s">
        <v>684</v>
      </c>
      <c r="B4041" s="1" t="s">
        <v>1782</v>
      </c>
      <c r="C4041" s="1" t="s">
        <v>2610</v>
      </c>
      <c r="D4041" s="1" t="s">
        <v>1998</v>
      </c>
      <c r="E4041" s="1"/>
      <c r="F4041" s="1" t="s">
        <v>11</v>
      </c>
      <c r="G4041">
        <v>50</v>
      </c>
      <c r="H4041">
        <v>50</v>
      </c>
      <c r="I4041" s="2">
        <v>45784</v>
      </c>
      <c r="J4041" s="2">
        <v>45768</v>
      </c>
      <c r="K4041" s="2">
        <v>45784</v>
      </c>
    </row>
    <row r="4042" spans="1:11" x14ac:dyDescent="0.25">
      <c r="A4042" s="1" t="s">
        <v>684</v>
      </c>
      <c r="B4042" s="1" t="s">
        <v>1782</v>
      </c>
      <c r="C4042" s="1" t="s">
        <v>2610</v>
      </c>
      <c r="D4042" s="1" t="s">
        <v>1998</v>
      </c>
      <c r="E4042" s="1"/>
      <c r="F4042" s="1" t="s">
        <v>11</v>
      </c>
      <c r="G4042">
        <v>1</v>
      </c>
      <c r="H4042">
        <v>1</v>
      </c>
      <c r="I4042" s="2">
        <v>45784</v>
      </c>
      <c r="J4042" s="2">
        <v>45768</v>
      </c>
      <c r="K4042" s="2">
        <v>45784</v>
      </c>
    </row>
    <row r="4043" spans="1:11" x14ac:dyDescent="0.25">
      <c r="A4043" s="1" t="s">
        <v>684</v>
      </c>
      <c r="B4043" s="1" t="s">
        <v>1783</v>
      </c>
      <c r="C4043" s="1" t="s">
        <v>2518</v>
      </c>
      <c r="D4043" s="1" t="s">
        <v>1998</v>
      </c>
      <c r="E4043" s="1"/>
      <c r="F4043" s="1" t="s">
        <v>11</v>
      </c>
      <c r="G4043">
        <v>45</v>
      </c>
      <c r="H4043">
        <v>45</v>
      </c>
      <c r="I4043" s="2">
        <v>45784</v>
      </c>
      <c r="J4043" s="2">
        <v>45768</v>
      </c>
      <c r="K4043" s="2">
        <v>45784</v>
      </c>
    </row>
    <row r="4044" spans="1:11" x14ac:dyDescent="0.25">
      <c r="A4044" s="1" t="s">
        <v>684</v>
      </c>
      <c r="B4044" s="1" t="s">
        <v>1783</v>
      </c>
      <c r="C4044" s="1" t="s">
        <v>2518</v>
      </c>
      <c r="D4044" s="1" t="s">
        <v>1998</v>
      </c>
      <c r="E4044" s="1"/>
      <c r="F4044" s="1" t="s">
        <v>11</v>
      </c>
      <c r="G4044">
        <v>1</v>
      </c>
      <c r="H4044">
        <v>1</v>
      </c>
      <c r="I4044" s="2">
        <v>45784</v>
      </c>
      <c r="J4044" s="2">
        <v>45768</v>
      </c>
      <c r="K4044" s="2">
        <v>45784</v>
      </c>
    </row>
    <row r="4045" spans="1:11" x14ac:dyDescent="0.25">
      <c r="A4045" s="1" t="s">
        <v>684</v>
      </c>
      <c r="B4045" s="1" t="s">
        <v>1778</v>
      </c>
      <c r="C4045" s="1" t="s">
        <v>2655</v>
      </c>
      <c r="D4045" s="1" t="s">
        <v>1998</v>
      </c>
      <c r="E4045" s="1"/>
      <c r="F4045" s="1" t="s">
        <v>11</v>
      </c>
      <c r="G4045">
        <v>65</v>
      </c>
      <c r="H4045">
        <v>65</v>
      </c>
      <c r="I4045" s="2">
        <v>45784</v>
      </c>
      <c r="J4045" s="2">
        <v>45768</v>
      </c>
      <c r="K4045" s="2">
        <v>45784</v>
      </c>
    </row>
    <row r="4046" spans="1:11" x14ac:dyDescent="0.25">
      <c r="A4046" s="1" t="s">
        <v>685</v>
      </c>
      <c r="B4046" s="1" t="s">
        <v>1784</v>
      </c>
      <c r="C4046" s="1" t="s">
        <v>2657</v>
      </c>
      <c r="D4046" s="1" t="s">
        <v>1998</v>
      </c>
      <c r="E4046" s="1"/>
      <c r="F4046" s="1" t="s">
        <v>11</v>
      </c>
      <c r="G4046">
        <v>165</v>
      </c>
      <c r="H4046">
        <v>265</v>
      </c>
      <c r="I4046" s="2"/>
      <c r="J4046" s="2">
        <v>45768</v>
      </c>
      <c r="K4046" s="2">
        <v>45776</v>
      </c>
    </row>
    <row r="4047" spans="1:11" x14ac:dyDescent="0.25">
      <c r="A4047" s="1" t="s">
        <v>686</v>
      </c>
      <c r="B4047" s="1" t="s">
        <v>1785</v>
      </c>
      <c r="C4047" s="1" t="s">
        <v>2658</v>
      </c>
      <c r="D4047" s="1" t="s">
        <v>1998</v>
      </c>
      <c r="E4047" s="1"/>
      <c r="F4047" s="1" t="s">
        <v>11</v>
      </c>
      <c r="G4047">
        <v>650</v>
      </c>
      <c r="H4047">
        <v>615</v>
      </c>
      <c r="I4047" s="2"/>
      <c r="J4047" s="2">
        <v>45768</v>
      </c>
      <c r="K4047" s="2">
        <v>45783</v>
      </c>
    </row>
    <row r="4048" spans="1:11" x14ac:dyDescent="0.25">
      <c r="A4048" s="1" t="s">
        <v>687</v>
      </c>
      <c r="B4048" s="1" t="s">
        <v>1079</v>
      </c>
      <c r="C4048" s="1" t="s">
        <v>2082</v>
      </c>
      <c r="D4048" s="1" t="s">
        <v>1998</v>
      </c>
      <c r="E4048" s="1"/>
      <c r="F4048" s="1" t="s">
        <v>11</v>
      </c>
      <c r="G4048">
        <v>175</v>
      </c>
      <c r="H4048">
        <v>1</v>
      </c>
      <c r="I4048" s="2"/>
      <c r="J4048" s="2">
        <v>45765</v>
      </c>
      <c r="K4048" s="2">
        <v>45789</v>
      </c>
    </row>
    <row r="4049" spans="1:11" x14ac:dyDescent="0.25">
      <c r="A4049" s="1" t="s">
        <v>687</v>
      </c>
      <c r="B4049" s="1" t="s">
        <v>1080</v>
      </c>
      <c r="C4049" s="1" t="s">
        <v>2083</v>
      </c>
      <c r="D4049" s="1" t="s">
        <v>1998</v>
      </c>
      <c r="E4049" s="1"/>
      <c r="F4049" s="1" t="s">
        <v>11</v>
      </c>
      <c r="G4049">
        <v>4235</v>
      </c>
      <c r="H4049">
        <v>4235</v>
      </c>
      <c r="I4049" s="2"/>
      <c r="J4049" s="2">
        <v>45765</v>
      </c>
      <c r="K4049" s="2">
        <v>45789</v>
      </c>
    </row>
    <row r="4050" spans="1:11" x14ac:dyDescent="0.25">
      <c r="A4050" s="1" t="s">
        <v>687</v>
      </c>
      <c r="B4050" s="1" t="s">
        <v>1080</v>
      </c>
      <c r="C4050" s="1" t="s">
        <v>2083</v>
      </c>
      <c r="D4050" s="1" t="s">
        <v>1998</v>
      </c>
      <c r="E4050" s="1"/>
      <c r="F4050" s="1" t="s">
        <v>11</v>
      </c>
      <c r="G4050">
        <v>80</v>
      </c>
      <c r="H4050">
        <v>80</v>
      </c>
      <c r="I4050" s="2"/>
      <c r="J4050" s="2">
        <v>45765</v>
      </c>
      <c r="K4050" s="2">
        <v>45789</v>
      </c>
    </row>
    <row r="4051" spans="1:11" x14ac:dyDescent="0.25">
      <c r="A4051" s="1" t="s">
        <v>687</v>
      </c>
      <c r="B4051" s="1" t="s">
        <v>1083</v>
      </c>
      <c r="C4051" s="1" t="s">
        <v>2086</v>
      </c>
      <c r="D4051" s="1" t="s">
        <v>1998</v>
      </c>
      <c r="E4051" s="1"/>
      <c r="F4051" s="1" t="s">
        <v>11</v>
      </c>
      <c r="G4051">
        <v>1</v>
      </c>
      <c r="H4051">
        <v>1</v>
      </c>
      <c r="I4051" s="2"/>
      <c r="J4051" s="2">
        <v>45765</v>
      </c>
      <c r="K4051" s="2">
        <v>45789</v>
      </c>
    </row>
    <row r="4052" spans="1:11" x14ac:dyDescent="0.25">
      <c r="A4052" s="1" t="s">
        <v>687</v>
      </c>
      <c r="B4052" s="1" t="s">
        <v>1786</v>
      </c>
      <c r="C4052" s="1" t="s">
        <v>2659</v>
      </c>
      <c r="D4052" s="1" t="s">
        <v>1998</v>
      </c>
      <c r="E4052" s="1"/>
      <c r="F4052" s="1" t="s">
        <v>11</v>
      </c>
      <c r="G4052">
        <v>13515</v>
      </c>
      <c r="H4052">
        <v>13515</v>
      </c>
      <c r="I4052" s="2"/>
      <c r="J4052" s="2">
        <v>45765</v>
      </c>
      <c r="K4052" s="2">
        <v>45789</v>
      </c>
    </row>
    <row r="4053" spans="1:11" x14ac:dyDescent="0.25">
      <c r="A4053" s="1" t="s">
        <v>687</v>
      </c>
      <c r="B4053" s="1" t="s">
        <v>1786</v>
      </c>
      <c r="C4053" s="1" t="s">
        <v>2659</v>
      </c>
      <c r="D4053" s="1" t="s">
        <v>1998</v>
      </c>
      <c r="E4053" s="1"/>
      <c r="F4053" s="1" t="s">
        <v>11</v>
      </c>
      <c r="G4053">
        <v>1</v>
      </c>
      <c r="H4053">
        <v>1</v>
      </c>
      <c r="I4053" s="2"/>
      <c r="J4053" s="2">
        <v>45765</v>
      </c>
      <c r="K4053" s="2">
        <v>45789</v>
      </c>
    </row>
    <row r="4054" spans="1:11" x14ac:dyDescent="0.25">
      <c r="A4054" s="1" t="s">
        <v>688</v>
      </c>
      <c r="B4054" s="1" t="s">
        <v>1770</v>
      </c>
      <c r="C4054" s="1" t="s">
        <v>2652</v>
      </c>
      <c r="D4054" s="1" t="s">
        <v>1998</v>
      </c>
      <c r="E4054" s="1"/>
      <c r="F4054" s="1" t="s">
        <v>11</v>
      </c>
      <c r="G4054">
        <v>750</v>
      </c>
      <c r="H4054">
        <v>750</v>
      </c>
      <c r="I4054" s="2">
        <v>45784</v>
      </c>
      <c r="J4054" s="2">
        <v>45765</v>
      </c>
      <c r="K4054" s="2">
        <v>45784</v>
      </c>
    </row>
    <row r="4055" spans="1:11" x14ac:dyDescent="0.25">
      <c r="A4055" s="1" t="s">
        <v>688</v>
      </c>
      <c r="B4055" s="1" t="s">
        <v>1770</v>
      </c>
      <c r="C4055" s="1" t="s">
        <v>2652</v>
      </c>
      <c r="D4055" s="1" t="s">
        <v>1998</v>
      </c>
      <c r="E4055" s="1"/>
      <c r="F4055" s="1" t="s">
        <v>11</v>
      </c>
      <c r="G4055">
        <v>5</v>
      </c>
      <c r="H4055">
        <v>5</v>
      </c>
      <c r="I4055" s="2">
        <v>45784</v>
      </c>
      <c r="J4055" s="2">
        <v>45765</v>
      </c>
      <c r="K4055" s="2">
        <v>45784</v>
      </c>
    </row>
    <row r="4056" spans="1:11" x14ac:dyDescent="0.25">
      <c r="A4056" s="1" t="s">
        <v>688</v>
      </c>
      <c r="B4056" s="1" t="s">
        <v>1779</v>
      </c>
      <c r="C4056" s="1" t="s">
        <v>2656</v>
      </c>
      <c r="D4056" s="1" t="s">
        <v>1998</v>
      </c>
      <c r="E4056" s="1"/>
      <c r="F4056" s="1" t="s">
        <v>11</v>
      </c>
      <c r="G4056">
        <v>405</v>
      </c>
      <c r="H4056">
        <v>405</v>
      </c>
      <c r="I4056" s="2">
        <v>45784</v>
      </c>
      <c r="J4056" s="2">
        <v>45765</v>
      </c>
      <c r="K4056" s="2">
        <v>45784</v>
      </c>
    </row>
    <row r="4057" spans="1:11" x14ac:dyDescent="0.25">
      <c r="A4057" s="1" t="s">
        <v>688</v>
      </c>
      <c r="B4057" s="1" t="s">
        <v>1779</v>
      </c>
      <c r="C4057" s="1" t="s">
        <v>2656</v>
      </c>
      <c r="D4057" s="1" t="s">
        <v>1998</v>
      </c>
      <c r="E4057" s="1"/>
      <c r="F4057" s="1" t="s">
        <v>11</v>
      </c>
      <c r="G4057">
        <v>75</v>
      </c>
      <c r="H4057">
        <v>75</v>
      </c>
      <c r="I4057" s="2">
        <v>45784</v>
      </c>
      <c r="J4057" s="2">
        <v>45765</v>
      </c>
      <c r="K4057" s="2">
        <v>45784</v>
      </c>
    </row>
    <row r="4058" spans="1:11" x14ac:dyDescent="0.25">
      <c r="A4058" s="1" t="s">
        <v>688</v>
      </c>
      <c r="B4058" s="1" t="s">
        <v>1772</v>
      </c>
      <c r="C4058" s="1" t="s">
        <v>2653</v>
      </c>
      <c r="D4058" s="1" t="s">
        <v>1998</v>
      </c>
      <c r="E4058" s="1"/>
      <c r="F4058" s="1" t="s">
        <v>11</v>
      </c>
      <c r="G4058">
        <v>1715</v>
      </c>
      <c r="H4058">
        <v>1715</v>
      </c>
      <c r="I4058" s="2">
        <v>45784</v>
      </c>
      <c r="J4058" s="2">
        <v>45765</v>
      </c>
      <c r="K4058" s="2">
        <v>45784</v>
      </c>
    </row>
    <row r="4059" spans="1:11" x14ac:dyDescent="0.25">
      <c r="A4059" s="1" t="s">
        <v>688</v>
      </c>
      <c r="B4059" s="1" t="s">
        <v>1772</v>
      </c>
      <c r="C4059" s="1" t="s">
        <v>2653</v>
      </c>
      <c r="D4059" s="1" t="s">
        <v>1998</v>
      </c>
      <c r="E4059" s="1"/>
      <c r="F4059" s="1" t="s">
        <v>11</v>
      </c>
      <c r="G4059">
        <v>25</v>
      </c>
      <c r="H4059">
        <v>25</v>
      </c>
      <c r="I4059" s="2">
        <v>45784</v>
      </c>
      <c r="J4059" s="2">
        <v>45765</v>
      </c>
      <c r="K4059" s="2">
        <v>45784</v>
      </c>
    </row>
    <row r="4060" spans="1:11" x14ac:dyDescent="0.25">
      <c r="A4060" s="1" t="s">
        <v>688</v>
      </c>
      <c r="B4060" s="1" t="s">
        <v>1670</v>
      </c>
      <c r="C4060" s="1" t="s">
        <v>2579</v>
      </c>
      <c r="D4060" s="1" t="s">
        <v>1998</v>
      </c>
      <c r="E4060" s="1"/>
      <c r="F4060" s="1" t="s">
        <v>11</v>
      </c>
      <c r="G4060">
        <v>40</v>
      </c>
      <c r="H4060">
        <v>40</v>
      </c>
      <c r="I4060" s="2">
        <v>45784</v>
      </c>
      <c r="J4060" s="2">
        <v>45765</v>
      </c>
      <c r="K4060" s="2">
        <v>45784</v>
      </c>
    </row>
    <row r="4061" spans="1:11" x14ac:dyDescent="0.25">
      <c r="A4061" s="1" t="s">
        <v>688</v>
      </c>
      <c r="B4061" s="1" t="s">
        <v>1780</v>
      </c>
      <c r="C4061" s="1" t="s">
        <v>2127</v>
      </c>
      <c r="D4061" s="1" t="s">
        <v>1998</v>
      </c>
      <c r="E4061" s="1"/>
      <c r="F4061" s="1" t="s">
        <v>11</v>
      </c>
      <c r="G4061">
        <v>805</v>
      </c>
      <c r="H4061">
        <v>805</v>
      </c>
      <c r="I4061" s="2">
        <v>45784</v>
      </c>
      <c r="J4061" s="2">
        <v>45765</v>
      </c>
      <c r="K4061" s="2">
        <v>45784</v>
      </c>
    </row>
    <row r="4062" spans="1:11" x14ac:dyDescent="0.25">
      <c r="A4062" s="1" t="s">
        <v>688</v>
      </c>
      <c r="B4062" s="1" t="s">
        <v>1780</v>
      </c>
      <c r="C4062" s="1" t="s">
        <v>2127</v>
      </c>
      <c r="D4062" s="1" t="s">
        <v>1998</v>
      </c>
      <c r="E4062" s="1"/>
      <c r="F4062" s="1" t="s">
        <v>16</v>
      </c>
      <c r="G4062">
        <v>5</v>
      </c>
      <c r="H4062">
        <v>5</v>
      </c>
      <c r="I4062" s="2">
        <v>45784</v>
      </c>
      <c r="J4062" s="2">
        <v>45765</v>
      </c>
      <c r="K4062" s="2">
        <v>45784</v>
      </c>
    </row>
    <row r="4063" spans="1:11" x14ac:dyDescent="0.25">
      <c r="A4063" s="1" t="s">
        <v>688</v>
      </c>
      <c r="B4063" s="1" t="s">
        <v>1774</v>
      </c>
      <c r="C4063" s="1" t="s">
        <v>2586</v>
      </c>
      <c r="D4063" s="1" t="s">
        <v>1998</v>
      </c>
      <c r="E4063" s="1"/>
      <c r="F4063" s="1" t="s">
        <v>11</v>
      </c>
      <c r="G4063">
        <v>85</v>
      </c>
      <c r="H4063">
        <v>85</v>
      </c>
      <c r="I4063" s="2">
        <v>45784</v>
      </c>
      <c r="J4063" s="2">
        <v>45765</v>
      </c>
      <c r="K4063" s="2">
        <v>45784</v>
      </c>
    </row>
    <row r="4064" spans="1:11" x14ac:dyDescent="0.25">
      <c r="A4064" s="1" t="s">
        <v>688</v>
      </c>
      <c r="B4064" s="1" t="s">
        <v>1774</v>
      </c>
      <c r="C4064" s="1" t="s">
        <v>2586</v>
      </c>
      <c r="D4064" s="1" t="s">
        <v>1998</v>
      </c>
      <c r="E4064" s="1"/>
      <c r="F4064" s="1" t="s">
        <v>16</v>
      </c>
      <c r="G4064">
        <v>5</v>
      </c>
      <c r="H4064">
        <v>5</v>
      </c>
      <c r="I4064" s="2">
        <v>45784</v>
      </c>
      <c r="J4064" s="2">
        <v>45765</v>
      </c>
      <c r="K4064" s="2">
        <v>45784</v>
      </c>
    </row>
    <row r="4065" spans="1:11" x14ac:dyDescent="0.25">
      <c r="A4065" s="1" t="s">
        <v>688</v>
      </c>
      <c r="B4065" s="1" t="s">
        <v>1781</v>
      </c>
      <c r="C4065" s="1" t="s">
        <v>2517</v>
      </c>
      <c r="D4065" s="1" t="s">
        <v>1998</v>
      </c>
      <c r="E4065" s="1"/>
      <c r="F4065" s="1" t="s">
        <v>11</v>
      </c>
      <c r="G4065">
        <v>80</v>
      </c>
      <c r="H4065">
        <v>80</v>
      </c>
      <c r="I4065" s="2">
        <v>45784</v>
      </c>
      <c r="J4065" s="2">
        <v>45765</v>
      </c>
      <c r="K4065" s="2">
        <v>45784</v>
      </c>
    </row>
    <row r="4066" spans="1:11" x14ac:dyDescent="0.25">
      <c r="A4066" s="1" t="s">
        <v>688</v>
      </c>
      <c r="B4066" s="1" t="s">
        <v>1782</v>
      </c>
      <c r="C4066" s="1" t="s">
        <v>2610</v>
      </c>
      <c r="D4066" s="1" t="s">
        <v>1998</v>
      </c>
      <c r="E4066" s="1"/>
      <c r="F4066" s="1" t="s">
        <v>11</v>
      </c>
      <c r="G4066">
        <v>95</v>
      </c>
      <c r="H4066">
        <v>95</v>
      </c>
      <c r="I4066" s="2">
        <v>45784</v>
      </c>
      <c r="J4066" s="2">
        <v>45765</v>
      </c>
      <c r="K4066" s="2">
        <v>45784</v>
      </c>
    </row>
    <row r="4067" spans="1:11" x14ac:dyDescent="0.25">
      <c r="A4067" s="1" t="s">
        <v>688</v>
      </c>
      <c r="B4067" s="1" t="s">
        <v>1782</v>
      </c>
      <c r="C4067" s="1" t="s">
        <v>2610</v>
      </c>
      <c r="D4067" s="1" t="s">
        <v>1998</v>
      </c>
      <c r="E4067" s="1"/>
      <c r="F4067" s="1" t="s">
        <v>11</v>
      </c>
      <c r="G4067">
        <v>1</v>
      </c>
      <c r="H4067">
        <v>1</v>
      </c>
      <c r="I4067" s="2">
        <v>45784</v>
      </c>
      <c r="J4067" s="2">
        <v>45765</v>
      </c>
      <c r="K4067" s="2">
        <v>45784</v>
      </c>
    </row>
    <row r="4068" spans="1:11" x14ac:dyDescent="0.25">
      <c r="A4068" s="1" t="s">
        <v>688</v>
      </c>
      <c r="B4068" s="1" t="s">
        <v>1783</v>
      </c>
      <c r="C4068" s="1" t="s">
        <v>2518</v>
      </c>
      <c r="D4068" s="1" t="s">
        <v>1998</v>
      </c>
      <c r="E4068" s="1"/>
      <c r="F4068" s="1" t="s">
        <v>11</v>
      </c>
      <c r="G4068">
        <v>90</v>
      </c>
      <c r="H4068">
        <v>90</v>
      </c>
      <c r="I4068" s="2">
        <v>45784</v>
      </c>
      <c r="J4068" s="2">
        <v>45765</v>
      </c>
      <c r="K4068" s="2">
        <v>45784</v>
      </c>
    </row>
    <row r="4069" spans="1:11" x14ac:dyDescent="0.25">
      <c r="A4069" s="1" t="s">
        <v>688</v>
      </c>
      <c r="B4069" s="1" t="s">
        <v>1778</v>
      </c>
      <c r="C4069" s="1" t="s">
        <v>2655</v>
      </c>
      <c r="D4069" s="1" t="s">
        <v>1998</v>
      </c>
      <c r="E4069" s="1"/>
      <c r="F4069" s="1" t="s">
        <v>11</v>
      </c>
      <c r="G4069">
        <v>135</v>
      </c>
      <c r="H4069">
        <v>135</v>
      </c>
      <c r="I4069" s="2">
        <v>45784</v>
      </c>
      <c r="J4069" s="2">
        <v>45765</v>
      </c>
      <c r="K4069" s="2">
        <v>45784</v>
      </c>
    </row>
    <row r="4070" spans="1:11" x14ac:dyDescent="0.25">
      <c r="A4070" s="1" t="s">
        <v>688</v>
      </c>
      <c r="B4070" s="1" t="s">
        <v>1778</v>
      </c>
      <c r="C4070" s="1" t="s">
        <v>2655</v>
      </c>
      <c r="D4070" s="1" t="s">
        <v>1998</v>
      </c>
      <c r="E4070" s="1"/>
      <c r="F4070" s="1" t="s">
        <v>11</v>
      </c>
      <c r="G4070">
        <v>1</v>
      </c>
      <c r="H4070">
        <v>1</v>
      </c>
      <c r="I4070" s="2">
        <v>45784</v>
      </c>
      <c r="J4070" s="2">
        <v>45765</v>
      </c>
      <c r="K4070" s="2">
        <v>45784</v>
      </c>
    </row>
    <row r="4071" spans="1:11" x14ac:dyDescent="0.25">
      <c r="A4071" s="1" t="s">
        <v>689</v>
      </c>
      <c r="B4071" s="1" t="s">
        <v>1770</v>
      </c>
      <c r="C4071" s="1" t="s">
        <v>2652</v>
      </c>
      <c r="D4071" s="1" t="s">
        <v>1998</v>
      </c>
      <c r="E4071" s="1"/>
      <c r="F4071" s="1" t="s">
        <v>11</v>
      </c>
      <c r="G4071">
        <v>95</v>
      </c>
      <c r="H4071">
        <v>95</v>
      </c>
      <c r="I4071" s="2">
        <v>45784</v>
      </c>
      <c r="J4071" s="2">
        <v>45765</v>
      </c>
      <c r="K4071" s="2">
        <v>45784</v>
      </c>
    </row>
    <row r="4072" spans="1:11" x14ac:dyDescent="0.25">
      <c r="A4072" s="1" t="s">
        <v>689</v>
      </c>
      <c r="B4072" s="1" t="s">
        <v>1779</v>
      </c>
      <c r="C4072" s="1" t="s">
        <v>2656</v>
      </c>
      <c r="D4072" s="1" t="s">
        <v>1998</v>
      </c>
      <c r="E4072" s="1"/>
      <c r="F4072" s="1" t="s">
        <v>11</v>
      </c>
      <c r="G4072">
        <v>50</v>
      </c>
      <c r="H4072">
        <v>50</v>
      </c>
      <c r="I4072" s="2">
        <v>45784</v>
      </c>
      <c r="J4072" s="2">
        <v>45765</v>
      </c>
      <c r="K4072" s="2">
        <v>45784</v>
      </c>
    </row>
    <row r="4073" spans="1:11" x14ac:dyDescent="0.25">
      <c r="A4073" s="1" t="s">
        <v>689</v>
      </c>
      <c r="B4073" s="1" t="s">
        <v>1772</v>
      </c>
      <c r="C4073" s="1" t="s">
        <v>2653</v>
      </c>
      <c r="D4073" s="1" t="s">
        <v>1998</v>
      </c>
      <c r="E4073" s="1"/>
      <c r="F4073" s="1" t="s">
        <v>11</v>
      </c>
      <c r="G4073">
        <v>215</v>
      </c>
      <c r="H4073">
        <v>215</v>
      </c>
      <c r="I4073" s="2">
        <v>45784</v>
      </c>
      <c r="J4073" s="2">
        <v>45765</v>
      </c>
      <c r="K4073" s="2">
        <v>45784</v>
      </c>
    </row>
    <row r="4074" spans="1:11" x14ac:dyDescent="0.25">
      <c r="A4074" s="1" t="s">
        <v>689</v>
      </c>
      <c r="B4074" s="1" t="s">
        <v>1670</v>
      </c>
      <c r="C4074" s="1" t="s">
        <v>2579</v>
      </c>
      <c r="D4074" s="1" t="s">
        <v>1998</v>
      </c>
      <c r="E4074" s="1"/>
      <c r="F4074" s="1" t="s">
        <v>11</v>
      </c>
      <c r="G4074">
        <v>5</v>
      </c>
      <c r="H4074">
        <v>5</v>
      </c>
      <c r="I4074" s="2">
        <v>45784</v>
      </c>
      <c r="J4074" s="2">
        <v>45765</v>
      </c>
      <c r="K4074" s="2">
        <v>45784</v>
      </c>
    </row>
    <row r="4075" spans="1:11" x14ac:dyDescent="0.25">
      <c r="A4075" s="1" t="s">
        <v>689</v>
      </c>
      <c r="B4075" s="1" t="s">
        <v>1780</v>
      </c>
      <c r="C4075" s="1" t="s">
        <v>2127</v>
      </c>
      <c r="D4075" s="1" t="s">
        <v>1998</v>
      </c>
      <c r="E4075" s="1"/>
      <c r="F4075" s="1" t="s">
        <v>11</v>
      </c>
      <c r="G4075">
        <v>100</v>
      </c>
      <c r="H4075">
        <v>100</v>
      </c>
      <c r="I4075" s="2">
        <v>45784</v>
      </c>
      <c r="J4075" s="2">
        <v>45765</v>
      </c>
      <c r="K4075" s="2">
        <v>45784</v>
      </c>
    </row>
    <row r="4076" spans="1:11" x14ac:dyDescent="0.25">
      <c r="A4076" s="1" t="s">
        <v>689</v>
      </c>
      <c r="B4076" s="1" t="s">
        <v>1774</v>
      </c>
      <c r="C4076" s="1" t="s">
        <v>2586</v>
      </c>
      <c r="D4076" s="1" t="s">
        <v>1998</v>
      </c>
      <c r="E4076" s="1"/>
      <c r="F4076" s="1" t="s">
        <v>11</v>
      </c>
      <c r="G4076">
        <v>10</v>
      </c>
      <c r="H4076">
        <v>10</v>
      </c>
      <c r="I4076" s="2">
        <v>45784</v>
      </c>
      <c r="J4076" s="2">
        <v>45765</v>
      </c>
      <c r="K4076" s="2">
        <v>45784</v>
      </c>
    </row>
    <row r="4077" spans="1:11" x14ac:dyDescent="0.25">
      <c r="A4077" s="1" t="s">
        <v>689</v>
      </c>
      <c r="B4077" s="1" t="s">
        <v>1774</v>
      </c>
      <c r="C4077" s="1" t="s">
        <v>2586</v>
      </c>
      <c r="D4077" s="1" t="s">
        <v>1998</v>
      </c>
      <c r="E4077" s="1"/>
      <c r="F4077" s="1" t="s">
        <v>11</v>
      </c>
      <c r="G4077">
        <v>1</v>
      </c>
      <c r="H4077">
        <v>1</v>
      </c>
      <c r="I4077" s="2">
        <v>45784</v>
      </c>
      <c r="J4077" s="2">
        <v>45765</v>
      </c>
      <c r="K4077" s="2">
        <v>45784</v>
      </c>
    </row>
    <row r="4078" spans="1:11" x14ac:dyDescent="0.25">
      <c r="A4078" s="1" t="s">
        <v>689</v>
      </c>
      <c r="B4078" s="1" t="s">
        <v>1775</v>
      </c>
      <c r="C4078" s="1" t="s">
        <v>2517</v>
      </c>
      <c r="D4078" s="1" t="s">
        <v>1998</v>
      </c>
      <c r="E4078" s="1"/>
      <c r="F4078" s="1" t="s">
        <v>11</v>
      </c>
      <c r="G4078">
        <v>25</v>
      </c>
      <c r="H4078">
        <v>25</v>
      </c>
      <c r="I4078" s="2">
        <v>45784</v>
      </c>
      <c r="J4078" s="2">
        <v>45765</v>
      </c>
      <c r="K4078" s="2">
        <v>45784</v>
      </c>
    </row>
    <row r="4079" spans="1:11" x14ac:dyDescent="0.25">
      <c r="A4079" s="1" t="s">
        <v>689</v>
      </c>
      <c r="B4079" s="1" t="s">
        <v>1776</v>
      </c>
      <c r="C4079" s="1" t="s">
        <v>2610</v>
      </c>
      <c r="D4079" s="1" t="s">
        <v>1998</v>
      </c>
      <c r="E4079" s="1"/>
      <c r="F4079" s="1" t="s">
        <v>11</v>
      </c>
      <c r="G4079">
        <v>15</v>
      </c>
      <c r="H4079">
        <v>15</v>
      </c>
      <c r="I4079" s="2">
        <v>45784</v>
      </c>
      <c r="J4079" s="2">
        <v>45765</v>
      </c>
      <c r="K4079" s="2">
        <v>45784</v>
      </c>
    </row>
    <row r="4080" spans="1:11" x14ac:dyDescent="0.25">
      <c r="A4080" s="1" t="s">
        <v>689</v>
      </c>
      <c r="B4080" s="1" t="s">
        <v>1777</v>
      </c>
      <c r="C4080" s="1" t="s">
        <v>2654</v>
      </c>
      <c r="D4080" s="1" t="s">
        <v>1998</v>
      </c>
      <c r="E4080" s="1"/>
      <c r="F4080" s="1" t="s">
        <v>11</v>
      </c>
      <c r="G4080">
        <v>45</v>
      </c>
      <c r="H4080">
        <v>45</v>
      </c>
      <c r="I4080" s="2">
        <v>45784</v>
      </c>
      <c r="J4080" s="2">
        <v>45765</v>
      </c>
      <c r="K4080" s="2">
        <v>45784</v>
      </c>
    </row>
    <row r="4081" spans="1:11" x14ac:dyDescent="0.25">
      <c r="A4081" s="1" t="s">
        <v>689</v>
      </c>
      <c r="B4081" s="1" t="s">
        <v>1777</v>
      </c>
      <c r="C4081" s="1" t="s">
        <v>2654</v>
      </c>
      <c r="D4081" s="1" t="s">
        <v>1998</v>
      </c>
      <c r="E4081" s="1"/>
      <c r="F4081" s="1" t="s">
        <v>11</v>
      </c>
      <c r="G4081">
        <v>1</v>
      </c>
      <c r="H4081">
        <v>1</v>
      </c>
      <c r="I4081" s="2">
        <v>45784</v>
      </c>
      <c r="J4081" s="2">
        <v>45765</v>
      </c>
      <c r="K4081" s="2">
        <v>45784</v>
      </c>
    </row>
    <row r="4082" spans="1:11" x14ac:dyDescent="0.25">
      <c r="A4082" s="1" t="s">
        <v>689</v>
      </c>
      <c r="B4082" s="1" t="s">
        <v>1778</v>
      </c>
      <c r="C4082" s="1" t="s">
        <v>2655</v>
      </c>
      <c r="D4082" s="1" t="s">
        <v>1998</v>
      </c>
      <c r="E4082" s="1"/>
      <c r="F4082" s="1" t="s">
        <v>11</v>
      </c>
      <c r="G4082">
        <v>15</v>
      </c>
      <c r="H4082">
        <v>15</v>
      </c>
      <c r="I4082" s="2">
        <v>45784</v>
      </c>
      <c r="J4082" s="2">
        <v>45765</v>
      </c>
      <c r="K4082" s="2">
        <v>45784</v>
      </c>
    </row>
    <row r="4083" spans="1:11" x14ac:dyDescent="0.25">
      <c r="A4083" s="1" t="s">
        <v>690</v>
      </c>
      <c r="B4083" s="1" t="s">
        <v>1041</v>
      </c>
      <c r="C4083" s="1" t="s">
        <v>2051</v>
      </c>
      <c r="D4083" s="1" t="s">
        <v>1998</v>
      </c>
      <c r="E4083" s="1"/>
      <c r="F4083" s="1" t="s">
        <v>11</v>
      </c>
      <c r="G4083">
        <v>90</v>
      </c>
      <c r="H4083">
        <v>1</v>
      </c>
      <c r="I4083" s="2"/>
      <c r="J4083" s="2">
        <v>45768</v>
      </c>
      <c r="K4083" s="2">
        <v>45789</v>
      </c>
    </row>
    <row r="4084" spans="1:11" x14ac:dyDescent="0.25">
      <c r="A4084" s="1" t="s">
        <v>690</v>
      </c>
      <c r="B4084" s="1" t="s">
        <v>1042</v>
      </c>
      <c r="C4084" s="1" t="s">
        <v>2052</v>
      </c>
      <c r="D4084" s="1" t="s">
        <v>1998</v>
      </c>
      <c r="E4084" s="1"/>
      <c r="F4084" s="1" t="s">
        <v>11</v>
      </c>
      <c r="G4084">
        <v>1430</v>
      </c>
      <c r="H4084">
        <v>1390</v>
      </c>
      <c r="I4084" s="2"/>
      <c r="J4084" s="2">
        <v>45768</v>
      </c>
      <c r="K4084" s="2">
        <v>45789</v>
      </c>
    </row>
    <row r="4085" spans="1:11" x14ac:dyDescent="0.25">
      <c r="A4085" s="1" t="s">
        <v>690</v>
      </c>
      <c r="B4085" s="1" t="s">
        <v>1043</v>
      </c>
      <c r="C4085" s="1" t="s">
        <v>2053</v>
      </c>
      <c r="D4085" s="1" t="s">
        <v>1998</v>
      </c>
      <c r="E4085" s="1"/>
      <c r="F4085" s="1" t="s">
        <v>11</v>
      </c>
      <c r="G4085">
        <v>1425</v>
      </c>
      <c r="H4085">
        <v>1385</v>
      </c>
      <c r="I4085" s="2"/>
      <c r="J4085" s="2">
        <v>45768</v>
      </c>
      <c r="K4085" s="2">
        <v>45789</v>
      </c>
    </row>
    <row r="4086" spans="1:11" x14ac:dyDescent="0.25">
      <c r="A4086" s="1" t="s">
        <v>690</v>
      </c>
      <c r="B4086" s="1" t="s">
        <v>1044</v>
      </c>
      <c r="C4086" s="1" t="s">
        <v>2027</v>
      </c>
      <c r="D4086" s="1" t="s">
        <v>1998</v>
      </c>
      <c r="E4086" s="1"/>
      <c r="F4086" s="1" t="s">
        <v>11</v>
      </c>
      <c r="G4086">
        <v>1000</v>
      </c>
      <c r="H4086">
        <v>970</v>
      </c>
      <c r="I4086" s="2"/>
      <c r="J4086" s="2">
        <v>45768</v>
      </c>
      <c r="K4086" s="2">
        <v>45789</v>
      </c>
    </row>
    <row r="4087" spans="1:11" x14ac:dyDescent="0.25">
      <c r="A4087" s="1" t="s">
        <v>690</v>
      </c>
      <c r="B4087" s="1" t="s">
        <v>1045</v>
      </c>
      <c r="C4087" s="1" t="s">
        <v>2054</v>
      </c>
      <c r="D4087" s="1" t="s">
        <v>1998</v>
      </c>
      <c r="E4087" s="1"/>
      <c r="F4087" s="1" t="s">
        <v>11</v>
      </c>
      <c r="G4087">
        <v>970</v>
      </c>
      <c r="H4087">
        <v>890</v>
      </c>
      <c r="I4087" s="2"/>
      <c r="J4087" s="2">
        <v>45768</v>
      </c>
      <c r="K4087" s="2">
        <v>45789</v>
      </c>
    </row>
    <row r="4088" spans="1:11" x14ac:dyDescent="0.25">
      <c r="A4088" s="1" t="s">
        <v>690</v>
      </c>
      <c r="B4088" s="1" t="s">
        <v>1012</v>
      </c>
      <c r="C4088" s="1" t="s">
        <v>2029</v>
      </c>
      <c r="D4088" s="1" t="s">
        <v>1998</v>
      </c>
      <c r="E4088" s="1"/>
      <c r="F4088" s="1" t="s">
        <v>11</v>
      </c>
      <c r="G4088">
        <v>120</v>
      </c>
      <c r="H4088">
        <v>120</v>
      </c>
      <c r="I4088" s="2"/>
      <c r="J4088" s="2">
        <v>45768</v>
      </c>
      <c r="K4088" s="2">
        <v>45789</v>
      </c>
    </row>
    <row r="4089" spans="1:11" x14ac:dyDescent="0.25">
      <c r="A4089" s="1" t="s">
        <v>690</v>
      </c>
      <c r="B4089" s="1" t="s">
        <v>1046</v>
      </c>
      <c r="C4089" s="1" t="s">
        <v>2055</v>
      </c>
      <c r="D4089" s="1" t="s">
        <v>1998</v>
      </c>
      <c r="E4089" s="1"/>
      <c r="F4089" s="1" t="s">
        <v>11</v>
      </c>
      <c r="G4089">
        <v>10</v>
      </c>
      <c r="H4089">
        <v>10</v>
      </c>
      <c r="I4089" s="2"/>
      <c r="J4089" s="2">
        <v>45768</v>
      </c>
      <c r="K4089" s="2">
        <v>45789</v>
      </c>
    </row>
    <row r="4090" spans="1:11" x14ac:dyDescent="0.25">
      <c r="A4090" s="1" t="s">
        <v>690</v>
      </c>
      <c r="B4090" s="1" t="s">
        <v>1013</v>
      </c>
      <c r="C4090" s="1" t="s">
        <v>2030</v>
      </c>
      <c r="D4090" s="1" t="s">
        <v>1998</v>
      </c>
      <c r="E4090" s="1"/>
      <c r="F4090" s="1" t="s">
        <v>11</v>
      </c>
      <c r="G4090">
        <v>85</v>
      </c>
      <c r="H4090">
        <v>85</v>
      </c>
      <c r="I4090" s="2"/>
      <c r="J4090" s="2">
        <v>45768</v>
      </c>
      <c r="K4090" s="2">
        <v>45789</v>
      </c>
    </row>
    <row r="4091" spans="1:11" x14ac:dyDescent="0.25">
      <c r="A4091" s="1" t="s">
        <v>690</v>
      </c>
      <c r="B4091" s="1" t="s">
        <v>993</v>
      </c>
      <c r="C4091" s="1" t="s">
        <v>2011</v>
      </c>
      <c r="D4091" s="1" t="s">
        <v>1998</v>
      </c>
      <c r="E4091" s="1"/>
      <c r="F4091" s="1" t="s">
        <v>11</v>
      </c>
      <c r="G4091">
        <v>30</v>
      </c>
      <c r="H4091">
        <v>30</v>
      </c>
      <c r="I4091" s="2"/>
      <c r="J4091" s="2">
        <v>45768</v>
      </c>
      <c r="K4091" s="2">
        <v>45789</v>
      </c>
    </row>
    <row r="4092" spans="1:11" x14ac:dyDescent="0.25">
      <c r="A4092" s="1" t="s">
        <v>691</v>
      </c>
      <c r="B4092" s="1" t="s">
        <v>1787</v>
      </c>
      <c r="C4092" s="1" t="s">
        <v>2660</v>
      </c>
      <c r="D4092" s="1" t="s">
        <v>1998</v>
      </c>
      <c r="E4092" s="1"/>
      <c r="F4092" s="1" t="s">
        <v>11</v>
      </c>
      <c r="G4092">
        <v>400</v>
      </c>
      <c r="H4092">
        <v>400</v>
      </c>
      <c r="I4092" s="2"/>
      <c r="J4092" s="2">
        <v>45765</v>
      </c>
      <c r="K4092" s="2">
        <v>45779</v>
      </c>
    </row>
    <row r="4093" spans="1:11" x14ac:dyDescent="0.25">
      <c r="A4093" s="1" t="s">
        <v>691</v>
      </c>
      <c r="B4093" s="1" t="s">
        <v>1085</v>
      </c>
      <c r="C4093" s="1" t="s">
        <v>2088</v>
      </c>
      <c r="D4093" s="1" t="s">
        <v>1998</v>
      </c>
      <c r="E4093" s="1"/>
      <c r="F4093" s="1" t="s">
        <v>11</v>
      </c>
      <c r="G4093">
        <v>4720</v>
      </c>
      <c r="H4093">
        <v>4720</v>
      </c>
      <c r="I4093" s="2"/>
      <c r="J4093" s="2">
        <v>45765</v>
      </c>
      <c r="K4093" s="2">
        <v>45779</v>
      </c>
    </row>
    <row r="4094" spans="1:11" x14ac:dyDescent="0.25">
      <c r="A4094" s="1" t="s">
        <v>691</v>
      </c>
      <c r="B4094" s="1" t="s">
        <v>1086</v>
      </c>
      <c r="C4094" s="1" t="s">
        <v>2089</v>
      </c>
      <c r="D4094" s="1" t="s">
        <v>1998</v>
      </c>
      <c r="E4094" s="1"/>
      <c r="F4094" s="1" t="s">
        <v>11</v>
      </c>
      <c r="G4094">
        <v>9120</v>
      </c>
      <c r="H4094">
        <v>9120</v>
      </c>
      <c r="I4094" s="2"/>
      <c r="J4094" s="2">
        <v>45765</v>
      </c>
      <c r="K4094" s="2">
        <v>45779</v>
      </c>
    </row>
    <row r="4095" spans="1:11" x14ac:dyDescent="0.25">
      <c r="A4095" s="1" t="s">
        <v>691</v>
      </c>
      <c r="B4095" s="1" t="s">
        <v>1087</v>
      </c>
      <c r="C4095" s="1" t="s">
        <v>2090</v>
      </c>
      <c r="D4095" s="1" t="s">
        <v>1998</v>
      </c>
      <c r="E4095" s="1"/>
      <c r="F4095" s="1" t="s">
        <v>11</v>
      </c>
      <c r="G4095">
        <v>1</v>
      </c>
      <c r="H4095">
        <v>1</v>
      </c>
      <c r="I4095" s="2"/>
      <c r="J4095" s="2">
        <v>45765</v>
      </c>
      <c r="K4095" s="2">
        <v>45779</v>
      </c>
    </row>
    <row r="4096" spans="1:11" x14ac:dyDescent="0.25">
      <c r="A4096" s="1" t="s">
        <v>691</v>
      </c>
      <c r="B4096" s="1" t="s">
        <v>1040</v>
      </c>
      <c r="C4096" s="1" t="s">
        <v>2050</v>
      </c>
      <c r="D4096" s="1" t="s">
        <v>1998</v>
      </c>
      <c r="E4096" s="1"/>
      <c r="F4096" s="1" t="s">
        <v>11</v>
      </c>
      <c r="G4096">
        <v>1</v>
      </c>
      <c r="H4096">
        <v>1</v>
      </c>
      <c r="I4096" s="2"/>
      <c r="J4096" s="2">
        <v>45765</v>
      </c>
      <c r="K4096" s="2">
        <v>45779</v>
      </c>
    </row>
    <row r="4097" spans="1:11" x14ac:dyDescent="0.25">
      <c r="A4097" s="1" t="s">
        <v>691</v>
      </c>
      <c r="B4097" s="1" t="s">
        <v>1088</v>
      </c>
      <c r="C4097" s="1" t="s">
        <v>2091</v>
      </c>
      <c r="D4097" s="1" t="s">
        <v>1998</v>
      </c>
      <c r="E4097" s="1"/>
      <c r="F4097" s="1" t="s">
        <v>11</v>
      </c>
      <c r="G4097">
        <v>1</v>
      </c>
      <c r="H4097">
        <v>1</v>
      </c>
      <c r="I4097" s="2"/>
      <c r="J4097" s="2">
        <v>45765</v>
      </c>
      <c r="K4097" s="2">
        <v>45779</v>
      </c>
    </row>
    <row r="4098" spans="1:11" x14ac:dyDescent="0.25">
      <c r="A4098" s="1" t="s">
        <v>692</v>
      </c>
      <c r="B4098" s="1" t="s">
        <v>1558</v>
      </c>
      <c r="C4098" s="1" t="s">
        <v>2482</v>
      </c>
      <c r="D4098" s="1" t="s">
        <v>1998</v>
      </c>
      <c r="E4098" s="1"/>
      <c r="F4098" s="1" t="s">
        <v>11</v>
      </c>
      <c r="G4098">
        <v>275</v>
      </c>
      <c r="H4098">
        <v>1</v>
      </c>
      <c r="I4098" s="2"/>
      <c r="J4098" s="2">
        <v>45768</v>
      </c>
      <c r="K4098" s="2">
        <v>45789</v>
      </c>
    </row>
    <row r="4099" spans="1:11" x14ac:dyDescent="0.25">
      <c r="A4099" s="1" t="s">
        <v>692</v>
      </c>
      <c r="B4099" s="1" t="s">
        <v>1559</v>
      </c>
      <c r="C4099" s="1" t="s">
        <v>2355</v>
      </c>
      <c r="D4099" s="1" t="s">
        <v>1998</v>
      </c>
      <c r="E4099" s="1"/>
      <c r="F4099" s="1" t="s">
        <v>11</v>
      </c>
      <c r="G4099">
        <v>2970</v>
      </c>
      <c r="H4099">
        <v>2970</v>
      </c>
      <c r="I4099" s="2"/>
      <c r="J4099" s="2">
        <v>45768</v>
      </c>
      <c r="K4099" s="2">
        <v>45789</v>
      </c>
    </row>
    <row r="4100" spans="1:11" x14ac:dyDescent="0.25">
      <c r="A4100" s="1" t="s">
        <v>692</v>
      </c>
      <c r="B4100" s="1" t="s">
        <v>1560</v>
      </c>
      <c r="C4100" s="1" t="s">
        <v>2483</v>
      </c>
      <c r="D4100" s="1" t="s">
        <v>1998</v>
      </c>
      <c r="E4100" s="1"/>
      <c r="F4100" s="1" t="s">
        <v>11</v>
      </c>
      <c r="G4100">
        <v>8420</v>
      </c>
      <c r="H4100">
        <v>8420</v>
      </c>
      <c r="I4100" s="2"/>
      <c r="J4100" s="2">
        <v>45768</v>
      </c>
      <c r="K4100" s="2">
        <v>45789</v>
      </c>
    </row>
    <row r="4101" spans="1:11" x14ac:dyDescent="0.25">
      <c r="A4101" s="1" t="s">
        <v>692</v>
      </c>
      <c r="B4101" s="1" t="s">
        <v>1561</v>
      </c>
      <c r="C4101" s="1" t="s">
        <v>2484</v>
      </c>
      <c r="D4101" s="1" t="s">
        <v>1998</v>
      </c>
      <c r="E4101" s="1"/>
      <c r="F4101" s="1" t="s">
        <v>11</v>
      </c>
      <c r="G4101">
        <v>740</v>
      </c>
      <c r="H4101">
        <v>685</v>
      </c>
      <c r="I4101" s="2"/>
      <c r="J4101" s="2">
        <v>45768</v>
      </c>
      <c r="K4101" s="2">
        <v>45789</v>
      </c>
    </row>
    <row r="4102" spans="1:11" x14ac:dyDescent="0.25">
      <c r="A4102" s="1" t="s">
        <v>692</v>
      </c>
      <c r="B4102" s="1" t="s">
        <v>1087</v>
      </c>
      <c r="C4102" s="1" t="s">
        <v>2090</v>
      </c>
      <c r="D4102" s="1" t="s">
        <v>1998</v>
      </c>
      <c r="E4102" s="1"/>
      <c r="F4102" s="1" t="s">
        <v>11</v>
      </c>
      <c r="G4102">
        <v>60</v>
      </c>
      <c r="H4102">
        <v>1</v>
      </c>
      <c r="I4102" s="2"/>
      <c r="J4102" s="2">
        <v>45768</v>
      </c>
      <c r="K4102" s="2">
        <v>45789</v>
      </c>
    </row>
    <row r="4103" spans="1:11" x14ac:dyDescent="0.25">
      <c r="A4103" s="1" t="s">
        <v>692</v>
      </c>
      <c r="B4103" s="1" t="s">
        <v>1040</v>
      </c>
      <c r="C4103" s="1" t="s">
        <v>2050</v>
      </c>
      <c r="D4103" s="1" t="s">
        <v>1998</v>
      </c>
      <c r="E4103" s="1"/>
      <c r="F4103" s="1" t="s">
        <v>11</v>
      </c>
      <c r="G4103">
        <v>60</v>
      </c>
      <c r="H4103">
        <v>1</v>
      </c>
      <c r="I4103" s="2"/>
      <c r="J4103" s="2">
        <v>45768</v>
      </c>
      <c r="K4103" s="2">
        <v>45789</v>
      </c>
    </row>
    <row r="4104" spans="1:11" x14ac:dyDescent="0.25">
      <c r="A4104" s="1" t="s">
        <v>692</v>
      </c>
      <c r="B4104" s="1" t="s">
        <v>1027</v>
      </c>
      <c r="C4104" s="1" t="s">
        <v>2040</v>
      </c>
      <c r="D4104" s="1" t="s">
        <v>1998</v>
      </c>
      <c r="E4104" s="1"/>
      <c r="F4104" s="1" t="s">
        <v>11</v>
      </c>
      <c r="G4104">
        <v>220</v>
      </c>
      <c r="H4104">
        <v>285</v>
      </c>
      <c r="I4104" s="2"/>
      <c r="J4104" s="2">
        <v>45768</v>
      </c>
      <c r="K4104" s="2">
        <v>45789</v>
      </c>
    </row>
    <row r="4105" spans="1:11" x14ac:dyDescent="0.25">
      <c r="A4105" s="1" t="s">
        <v>692</v>
      </c>
      <c r="B4105" s="1" t="s">
        <v>1013</v>
      </c>
      <c r="C4105" s="1" t="s">
        <v>2030</v>
      </c>
      <c r="D4105" s="1" t="s">
        <v>1998</v>
      </c>
      <c r="E4105" s="1"/>
      <c r="F4105" s="1" t="s">
        <v>11</v>
      </c>
      <c r="G4105">
        <v>35</v>
      </c>
      <c r="H4105">
        <v>75</v>
      </c>
      <c r="I4105" s="2"/>
      <c r="J4105" s="2">
        <v>45768</v>
      </c>
      <c r="K4105" s="2">
        <v>45789</v>
      </c>
    </row>
    <row r="4106" spans="1:11" x14ac:dyDescent="0.25">
      <c r="A4106" s="1" t="s">
        <v>692</v>
      </c>
      <c r="B4106" s="1" t="s">
        <v>993</v>
      </c>
      <c r="C4106" s="1" t="s">
        <v>2011</v>
      </c>
      <c r="D4106" s="1" t="s">
        <v>1998</v>
      </c>
      <c r="E4106" s="1"/>
      <c r="F4106" s="1" t="s">
        <v>11</v>
      </c>
      <c r="G4106">
        <v>15</v>
      </c>
      <c r="H4106">
        <v>15</v>
      </c>
      <c r="I4106" s="2"/>
      <c r="J4106" s="2">
        <v>45768</v>
      </c>
      <c r="K4106" s="2">
        <v>45789</v>
      </c>
    </row>
    <row r="4107" spans="1:11" x14ac:dyDescent="0.25">
      <c r="A4107" s="1" t="s">
        <v>692</v>
      </c>
      <c r="B4107" s="1" t="s">
        <v>993</v>
      </c>
      <c r="C4107" s="1" t="s">
        <v>2011</v>
      </c>
      <c r="D4107" s="1" t="s">
        <v>1998</v>
      </c>
      <c r="E4107" s="1"/>
      <c r="F4107" s="1" t="s">
        <v>11</v>
      </c>
      <c r="G4107">
        <v>35</v>
      </c>
      <c r="H4107">
        <v>275</v>
      </c>
      <c r="I4107" s="2"/>
      <c r="J4107" s="2">
        <v>45768</v>
      </c>
      <c r="K4107" s="2">
        <v>45789</v>
      </c>
    </row>
    <row r="4108" spans="1:11" x14ac:dyDescent="0.25">
      <c r="A4108" s="1" t="s">
        <v>692</v>
      </c>
      <c r="B4108" s="1" t="s">
        <v>1083</v>
      </c>
      <c r="C4108" s="1" t="s">
        <v>2086</v>
      </c>
      <c r="D4108" s="1" t="s">
        <v>1998</v>
      </c>
      <c r="E4108" s="1"/>
      <c r="F4108" s="1" t="s">
        <v>11</v>
      </c>
      <c r="G4108">
        <v>20</v>
      </c>
      <c r="H4108">
        <v>1</v>
      </c>
      <c r="I4108" s="2"/>
      <c r="J4108" s="2">
        <v>45768</v>
      </c>
      <c r="K4108" s="2">
        <v>45789</v>
      </c>
    </row>
    <row r="4109" spans="1:11" x14ac:dyDescent="0.25">
      <c r="A4109" s="1" t="s">
        <v>693</v>
      </c>
      <c r="B4109" s="1" t="s">
        <v>1016</v>
      </c>
      <c r="C4109" s="1" t="s">
        <v>2033</v>
      </c>
      <c r="D4109" s="1" t="s">
        <v>1998</v>
      </c>
      <c r="E4109" s="1"/>
      <c r="F4109" s="1" t="s">
        <v>11</v>
      </c>
      <c r="G4109">
        <v>1</v>
      </c>
      <c r="H4109">
        <v>1</v>
      </c>
      <c r="I4109" s="2"/>
      <c r="J4109" s="2">
        <v>45765</v>
      </c>
      <c r="K4109" s="2">
        <v>45777</v>
      </c>
    </row>
    <row r="4110" spans="1:11" x14ac:dyDescent="0.25">
      <c r="A4110" s="1" t="s">
        <v>693</v>
      </c>
      <c r="B4110" s="1" t="s">
        <v>1017</v>
      </c>
      <c r="C4110" s="1" t="s">
        <v>2034</v>
      </c>
      <c r="D4110" s="1" t="s">
        <v>1998</v>
      </c>
      <c r="E4110" s="1"/>
      <c r="F4110" s="1" t="s">
        <v>11</v>
      </c>
      <c r="G4110">
        <v>1</v>
      </c>
      <c r="H4110">
        <v>1</v>
      </c>
      <c r="I4110" s="2"/>
      <c r="J4110" s="2">
        <v>45765</v>
      </c>
      <c r="K4110" s="2">
        <v>45777</v>
      </c>
    </row>
    <row r="4111" spans="1:11" x14ac:dyDescent="0.25">
      <c r="A4111" s="1" t="s">
        <v>693</v>
      </c>
      <c r="B4111" s="1" t="s">
        <v>1018</v>
      </c>
      <c r="C4111" s="1" t="s">
        <v>2035</v>
      </c>
      <c r="D4111" s="1" t="s">
        <v>1998</v>
      </c>
      <c r="E4111" s="1"/>
      <c r="F4111" s="1" t="s">
        <v>11</v>
      </c>
      <c r="G4111">
        <v>10</v>
      </c>
      <c r="H4111">
        <v>10</v>
      </c>
      <c r="I4111" s="2"/>
      <c r="J4111" s="2">
        <v>45765</v>
      </c>
      <c r="K4111" s="2">
        <v>45777</v>
      </c>
    </row>
    <row r="4112" spans="1:11" x14ac:dyDescent="0.25">
      <c r="A4112" s="1" t="s">
        <v>693</v>
      </c>
      <c r="B4112" s="1" t="s">
        <v>999</v>
      </c>
      <c r="C4112" s="1" t="s">
        <v>2017</v>
      </c>
      <c r="D4112" s="1" t="s">
        <v>1998</v>
      </c>
      <c r="E4112" s="1"/>
      <c r="F4112" s="1" t="s">
        <v>11</v>
      </c>
      <c r="G4112">
        <v>1</v>
      </c>
      <c r="H4112">
        <v>1</v>
      </c>
      <c r="I4112" s="2"/>
      <c r="J4112" s="2">
        <v>45765</v>
      </c>
      <c r="K4112" s="2">
        <v>45777</v>
      </c>
    </row>
    <row r="4113" spans="1:11" x14ac:dyDescent="0.25">
      <c r="A4113" s="1" t="s">
        <v>693</v>
      </c>
      <c r="B4113" s="1" t="s">
        <v>1000</v>
      </c>
      <c r="C4113" s="1" t="s">
        <v>2018</v>
      </c>
      <c r="D4113" s="1" t="s">
        <v>1998</v>
      </c>
      <c r="E4113" s="1"/>
      <c r="F4113" s="1" t="s">
        <v>11</v>
      </c>
      <c r="G4113">
        <v>1</v>
      </c>
      <c r="H4113">
        <v>1</v>
      </c>
      <c r="I4113" s="2"/>
      <c r="J4113" s="2">
        <v>45765</v>
      </c>
      <c r="K4113" s="2">
        <v>45777</v>
      </c>
    </row>
    <row r="4114" spans="1:11" x14ac:dyDescent="0.25">
      <c r="A4114" s="1" t="s">
        <v>693</v>
      </c>
      <c r="B4114" s="1" t="s">
        <v>1001</v>
      </c>
      <c r="C4114" s="1" t="s">
        <v>2019</v>
      </c>
      <c r="D4114" s="1" t="s">
        <v>1998</v>
      </c>
      <c r="E4114" s="1"/>
      <c r="F4114" s="1" t="s">
        <v>11</v>
      </c>
      <c r="G4114">
        <v>1</v>
      </c>
      <c r="H4114">
        <v>1</v>
      </c>
      <c r="I4114" s="2"/>
      <c r="J4114" s="2">
        <v>45765</v>
      </c>
      <c r="K4114" s="2">
        <v>45777</v>
      </c>
    </row>
    <row r="4115" spans="1:11" x14ac:dyDescent="0.25">
      <c r="A4115" s="1" t="s">
        <v>693</v>
      </c>
      <c r="B4115" s="1" t="s">
        <v>1019</v>
      </c>
      <c r="C4115" s="1" t="s">
        <v>2036</v>
      </c>
      <c r="D4115" s="1" t="s">
        <v>1998</v>
      </c>
      <c r="E4115" s="1"/>
      <c r="F4115" s="1" t="s">
        <v>11</v>
      </c>
      <c r="G4115">
        <v>35</v>
      </c>
      <c r="H4115">
        <v>35</v>
      </c>
      <c r="I4115" s="2"/>
      <c r="J4115" s="2">
        <v>45765</v>
      </c>
      <c r="K4115" s="2">
        <v>45777</v>
      </c>
    </row>
    <row r="4116" spans="1:11" x14ac:dyDescent="0.25">
      <c r="A4116" s="1" t="s">
        <v>693</v>
      </c>
      <c r="B4116" s="1" t="s">
        <v>1020</v>
      </c>
      <c r="C4116" s="1" t="s">
        <v>2037</v>
      </c>
      <c r="D4116" s="1" t="s">
        <v>1998</v>
      </c>
      <c r="E4116" s="1"/>
      <c r="F4116" s="1" t="s">
        <v>11</v>
      </c>
      <c r="G4116">
        <v>95</v>
      </c>
      <c r="H4116">
        <v>95</v>
      </c>
      <c r="I4116" s="2"/>
      <c r="J4116" s="2">
        <v>45765</v>
      </c>
      <c r="K4116" s="2">
        <v>45777</v>
      </c>
    </row>
    <row r="4117" spans="1:11" x14ac:dyDescent="0.25">
      <c r="A4117" s="1" t="s">
        <v>694</v>
      </c>
      <c r="B4117" s="1" t="s">
        <v>1016</v>
      </c>
      <c r="C4117" s="1" t="s">
        <v>2033</v>
      </c>
      <c r="D4117" s="1" t="s">
        <v>1998</v>
      </c>
      <c r="E4117" s="1"/>
      <c r="F4117" s="1" t="s">
        <v>11</v>
      </c>
      <c r="G4117">
        <v>1</v>
      </c>
      <c r="H4117">
        <v>1</v>
      </c>
      <c r="I4117" s="2"/>
      <c r="J4117" s="2">
        <v>45765</v>
      </c>
      <c r="K4117" s="2">
        <v>45777</v>
      </c>
    </row>
    <row r="4118" spans="1:11" x14ac:dyDescent="0.25">
      <c r="A4118" s="1" t="s">
        <v>694</v>
      </c>
      <c r="B4118" s="1" t="s">
        <v>1017</v>
      </c>
      <c r="C4118" s="1" t="s">
        <v>2034</v>
      </c>
      <c r="D4118" s="1" t="s">
        <v>1998</v>
      </c>
      <c r="E4118" s="1"/>
      <c r="F4118" s="1" t="s">
        <v>11</v>
      </c>
      <c r="G4118">
        <v>1</v>
      </c>
      <c r="H4118">
        <v>1</v>
      </c>
      <c r="I4118" s="2"/>
      <c r="J4118" s="2">
        <v>45765</v>
      </c>
      <c r="K4118" s="2">
        <v>45777</v>
      </c>
    </row>
    <row r="4119" spans="1:11" x14ac:dyDescent="0.25">
      <c r="A4119" s="1" t="s">
        <v>694</v>
      </c>
      <c r="B4119" s="1" t="s">
        <v>1018</v>
      </c>
      <c r="C4119" s="1" t="s">
        <v>2035</v>
      </c>
      <c r="D4119" s="1" t="s">
        <v>1998</v>
      </c>
      <c r="E4119" s="1"/>
      <c r="F4119" s="1" t="s">
        <v>11</v>
      </c>
      <c r="G4119">
        <v>10</v>
      </c>
      <c r="H4119">
        <v>10</v>
      </c>
      <c r="I4119" s="2"/>
      <c r="J4119" s="2">
        <v>45765</v>
      </c>
      <c r="K4119" s="2">
        <v>45777</v>
      </c>
    </row>
    <row r="4120" spans="1:11" x14ac:dyDescent="0.25">
      <c r="A4120" s="1" t="s">
        <v>694</v>
      </c>
      <c r="B4120" s="1" t="s">
        <v>999</v>
      </c>
      <c r="C4120" s="1" t="s">
        <v>2017</v>
      </c>
      <c r="D4120" s="1" t="s">
        <v>1998</v>
      </c>
      <c r="E4120" s="1"/>
      <c r="F4120" s="1" t="s">
        <v>11</v>
      </c>
      <c r="G4120">
        <v>1</v>
      </c>
      <c r="H4120">
        <v>1</v>
      </c>
      <c r="I4120" s="2"/>
      <c r="J4120" s="2">
        <v>45765</v>
      </c>
      <c r="K4120" s="2">
        <v>45777</v>
      </c>
    </row>
    <row r="4121" spans="1:11" x14ac:dyDescent="0.25">
      <c r="A4121" s="1" t="s">
        <v>694</v>
      </c>
      <c r="B4121" s="1" t="s">
        <v>1000</v>
      </c>
      <c r="C4121" s="1" t="s">
        <v>2018</v>
      </c>
      <c r="D4121" s="1" t="s">
        <v>1998</v>
      </c>
      <c r="E4121" s="1"/>
      <c r="F4121" s="1" t="s">
        <v>11</v>
      </c>
      <c r="G4121">
        <v>1</v>
      </c>
      <c r="H4121">
        <v>1</v>
      </c>
      <c r="I4121" s="2"/>
      <c r="J4121" s="2">
        <v>45765</v>
      </c>
      <c r="K4121" s="2">
        <v>45777</v>
      </c>
    </row>
    <row r="4122" spans="1:11" x14ac:dyDescent="0.25">
      <c r="A4122" s="1" t="s">
        <v>694</v>
      </c>
      <c r="B4122" s="1" t="s">
        <v>1001</v>
      </c>
      <c r="C4122" s="1" t="s">
        <v>2019</v>
      </c>
      <c r="D4122" s="1" t="s">
        <v>1998</v>
      </c>
      <c r="E4122" s="1"/>
      <c r="F4122" s="1" t="s">
        <v>11</v>
      </c>
      <c r="G4122">
        <v>1</v>
      </c>
      <c r="H4122">
        <v>1</v>
      </c>
      <c r="I4122" s="2"/>
      <c r="J4122" s="2">
        <v>45765</v>
      </c>
      <c r="K4122" s="2">
        <v>45777</v>
      </c>
    </row>
    <row r="4123" spans="1:11" x14ac:dyDescent="0.25">
      <c r="A4123" s="1" t="s">
        <v>694</v>
      </c>
      <c r="B4123" s="1" t="s">
        <v>1019</v>
      </c>
      <c r="C4123" s="1" t="s">
        <v>2036</v>
      </c>
      <c r="D4123" s="1" t="s">
        <v>1998</v>
      </c>
      <c r="E4123" s="1"/>
      <c r="F4123" s="1" t="s">
        <v>11</v>
      </c>
      <c r="G4123">
        <v>35</v>
      </c>
      <c r="H4123">
        <v>35</v>
      </c>
      <c r="I4123" s="2"/>
      <c r="J4123" s="2">
        <v>45765</v>
      </c>
      <c r="K4123" s="2">
        <v>45777</v>
      </c>
    </row>
    <row r="4124" spans="1:11" x14ac:dyDescent="0.25">
      <c r="A4124" s="1" t="s">
        <v>694</v>
      </c>
      <c r="B4124" s="1" t="s">
        <v>1020</v>
      </c>
      <c r="C4124" s="1" t="s">
        <v>2037</v>
      </c>
      <c r="D4124" s="1" t="s">
        <v>1998</v>
      </c>
      <c r="E4124" s="1"/>
      <c r="F4124" s="1" t="s">
        <v>11</v>
      </c>
      <c r="G4124">
        <v>95</v>
      </c>
      <c r="H4124">
        <v>95</v>
      </c>
      <c r="I4124" s="2"/>
      <c r="J4124" s="2">
        <v>45765</v>
      </c>
      <c r="K4124" s="2">
        <v>45777</v>
      </c>
    </row>
    <row r="4125" spans="1:11" x14ac:dyDescent="0.25">
      <c r="A4125" s="1" t="s">
        <v>695</v>
      </c>
      <c r="B4125" s="1" t="s">
        <v>1016</v>
      </c>
      <c r="C4125" s="1" t="s">
        <v>2033</v>
      </c>
      <c r="D4125" s="1" t="s">
        <v>1998</v>
      </c>
      <c r="E4125" s="1"/>
      <c r="F4125" s="1" t="s">
        <v>11</v>
      </c>
      <c r="G4125">
        <v>1</v>
      </c>
      <c r="H4125">
        <v>1</v>
      </c>
      <c r="I4125" s="2"/>
      <c r="J4125" s="2">
        <v>45765</v>
      </c>
      <c r="K4125" s="2">
        <v>45778</v>
      </c>
    </row>
    <row r="4126" spans="1:11" x14ac:dyDescent="0.25">
      <c r="A4126" s="1" t="s">
        <v>695</v>
      </c>
      <c r="B4126" s="1" t="s">
        <v>1017</v>
      </c>
      <c r="C4126" s="1" t="s">
        <v>2034</v>
      </c>
      <c r="D4126" s="1" t="s">
        <v>1998</v>
      </c>
      <c r="E4126" s="1"/>
      <c r="F4126" s="1" t="s">
        <v>11</v>
      </c>
      <c r="G4126">
        <v>1</v>
      </c>
      <c r="H4126">
        <v>1</v>
      </c>
      <c r="I4126" s="2"/>
      <c r="J4126" s="2">
        <v>45765</v>
      </c>
      <c r="K4126" s="2">
        <v>45778</v>
      </c>
    </row>
    <row r="4127" spans="1:11" x14ac:dyDescent="0.25">
      <c r="A4127" s="1" t="s">
        <v>695</v>
      </c>
      <c r="B4127" s="1" t="s">
        <v>1018</v>
      </c>
      <c r="C4127" s="1" t="s">
        <v>2035</v>
      </c>
      <c r="D4127" s="1" t="s">
        <v>1998</v>
      </c>
      <c r="E4127" s="1"/>
      <c r="F4127" s="1" t="s">
        <v>11</v>
      </c>
      <c r="G4127">
        <v>10</v>
      </c>
      <c r="H4127">
        <v>10</v>
      </c>
      <c r="I4127" s="2"/>
      <c r="J4127" s="2">
        <v>45765</v>
      </c>
      <c r="K4127" s="2">
        <v>45778</v>
      </c>
    </row>
    <row r="4128" spans="1:11" x14ac:dyDescent="0.25">
      <c r="A4128" s="1" t="s">
        <v>695</v>
      </c>
      <c r="B4128" s="1" t="s">
        <v>999</v>
      </c>
      <c r="C4128" s="1" t="s">
        <v>2017</v>
      </c>
      <c r="D4128" s="1" t="s">
        <v>1998</v>
      </c>
      <c r="E4128" s="1"/>
      <c r="F4128" s="1" t="s">
        <v>11</v>
      </c>
      <c r="G4128">
        <v>1</v>
      </c>
      <c r="H4128">
        <v>1</v>
      </c>
      <c r="I4128" s="2"/>
      <c r="J4128" s="2">
        <v>45765</v>
      </c>
      <c r="K4128" s="2">
        <v>45778</v>
      </c>
    </row>
    <row r="4129" spans="1:11" x14ac:dyDescent="0.25">
      <c r="A4129" s="1" t="s">
        <v>695</v>
      </c>
      <c r="B4129" s="1" t="s">
        <v>1000</v>
      </c>
      <c r="C4129" s="1" t="s">
        <v>2018</v>
      </c>
      <c r="D4129" s="1" t="s">
        <v>1998</v>
      </c>
      <c r="E4129" s="1"/>
      <c r="F4129" s="1" t="s">
        <v>11</v>
      </c>
      <c r="G4129">
        <v>1</v>
      </c>
      <c r="H4129">
        <v>1</v>
      </c>
      <c r="I4129" s="2"/>
      <c r="J4129" s="2">
        <v>45765</v>
      </c>
      <c r="K4129" s="2">
        <v>45778</v>
      </c>
    </row>
    <row r="4130" spans="1:11" x14ac:dyDescent="0.25">
      <c r="A4130" s="1" t="s">
        <v>695</v>
      </c>
      <c r="B4130" s="1" t="s">
        <v>1001</v>
      </c>
      <c r="C4130" s="1" t="s">
        <v>2019</v>
      </c>
      <c r="D4130" s="1" t="s">
        <v>1998</v>
      </c>
      <c r="E4130" s="1"/>
      <c r="F4130" s="1" t="s">
        <v>11</v>
      </c>
      <c r="G4130">
        <v>1</v>
      </c>
      <c r="H4130">
        <v>1</v>
      </c>
      <c r="I4130" s="2"/>
      <c r="J4130" s="2">
        <v>45765</v>
      </c>
      <c r="K4130" s="2">
        <v>45778</v>
      </c>
    </row>
    <row r="4131" spans="1:11" x14ac:dyDescent="0.25">
      <c r="A4131" s="1" t="s">
        <v>695</v>
      </c>
      <c r="B4131" s="1" t="s">
        <v>1019</v>
      </c>
      <c r="C4131" s="1" t="s">
        <v>2036</v>
      </c>
      <c r="D4131" s="1" t="s">
        <v>1998</v>
      </c>
      <c r="E4131" s="1"/>
      <c r="F4131" s="1" t="s">
        <v>11</v>
      </c>
      <c r="G4131">
        <v>35</v>
      </c>
      <c r="H4131">
        <v>35</v>
      </c>
      <c r="I4131" s="2"/>
      <c r="J4131" s="2">
        <v>45765</v>
      </c>
      <c r="K4131" s="2">
        <v>45778</v>
      </c>
    </row>
    <row r="4132" spans="1:11" x14ac:dyDescent="0.25">
      <c r="A4132" s="1" t="s">
        <v>695</v>
      </c>
      <c r="B4132" s="1" t="s">
        <v>1020</v>
      </c>
      <c r="C4132" s="1" t="s">
        <v>2037</v>
      </c>
      <c r="D4132" s="1" t="s">
        <v>1998</v>
      </c>
      <c r="E4132" s="1"/>
      <c r="F4132" s="1" t="s">
        <v>11</v>
      </c>
      <c r="G4132">
        <v>95</v>
      </c>
      <c r="H4132">
        <v>95</v>
      </c>
      <c r="I4132" s="2"/>
      <c r="J4132" s="2">
        <v>45765</v>
      </c>
      <c r="K4132" s="2">
        <v>45778</v>
      </c>
    </row>
    <row r="4133" spans="1:11" x14ac:dyDescent="0.25">
      <c r="A4133" s="1" t="s">
        <v>696</v>
      </c>
      <c r="B4133" s="1" t="s">
        <v>1016</v>
      </c>
      <c r="C4133" s="1" t="s">
        <v>2033</v>
      </c>
      <c r="D4133" s="1" t="s">
        <v>1998</v>
      </c>
      <c r="E4133" s="1"/>
      <c r="F4133" s="1" t="s">
        <v>11</v>
      </c>
      <c r="G4133">
        <v>1</v>
      </c>
      <c r="H4133">
        <v>1</v>
      </c>
      <c r="I4133" s="2"/>
      <c r="J4133" s="2">
        <v>45765</v>
      </c>
      <c r="K4133" s="2">
        <v>45778</v>
      </c>
    </row>
    <row r="4134" spans="1:11" x14ac:dyDescent="0.25">
      <c r="A4134" s="1" t="s">
        <v>696</v>
      </c>
      <c r="B4134" s="1" t="s">
        <v>1017</v>
      </c>
      <c r="C4134" s="1" t="s">
        <v>2034</v>
      </c>
      <c r="D4134" s="1" t="s">
        <v>1998</v>
      </c>
      <c r="E4134" s="1"/>
      <c r="F4134" s="1" t="s">
        <v>11</v>
      </c>
      <c r="G4134">
        <v>1</v>
      </c>
      <c r="H4134">
        <v>1</v>
      </c>
      <c r="I4134" s="2"/>
      <c r="J4134" s="2">
        <v>45765</v>
      </c>
      <c r="K4134" s="2">
        <v>45778</v>
      </c>
    </row>
    <row r="4135" spans="1:11" x14ac:dyDescent="0.25">
      <c r="A4135" s="1" t="s">
        <v>696</v>
      </c>
      <c r="B4135" s="1" t="s">
        <v>1018</v>
      </c>
      <c r="C4135" s="1" t="s">
        <v>2035</v>
      </c>
      <c r="D4135" s="1" t="s">
        <v>1998</v>
      </c>
      <c r="E4135" s="1"/>
      <c r="F4135" s="1" t="s">
        <v>11</v>
      </c>
      <c r="G4135">
        <v>10</v>
      </c>
      <c r="H4135">
        <v>10</v>
      </c>
      <c r="I4135" s="2"/>
      <c r="J4135" s="2">
        <v>45765</v>
      </c>
      <c r="K4135" s="2">
        <v>45778</v>
      </c>
    </row>
    <row r="4136" spans="1:11" x14ac:dyDescent="0.25">
      <c r="A4136" s="1" t="s">
        <v>696</v>
      </c>
      <c r="B4136" s="1" t="s">
        <v>999</v>
      </c>
      <c r="C4136" s="1" t="s">
        <v>2017</v>
      </c>
      <c r="D4136" s="1" t="s">
        <v>1998</v>
      </c>
      <c r="E4136" s="1"/>
      <c r="F4136" s="1" t="s">
        <v>11</v>
      </c>
      <c r="G4136">
        <v>1</v>
      </c>
      <c r="H4136">
        <v>1</v>
      </c>
      <c r="I4136" s="2"/>
      <c r="J4136" s="2">
        <v>45765</v>
      </c>
      <c r="K4136" s="2">
        <v>45778</v>
      </c>
    </row>
    <row r="4137" spans="1:11" x14ac:dyDescent="0.25">
      <c r="A4137" s="1" t="s">
        <v>696</v>
      </c>
      <c r="B4137" s="1" t="s">
        <v>1000</v>
      </c>
      <c r="C4137" s="1" t="s">
        <v>2018</v>
      </c>
      <c r="D4137" s="1" t="s">
        <v>1998</v>
      </c>
      <c r="E4137" s="1"/>
      <c r="F4137" s="1" t="s">
        <v>11</v>
      </c>
      <c r="G4137">
        <v>1</v>
      </c>
      <c r="H4137">
        <v>1</v>
      </c>
      <c r="I4137" s="2"/>
      <c r="J4137" s="2">
        <v>45765</v>
      </c>
      <c r="K4137" s="2">
        <v>45778</v>
      </c>
    </row>
    <row r="4138" spans="1:11" x14ac:dyDescent="0.25">
      <c r="A4138" s="1" t="s">
        <v>696</v>
      </c>
      <c r="B4138" s="1" t="s">
        <v>1001</v>
      </c>
      <c r="C4138" s="1" t="s">
        <v>2019</v>
      </c>
      <c r="D4138" s="1" t="s">
        <v>1998</v>
      </c>
      <c r="E4138" s="1"/>
      <c r="F4138" s="1" t="s">
        <v>11</v>
      </c>
      <c r="G4138">
        <v>1</v>
      </c>
      <c r="H4138">
        <v>1</v>
      </c>
      <c r="I4138" s="2"/>
      <c r="J4138" s="2">
        <v>45765</v>
      </c>
      <c r="K4138" s="2">
        <v>45778</v>
      </c>
    </row>
    <row r="4139" spans="1:11" x14ac:dyDescent="0.25">
      <c r="A4139" s="1" t="s">
        <v>696</v>
      </c>
      <c r="B4139" s="1" t="s">
        <v>1019</v>
      </c>
      <c r="C4139" s="1" t="s">
        <v>2036</v>
      </c>
      <c r="D4139" s="1" t="s">
        <v>1998</v>
      </c>
      <c r="E4139" s="1"/>
      <c r="F4139" s="1" t="s">
        <v>11</v>
      </c>
      <c r="G4139">
        <v>35</v>
      </c>
      <c r="H4139">
        <v>35</v>
      </c>
      <c r="I4139" s="2"/>
      <c r="J4139" s="2">
        <v>45765</v>
      </c>
      <c r="K4139" s="2">
        <v>45778</v>
      </c>
    </row>
    <row r="4140" spans="1:11" x14ac:dyDescent="0.25">
      <c r="A4140" s="1" t="s">
        <v>696</v>
      </c>
      <c r="B4140" s="1" t="s">
        <v>1020</v>
      </c>
      <c r="C4140" s="1" t="s">
        <v>2037</v>
      </c>
      <c r="D4140" s="1" t="s">
        <v>1998</v>
      </c>
      <c r="E4140" s="1"/>
      <c r="F4140" s="1" t="s">
        <v>11</v>
      </c>
      <c r="G4140">
        <v>95</v>
      </c>
      <c r="H4140">
        <v>95</v>
      </c>
      <c r="I4140" s="2"/>
      <c r="J4140" s="2">
        <v>45765</v>
      </c>
      <c r="K4140" s="2">
        <v>45778</v>
      </c>
    </row>
    <row r="4141" spans="1:11" x14ac:dyDescent="0.25">
      <c r="A4141" s="1" t="s">
        <v>697</v>
      </c>
      <c r="B4141" s="1" t="s">
        <v>1016</v>
      </c>
      <c r="C4141" s="1" t="s">
        <v>2033</v>
      </c>
      <c r="D4141" s="1" t="s">
        <v>1998</v>
      </c>
      <c r="E4141" s="1"/>
      <c r="F4141" s="1" t="s">
        <v>11</v>
      </c>
      <c r="G4141">
        <v>1</v>
      </c>
      <c r="H4141">
        <v>1</v>
      </c>
      <c r="I4141" s="2"/>
      <c r="J4141" s="2">
        <v>45765</v>
      </c>
      <c r="K4141" s="2">
        <v>45777</v>
      </c>
    </row>
    <row r="4142" spans="1:11" x14ac:dyDescent="0.25">
      <c r="A4142" s="1" t="s">
        <v>697</v>
      </c>
      <c r="B4142" s="1" t="s">
        <v>1017</v>
      </c>
      <c r="C4142" s="1" t="s">
        <v>2034</v>
      </c>
      <c r="D4142" s="1" t="s">
        <v>1998</v>
      </c>
      <c r="E4142" s="1"/>
      <c r="F4142" s="1" t="s">
        <v>11</v>
      </c>
      <c r="G4142">
        <v>1</v>
      </c>
      <c r="H4142">
        <v>1</v>
      </c>
      <c r="I4142" s="2"/>
      <c r="J4142" s="2">
        <v>45765</v>
      </c>
      <c r="K4142" s="2">
        <v>45777</v>
      </c>
    </row>
    <row r="4143" spans="1:11" x14ac:dyDescent="0.25">
      <c r="A4143" s="1" t="s">
        <v>697</v>
      </c>
      <c r="B4143" s="1" t="s">
        <v>1018</v>
      </c>
      <c r="C4143" s="1" t="s">
        <v>2035</v>
      </c>
      <c r="D4143" s="1" t="s">
        <v>1998</v>
      </c>
      <c r="E4143" s="1"/>
      <c r="F4143" s="1" t="s">
        <v>11</v>
      </c>
      <c r="G4143">
        <v>10</v>
      </c>
      <c r="H4143">
        <v>10</v>
      </c>
      <c r="I4143" s="2"/>
      <c r="J4143" s="2">
        <v>45765</v>
      </c>
      <c r="K4143" s="2">
        <v>45777</v>
      </c>
    </row>
    <row r="4144" spans="1:11" x14ac:dyDescent="0.25">
      <c r="A4144" s="1" t="s">
        <v>697</v>
      </c>
      <c r="B4144" s="1" t="s">
        <v>999</v>
      </c>
      <c r="C4144" s="1" t="s">
        <v>2017</v>
      </c>
      <c r="D4144" s="1" t="s">
        <v>1998</v>
      </c>
      <c r="E4144" s="1"/>
      <c r="F4144" s="1" t="s">
        <v>11</v>
      </c>
      <c r="G4144">
        <v>1</v>
      </c>
      <c r="H4144">
        <v>1</v>
      </c>
      <c r="I4144" s="2"/>
      <c r="J4144" s="2">
        <v>45765</v>
      </c>
      <c r="K4144" s="2">
        <v>45777</v>
      </c>
    </row>
    <row r="4145" spans="1:11" x14ac:dyDescent="0.25">
      <c r="A4145" s="1" t="s">
        <v>697</v>
      </c>
      <c r="B4145" s="1" t="s">
        <v>1000</v>
      </c>
      <c r="C4145" s="1" t="s">
        <v>2018</v>
      </c>
      <c r="D4145" s="1" t="s">
        <v>1998</v>
      </c>
      <c r="E4145" s="1"/>
      <c r="F4145" s="1" t="s">
        <v>11</v>
      </c>
      <c r="G4145">
        <v>1</v>
      </c>
      <c r="H4145">
        <v>1</v>
      </c>
      <c r="I4145" s="2"/>
      <c r="J4145" s="2">
        <v>45765</v>
      </c>
      <c r="K4145" s="2">
        <v>45777</v>
      </c>
    </row>
    <row r="4146" spans="1:11" x14ac:dyDescent="0.25">
      <c r="A4146" s="1" t="s">
        <v>697</v>
      </c>
      <c r="B4146" s="1" t="s">
        <v>1001</v>
      </c>
      <c r="C4146" s="1" t="s">
        <v>2019</v>
      </c>
      <c r="D4146" s="1" t="s">
        <v>1998</v>
      </c>
      <c r="E4146" s="1"/>
      <c r="F4146" s="1" t="s">
        <v>11</v>
      </c>
      <c r="G4146">
        <v>1</v>
      </c>
      <c r="H4146">
        <v>1</v>
      </c>
      <c r="I4146" s="2"/>
      <c r="J4146" s="2">
        <v>45765</v>
      </c>
      <c r="K4146" s="2">
        <v>45777</v>
      </c>
    </row>
    <row r="4147" spans="1:11" x14ac:dyDescent="0.25">
      <c r="A4147" s="1" t="s">
        <v>697</v>
      </c>
      <c r="B4147" s="1" t="s">
        <v>1019</v>
      </c>
      <c r="C4147" s="1" t="s">
        <v>2036</v>
      </c>
      <c r="D4147" s="1" t="s">
        <v>1998</v>
      </c>
      <c r="E4147" s="1"/>
      <c r="F4147" s="1" t="s">
        <v>11</v>
      </c>
      <c r="G4147">
        <v>35</v>
      </c>
      <c r="H4147">
        <v>35</v>
      </c>
      <c r="I4147" s="2"/>
      <c r="J4147" s="2">
        <v>45765</v>
      </c>
      <c r="K4147" s="2">
        <v>45777</v>
      </c>
    </row>
    <row r="4148" spans="1:11" x14ac:dyDescent="0.25">
      <c r="A4148" s="1" t="s">
        <v>697</v>
      </c>
      <c r="B4148" s="1" t="s">
        <v>1020</v>
      </c>
      <c r="C4148" s="1" t="s">
        <v>2037</v>
      </c>
      <c r="D4148" s="1" t="s">
        <v>1998</v>
      </c>
      <c r="E4148" s="1"/>
      <c r="F4148" s="1" t="s">
        <v>11</v>
      </c>
      <c r="G4148">
        <v>95</v>
      </c>
      <c r="H4148">
        <v>95</v>
      </c>
      <c r="I4148" s="2"/>
      <c r="J4148" s="2">
        <v>45765</v>
      </c>
      <c r="K4148" s="2">
        <v>45777</v>
      </c>
    </row>
    <row r="4149" spans="1:11" x14ac:dyDescent="0.25">
      <c r="A4149" s="1" t="s">
        <v>698</v>
      </c>
      <c r="B4149" s="1" t="s">
        <v>1021</v>
      </c>
      <c r="C4149" s="1" t="s">
        <v>2038</v>
      </c>
      <c r="D4149" s="1" t="s">
        <v>1998</v>
      </c>
      <c r="E4149" s="1"/>
      <c r="F4149" s="1" t="s">
        <v>11</v>
      </c>
      <c r="G4149">
        <v>19185</v>
      </c>
      <c r="H4149">
        <v>19185</v>
      </c>
      <c r="I4149" s="2"/>
      <c r="J4149" s="2">
        <v>45768</v>
      </c>
      <c r="K4149" s="2">
        <v>45777</v>
      </c>
    </row>
    <row r="4150" spans="1:11" x14ac:dyDescent="0.25">
      <c r="A4150" s="1" t="s">
        <v>698</v>
      </c>
      <c r="B4150" s="1" t="s">
        <v>1022</v>
      </c>
      <c r="C4150" s="1" t="s">
        <v>2039</v>
      </c>
      <c r="D4150" s="1" t="s">
        <v>1998</v>
      </c>
      <c r="E4150" s="1"/>
      <c r="F4150" s="1" t="s">
        <v>11</v>
      </c>
      <c r="G4150">
        <v>17660</v>
      </c>
      <c r="H4150">
        <v>17660</v>
      </c>
      <c r="I4150" s="2"/>
      <c r="J4150" s="2">
        <v>45768</v>
      </c>
      <c r="K4150" s="2">
        <v>45777</v>
      </c>
    </row>
    <row r="4151" spans="1:11" x14ac:dyDescent="0.25">
      <c r="A4151" s="1" t="s">
        <v>698</v>
      </c>
      <c r="B4151" s="1" t="s">
        <v>1173</v>
      </c>
      <c r="C4151" s="1" t="s">
        <v>2167</v>
      </c>
      <c r="D4151" s="1" t="s">
        <v>1998</v>
      </c>
      <c r="E4151" s="1"/>
      <c r="F4151" s="1" t="s">
        <v>11</v>
      </c>
      <c r="G4151">
        <v>445</v>
      </c>
      <c r="H4151">
        <v>445</v>
      </c>
      <c r="I4151" s="2"/>
      <c r="J4151" s="2">
        <v>45768</v>
      </c>
      <c r="K4151" s="2">
        <v>45777</v>
      </c>
    </row>
    <row r="4152" spans="1:11" x14ac:dyDescent="0.25">
      <c r="A4152" s="1" t="s">
        <v>698</v>
      </c>
      <c r="B4152" s="1" t="s">
        <v>1173</v>
      </c>
      <c r="C4152" s="1" t="s">
        <v>2167</v>
      </c>
      <c r="D4152" s="1" t="s">
        <v>1998</v>
      </c>
      <c r="E4152" s="1"/>
      <c r="F4152" s="1" t="s">
        <v>11</v>
      </c>
      <c r="G4152">
        <v>25</v>
      </c>
      <c r="H4152">
        <v>25</v>
      </c>
      <c r="I4152" s="2"/>
      <c r="J4152" s="2">
        <v>45768</v>
      </c>
      <c r="K4152" s="2">
        <v>45777</v>
      </c>
    </row>
    <row r="4153" spans="1:11" x14ac:dyDescent="0.25">
      <c r="A4153" s="1" t="s">
        <v>698</v>
      </c>
      <c r="B4153" s="1" t="s">
        <v>999</v>
      </c>
      <c r="C4153" s="1" t="s">
        <v>2017</v>
      </c>
      <c r="D4153" s="1" t="s">
        <v>1998</v>
      </c>
      <c r="E4153" s="1"/>
      <c r="F4153" s="1" t="s">
        <v>11</v>
      </c>
      <c r="G4153">
        <v>1</v>
      </c>
      <c r="H4153">
        <v>1</v>
      </c>
      <c r="I4153" s="2"/>
      <c r="J4153" s="2">
        <v>45768</v>
      </c>
      <c r="K4153" s="2">
        <v>45777</v>
      </c>
    </row>
    <row r="4154" spans="1:11" x14ac:dyDescent="0.25">
      <c r="A4154" s="1" t="s">
        <v>698</v>
      </c>
      <c r="B4154" s="1" t="s">
        <v>1000</v>
      </c>
      <c r="C4154" s="1" t="s">
        <v>2018</v>
      </c>
      <c r="D4154" s="1" t="s">
        <v>1998</v>
      </c>
      <c r="E4154" s="1"/>
      <c r="F4154" s="1" t="s">
        <v>11</v>
      </c>
      <c r="G4154">
        <v>1</v>
      </c>
      <c r="H4154">
        <v>1</v>
      </c>
      <c r="I4154" s="2"/>
      <c r="J4154" s="2">
        <v>45768</v>
      </c>
      <c r="K4154" s="2">
        <v>45777</v>
      </c>
    </row>
    <row r="4155" spans="1:11" x14ac:dyDescent="0.25">
      <c r="A4155" s="1" t="s">
        <v>698</v>
      </c>
      <c r="B4155" s="1" t="s">
        <v>1001</v>
      </c>
      <c r="C4155" s="1" t="s">
        <v>2019</v>
      </c>
      <c r="D4155" s="1" t="s">
        <v>1998</v>
      </c>
      <c r="E4155" s="1"/>
      <c r="F4155" s="1" t="s">
        <v>11</v>
      </c>
      <c r="G4155">
        <v>1</v>
      </c>
      <c r="H4155">
        <v>1</v>
      </c>
      <c r="I4155" s="2"/>
      <c r="J4155" s="2">
        <v>45768</v>
      </c>
      <c r="K4155" s="2">
        <v>45777</v>
      </c>
    </row>
    <row r="4156" spans="1:11" x14ac:dyDescent="0.25">
      <c r="A4156" s="1" t="s">
        <v>699</v>
      </c>
      <c r="B4156" s="1" t="s">
        <v>1788</v>
      </c>
      <c r="C4156" s="1" t="s">
        <v>2661</v>
      </c>
      <c r="D4156" s="1" t="s">
        <v>1998</v>
      </c>
      <c r="E4156" s="1"/>
      <c r="F4156" s="1" t="s">
        <v>11</v>
      </c>
      <c r="G4156">
        <v>485</v>
      </c>
      <c r="H4156">
        <v>485</v>
      </c>
      <c r="I4156" s="2">
        <v>45784</v>
      </c>
      <c r="J4156" s="2">
        <v>45769</v>
      </c>
      <c r="K4156" s="2">
        <v>45784</v>
      </c>
    </row>
    <row r="4157" spans="1:11" x14ac:dyDescent="0.25">
      <c r="A4157" s="1" t="s">
        <v>699</v>
      </c>
      <c r="B4157" s="1" t="s">
        <v>1789</v>
      </c>
      <c r="C4157" s="1" t="s">
        <v>2000</v>
      </c>
      <c r="D4157" s="1" t="s">
        <v>1998</v>
      </c>
      <c r="E4157" s="1"/>
      <c r="F4157" s="1" t="s">
        <v>11</v>
      </c>
      <c r="G4157">
        <v>345</v>
      </c>
      <c r="H4157">
        <v>345</v>
      </c>
      <c r="I4157" s="2">
        <v>45784</v>
      </c>
      <c r="J4157" s="2">
        <v>45769</v>
      </c>
      <c r="K4157" s="2">
        <v>45784</v>
      </c>
    </row>
    <row r="4158" spans="1:11" x14ac:dyDescent="0.25">
      <c r="A4158" s="1" t="s">
        <v>699</v>
      </c>
      <c r="B4158" s="1" t="s">
        <v>1789</v>
      </c>
      <c r="C4158" s="1" t="s">
        <v>2000</v>
      </c>
      <c r="D4158" s="1" t="s">
        <v>1998</v>
      </c>
      <c r="E4158" s="1"/>
      <c r="F4158" s="1" t="s">
        <v>11</v>
      </c>
      <c r="G4158">
        <v>5</v>
      </c>
      <c r="H4158">
        <v>5</v>
      </c>
      <c r="I4158" s="2">
        <v>45784</v>
      </c>
      <c r="J4158" s="2">
        <v>45769</v>
      </c>
      <c r="K4158" s="2">
        <v>45784</v>
      </c>
    </row>
    <row r="4159" spans="1:11" x14ac:dyDescent="0.25">
      <c r="A4159" s="1" t="s">
        <v>699</v>
      </c>
      <c r="B4159" s="1" t="s">
        <v>983</v>
      </c>
      <c r="C4159" s="1" t="s">
        <v>2001</v>
      </c>
      <c r="D4159" s="1" t="s">
        <v>1998</v>
      </c>
      <c r="E4159" s="1"/>
      <c r="F4159" s="1" t="s">
        <v>11</v>
      </c>
      <c r="G4159">
        <v>195</v>
      </c>
      <c r="H4159">
        <v>195</v>
      </c>
      <c r="I4159" s="2">
        <v>45784</v>
      </c>
      <c r="J4159" s="2">
        <v>45769</v>
      </c>
      <c r="K4159" s="2">
        <v>45784</v>
      </c>
    </row>
    <row r="4160" spans="1:11" x14ac:dyDescent="0.25">
      <c r="A4160" s="1" t="s">
        <v>699</v>
      </c>
      <c r="B4160" s="1" t="s">
        <v>983</v>
      </c>
      <c r="C4160" s="1" t="s">
        <v>2001</v>
      </c>
      <c r="D4160" s="1" t="s">
        <v>1998</v>
      </c>
      <c r="E4160" s="1"/>
      <c r="F4160" s="1" t="s">
        <v>11</v>
      </c>
      <c r="G4160">
        <v>45</v>
      </c>
      <c r="H4160">
        <v>45</v>
      </c>
      <c r="I4160" s="2">
        <v>45784</v>
      </c>
      <c r="J4160" s="2">
        <v>45769</v>
      </c>
      <c r="K4160" s="2">
        <v>45784</v>
      </c>
    </row>
    <row r="4161" spans="1:11" x14ac:dyDescent="0.25">
      <c r="A4161" s="1" t="s">
        <v>699</v>
      </c>
      <c r="B4161" s="1" t="s">
        <v>983</v>
      </c>
      <c r="C4161" s="1" t="s">
        <v>2001</v>
      </c>
      <c r="D4161" s="1" t="s">
        <v>1998</v>
      </c>
      <c r="E4161" s="1"/>
      <c r="F4161" s="1" t="s">
        <v>11</v>
      </c>
      <c r="G4161">
        <v>5</v>
      </c>
      <c r="H4161">
        <v>5</v>
      </c>
      <c r="I4161" s="2">
        <v>45784</v>
      </c>
      <c r="J4161" s="2">
        <v>45769</v>
      </c>
      <c r="K4161" s="2">
        <v>45784</v>
      </c>
    </row>
    <row r="4162" spans="1:11" x14ac:dyDescent="0.25">
      <c r="A4162" s="1" t="s">
        <v>699</v>
      </c>
      <c r="B4162" s="1" t="s">
        <v>1667</v>
      </c>
      <c r="C4162" s="1" t="s">
        <v>2577</v>
      </c>
      <c r="D4162" s="1" t="s">
        <v>1998</v>
      </c>
      <c r="E4162" s="1"/>
      <c r="F4162" s="1" t="s">
        <v>11</v>
      </c>
      <c r="G4162">
        <v>155</v>
      </c>
      <c r="H4162">
        <v>155</v>
      </c>
      <c r="I4162" s="2">
        <v>45784</v>
      </c>
      <c r="J4162" s="2">
        <v>45769</v>
      </c>
      <c r="K4162" s="2">
        <v>45784</v>
      </c>
    </row>
    <row r="4163" spans="1:11" x14ac:dyDescent="0.25">
      <c r="A4163" s="1" t="s">
        <v>700</v>
      </c>
      <c r="B4163" s="1" t="s">
        <v>995</v>
      </c>
      <c r="C4163" s="1" t="s">
        <v>2013</v>
      </c>
      <c r="D4163" s="1" t="s">
        <v>1998</v>
      </c>
      <c r="E4163" s="1"/>
      <c r="F4163" s="1" t="s">
        <v>11</v>
      </c>
      <c r="G4163">
        <v>140</v>
      </c>
      <c r="H4163">
        <v>10</v>
      </c>
      <c r="I4163" s="2"/>
      <c r="J4163" s="2">
        <v>45765</v>
      </c>
      <c r="K4163" s="2">
        <v>45777</v>
      </c>
    </row>
    <row r="4164" spans="1:11" x14ac:dyDescent="0.25">
      <c r="A4164" s="1" t="s">
        <v>700</v>
      </c>
      <c r="B4164" s="1" t="s">
        <v>1075</v>
      </c>
      <c r="C4164" s="1" t="s">
        <v>2078</v>
      </c>
      <c r="D4164" s="1" t="s">
        <v>1998</v>
      </c>
      <c r="E4164" s="1"/>
      <c r="F4164" s="1" t="s">
        <v>11</v>
      </c>
      <c r="G4164">
        <v>210</v>
      </c>
      <c r="H4164">
        <v>210</v>
      </c>
      <c r="I4164" s="2"/>
      <c r="J4164" s="2">
        <v>45765</v>
      </c>
      <c r="K4164" s="2">
        <v>45777</v>
      </c>
    </row>
    <row r="4165" spans="1:11" x14ac:dyDescent="0.25">
      <c r="A4165" s="1" t="s">
        <v>700</v>
      </c>
      <c r="B4165" s="1" t="s">
        <v>1052</v>
      </c>
      <c r="C4165" s="1" t="s">
        <v>2061</v>
      </c>
      <c r="D4165" s="1" t="s">
        <v>1998</v>
      </c>
      <c r="E4165" s="1"/>
      <c r="F4165" s="1" t="s">
        <v>11</v>
      </c>
      <c r="G4165">
        <v>1925</v>
      </c>
      <c r="H4165">
        <v>1945</v>
      </c>
      <c r="I4165" s="2"/>
      <c r="J4165" s="2">
        <v>45765</v>
      </c>
      <c r="K4165" s="2">
        <v>45777</v>
      </c>
    </row>
    <row r="4166" spans="1:11" x14ac:dyDescent="0.25">
      <c r="A4166" s="1" t="s">
        <v>700</v>
      </c>
      <c r="B4166" s="1" t="s">
        <v>999</v>
      </c>
      <c r="C4166" s="1" t="s">
        <v>2017</v>
      </c>
      <c r="D4166" s="1" t="s">
        <v>1998</v>
      </c>
      <c r="E4166" s="1"/>
      <c r="F4166" s="1" t="s">
        <v>11</v>
      </c>
      <c r="G4166">
        <v>1</v>
      </c>
      <c r="H4166">
        <v>1</v>
      </c>
      <c r="I4166" s="2"/>
      <c r="J4166" s="2">
        <v>45765</v>
      </c>
      <c r="K4166" s="2">
        <v>45777</v>
      </c>
    </row>
    <row r="4167" spans="1:11" x14ac:dyDescent="0.25">
      <c r="A4167" s="1" t="s">
        <v>700</v>
      </c>
      <c r="B4167" s="1" t="s">
        <v>1000</v>
      </c>
      <c r="C4167" s="1" t="s">
        <v>2018</v>
      </c>
      <c r="D4167" s="1" t="s">
        <v>1998</v>
      </c>
      <c r="E4167" s="1"/>
      <c r="F4167" s="1" t="s">
        <v>11</v>
      </c>
      <c r="G4167">
        <v>10</v>
      </c>
      <c r="H4167">
        <v>10</v>
      </c>
      <c r="I4167" s="2"/>
      <c r="J4167" s="2">
        <v>45765</v>
      </c>
      <c r="K4167" s="2">
        <v>45777</v>
      </c>
    </row>
    <row r="4168" spans="1:11" x14ac:dyDescent="0.25">
      <c r="A4168" s="1" t="s">
        <v>700</v>
      </c>
      <c r="B4168" s="1" t="s">
        <v>1001</v>
      </c>
      <c r="C4168" s="1" t="s">
        <v>2019</v>
      </c>
      <c r="D4168" s="1" t="s">
        <v>1998</v>
      </c>
      <c r="E4168" s="1"/>
      <c r="F4168" s="1" t="s">
        <v>11</v>
      </c>
      <c r="G4168">
        <v>5</v>
      </c>
      <c r="H4168">
        <v>5</v>
      </c>
      <c r="I4168" s="2"/>
      <c r="J4168" s="2">
        <v>45765</v>
      </c>
      <c r="K4168" s="2">
        <v>45777</v>
      </c>
    </row>
    <row r="4169" spans="1:11" x14ac:dyDescent="0.25">
      <c r="A4169" s="1" t="s">
        <v>700</v>
      </c>
      <c r="B4169" s="1" t="s">
        <v>1076</v>
      </c>
      <c r="C4169" s="1" t="s">
        <v>2079</v>
      </c>
      <c r="D4169" s="1" t="s">
        <v>1998</v>
      </c>
      <c r="E4169" s="1"/>
      <c r="F4169" s="1" t="s">
        <v>11</v>
      </c>
      <c r="G4169">
        <v>5465</v>
      </c>
      <c r="H4169">
        <v>5520</v>
      </c>
      <c r="I4169" s="2"/>
      <c r="J4169" s="2">
        <v>45765</v>
      </c>
      <c r="K4169" s="2">
        <v>45777</v>
      </c>
    </row>
    <row r="4170" spans="1:11" x14ac:dyDescent="0.25">
      <c r="A4170" s="1" t="s">
        <v>700</v>
      </c>
      <c r="B4170" s="1" t="s">
        <v>1077</v>
      </c>
      <c r="C4170" s="1" t="s">
        <v>2080</v>
      </c>
      <c r="D4170" s="1" t="s">
        <v>1998</v>
      </c>
      <c r="E4170" s="1"/>
      <c r="F4170" s="1" t="s">
        <v>11</v>
      </c>
      <c r="G4170">
        <v>6330</v>
      </c>
      <c r="H4170">
        <v>6395</v>
      </c>
      <c r="I4170" s="2"/>
      <c r="J4170" s="2">
        <v>45765</v>
      </c>
      <c r="K4170" s="2">
        <v>45777</v>
      </c>
    </row>
    <row r="4171" spans="1:11" x14ac:dyDescent="0.25">
      <c r="A4171" s="1" t="s">
        <v>701</v>
      </c>
      <c r="B4171" s="1" t="s">
        <v>995</v>
      </c>
      <c r="C4171" s="1" t="s">
        <v>2013</v>
      </c>
      <c r="D4171" s="1" t="s">
        <v>1998</v>
      </c>
      <c r="E4171" s="1"/>
      <c r="F4171" s="1" t="s">
        <v>11</v>
      </c>
      <c r="G4171">
        <v>145</v>
      </c>
      <c r="H4171">
        <v>10</v>
      </c>
      <c r="I4171" s="2"/>
      <c r="J4171" s="2">
        <v>45765</v>
      </c>
      <c r="K4171" s="2">
        <v>45782</v>
      </c>
    </row>
    <row r="4172" spans="1:11" x14ac:dyDescent="0.25">
      <c r="A4172" s="1" t="s">
        <v>701</v>
      </c>
      <c r="B4172" s="1" t="s">
        <v>1075</v>
      </c>
      <c r="C4172" s="1" t="s">
        <v>2078</v>
      </c>
      <c r="D4172" s="1" t="s">
        <v>1998</v>
      </c>
      <c r="E4172" s="1"/>
      <c r="F4172" s="1" t="s">
        <v>11</v>
      </c>
      <c r="G4172">
        <v>210</v>
      </c>
      <c r="H4172">
        <v>210</v>
      </c>
      <c r="I4172" s="2"/>
      <c r="J4172" s="2">
        <v>45765</v>
      </c>
      <c r="K4172" s="2">
        <v>45782</v>
      </c>
    </row>
    <row r="4173" spans="1:11" x14ac:dyDescent="0.25">
      <c r="A4173" s="1" t="s">
        <v>701</v>
      </c>
      <c r="B4173" s="1" t="s">
        <v>1052</v>
      </c>
      <c r="C4173" s="1" t="s">
        <v>2061</v>
      </c>
      <c r="D4173" s="1" t="s">
        <v>1998</v>
      </c>
      <c r="E4173" s="1"/>
      <c r="F4173" s="1" t="s">
        <v>11</v>
      </c>
      <c r="G4173">
        <v>1945</v>
      </c>
      <c r="H4173">
        <v>1945</v>
      </c>
      <c r="I4173" s="2"/>
      <c r="J4173" s="2">
        <v>45765</v>
      </c>
      <c r="K4173" s="2">
        <v>45782</v>
      </c>
    </row>
    <row r="4174" spans="1:11" x14ac:dyDescent="0.25">
      <c r="A4174" s="1" t="s">
        <v>701</v>
      </c>
      <c r="B4174" s="1" t="s">
        <v>999</v>
      </c>
      <c r="C4174" s="1" t="s">
        <v>2017</v>
      </c>
      <c r="D4174" s="1" t="s">
        <v>1998</v>
      </c>
      <c r="E4174" s="1"/>
      <c r="F4174" s="1" t="s">
        <v>11</v>
      </c>
      <c r="G4174">
        <v>1</v>
      </c>
      <c r="H4174">
        <v>1</v>
      </c>
      <c r="I4174" s="2"/>
      <c r="J4174" s="2">
        <v>45765</v>
      </c>
      <c r="K4174" s="2">
        <v>45782</v>
      </c>
    </row>
    <row r="4175" spans="1:11" x14ac:dyDescent="0.25">
      <c r="A4175" s="1" t="s">
        <v>701</v>
      </c>
      <c r="B4175" s="1" t="s">
        <v>1000</v>
      </c>
      <c r="C4175" s="1" t="s">
        <v>2018</v>
      </c>
      <c r="D4175" s="1" t="s">
        <v>1998</v>
      </c>
      <c r="E4175" s="1"/>
      <c r="F4175" s="1" t="s">
        <v>11</v>
      </c>
      <c r="G4175">
        <v>10</v>
      </c>
      <c r="H4175">
        <v>10</v>
      </c>
      <c r="I4175" s="2"/>
      <c r="J4175" s="2">
        <v>45765</v>
      </c>
      <c r="K4175" s="2">
        <v>45782</v>
      </c>
    </row>
    <row r="4176" spans="1:11" x14ac:dyDescent="0.25">
      <c r="A4176" s="1" t="s">
        <v>701</v>
      </c>
      <c r="B4176" s="1" t="s">
        <v>1001</v>
      </c>
      <c r="C4176" s="1" t="s">
        <v>2019</v>
      </c>
      <c r="D4176" s="1" t="s">
        <v>1998</v>
      </c>
      <c r="E4176" s="1"/>
      <c r="F4176" s="1" t="s">
        <v>11</v>
      </c>
      <c r="G4176">
        <v>5</v>
      </c>
      <c r="H4176">
        <v>5</v>
      </c>
      <c r="I4176" s="2"/>
      <c r="J4176" s="2">
        <v>45765</v>
      </c>
      <c r="K4176" s="2">
        <v>45782</v>
      </c>
    </row>
    <row r="4177" spans="1:11" x14ac:dyDescent="0.25">
      <c r="A4177" s="1" t="s">
        <v>701</v>
      </c>
      <c r="B4177" s="1" t="s">
        <v>1076</v>
      </c>
      <c r="C4177" s="1" t="s">
        <v>2079</v>
      </c>
      <c r="D4177" s="1" t="s">
        <v>1998</v>
      </c>
      <c r="E4177" s="1"/>
      <c r="F4177" s="1" t="s">
        <v>11</v>
      </c>
      <c r="G4177">
        <v>5520</v>
      </c>
      <c r="H4177">
        <v>5520</v>
      </c>
      <c r="I4177" s="2"/>
      <c r="J4177" s="2">
        <v>45765</v>
      </c>
      <c r="K4177" s="2">
        <v>45782</v>
      </c>
    </row>
    <row r="4178" spans="1:11" x14ac:dyDescent="0.25">
      <c r="A4178" s="1" t="s">
        <v>701</v>
      </c>
      <c r="B4178" s="1" t="s">
        <v>1077</v>
      </c>
      <c r="C4178" s="1" t="s">
        <v>2080</v>
      </c>
      <c r="D4178" s="1" t="s">
        <v>1998</v>
      </c>
      <c r="E4178" s="1"/>
      <c r="F4178" s="1" t="s">
        <v>11</v>
      </c>
      <c r="G4178">
        <v>6395</v>
      </c>
      <c r="H4178">
        <v>6395</v>
      </c>
      <c r="I4178" s="2"/>
      <c r="J4178" s="2">
        <v>45765</v>
      </c>
      <c r="K4178" s="2">
        <v>45782</v>
      </c>
    </row>
    <row r="4179" spans="1:11" x14ac:dyDescent="0.25">
      <c r="A4179" s="1" t="s">
        <v>702</v>
      </c>
      <c r="B4179" s="1" t="s">
        <v>1048</v>
      </c>
      <c r="C4179" s="1" t="s">
        <v>2057</v>
      </c>
      <c r="D4179" s="1" t="s">
        <v>1998</v>
      </c>
      <c r="E4179" s="1"/>
      <c r="F4179" s="1" t="s">
        <v>11</v>
      </c>
      <c r="G4179">
        <v>1</v>
      </c>
      <c r="H4179">
        <v>1</v>
      </c>
      <c r="I4179" s="2"/>
      <c r="J4179" s="2">
        <v>45768</v>
      </c>
      <c r="K4179" s="2">
        <v>45770</v>
      </c>
    </row>
    <row r="4180" spans="1:11" x14ac:dyDescent="0.25">
      <c r="A4180" s="1" t="s">
        <v>702</v>
      </c>
      <c r="B4180" s="1" t="s">
        <v>1047</v>
      </c>
      <c r="C4180" s="1" t="s">
        <v>2056</v>
      </c>
      <c r="D4180" s="1" t="s">
        <v>1998</v>
      </c>
      <c r="E4180" s="1"/>
      <c r="F4180" s="1" t="s">
        <v>11</v>
      </c>
      <c r="G4180">
        <v>15</v>
      </c>
      <c r="H4180">
        <v>15</v>
      </c>
      <c r="I4180" s="2"/>
      <c r="J4180" s="2">
        <v>45768</v>
      </c>
      <c r="K4180" s="2">
        <v>45770</v>
      </c>
    </row>
    <row r="4181" spans="1:11" x14ac:dyDescent="0.25">
      <c r="A4181" s="1" t="s">
        <v>702</v>
      </c>
      <c r="B4181" s="1" t="s">
        <v>1049</v>
      </c>
      <c r="C4181" s="1" t="s">
        <v>2058</v>
      </c>
      <c r="D4181" s="1" t="s">
        <v>1998</v>
      </c>
      <c r="E4181" s="1"/>
      <c r="F4181" s="1" t="s">
        <v>11</v>
      </c>
      <c r="G4181">
        <v>1</v>
      </c>
      <c r="H4181">
        <v>1</v>
      </c>
      <c r="I4181" s="2"/>
      <c r="J4181" s="2">
        <v>45768</v>
      </c>
      <c r="K4181" s="2">
        <v>45770</v>
      </c>
    </row>
    <row r="4182" spans="1:11" x14ac:dyDescent="0.25">
      <c r="A4182" s="1" t="s">
        <v>703</v>
      </c>
      <c r="B4182" s="1" t="s">
        <v>1048</v>
      </c>
      <c r="C4182" s="1" t="s">
        <v>2057</v>
      </c>
      <c r="D4182" s="1" t="s">
        <v>1998</v>
      </c>
      <c r="E4182" s="1"/>
      <c r="F4182" s="1" t="s">
        <v>11</v>
      </c>
      <c r="G4182">
        <v>1</v>
      </c>
      <c r="H4182">
        <v>1</v>
      </c>
      <c r="I4182" s="2"/>
      <c r="J4182" s="2">
        <v>45768</v>
      </c>
      <c r="K4182" s="2">
        <v>45770</v>
      </c>
    </row>
    <row r="4183" spans="1:11" x14ac:dyDescent="0.25">
      <c r="A4183" s="1" t="s">
        <v>703</v>
      </c>
      <c r="B4183" s="1" t="s">
        <v>1047</v>
      </c>
      <c r="C4183" s="1" t="s">
        <v>2056</v>
      </c>
      <c r="D4183" s="1" t="s">
        <v>1998</v>
      </c>
      <c r="E4183" s="1"/>
      <c r="F4183" s="1" t="s">
        <v>11</v>
      </c>
      <c r="G4183">
        <v>15</v>
      </c>
      <c r="H4183">
        <v>15</v>
      </c>
      <c r="I4183" s="2"/>
      <c r="J4183" s="2">
        <v>45768</v>
      </c>
      <c r="K4183" s="2">
        <v>45770</v>
      </c>
    </row>
    <row r="4184" spans="1:11" x14ac:dyDescent="0.25">
      <c r="A4184" s="1" t="s">
        <v>703</v>
      </c>
      <c r="B4184" s="1" t="s">
        <v>1049</v>
      </c>
      <c r="C4184" s="1" t="s">
        <v>2058</v>
      </c>
      <c r="D4184" s="1" t="s">
        <v>1998</v>
      </c>
      <c r="E4184" s="1"/>
      <c r="F4184" s="1" t="s">
        <v>11</v>
      </c>
      <c r="G4184">
        <v>1</v>
      </c>
      <c r="H4184">
        <v>1</v>
      </c>
      <c r="I4184" s="2"/>
      <c r="J4184" s="2">
        <v>45768</v>
      </c>
      <c r="K4184" s="2">
        <v>45770</v>
      </c>
    </row>
    <row r="4185" spans="1:11" x14ac:dyDescent="0.25">
      <c r="A4185" s="1" t="s">
        <v>704</v>
      </c>
      <c r="B4185" s="1" t="s">
        <v>1048</v>
      </c>
      <c r="C4185" s="1" t="s">
        <v>2057</v>
      </c>
      <c r="D4185" s="1" t="s">
        <v>1998</v>
      </c>
      <c r="E4185" s="1"/>
      <c r="F4185" s="1" t="s">
        <v>11</v>
      </c>
      <c r="G4185">
        <v>1</v>
      </c>
      <c r="H4185">
        <v>1</v>
      </c>
      <c r="I4185" s="2"/>
      <c r="J4185" s="2">
        <v>45768</v>
      </c>
      <c r="K4185" s="2">
        <v>45777</v>
      </c>
    </row>
    <row r="4186" spans="1:11" x14ac:dyDescent="0.25">
      <c r="A4186" s="1" t="s">
        <v>704</v>
      </c>
      <c r="B4186" s="1" t="s">
        <v>1047</v>
      </c>
      <c r="C4186" s="1" t="s">
        <v>2056</v>
      </c>
      <c r="D4186" s="1" t="s">
        <v>1998</v>
      </c>
      <c r="E4186" s="1"/>
      <c r="F4186" s="1" t="s">
        <v>11</v>
      </c>
      <c r="G4186">
        <v>15</v>
      </c>
      <c r="H4186">
        <v>15</v>
      </c>
      <c r="I4186" s="2"/>
      <c r="J4186" s="2">
        <v>45768</v>
      </c>
      <c r="K4186" s="2">
        <v>45777</v>
      </c>
    </row>
    <row r="4187" spans="1:11" x14ac:dyDescent="0.25">
      <c r="A4187" s="1" t="s">
        <v>704</v>
      </c>
      <c r="B4187" s="1" t="s">
        <v>1049</v>
      </c>
      <c r="C4187" s="1" t="s">
        <v>2058</v>
      </c>
      <c r="D4187" s="1" t="s">
        <v>1998</v>
      </c>
      <c r="E4187" s="1"/>
      <c r="F4187" s="1" t="s">
        <v>11</v>
      </c>
      <c r="G4187">
        <v>1</v>
      </c>
      <c r="H4187">
        <v>1</v>
      </c>
      <c r="I4187" s="2"/>
      <c r="J4187" s="2">
        <v>45768</v>
      </c>
      <c r="K4187" s="2">
        <v>45777</v>
      </c>
    </row>
    <row r="4188" spans="1:11" x14ac:dyDescent="0.25">
      <c r="A4188" s="1" t="s">
        <v>705</v>
      </c>
      <c r="B4188" s="1" t="s">
        <v>1108</v>
      </c>
      <c r="C4188" s="1" t="s">
        <v>2108</v>
      </c>
      <c r="D4188" s="1" t="s">
        <v>1998</v>
      </c>
      <c r="E4188" s="1"/>
      <c r="F4188" s="1" t="s">
        <v>11</v>
      </c>
      <c r="G4188">
        <v>60</v>
      </c>
      <c r="H4188">
        <v>60</v>
      </c>
      <c r="I4188" s="2">
        <v>45784</v>
      </c>
      <c r="J4188" s="2">
        <v>45770</v>
      </c>
      <c r="K4188" s="2">
        <v>45784</v>
      </c>
    </row>
    <row r="4189" spans="1:11" x14ac:dyDescent="0.25">
      <c r="A4189" s="1" t="s">
        <v>705</v>
      </c>
      <c r="B4189" s="1" t="s">
        <v>1105</v>
      </c>
      <c r="C4189" s="1" t="s">
        <v>2106</v>
      </c>
      <c r="D4189" s="1" t="s">
        <v>1998</v>
      </c>
      <c r="E4189" s="1"/>
      <c r="F4189" s="1" t="s">
        <v>11</v>
      </c>
      <c r="G4189">
        <v>25</v>
      </c>
      <c r="H4189">
        <v>25</v>
      </c>
      <c r="I4189" s="2">
        <v>45784</v>
      </c>
      <c r="J4189" s="2">
        <v>45770</v>
      </c>
      <c r="K4189" s="2">
        <v>45784</v>
      </c>
    </row>
    <row r="4190" spans="1:11" x14ac:dyDescent="0.25">
      <c r="A4190" s="1" t="s">
        <v>705</v>
      </c>
      <c r="B4190" s="1" t="s">
        <v>1790</v>
      </c>
      <c r="C4190" s="1" t="s">
        <v>2631</v>
      </c>
      <c r="D4190" s="1" t="s">
        <v>1998</v>
      </c>
      <c r="E4190" s="1"/>
      <c r="F4190" s="1" t="s">
        <v>11</v>
      </c>
      <c r="G4190">
        <v>65</v>
      </c>
      <c r="H4190">
        <v>65</v>
      </c>
      <c r="I4190" s="2">
        <v>45784</v>
      </c>
      <c r="J4190" s="2">
        <v>45770</v>
      </c>
      <c r="K4190" s="2">
        <v>45784</v>
      </c>
    </row>
    <row r="4191" spans="1:11" x14ac:dyDescent="0.25">
      <c r="A4191" s="1" t="s">
        <v>705</v>
      </c>
      <c r="B4191" s="1" t="s">
        <v>1790</v>
      </c>
      <c r="C4191" s="1" t="s">
        <v>2631</v>
      </c>
      <c r="D4191" s="1" t="s">
        <v>1998</v>
      </c>
      <c r="E4191" s="1"/>
      <c r="F4191" s="1" t="s">
        <v>16</v>
      </c>
      <c r="G4191">
        <v>30</v>
      </c>
      <c r="H4191">
        <v>30</v>
      </c>
      <c r="I4191" s="2">
        <v>45784</v>
      </c>
      <c r="J4191" s="2">
        <v>45770</v>
      </c>
      <c r="K4191" s="2">
        <v>45784</v>
      </c>
    </row>
    <row r="4192" spans="1:11" x14ac:dyDescent="0.25">
      <c r="A4192" s="1" t="s">
        <v>705</v>
      </c>
      <c r="B4192" s="1" t="s">
        <v>1747</v>
      </c>
      <c r="C4192" s="1" t="s">
        <v>2632</v>
      </c>
      <c r="D4192" s="1" t="s">
        <v>1998</v>
      </c>
      <c r="E4192" s="1"/>
      <c r="F4192" s="1" t="s">
        <v>11</v>
      </c>
      <c r="G4192">
        <v>55</v>
      </c>
      <c r="H4192">
        <v>55</v>
      </c>
      <c r="I4192" s="2">
        <v>45784</v>
      </c>
      <c r="J4192" s="2">
        <v>45770</v>
      </c>
      <c r="K4192" s="2">
        <v>45784</v>
      </c>
    </row>
    <row r="4193" spans="1:11" x14ac:dyDescent="0.25">
      <c r="A4193" s="1" t="s">
        <v>706</v>
      </c>
      <c r="B4193" s="1" t="s">
        <v>1791</v>
      </c>
      <c r="C4193" s="1" t="s">
        <v>2662</v>
      </c>
      <c r="D4193" s="1" t="s">
        <v>1998</v>
      </c>
      <c r="E4193" s="1"/>
      <c r="F4193" s="1" t="s">
        <v>11</v>
      </c>
      <c r="G4193">
        <v>40</v>
      </c>
      <c r="H4193">
        <v>40</v>
      </c>
      <c r="I4193" s="2"/>
      <c r="J4193" s="2">
        <v>45768</v>
      </c>
      <c r="K4193" s="2">
        <v>45775</v>
      </c>
    </row>
    <row r="4194" spans="1:11" x14ac:dyDescent="0.25">
      <c r="A4194" s="1" t="s">
        <v>706</v>
      </c>
      <c r="B4194" s="1" t="s">
        <v>1513</v>
      </c>
      <c r="C4194" s="1" t="s">
        <v>2446</v>
      </c>
      <c r="D4194" s="1" t="s">
        <v>1998</v>
      </c>
      <c r="E4194" s="1"/>
      <c r="F4194" s="1" t="s">
        <v>11</v>
      </c>
      <c r="G4194">
        <v>1</v>
      </c>
      <c r="H4194">
        <v>1</v>
      </c>
      <c r="I4194" s="2"/>
      <c r="J4194" s="2">
        <v>45768</v>
      </c>
      <c r="K4194" s="2">
        <v>45775</v>
      </c>
    </row>
    <row r="4195" spans="1:11" x14ac:dyDescent="0.25">
      <c r="A4195" s="1" t="s">
        <v>707</v>
      </c>
      <c r="B4195" s="1" t="s">
        <v>1062</v>
      </c>
      <c r="C4195" s="1" t="s">
        <v>2069</v>
      </c>
      <c r="D4195" s="1" t="s">
        <v>1998</v>
      </c>
      <c r="E4195" s="1"/>
      <c r="F4195" s="1" t="s">
        <v>11</v>
      </c>
      <c r="G4195">
        <v>5</v>
      </c>
      <c r="H4195">
        <v>5</v>
      </c>
      <c r="I4195" s="2"/>
      <c r="J4195" s="2">
        <v>45769</v>
      </c>
      <c r="K4195" s="2">
        <v>45789</v>
      </c>
    </row>
    <row r="4196" spans="1:11" x14ac:dyDescent="0.25">
      <c r="A4196" s="1" t="s">
        <v>707</v>
      </c>
      <c r="B4196" s="1" t="s">
        <v>1063</v>
      </c>
      <c r="C4196" s="1" t="s">
        <v>2069</v>
      </c>
      <c r="D4196" s="1" t="s">
        <v>1998</v>
      </c>
      <c r="E4196" s="1"/>
      <c r="F4196" s="1" t="s">
        <v>11</v>
      </c>
      <c r="G4196">
        <v>5</v>
      </c>
      <c r="H4196">
        <v>5</v>
      </c>
      <c r="I4196" s="2"/>
      <c r="J4196" s="2">
        <v>45769</v>
      </c>
      <c r="K4196" s="2">
        <v>45789</v>
      </c>
    </row>
    <row r="4197" spans="1:11" x14ac:dyDescent="0.25">
      <c r="A4197" s="1" t="s">
        <v>707</v>
      </c>
      <c r="B4197" s="1" t="s">
        <v>1792</v>
      </c>
      <c r="C4197" s="1" t="s">
        <v>2663</v>
      </c>
      <c r="D4197" s="1" t="s">
        <v>1998</v>
      </c>
      <c r="E4197" s="1"/>
      <c r="F4197" s="1" t="s">
        <v>11</v>
      </c>
      <c r="G4197">
        <v>85</v>
      </c>
      <c r="H4197">
        <v>40</v>
      </c>
      <c r="I4197" s="2"/>
      <c r="J4197" s="2">
        <v>45769</v>
      </c>
      <c r="K4197" s="2">
        <v>45789</v>
      </c>
    </row>
    <row r="4198" spans="1:11" x14ac:dyDescent="0.25">
      <c r="A4198" s="1" t="s">
        <v>707</v>
      </c>
      <c r="B4198" s="1" t="s">
        <v>1793</v>
      </c>
      <c r="C4198" s="1" t="s">
        <v>2663</v>
      </c>
      <c r="D4198" s="1" t="s">
        <v>1998</v>
      </c>
      <c r="E4198" s="1"/>
      <c r="F4198" s="1" t="s">
        <v>11</v>
      </c>
      <c r="G4198">
        <v>65</v>
      </c>
      <c r="H4198">
        <v>35</v>
      </c>
      <c r="I4198" s="2"/>
      <c r="J4198" s="2">
        <v>45769</v>
      </c>
      <c r="K4198" s="2">
        <v>45789</v>
      </c>
    </row>
    <row r="4199" spans="1:11" x14ac:dyDescent="0.25">
      <c r="A4199" s="1" t="s">
        <v>707</v>
      </c>
      <c r="B4199" s="1" t="s">
        <v>1794</v>
      </c>
      <c r="C4199" s="1" t="s">
        <v>2663</v>
      </c>
      <c r="D4199" s="1" t="s">
        <v>1998</v>
      </c>
      <c r="E4199" s="1"/>
      <c r="F4199" s="1" t="s">
        <v>11</v>
      </c>
      <c r="G4199">
        <v>80</v>
      </c>
      <c r="H4199">
        <v>40</v>
      </c>
      <c r="I4199" s="2"/>
      <c r="J4199" s="2">
        <v>45769</v>
      </c>
      <c r="K4199" s="2">
        <v>45789</v>
      </c>
    </row>
    <row r="4200" spans="1:11" x14ac:dyDescent="0.25">
      <c r="A4200" s="1" t="s">
        <v>707</v>
      </c>
      <c r="B4200" s="1" t="s">
        <v>1795</v>
      </c>
      <c r="C4200" s="1" t="s">
        <v>2072</v>
      </c>
      <c r="D4200" s="1" t="s">
        <v>1998</v>
      </c>
      <c r="E4200" s="1"/>
      <c r="F4200" s="1" t="s">
        <v>11</v>
      </c>
      <c r="G4200">
        <v>2430</v>
      </c>
      <c r="H4200">
        <v>1215</v>
      </c>
      <c r="I4200" s="2"/>
      <c r="J4200" s="2">
        <v>45769</v>
      </c>
      <c r="K4200" s="2">
        <v>45789</v>
      </c>
    </row>
    <row r="4201" spans="1:11" x14ac:dyDescent="0.25">
      <c r="A4201" s="1" t="s">
        <v>707</v>
      </c>
      <c r="B4201" s="1" t="s">
        <v>1796</v>
      </c>
      <c r="C4201" s="1" t="s">
        <v>2072</v>
      </c>
      <c r="D4201" s="1" t="s">
        <v>1998</v>
      </c>
      <c r="E4201" s="1"/>
      <c r="F4201" s="1" t="s">
        <v>11</v>
      </c>
      <c r="G4201">
        <v>1130</v>
      </c>
      <c r="H4201">
        <v>565</v>
      </c>
      <c r="I4201" s="2"/>
      <c r="J4201" s="2">
        <v>45769</v>
      </c>
      <c r="K4201" s="2">
        <v>45789</v>
      </c>
    </row>
    <row r="4202" spans="1:11" x14ac:dyDescent="0.25">
      <c r="A4202" s="1" t="s">
        <v>707</v>
      </c>
      <c r="B4202" s="1" t="s">
        <v>1797</v>
      </c>
      <c r="C4202" s="1" t="s">
        <v>2072</v>
      </c>
      <c r="D4202" s="1" t="s">
        <v>1998</v>
      </c>
      <c r="E4202" s="1"/>
      <c r="F4202" s="1" t="s">
        <v>11</v>
      </c>
      <c r="G4202">
        <v>2430</v>
      </c>
      <c r="H4202">
        <v>1215</v>
      </c>
      <c r="I4202" s="2"/>
      <c r="J4202" s="2">
        <v>45769</v>
      </c>
      <c r="K4202" s="2">
        <v>45789</v>
      </c>
    </row>
    <row r="4203" spans="1:11" x14ac:dyDescent="0.25">
      <c r="A4203" s="1" t="s">
        <v>707</v>
      </c>
      <c r="B4203" s="1" t="s">
        <v>1798</v>
      </c>
      <c r="C4203" s="1" t="s">
        <v>2664</v>
      </c>
      <c r="D4203" s="1" t="s">
        <v>1998</v>
      </c>
      <c r="E4203" s="1"/>
      <c r="F4203" s="1" t="s">
        <v>11</v>
      </c>
      <c r="G4203">
        <v>1</v>
      </c>
      <c r="H4203">
        <v>1</v>
      </c>
      <c r="I4203" s="2"/>
      <c r="J4203" s="2">
        <v>45769</v>
      </c>
      <c r="K4203" s="2">
        <v>45789</v>
      </c>
    </row>
    <row r="4204" spans="1:11" x14ac:dyDescent="0.25">
      <c r="A4204" s="1" t="s">
        <v>707</v>
      </c>
      <c r="B4204" s="1" t="s">
        <v>1068</v>
      </c>
      <c r="C4204" s="1" t="s">
        <v>2074</v>
      </c>
      <c r="D4204" s="1" t="s">
        <v>1998</v>
      </c>
      <c r="E4204" s="1"/>
      <c r="F4204" s="1" t="s">
        <v>11</v>
      </c>
      <c r="G4204">
        <v>5</v>
      </c>
      <c r="H4204">
        <v>5</v>
      </c>
      <c r="I4204" s="2"/>
      <c r="J4204" s="2">
        <v>45769</v>
      </c>
      <c r="K4204" s="2">
        <v>45789</v>
      </c>
    </row>
    <row r="4205" spans="1:11" x14ac:dyDescent="0.25">
      <c r="A4205" s="1" t="s">
        <v>707</v>
      </c>
      <c r="B4205" s="1" t="s">
        <v>1069</v>
      </c>
      <c r="C4205" s="1" t="s">
        <v>2075</v>
      </c>
      <c r="D4205" s="1" t="s">
        <v>1998</v>
      </c>
      <c r="E4205" s="1"/>
      <c r="F4205" s="1" t="s">
        <v>11</v>
      </c>
      <c r="G4205">
        <v>5</v>
      </c>
      <c r="H4205">
        <v>5</v>
      </c>
      <c r="I4205" s="2"/>
      <c r="J4205" s="2">
        <v>45769</v>
      </c>
      <c r="K4205" s="2">
        <v>45789</v>
      </c>
    </row>
    <row r="4206" spans="1:11" x14ac:dyDescent="0.25">
      <c r="A4206" s="1" t="s">
        <v>707</v>
      </c>
      <c r="B4206" s="1" t="s">
        <v>1070</v>
      </c>
      <c r="C4206" s="1" t="s">
        <v>2076</v>
      </c>
      <c r="D4206" s="1" t="s">
        <v>1998</v>
      </c>
      <c r="E4206" s="1"/>
      <c r="F4206" s="1" t="s">
        <v>11</v>
      </c>
      <c r="G4206">
        <v>5</v>
      </c>
      <c r="H4206">
        <v>5</v>
      </c>
      <c r="I4206" s="2"/>
      <c r="J4206" s="2">
        <v>45769</v>
      </c>
      <c r="K4206" s="2">
        <v>45789</v>
      </c>
    </row>
    <row r="4207" spans="1:11" x14ac:dyDescent="0.25">
      <c r="A4207" s="1" t="s">
        <v>707</v>
      </c>
      <c r="B4207" s="1" t="s">
        <v>1799</v>
      </c>
      <c r="C4207" s="1" t="s">
        <v>2665</v>
      </c>
      <c r="D4207" s="1" t="s">
        <v>1998</v>
      </c>
      <c r="E4207" s="1"/>
      <c r="F4207" s="1" t="s">
        <v>11</v>
      </c>
      <c r="G4207">
        <v>140</v>
      </c>
      <c r="H4207">
        <v>70</v>
      </c>
      <c r="I4207" s="2"/>
      <c r="J4207" s="2">
        <v>45769</v>
      </c>
      <c r="K4207" s="2">
        <v>45789</v>
      </c>
    </row>
    <row r="4208" spans="1:11" x14ac:dyDescent="0.25">
      <c r="A4208" s="1" t="s">
        <v>708</v>
      </c>
      <c r="B4208" s="1" t="s">
        <v>1800</v>
      </c>
      <c r="C4208" s="1" t="s">
        <v>2666</v>
      </c>
      <c r="D4208" s="1" t="s">
        <v>1998</v>
      </c>
      <c r="E4208" s="1"/>
      <c r="F4208" s="1" t="s">
        <v>11</v>
      </c>
      <c r="G4208">
        <v>1</v>
      </c>
      <c r="H4208">
        <v>1</v>
      </c>
      <c r="I4208" s="2">
        <v>45789</v>
      </c>
      <c r="J4208" s="2">
        <v>45768</v>
      </c>
      <c r="K4208" s="2">
        <v>45789</v>
      </c>
    </row>
    <row r="4209" spans="1:11" x14ac:dyDescent="0.25">
      <c r="A4209" s="1" t="s">
        <v>708</v>
      </c>
      <c r="B4209" s="1" t="s">
        <v>1801</v>
      </c>
      <c r="C4209" s="1" t="s">
        <v>2346</v>
      </c>
      <c r="D4209" s="1" t="s">
        <v>1998</v>
      </c>
      <c r="E4209" s="1"/>
      <c r="F4209" s="1" t="s">
        <v>11</v>
      </c>
      <c r="G4209">
        <v>55</v>
      </c>
      <c r="H4209">
        <v>110</v>
      </c>
      <c r="I4209" s="2">
        <v>45789</v>
      </c>
      <c r="J4209" s="2">
        <v>45768</v>
      </c>
      <c r="K4209" s="2">
        <v>45789</v>
      </c>
    </row>
    <row r="4210" spans="1:11" x14ac:dyDescent="0.25">
      <c r="A4210" s="1" t="s">
        <v>708</v>
      </c>
      <c r="B4210" s="1" t="s">
        <v>1802</v>
      </c>
      <c r="C4210" s="1" t="s">
        <v>2140</v>
      </c>
      <c r="D4210" s="1" t="s">
        <v>1998</v>
      </c>
      <c r="E4210" s="1"/>
      <c r="F4210" s="1" t="s">
        <v>11</v>
      </c>
      <c r="G4210">
        <v>60</v>
      </c>
      <c r="H4210">
        <v>60</v>
      </c>
      <c r="I4210" s="2">
        <v>45789</v>
      </c>
      <c r="J4210" s="2">
        <v>45768</v>
      </c>
      <c r="K4210" s="2">
        <v>45789</v>
      </c>
    </row>
    <row r="4211" spans="1:11" x14ac:dyDescent="0.25">
      <c r="A4211" s="1" t="s">
        <v>708</v>
      </c>
      <c r="B4211" s="1" t="s">
        <v>1450</v>
      </c>
      <c r="C4211" s="1" t="s">
        <v>2388</v>
      </c>
      <c r="D4211" s="1" t="s">
        <v>1998</v>
      </c>
      <c r="E4211" s="1"/>
      <c r="F4211" s="1" t="s">
        <v>11</v>
      </c>
      <c r="G4211">
        <v>1</v>
      </c>
      <c r="H4211">
        <v>1</v>
      </c>
      <c r="I4211" s="2">
        <v>45789</v>
      </c>
      <c r="J4211" s="2">
        <v>45768</v>
      </c>
      <c r="K4211" s="2">
        <v>45789</v>
      </c>
    </row>
    <row r="4212" spans="1:11" x14ac:dyDescent="0.25">
      <c r="A4212" s="1" t="s">
        <v>708</v>
      </c>
      <c r="B4212" s="1" t="s">
        <v>1803</v>
      </c>
      <c r="C4212" s="1" t="s">
        <v>2667</v>
      </c>
      <c r="D4212" s="1" t="s">
        <v>1998</v>
      </c>
      <c r="E4212" s="1"/>
      <c r="F4212" s="1" t="s">
        <v>11</v>
      </c>
      <c r="G4212">
        <v>1</v>
      </c>
      <c r="H4212">
        <v>1</v>
      </c>
      <c r="I4212" s="2">
        <v>45789</v>
      </c>
      <c r="J4212" s="2">
        <v>45768</v>
      </c>
      <c r="K4212" s="2">
        <v>45789</v>
      </c>
    </row>
    <row r="4213" spans="1:11" x14ac:dyDescent="0.25">
      <c r="A4213" s="1" t="s">
        <v>709</v>
      </c>
      <c r="B4213" s="1" t="s">
        <v>1800</v>
      </c>
      <c r="C4213" s="1" t="s">
        <v>2666</v>
      </c>
      <c r="D4213" s="1" t="s">
        <v>1998</v>
      </c>
      <c r="E4213" s="1"/>
      <c r="F4213" s="1" t="s">
        <v>11</v>
      </c>
      <c r="G4213">
        <v>1</v>
      </c>
      <c r="H4213">
        <v>1</v>
      </c>
      <c r="I4213" s="2">
        <v>45784</v>
      </c>
      <c r="J4213" s="2">
        <v>45768</v>
      </c>
      <c r="K4213" s="2">
        <v>45784</v>
      </c>
    </row>
    <row r="4214" spans="1:11" x14ac:dyDescent="0.25">
      <c r="A4214" s="1" t="s">
        <v>709</v>
      </c>
      <c r="B4214" s="1" t="s">
        <v>1804</v>
      </c>
      <c r="C4214" s="1" t="s">
        <v>2346</v>
      </c>
      <c r="D4214" s="1" t="s">
        <v>1998</v>
      </c>
      <c r="E4214" s="1"/>
      <c r="F4214" s="1" t="s">
        <v>11</v>
      </c>
      <c r="G4214">
        <v>45</v>
      </c>
      <c r="H4214">
        <v>45</v>
      </c>
      <c r="I4214" s="2">
        <v>45784</v>
      </c>
      <c r="J4214" s="2">
        <v>45768</v>
      </c>
      <c r="K4214" s="2">
        <v>45784</v>
      </c>
    </row>
    <row r="4215" spans="1:11" x14ac:dyDescent="0.25">
      <c r="A4215" s="1" t="s">
        <v>709</v>
      </c>
      <c r="B4215" s="1" t="s">
        <v>1805</v>
      </c>
      <c r="C4215" s="1" t="s">
        <v>2140</v>
      </c>
      <c r="D4215" s="1" t="s">
        <v>1998</v>
      </c>
      <c r="E4215" s="1"/>
      <c r="F4215" s="1" t="s">
        <v>11</v>
      </c>
      <c r="G4215">
        <v>60</v>
      </c>
      <c r="H4215">
        <v>60</v>
      </c>
      <c r="I4215" s="2">
        <v>45784</v>
      </c>
      <c r="J4215" s="2">
        <v>45768</v>
      </c>
      <c r="K4215" s="2">
        <v>45784</v>
      </c>
    </row>
    <row r="4216" spans="1:11" x14ac:dyDescent="0.25">
      <c r="A4216" s="1" t="s">
        <v>709</v>
      </c>
      <c r="B4216" s="1" t="s">
        <v>1450</v>
      </c>
      <c r="C4216" s="1" t="s">
        <v>2388</v>
      </c>
      <c r="D4216" s="1" t="s">
        <v>1998</v>
      </c>
      <c r="E4216" s="1"/>
      <c r="F4216" s="1" t="s">
        <v>11</v>
      </c>
      <c r="G4216">
        <v>1</v>
      </c>
      <c r="H4216">
        <v>1</v>
      </c>
      <c r="I4216" s="2">
        <v>45784</v>
      </c>
      <c r="J4216" s="2">
        <v>45768</v>
      </c>
      <c r="K4216" s="2">
        <v>45784</v>
      </c>
    </row>
    <row r="4217" spans="1:11" x14ac:dyDescent="0.25">
      <c r="A4217" s="1" t="s">
        <v>709</v>
      </c>
      <c r="B4217" s="1" t="s">
        <v>1806</v>
      </c>
      <c r="C4217" s="1" t="s">
        <v>2668</v>
      </c>
      <c r="D4217" s="1" t="s">
        <v>1998</v>
      </c>
      <c r="E4217" s="1"/>
      <c r="F4217" s="1" t="s">
        <v>11</v>
      </c>
      <c r="G4217">
        <v>5</v>
      </c>
      <c r="H4217">
        <v>5</v>
      </c>
      <c r="I4217" s="2">
        <v>45784</v>
      </c>
      <c r="J4217" s="2">
        <v>45768</v>
      </c>
      <c r="K4217" s="2">
        <v>45784</v>
      </c>
    </row>
    <row r="4218" spans="1:11" x14ac:dyDescent="0.25">
      <c r="A4218" s="1" t="s">
        <v>710</v>
      </c>
      <c r="B4218" s="1" t="s">
        <v>1396</v>
      </c>
      <c r="C4218" s="1" t="s">
        <v>2345</v>
      </c>
      <c r="D4218" s="1" t="s">
        <v>1998</v>
      </c>
      <c r="E4218" s="1"/>
      <c r="F4218" s="1" t="s">
        <v>11</v>
      </c>
      <c r="G4218">
        <v>220</v>
      </c>
      <c r="H4218">
        <v>220</v>
      </c>
      <c r="I4218" s="2"/>
      <c r="J4218" s="2">
        <v>45768</v>
      </c>
      <c r="K4218" s="2">
        <v>45777</v>
      </c>
    </row>
    <row r="4219" spans="1:11" x14ac:dyDescent="0.25">
      <c r="A4219" s="1" t="s">
        <v>710</v>
      </c>
      <c r="B4219" s="1" t="s">
        <v>1194</v>
      </c>
      <c r="C4219" s="1" t="s">
        <v>2185</v>
      </c>
      <c r="D4219" s="1" t="s">
        <v>1998</v>
      </c>
      <c r="E4219" s="1"/>
      <c r="F4219" s="1" t="s">
        <v>11</v>
      </c>
      <c r="G4219">
        <v>725</v>
      </c>
      <c r="H4219">
        <v>725</v>
      </c>
      <c r="I4219" s="2"/>
      <c r="J4219" s="2">
        <v>45768</v>
      </c>
      <c r="K4219" s="2">
        <v>45777</v>
      </c>
    </row>
    <row r="4220" spans="1:11" x14ac:dyDescent="0.25">
      <c r="A4220" s="1" t="s">
        <v>711</v>
      </c>
      <c r="B4220" s="1" t="s">
        <v>1668</v>
      </c>
      <c r="C4220" s="1" t="s">
        <v>2346</v>
      </c>
      <c r="D4220" s="1" t="s">
        <v>1998</v>
      </c>
      <c r="E4220" s="1"/>
      <c r="F4220" s="1" t="s">
        <v>11</v>
      </c>
      <c r="G4220">
        <v>1905</v>
      </c>
      <c r="H4220">
        <v>1905</v>
      </c>
      <c r="I4220" s="2">
        <v>45784</v>
      </c>
      <c r="J4220" s="2">
        <v>45777</v>
      </c>
      <c r="K4220" s="2">
        <v>45784</v>
      </c>
    </row>
    <row r="4221" spans="1:11" x14ac:dyDescent="0.25">
      <c r="A4221" s="1" t="s">
        <v>711</v>
      </c>
      <c r="B4221" s="1" t="s">
        <v>1669</v>
      </c>
      <c r="C4221" s="1" t="s">
        <v>2578</v>
      </c>
      <c r="D4221" s="1" t="s">
        <v>1998</v>
      </c>
      <c r="E4221" s="1"/>
      <c r="F4221" s="1" t="s">
        <v>11</v>
      </c>
      <c r="G4221">
        <v>550</v>
      </c>
      <c r="H4221">
        <v>550</v>
      </c>
      <c r="I4221" s="2">
        <v>45784</v>
      </c>
      <c r="J4221" s="2">
        <v>45777</v>
      </c>
      <c r="K4221" s="2">
        <v>45784</v>
      </c>
    </row>
    <row r="4222" spans="1:11" x14ac:dyDescent="0.25">
      <c r="A4222" s="1" t="s">
        <v>711</v>
      </c>
      <c r="B4222" s="1" t="s">
        <v>1670</v>
      </c>
      <c r="C4222" s="1" t="s">
        <v>2579</v>
      </c>
      <c r="D4222" s="1" t="s">
        <v>1998</v>
      </c>
      <c r="E4222" s="1"/>
      <c r="F4222" s="1" t="s">
        <v>11</v>
      </c>
      <c r="G4222">
        <v>95</v>
      </c>
      <c r="H4222">
        <v>95</v>
      </c>
      <c r="I4222" s="2">
        <v>45784</v>
      </c>
      <c r="J4222" s="2">
        <v>45777</v>
      </c>
      <c r="K4222" s="2">
        <v>45784</v>
      </c>
    </row>
    <row r="4223" spans="1:11" x14ac:dyDescent="0.25">
      <c r="A4223" s="1" t="s">
        <v>711</v>
      </c>
      <c r="B4223" s="1" t="s">
        <v>1671</v>
      </c>
      <c r="C4223" s="1" t="s">
        <v>2127</v>
      </c>
      <c r="D4223" s="1" t="s">
        <v>1998</v>
      </c>
      <c r="E4223" s="1"/>
      <c r="F4223" s="1" t="s">
        <v>11</v>
      </c>
      <c r="G4223">
        <v>660</v>
      </c>
      <c r="H4223">
        <v>660</v>
      </c>
      <c r="I4223" s="2">
        <v>45784</v>
      </c>
      <c r="J4223" s="2">
        <v>45777</v>
      </c>
      <c r="K4223" s="2">
        <v>45784</v>
      </c>
    </row>
    <row r="4224" spans="1:11" x14ac:dyDescent="0.25">
      <c r="A4224" s="1" t="s">
        <v>712</v>
      </c>
      <c r="B4224" s="1" t="s">
        <v>1108</v>
      </c>
      <c r="C4224" s="1" t="s">
        <v>2108</v>
      </c>
      <c r="D4224" s="1" t="s">
        <v>1998</v>
      </c>
      <c r="E4224" s="1"/>
      <c r="F4224" s="1" t="s">
        <v>11</v>
      </c>
      <c r="G4224">
        <v>1205</v>
      </c>
      <c r="H4224">
        <v>1205</v>
      </c>
      <c r="I4224" s="2">
        <v>45784</v>
      </c>
      <c r="J4224" s="2">
        <v>45770</v>
      </c>
      <c r="K4224" s="2">
        <v>45784</v>
      </c>
    </row>
    <row r="4225" spans="1:11" x14ac:dyDescent="0.25">
      <c r="A4225" s="1" t="s">
        <v>712</v>
      </c>
      <c r="B4225" s="1" t="s">
        <v>1105</v>
      </c>
      <c r="C4225" s="1" t="s">
        <v>2106</v>
      </c>
      <c r="D4225" s="1" t="s">
        <v>1998</v>
      </c>
      <c r="E4225" s="1"/>
      <c r="F4225" s="1" t="s">
        <v>11</v>
      </c>
      <c r="G4225">
        <v>475</v>
      </c>
      <c r="H4225">
        <v>475</v>
      </c>
      <c r="I4225" s="2">
        <v>45784</v>
      </c>
      <c r="J4225" s="2">
        <v>45770</v>
      </c>
      <c r="K4225" s="2">
        <v>45784</v>
      </c>
    </row>
    <row r="4226" spans="1:11" x14ac:dyDescent="0.25">
      <c r="A4226" s="1" t="s">
        <v>712</v>
      </c>
      <c r="B4226" s="1" t="s">
        <v>1105</v>
      </c>
      <c r="C4226" s="1" t="s">
        <v>2106</v>
      </c>
      <c r="D4226" s="1" t="s">
        <v>1998</v>
      </c>
      <c r="E4226" s="1"/>
      <c r="F4226" s="1" t="s">
        <v>11</v>
      </c>
      <c r="G4226">
        <v>5</v>
      </c>
      <c r="H4226">
        <v>5</v>
      </c>
      <c r="I4226" s="2">
        <v>45784</v>
      </c>
      <c r="J4226" s="2">
        <v>45770</v>
      </c>
      <c r="K4226" s="2">
        <v>45784</v>
      </c>
    </row>
    <row r="4227" spans="1:11" x14ac:dyDescent="0.25">
      <c r="A4227" s="1" t="s">
        <v>712</v>
      </c>
      <c r="B4227" s="1" t="s">
        <v>1105</v>
      </c>
      <c r="C4227" s="1" t="s">
        <v>2106</v>
      </c>
      <c r="D4227" s="1" t="s">
        <v>1998</v>
      </c>
      <c r="E4227" s="1"/>
      <c r="F4227" s="1" t="s">
        <v>11</v>
      </c>
      <c r="G4227">
        <v>1</v>
      </c>
      <c r="H4227">
        <v>1</v>
      </c>
      <c r="I4227" s="2">
        <v>45784</v>
      </c>
      <c r="J4227" s="2">
        <v>45770</v>
      </c>
      <c r="K4227" s="2">
        <v>45784</v>
      </c>
    </row>
    <row r="4228" spans="1:11" x14ac:dyDescent="0.25">
      <c r="A4228" s="1" t="s">
        <v>712</v>
      </c>
      <c r="B4228" s="1" t="s">
        <v>1106</v>
      </c>
      <c r="C4228" s="1" t="s">
        <v>2107</v>
      </c>
      <c r="D4228" s="1" t="s">
        <v>1998</v>
      </c>
      <c r="E4228" s="1"/>
      <c r="F4228" s="1" t="s">
        <v>11</v>
      </c>
      <c r="G4228">
        <v>1270</v>
      </c>
      <c r="H4228">
        <v>1270</v>
      </c>
      <c r="I4228" s="2">
        <v>45784</v>
      </c>
      <c r="J4228" s="2">
        <v>45770</v>
      </c>
      <c r="K4228" s="2">
        <v>45784</v>
      </c>
    </row>
    <row r="4229" spans="1:11" x14ac:dyDescent="0.25">
      <c r="A4229" s="1" t="s">
        <v>712</v>
      </c>
      <c r="B4229" s="1" t="s">
        <v>1107</v>
      </c>
      <c r="C4229" s="1" t="s">
        <v>2002</v>
      </c>
      <c r="D4229" s="1" t="s">
        <v>1998</v>
      </c>
      <c r="E4229" s="1"/>
      <c r="F4229" s="1" t="s">
        <v>11</v>
      </c>
      <c r="G4229">
        <v>1090</v>
      </c>
      <c r="H4229">
        <v>1090</v>
      </c>
      <c r="I4229" s="2">
        <v>45784</v>
      </c>
      <c r="J4229" s="2">
        <v>45770</v>
      </c>
      <c r="K4229" s="2">
        <v>45784</v>
      </c>
    </row>
    <row r="4230" spans="1:11" x14ac:dyDescent="0.25">
      <c r="A4230" s="1" t="s">
        <v>712</v>
      </c>
      <c r="B4230" s="1" t="s">
        <v>1107</v>
      </c>
      <c r="C4230" s="1" t="s">
        <v>2002</v>
      </c>
      <c r="D4230" s="1" t="s">
        <v>1998</v>
      </c>
      <c r="E4230" s="1"/>
      <c r="F4230" s="1" t="s">
        <v>11</v>
      </c>
      <c r="G4230">
        <v>60</v>
      </c>
      <c r="H4230">
        <v>60</v>
      </c>
      <c r="I4230" s="2">
        <v>45784</v>
      </c>
      <c r="J4230" s="2">
        <v>45770</v>
      </c>
      <c r="K4230" s="2">
        <v>45784</v>
      </c>
    </row>
    <row r="4231" spans="1:11" x14ac:dyDescent="0.25">
      <c r="A4231" s="1" t="s">
        <v>712</v>
      </c>
      <c r="B4231" s="1" t="s">
        <v>1107</v>
      </c>
      <c r="C4231" s="1" t="s">
        <v>2002</v>
      </c>
      <c r="D4231" s="1" t="s">
        <v>1998</v>
      </c>
      <c r="E4231" s="1"/>
      <c r="F4231" s="1" t="s">
        <v>11</v>
      </c>
      <c r="G4231">
        <v>10</v>
      </c>
      <c r="H4231">
        <v>10</v>
      </c>
      <c r="I4231" s="2">
        <v>45784</v>
      </c>
      <c r="J4231" s="2">
        <v>45770</v>
      </c>
      <c r="K4231" s="2">
        <v>45784</v>
      </c>
    </row>
    <row r="4232" spans="1:11" x14ac:dyDescent="0.25">
      <c r="A4232" s="1" t="s">
        <v>713</v>
      </c>
      <c r="B4232" s="1" t="s">
        <v>981</v>
      </c>
      <c r="C4232" s="1" t="s">
        <v>1999</v>
      </c>
      <c r="D4232" s="1" t="s">
        <v>1998</v>
      </c>
      <c r="E4232" s="1"/>
      <c r="F4232" s="1" t="s">
        <v>11</v>
      </c>
      <c r="G4232">
        <v>400</v>
      </c>
      <c r="H4232">
        <v>400</v>
      </c>
      <c r="I4232" s="2">
        <v>45784</v>
      </c>
      <c r="J4232" s="2">
        <v>45770</v>
      </c>
      <c r="K4232" s="2">
        <v>45784</v>
      </c>
    </row>
    <row r="4233" spans="1:11" x14ac:dyDescent="0.25">
      <c r="A4233" s="1" t="s">
        <v>713</v>
      </c>
      <c r="B4233" s="1" t="s">
        <v>981</v>
      </c>
      <c r="C4233" s="1" t="s">
        <v>1999</v>
      </c>
      <c r="D4233" s="1" t="s">
        <v>1998</v>
      </c>
      <c r="E4233" s="1"/>
      <c r="F4233" s="1" t="s">
        <v>11</v>
      </c>
      <c r="G4233">
        <v>20</v>
      </c>
      <c r="H4233">
        <v>20</v>
      </c>
      <c r="I4233" s="2">
        <v>45784</v>
      </c>
      <c r="J4233" s="2">
        <v>45770</v>
      </c>
      <c r="K4233" s="2">
        <v>45784</v>
      </c>
    </row>
    <row r="4234" spans="1:11" x14ac:dyDescent="0.25">
      <c r="A4234" s="1" t="s">
        <v>713</v>
      </c>
      <c r="B4234" s="1" t="s">
        <v>981</v>
      </c>
      <c r="C4234" s="1" t="s">
        <v>1999</v>
      </c>
      <c r="D4234" s="1" t="s">
        <v>1998</v>
      </c>
      <c r="E4234" s="1"/>
      <c r="F4234" s="1" t="s">
        <v>16</v>
      </c>
      <c r="G4234">
        <v>5</v>
      </c>
      <c r="H4234">
        <v>5</v>
      </c>
      <c r="I4234" s="2">
        <v>45784</v>
      </c>
      <c r="J4234" s="2">
        <v>45770</v>
      </c>
      <c r="K4234" s="2">
        <v>45784</v>
      </c>
    </row>
    <row r="4235" spans="1:11" x14ac:dyDescent="0.25">
      <c r="A4235" s="1" t="s">
        <v>713</v>
      </c>
      <c r="B4235" s="1" t="s">
        <v>982</v>
      </c>
      <c r="C4235" s="1" t="s">
        <v>2000</v>
      </c>
      <c r="D4235" s="1" t="s">
        <v>1998</v>
      </c>
      <c r="E4235" s="1"/>
      <c r="F4235" s="1" t="s">
        <v>11</v>
      </c>
      <c r="G4235">
        <v>420</v>
      </c>
      <c r="H4235">
        <v>420</v>
      </c>
      <c r="I4235" s="2">
        <v>45784</v>
      </c>
      <c r="J4235" s="2">
        <v>45770</v>
      </c>
      <c r="K4235" s="2">
        <v>45784</v>
      </c>
    </row>
    <row r="4236" spans="1:11" x14ac:dyDescent="0.25">
      <c r="A4236" s="1" t="s">
        <v>713</v>
      </c>
      <c r="B4236" s="1" t="s">
        <v>982</v>
      </c>
      <c r="C4236" s="1" t="s">
        <v>2000</v>
      </c>
      <c r="D4236" s="1" t="s">
        <v>1998</v>
      </c>
      <c r="E4236" s="1"/>
      <c r="F4236" s="1" t="s">
        <v>11</v>
      </c>
      <c r="G4236">
        <v>1</v>
      </c>
      <c r="H4236">
        <v>1</v>
      </c>
      <c r="I4236" s="2">
        <v>45784</v>
      </c>
      <c r="J4236" s="2">
        <v>45770</v>
      </c>
      <c r="K4236" s="2">
        <v>45784</v>
      </c>
    </row>
    <row r="4237" spans="1:11" x14ac:dyDescent="0.25">
      <c r="A4237" s="1" t="s">
        <v>713</v>
      </c>
      <c r="B4237" s="1" t="s">
        <v>983</v>
      </c>
      <c r="C4237" s="1" t="s">
        <v>2001</v>
      </c>
      <c r="D4237" s="1" t="s">
        <v>1998</v>
      </c>
      <c r="E4237" s="1"/>
      <c r="F4237" s="1" t="s">
        <v>11</v>
      </c>
      <c r="G4237">
        <v>450</v>
      </c>
      <c r="H4237">
        <v>450</v>
      </c>
      <c r="I4237" s="2">
        <v>45784</v>
      </c>
      <c r="J4237" s="2">
        <v>45770</v>
      </c>
      <c r="K4237" s="2">
        <v>45784</v>
      </c>
    </row>
    <row r="4238" spans="1:11" x14ac:dyDescent="0.25">
      <c r="A4238" s="1" t="s">
        <v>713</v>
      </c>
      <c r="B4238" s="1" t="s">
        <v>984</v>
      </c>
      <c r="C4238" s="1" t="s">
        <v>2002</v>
      </c>
      <c r="D4238" s="1" t="s">
        <v>1998</v>
      </c>
      <c r="E4238" s="1"/>
      <c r="F4238" s="1" t="s">
        <v>11</v>
      </c>
      <c r="G4238">
        <v>250</v>
      </c>
      <c r="H4238">
        <v>250</v>
      </c>
      <c r="I4238" s="2">
        <v>45784</v>
      </c>
      <c r="J4238" s="2">
        <v>45770</v>
      </c>
      <c r="K4238" s="2">
        <v>45784</v>
      </c>
    </row>
    <row r="4239" spans="1:11" x14ac:dyDescent="0.25">
      <c r="A4239" s="1" t="s">
        <v>713</v>
      </c>
      <c r="B4239" s="1" t="s">
        <v>984</v>
      </c>
      <c r="C4239" s="1" t="s">
        <v>2002</v>
      </c>
      <c r="D4239" s="1" t="s">
        <v>1998</v>
      </c>
      <c r="E4239" s="1"/>
      <c r="F4239" s="1" t="s">
        <v>11</v>
      </c>
      <c r="G4239">
        <v>1</v>
      </c>
      <c r="H4239">
        <v>1</v>
      </c>
      <c r="I4239" s="2">
        <v>45784</v>
      </c>
      <c r="J4239" s="2">
        <v>45770</v>
      </c>
      <c r="K4239" s="2">
        <v>45784</v>
      </c>
    </row>
    <row r="4240" spans="1:11" x14ac:dyDescent="0.25">
      <c r="A4240" s="1" t="s">
        <v>713</v>
      </c>
      <c r="B4240" s="1" t="s">
        <v>984</v>
      </c>
      <c r="C4240" s="1" t="s">
        <v>2002</v>
      </c>
      <c r="D4240" s="1" t="s">
        <v>1998</v>
      </c>
      <c r="E4240" s="1"/>
      <c r="F4240" s="1" t="s">
        <v>16</v>
      </c>
      <c r="G4240">
        <v>5</v>
      </c>
      <c r="H4240">
        <v>5</v>
      </c>
      <c r="I4240" s="2">
        <v>45784</v>
      </c>
      <c r="J4240" s="2">
        <v>45770</v>
      </c>
      <c r="K4240" s="2">
        <v>45784</v>
      </c>
    </row>
    <row r="4241" spans="1:11" x14ac:dyDescent="0.25">
      <c r="A4241" s="1" t="s">
        <v>714</v>
      </c>
      <c r="B4241" s="1" t="s">
        <v>982</v>
      </c>
      <c r="C4241" s="1" t="s">
        <v>2000</v>
      </c>
      <c r="D4241" s="1" t="s">
        <v>1998</v>
      </c>
      <c r="E4241" s="1"/>
      <c r="F4241" s="1" t="s">
        <v>11</v>
      </c>
      <c r="G4241">
        <v>110</v>
      </c>
      <c r="H4241">
        <v>110</v>
      </c>
      <c r="I4241" s="2">
        <v>45784</v>
      </c>
      <c r="J4241" s="2">
        <v>45770</v>
      </c>
      <c r="K4241" s="2">
        <v>45784</v>
      </c>
    </row>
    <row r="4242" spans="1:11" x14ac:dyDescent="0.25">
      <c r="A4242" s="1" t="s">
        <v>714</v>
      </c>
      <c r="B4242" s="1" t="s">
        <v>1807</v>
      </c>
      <c r="C4242" s="1" t="s">
        <v>2001</v>
      </c>
      <c r="D4242" s="1" t="s">
        <v>1998</v>
      </c>
      <c r="E4242" s="1"/>
      <c r="F4242" s="1" t="s">
        <v>11</v>
      </c>
      <c r="G4242">
        <v>390</v>
      </c>
      <c r="H4242">
        <v>390</v>
      </c>
      <c r="I4242" s="2">
        <v>45784</v>
      </c>
      <c r="J4242" s="2">
        <v>45770</v>
      </c>
      <c r="K4242" s="2">
        <v>45784</v>
      </c>
    </row>
    <row r="4243" spans="1:11" x14ac:dyDescent="0.25">
      <c r="A4243" s="1" t="s">
        <v>714</v>
      </c>
      <c r="B4243" s="1" t="s">
        <v>1807</v>
      </c>
      <c r="C4243" s="1" t="s">
        <v>2001</v>
      </c>
      <c r="D4243" s="1" t="s">
        <v>1998</v>
      </c>
      <c r="E4243" s="1"/>
      <c r="F4243" s="1" t="s">
        <v>11</v>
      </c>
      <c r="G4243">
        <v>15</v>
      </c>
      <c r="H4243">
        <v>15</v>
      </c>
      <c r="I4243" s="2">
        <v>45784</v>
      </c>
      <c r="J4243" s="2">
        <v>45770</v>
      </c>
      <c r="K4243" s="2">
        <v>45784</v>
      </c>
    </row>
    <row r="4244" spans="1:11" x14ac:dyDescent="0.25">
      <c r="A4244" s="1" t="s">
        <v>714</v>
      </c>
      <c r="B4244" s="1" t="s">
        <v>1808</v>
      </c>
      <c r="C4244" s="1" t="s">
        <v>2014</v>
      </c>
      <c r="D4244" s="1" t="s">
        <v>1998</v>
      </c>
      <c r="E4244" s="1"/>
      <c r="F4244" s="1" t="s">
        <v>11</v>
      </c>
      <c r="G4244">
        <v>765</v>
      </c>
      <c r="H4244">
        <v>765</v>
      </c>
      <c r="I4244" s="2">
        <v>45784</v>
      </c>
      <c r="J4244" s="2">
        <v>45770</v>
      </c>
      <c r="K4244" s="2">
        <v>45784</v>
      </c>
    </row>
    <row r="4245" spans="1:11" x14ac:dyDescent="0.25">
      <c r="A4245" s="1" t="s">
        <v>714</v>
      </c>
      <c r="B4245" s="1" t="s">
        <v>1809</v>
      </c>
      <c r="C4245" s="1" t="s">
        <v>2669</v>
      </c>
      <c r="D4245" s="1" t="s">
        <v>1998</v>
      </c>
      <c r="E4245" s="1"/>
      <c r="F4245" s="1" t="s">
        <v>11</v>
      </c>
      <c r="G4245">
        <v>650</v>
      </c>
      <c r="H4245">
        <v>650</v>
      </c>
      <c r="I4245" s="2">
        <v>45784</v>
      </c>
      <c r="J4245" s="2">
        <v>45770</v>
      </c>
      <c r="K4245" s="2">
        <v>45784</v>
      </c>
    </row>
    <row r="4246" spans="1:11" x14ac:dyDescent="0.25">
      <c r="A4246" s="1" t="s">
        <v>715</v>
      </c>
      <c r="B4246" s="1" t="s">
        <v>1810</v>
      </c>
      <c r="C4246" s="1" t="s">
        <v>2670</v>
      </c>
      <c r="D4246" s="1" t="s">
        <v>1998</v>
      </c>
      <c r="E4246" s="1"/>
      <c r="F4246" s="1" t="s">
        <v>11</v>
      </c>
      <c r="G4246">
        <v>400</v>
      </c>
      <c r="H4246">
        <v>355</v>
      </c>
      <c r="I4246" s="2"/>
      <c r="J4246" s="2">
        <v>45769</v>
      </c>
      <c r="K4246" s="2">
        <v>45786</v>
      </c>
    </row>
    <row r="4247" spans="1:11" x14ac:dyDescent="0.25">
      <c r="A4247" s="1" t="s">
        <v>716</v>
      </c>
      <c r="B4247" s="1" t="s">
        <v>1810</v>
      </c>
      <c r="C4247" s="1" t="s">
        <v>2670</v>
      </c>
      <c r="D4247" s="1" t="s">
        <v>1998</v>
      </c>
      <c r="E4247" s="1"/>
      <c r="F4247" s="1" t="s">
        <v>11</v>
      </c>
      <c r="G4247">
        <v>135</v>
      </c>
      <c r="H4247">
        <v>135</v>
      </c>
      <c r="I4247" s="2"/>
      <c r="J4247" s="2">
        <v>45769</v>
      </c>
      <c r="K4247" s="2">
        <v>45769</v>
      </c>
    </row>
    <row r="4248" spans="1:11" x14ac:dyDescent="0.25">
      <c r="A4248" s="1" t="s">
        <v>717</v>
      </c>
      <c r="B4248" s="1" t="s">
        <v>1811</v>
      </c>
      <c r="C4248" s="1" t="s">
        <v>2671</v>
      </c>
      <c r="D4248" s="1" t="s">
        <v>1998</v>
      </c>
      <c r="E4248" s="1"/>
      <c r="F4248" s="1" t="s">
        <v>11</v>
      </c>
      <c r="G4248">
        <v>10</v>
      </c>
      <c r="H4248">
        <v>10</v>
      </c>
      <c r="I4248" s="2">
        <v>45780</v>
      </c>
      <c r="J4248" s="2">
        <v>45769</v>
      </c>
      <c r="K4248" s="2">
        <v>45780</v>
      </c>
    </row>
    <row r="4249" spans="1:11" x14ac:dyDescent="0.25">
      <c r="A4249" s="1" t="s">
        <v>717</v>
      </c>
      <c r="B4249" s="1" t="s">
        <v>1812</v>
      </c>
      <c r="C4249" s="1" t="s">
        <v>2672</v>
      </c>
      <c r="D4249" s="1" t="s">
        <v>1998</v>
      </c>
      <c r="E4249" s="1"/>
      <c r="F4249" s="1" t="s">
        <v>11</v>
      </c>
      <c r="G4249">
        <v>5</v>
      </c>
      <c r="H4249">
        <v>5</v>
      </c>
      <c r="I4249" s="2">
        <v>45780</v>
      </c>
      <c r="J4249" s="2">
        <v>45769</v>
      </c>
      <c r="K4249" s="2">
        <v>45780</v>
      </c>
    </row>
    <row r="4250" spans="1:11" x14ac:dyDescent="0.25">
      <c r="A4250" s="1" t="s">
        <v>717</v>
      </c>
      <c r="B4250" s="1" t="s">
        <v>1813</v>
      </c>
      <c r="C4250" s="1" t="s">
        <v>2673</v>
      </c>
      <c r="D4250" s="1" t="s">
        <v>1998</v>
      </c>
      <c r="E4250" s="1"/>
      <c r="F4250" s="1" t="s">
        <v>11</v>
      </c>
      <c r="G4250">
        <v>20</v>
      </c>
      <c r="H4250">
        <v>20</v>
      </c>
      <c r="I4250" s="2">
        <v>45780</v>
      </c>
      <c r="J4250" s="2">
        <v>45769</v>
      </c>
      <c r="K4250" s="2">
        <v>45780</v>
      </c>
    </row>
    <row r="4251" spans="1:11" x14ac:dyDescent="0.25">
      <c r="A4251" s="1" t="s">
        <v>717</v>
      </c>
      <c r="B4251" s="1" t="s">
        <v>1814</v>
      </c>
      <c r="C4251" s="1" t="s">
        <v>2674</v>
      </c>
      <c r="D4251" s="1" t="s">
        <v>1998</v>
      </c>
      <c r="E4251" s="1"/>
      <c r="F4251" s="1" t="s">
        <v>11</v>
      </c>
      <c r="G4251">
        <v>5</v>
      </c>
      <c r="H4251">
        <v>5</v>
      </c>
      <c r="I4251" s="2">
        <v>45780</v>
      </c>
      <c r="J4251" s="2">
        <v>45769</v>
      </c>
      <c r="K4251" s="2">
        <v>45780</v>
      </c>
    </row>
    <row r="4252" spans="1:11" x14ac:dyDescent="0.25">
      <c r="A4252" s="1" t="s">
        <v>717</v>
      </c>
      <c r="B4252" s="1" t="s">
        <v>1815</v>
      </c>
      <c r="C4252" s="1" t="s">
        <v>2675</v>
      </c>
      <c r="D4252" s="1" t="s">
        <v>1998</v>
      </c>
      <c r="E4252" s="1"/>
      <c r="F4252" s="1" t="s">
        <v>11</v>
      </c>
      <c r="G4252">
        <v>10</v>
      </c>
      <c r="H4252">
        <v>10</v>
      </c>
      <c r="I4252" s="2">
        <v>45780</v>
      </c>
      <c r="J4252" s="2">
        <v>45769</v>
      </c>
      <c r="K4252" s="2">
        <v>45780</v>
      </c>
    </row>
    <row r="4253" spans="1:11" x14ac:dyDescent="0.25">
      <c r="A4253" s="1" t="s">
        <v>717</v>
      </c>
      <c r="B4253" s="1" t="s">
        <v>1816</v>
      </c>
      <c r="C4253" s="1" t="s">
        <v>2676</v>
      </c>
      <c r="D4253" s="1" t="s">
        <v>1998</v>
      </c>
      <c r="E4253" s="1"/>
      <c r="F4253" s="1" t="s">
        <v>11</v>
      </c>
      <c r="G4253">
        <v>5</v>
      </c>
      <c r="H4253">
        <v>5</v>
      </c>
      <c r="I4253" s="2">
        <v>45780</v>
      </c>
      <c r="J4253" s="2">
        <v>45769</v>
      </c>
      <c r="K4253" s="2">
        <v>45780</v>
      </c>
    </row>
    <row r="4254" spans="1:11" x14ac:dyDescent="0.25">
      <c r="A4254" s="1" t="s">
        <v>717</v>
      </c>
      <c r="B4254" s="1" t="s">
        <v>1817</v>
      </c>
      <c r="C4254" s="1" t="s">
        <v>2677</v>
      </c>
      <c r="D4254" s="1" t="s">
        <v>1998</v>
      </c>
      <c r="E4254" s="1"/>
      <c r="F4254" s="1" t="s">
        <v>11</v>
      </c>
      <c r="G4254">
        <v>12425</v>
      </c>
      <c r="H4254">
        <v>12425</v>
      </c>
      <c r="I4254" s="2">
        <v>45780</v>
      </c>
      <c r="J4254" s="2">
        <v>45769</v>
      </c>
      <c r="K4254" s="2">
        <v>45780</v>
      </c>
    </row>
    <row r="4255" spans="1:11" x14ac:dyDescent="0.25">
      <c r="A4255" s="1" t="s">
        <v>717</v>
      </c>
      <c r="B4255" s="1" t="s">
        <v>1818</v>
      </c>
      <c r="C4255" s="1" t="s">
        <v>2678</v>
      </c>
      <c r="D4255" s="1" t="s">
        <v>1998</v>
      </c>
      <c r="E4255" s="1"/>
      <c r="F4255" s="1" t="s">
        <v>11</v>
      </c>
      <c r="G4255">
        <v>405</v>
      </c>
      <c r="H4255">
        <v>405</v>
      </c>
      <c r="I4255" s="2">
        <v>45780</v>
      </c>
      <c r="J4255" s="2">
        <v>45769</v>
      </c>
      <c r="K4255" s="2">
        <v>45780</v>
      </c>
    </row>
    <row r="4256" spans="1:11" x14ac:dyDescent="0.25">
      <c r="A4256" s="1" t="s">
        <v>717</v>
      </c>
      <c r="B4256" s="1" t="s">
        <v>1819</v>
      </c>
      <c r="C4256" s="1" t="s">
        <v>2679</v>
      </c>
      <c r="D4256" s="1" t="s">
        <v>1998</v>
      </c>
      <c r="E4256" s="1"/>
      <c r="F4256" s="1" t="s">
        <v>11</v>
      </c>
      <c r="G4256">
        <v>135</v>
      </c>
      <c r="H4256">
        <v>135</v>
      </c>
      <c r="I4256" s="2">
        <v>45780</v>
      </c>
      <c r="J4256" s="2">
        <v>45769</v>
      </c>
      <c r="K4256" s="2">
        <v>45780</v>
      </c>
    </row>
    <row r="4257" spans="1:11" x14ac:dyDescent="0.25">
      <c r="A4257" s="1" t="s">
        <v>717</v>
      </c>
      <c r="B4257" s="1" t="s">
        <v>1820</v>
      </c>
      <c r="C4257" s="1" t="s">
        <v>2596</v>
      </c>
      <c r="D4257" s="1" t="s">
        <v>1998</v>
      </c>
      <c r="E4257" s="1"/>
      <c r="F4257" s="1" t="s">
        <v>11</v>
      </c>
      <c r="G4257">
        <v>2115</v>
      </c>
      <c r="H4257">
        <v>2115</v>
      </c>
      <c r="I4257" s="2">
        <v>45780</v>
      </c>
      <c r="J4257" s="2">
        <v>45769</v>
      </c>
      <c r="K4257" s="2">
        <v>45780</v>
      </c>
    </row>
    <row r="4258" spans="1:11" x14ac:dyDescent="0.25">
      <c r="A4258" s="1" t="s">
        <v>717</v>
      </c>
      <c r="B4258" s="1" t="s">
        <v>1821</v>
      </c>
      <c r="C4258" s="1" t="s">
        <v>2640</v>
      </c>
      <c r="D4258" s="1" t="s">
        <v>1998</v>
      </c>
      <c r="E4258" s="1"/>
      <c r="F4258" s="1" t="s">
        <v>11</v>
      </c>
      <c r="G4258">
        <v>5700</v>
      </c>
      <c r="H4258">
        <v>5700</v>
      </c>
      <c r="I4258" s="2">
        <v>45780</v>
      </c>
      <c r="J4258" s="2">
        <v>45769</v>
      </c>
      <c r="K4258" s="2">
        <v>45780</v>
      </c>
    </row>
    <row r="4259" spans="1:11" x14ac:dyDescent="0.25">
      <c r="A4259" s="1" t="s">
        <v>717</v>
      </c>
      <c r="B4259" s="1" t="s">
        <v>1822</v>
      </c>
      <c r="C4259" s="1" t="s">
        <v>2680</v>
      </c>
      <c r="D4259" s="1" t="s">
        <v>1998</v>
      </c>
      <c r="E4259" s="1"/>
      <c r="F4259" s="1" t="s">
        <v>11</v>
      </c>
      <c r="G4259">
        <v>10</v>
      </c>
      <c r="H4259">
        <v>10</v>
      </c>
      <c r="I4259" s="2">
        <v>45780</v>
      </c>
      <c r="J4259" s="2">
        <v>45769</v>
      </c>
      <c r="K4259" s="2">
        <v>45780</v>
      </c>
    </row>
    <row r="4260" spans="1:11" x14ac:dyDescent="0.25">
      <c r="A4260" s="1" t="s">
        <v>717</v>
      </c>
      <c r="B4260" s="1" t="s">
        <v>1823</v>
      </c>
      <c r="C4260" s="1" t="s">
        <v>2681</v>
      </c>
      <c r="D4260" s="1" t="s">
        <v>1998</v>
      </c>
      <c r="E4260" s="1"/>
      <c r="F4260" s="1" t="s">
        <v>11</v>
      </c>
      <c r="G4260">
        <v>50</v>
      </c>
      <c r="H4260">
        <v>50</v>
      </c>
      <c r="I4260" s="2">
        <v>45780</v>
      </c>
      <c r="J4260" s="2">
        <v>45769</v>
      </c>
      <c r="K4260" s="2">
        <v>45780</v>
      </c>
    </row>
    <row r="4261" spans="1:11" x14ac:dyDescent="0.25">
      <c r="A4261" s="1" t="s">
        <v>717</v>
      </c>
      <c r="B4261" s="1" t="s">
        <v>1824</v>
      </c>
      <c r="C4261" s="1" t="s">
        <v>2682</v>
      </c>
      <c r="D4261" s="1" t="s">
        <v>1998</v>
      </c>
      <c r="E4261" s="1"/>
      <c r="F4261" s="1" t="s">
        <v>11</v>
      </c>
      <c r="G4261">
        <v>1</v>
      </c>
      <c r="H4261">
        <v>1</v>
      </c>
      <c r="I4261" s="2">
        <v>45780</v>
      </c>
      <c r="J4261" s="2">
        <v>45769</v>
      </c>
      <c r="K4261" s="2">
        <v>45780</v>
      </c>
    </row>
    <row r="4262" spans="1:11" x14ac:dyDescent="0.25">
      <c r="A4262" s="1" t="s">
        <v>718</v>
      </c>
      <c r="B4262" s="1" t="s">
        <v>1825</v>
      </c>
      <c r="C4262" s="1" t="s">
        <v>2065</v>
      </c>
      <c r="D4262" s="1" t="s">
        <v>1998</v>
      </c>
      <c r="E4262" s="1"/>
      <c r="F4262" s="1" t="s">
        <v>11</v>
      </c>
      <c r="G4262">
        <v>2100</v>
      </c>
      <c r="H4262">
        <v>2100</v>
      </c>
      <c r="I4262" s="2"/>
      <c r="J4262" s="2">
        <v>45770</v>
      </c>
      <c r="K4262" s="2">
        <v>45771</v>
      </c>
    </row>
    <row r="4263" spans="1:11" x14ac:dyDescent="0.25">
      <c r="A4263" s="1" t="s">
        <v>718</v>
      </c>
      <c r="B4263" s="1" t="s">
        <v>1057</v>
      </c>
      <c r="C4263" s="1" t="s">
        <v>2066</v>
      </c>
      <c r="D4263" s="1" t="s">
        <v>1998</v>
      </c>
      <c r="E4263" s="1"/>
      <c r="F4263" s="1" t="s">
        <v>11</v>
      </c>
      <c r="G4263">
        <v>135</v>
      </c>
      <c r="H4263">
        <v>1</v>
      </c>
      <c r="I4263" s="2"/>
      <c r="J4263" s="2">
        <v>45770</v>
      </c>
      <c r="K4263" s="2">
        <v>45771</v>
      </c>
    </row>
    <row r="4264" spans="1:11" x14ac:dyDescent="0.25">
      <c r="A4264" s="1" t="s">
        <v>718</v>
      </c>
      <c r="B4264" s="1" t="s">
        <v>1826</v>
      </c>
      <c r="C4264" s="1" t="s">
        <v>2683</v>
      </c>
      <c r="D4264" s="1" t="s">
        <v>1998</v>
      </c>
      <c r="E4264" s="1"/>
      <c r="F4264" s="1" t="s">
        <v>11</v>
      </c>
      <c r="G4264">
        <v>2770</v>
      </c>
      <c r="H4264">
        <v>2770</v>
      </c>
      <c r="I4264" s="2"/>
      <c r="J4264" s="2">
        <v>45770</v>
      </c>
      <c r="K4264" s="2">
        <v>45771</v>
      </c>
    </row>
    <row r="4265" spans="1:11" x14ac:dyDescent="0.25">
      <c r="A4265" s="1" t="s">
        <v>718</v>
      </c>
      <c r="B4265" s="1" t="s">
        <v>1827</v>
      </c>
      <c r="C4265" s="1" t="s">
        <v>2684</v>
      </c>
      <c r="D4265" s="1" t="s">
        <v>1998</v>
      </c>
      <c r="E4265" s="1"/>
      <c r="F4265" s="1" t="s">
        <v>11</v>
      </c>
      <c r="G4265">
        <v>1740</v>
      </c>
      <c r="H4265">
        <v>1740</v>
      </c>
      <c r="I4265" s="2"/>
      <c r="J4265" s="2">
        <v>45770</v>
      </c>
      <c r="K4265" s="2">
        <v>45771</v>
      </c>
    </row>
    <row r="4266" spans="1:11" x14ac:dyDescent="0.25">
      <c r="A4266" s="1" t="s">
        <v>718</v>
      </c>
      <c r="B4266" s="1" t="s">
        <v>991</v>
      </c>
      <c r="C4266" s="1" t="s">
        <v>2009</v>
      </c>
      <c r="D4266" s="1" t="s">
        <v>1998</v>
      </c>
      <c r="E4266" s="1"/>
      <c r="F4266" s="1" t="s">
        <v>12</v>
      </c>
      <c r="G4266">
        <v>1</v>
      </c>
      <c r="H4266">
        <v>30</v>
      </c>
      <c r="I4266" s="2"/>
      <c r="J4266" s="2">
        <v>45770</v>
      </c>
      <c r="K4266" s="2">
        <v>45771</v>
      </c>
    </row>
    <row r="4267" spans="1:11" x14ac:dyDescent="0.25">
      <c r="A4267" s="1" t="s">
        <v>718</v>
      </c>
      <c r="B4267" s="1" t="s">
        <v>992</v>
      </c>
      <c r="C4267" s="1" t="s">
        <v>2010</v>
      </c>
      <c r="D4267" s="1" t="s">
        <v>1998</v>
      </c>
      <c r="E4267" s="1"/>
      <c r="F4267" s="1" t="s">
        <v>12</v>
      </c>
      <c r="G4267">
        <v>1</v>
      </c>
      <c r="H4267">
        <v>50</v>
      </c>
      <c r="I4267" s="2"/>
      <c r="J4267" s="2">
        <v>45770</v>
      </c>
      <c r="K4267" s="2">
        <v>45771</v>
      </c>
    </row>
    <row r="4268" spans="1:11" x14ac:dyDescent="0.25">
      <c r="A4268" s="1" t="s">
        <v>719</v>
      </c>
      <c r="B4268" s="1" t="s">
        <v>1828</v>
      </c>
      <c r="C4268" s="1" t="s">
        <v>2685</v>
      </c>
      <c r="D4268" s="1" t="s">
        <v>1998</v>
      </c>
      <c r="E4268" s="1"/>
      <c r="F4268" s="1" t="s">
        <v>11</v>
      </c>
      <c r="G4268">
        <v>520</v>
      </c>
      <c r="H4268">
        <v>515</v>
      </c>
      <c r="I4268" s="2"/>
      <c r="J4268" s="2">
        <v>45770</v>
      </c>
      <c r="K4268" s="2">
        <v>45785</v>
      </c>
    </row>
    <row r="4269" spans="1:11" x14ac:dyDescent="0.25">
      <c r="A4269" s="1" t="s">
        <v>719</v>
      </c>
      <c r="B4269" s="1" t="s">
        <v>1829</v>
      </c>
      <c r="C4269" s="1" t="s">
        <v>2039</v>
      </c>
      <c r="D4269" s="1" t="s">
        <v>1998</v>
      </c>
      <c r="E4269" s="1"/>
      <c r="F4269" s="1" t="s">
        <v>11</v>
      </c>
      <c r="G4269">
        <v>22650</v>
      </c>
      <c r="H4269">
        <v>22650</v>
      </c>
      <c r="I4269" s="2"/>
      <c r="J4269" s="2">
        <v>45770</v>
      </c>
      <c r="K4269" s="2">
        <v>45785</v>
      </c>
    </row>
    <row r="4270" spans="1:11" x14ac:dyDescent="0.25">
      <c r="A4270" s="1" t="s">
        <v>719</v>
      </c>
      <c r="B4270" s="1" t="s">
        <v>1830</v>
      </c>
      <c r="C4270" s="1" t="s">
        <v>2686</v>
      </c>
      <c r="D4270" s="1" t="s">
        <v>1998</v>
      </c>
      <c r="E4270" s="1"/>
      <c r="F4270" s="1" t="s">
        <v>11</v>
      </c>
      <c r="G4270">
        <v>1850</v>
      </c>
      <c r="H4270">
        <v>1825</v>
      </c>
      <c r="I4270" s="2"/>
      <c r="J4270" s="2">
        <v>45770</v>
      </c>
      <c r="K4270" s="2">
        <v>45785</v>
      </c>
    </row>
    <row r="4271" spans="1:11" x14ac:dyDescent="0.25">
      <c r="A4271" s="1" t="s">
        <v>719</v>
      </c>
      <c r="B4271" s="1" t="s">
        <v>1831</v>
      </c>
      <c r="C4271" s="1" t="s">
        <v>2064</v>
      </c>
      <c r="D4271" s="1" t="s">
        <v>1998</v>
      </c>
      <c r="E4271" s="1"/>
      <c r="F4271" s="1" t="s">
        <v>11</v>
      </c>
      <c r="G4271">
        <v>4500</v>
      </c>
      <c r="H4271">
        <v>4470</v>
      </c>
      <c r="I4271" s="2"/>
      <c r="J4271" s="2">
        <v>45770</v>
      </c>
      <c r="K4271" s="2">
        <v>45785</v>
      </c>
    </row>
    <row r="4272" spans="1:11" x14ac:dyDescent="0.25">
      <c r="A4272" s="1" t="s">
        <v>719</v>
      </c>
      <c r="B4272" s="1" t="s">
        <v>1832</v>
      </c>
      <c r="C4272" s="1" t="s">
        <v>2687</v>
      </c>
      <c r="D4272" s="1" t="s">
        <v>1998</v>
      </c>
      <c r="E4272" s="1"/>
      <c r="F4272" s="1" t="s">
        <v>11</v>
      </c>
      <c r="G4272">
        <v>90</v>
      </c>
      <c r="H4272">
        <v>95</v>
      </c>
      <c r="I4272" s="2"/>
      <c r="J4272" s="2">
        <v>45770</v>
      </c>
      <c r="K4272" s="2">
        <v>45785</v>
      </c>
    </row>
    <row r="4273" spans="1:11" x14ac:dyDescent="0.25">
      <c r="A4273" s="1" t="s">
        <v>719</v>
      </c>
      <c r="B4273" s="1" t="s">
        <v>1626</v>
      </c>
      <c r="C4273" s="1" t="s">
        <v>2541</v>
      </c>
      <c r="D4273" s="1" t="s">
        <v>1998</v>
      </c>
      <c r="E4273" s="1"/>
      <c r="F4273" s="1" t="s">
        <v>11</v>
      </c>
      <c r="G4273">
        <v>205</v>
      </c>
      <c r="H4273">
        <v>15</v>
      </c>
      <c r="I4273" s="2"/>
      <c r="J4273" s="2">
        <v>45770</v>
      </c>
      <c r="K4273" s="2">
        <v>45785</v>
      </c>
    </row>
    <row r="4274" spans="1:11" x14ac:dyDescent="0.25">
      <c r="A4274" s="1" t="s">
        <v>719</v>
      </c>
      <c r="B4274" s="1" t="s">
        <v>1027</v>
      </c>
      <c r="C4274" s="1" t="s">
        <v>2040</v>
      </c>
      <c r="D4274" s="1" t="s">
        <v>1998</v>
      </c>
      <c r="E4274" s="1"/>
      <c r="F4274" s="1" t="s">
        <v>11</v>
      </c>
      <c r="G4274">
        <v>45</v>
      </c>
      <c r="H4274">
        <v>45</v>
      </c>
      <c r="I4274" s="2"/>
      <c r="J4274" s="2">
        <v>45770</v>
      </c>
      <c r="K4274" s="2">
        <v>45785</v>
      </c>
    </row>
    <row r="4275" spans="1:11" x14ac:dyDescent="0.25">
      <c r="A4275" s="1" t="s">
        <v>719</v>
      </c>
      <c r="B4275" s="1" t="s">
        <v>1013</v>
      </c>
      <c r="C4275" s="1" t="s">
        <v>2030</v>
      </c>
      <c r="D4275" s="1" t="s">
        <v>1998</v>
      </c>
      <c r="E4275" s="1"/>
      <c r="F4275" s="1" t="s">
        <v>11</v>
      </c>
      <c r="G4275">
        <v>10</v>
      </c>
      <c r="H4275">
        <v>15</v>
      </c>
      <c r="I4275" s="2"/>
      <c r="J4275" s="2">
        <v>45770</v>
      </c>
      <c r="K4275" s="2">
        <v>45785</v>
      </c>
    </row>
    <row r="4276" spans="1:11" x14ac:dyDescent="0.25">
      <c r="A4276" s="1" t="s">
        <v>719</v>
      </c>
      <c r="B4276" s="1" t="s">
        <v>993</v>
      </c>
      <c r="C4276" s="1" t="s">
        <v>2011</v>
      </c>
      <c r="D4276" s="1" t="s">
        <v>1998</v>
      </c>
      <c r="E4276" s="1"/>
      <c r="F4276" s="1" t="s">
        <v>11</v>
      </c>
      <c r="G4276">
        <v>5</v>
      </c>
      <c r="H4276">
        <v>5</v>
      </c>
      <c r="I4276" s="2"/>
      <c r="J4276" s="2">
        <v>45770</v>
      </c>
      <c r="K4276" s="2">
        <v>45785</v>
      </c>
    </row>
    <row r="4277" spans="1:11" x14ac:dyDescent="0.25">
      <c r="A4277" s="1" t="s">
        <v>719</v>
      </c>
      <c r="B4277" s="1" t="s">
        <v>993</v>
      </c>
      <c r="C4277" s="1" t="s">
        <v>2011</v>
      </c>
      <c r="D4277" s="1" t="s">
        <v>1998</v>
      </c>
      <c r="E4277" s="1"/>
      <c r="F4277" s="1" t="s">
        <v>11</v>
      </c>
      <c r="G4277">
        <v>10</v>
      </c>
      <c r="H4277">
        <v>30</v>
      </c>
      <c r="I4277" s="2"/>
      <c r="J4277" s="2">
        <v>45770</v>
      </c>
      <c r="K4277" s="2">
        <v>45785</v>
      </c>
    </row>
    <row r="4278" spans="1:11" x14ac:dyDescent="0.25">
      <c r="A4278" s="1" t="s">
        <v>720</v>
      </c>
      <c r="B4278" s="1" t="s">
        <v>1833</v>
      </c>
      <c r="C4278" s="1" t="s">
        <v>2115</v>
      </c>
      <c r="D4278" s="1" t="s">
        <v>1998</v>
      </c>
      <c r="E4278" s="1"/>
      <c r="F4278" s="1" t="s">
        <v>11</v>
      </c>
      <c r="G4278">
        <v>1560</v>
      </c>
      <c r="H4278">
        <v>1560</v>
      </c>
      <c r="I4278" s="2">
        <v>45783</v>
      </c>
      <c r="J4278" s="2">
        <v>45771</v>
      </c>
      <c r="K4278" s="2">
        <v>45783</v>
      </c>
    </row>
    <row r="4279" spans="1:11" x14ac:dyDescent="0.25">
      <c r="A4279" s="1" t="s">
        <v>720</v>
      </c>
      <c r="B4279" s="1" t="s">
        <v>1833</v>
      </c>
      <c r="C4279" s="1" t="s">
        <v>2115</v>
      </c>
      <c r="D4279" s="1" t="s">
        <v>1998</v>
      </c>
      <c r="E4279" s="1"/>
      <c r="F4279" s="1" t="s">
        <v>11</v>
      </c>
      <c r="G4279">
        <v>20</v>
      </c>
      <c r="H4279">
        <v>20</v>
      </c>
      <c r="I4279" s="2">
        <v>45783</v>
      </c>
      <c r="J4279" s="2">
        <v>45771</v>
      </c>
      <c r="K4279" s="2">
        <v>45783</v>
      </c>
    </row>
    <row r="4280" spans="1:11" x14ac:dyDescent="0.25">
      <c r="A4280" s="1" t="s">
        <v>720</v>
      </c>
      <c r="B4280" s="1" t="s">
        <v>1834</v>
      </c>
      <c r="C4280" s="1" t="s">
        <v>2688</v>
      </c>
      <c r="D4280" s="1" t="s">
        <v>1998</v>
      </c>
      <c r="E4280" s="1"/>
      <c r="F4280" s="1" t="s">
        <v>11</v>
      </c>
      <c r="G4280">
        <v>1570</v>
      </c>
      <c r="H4280">
        <v>1570</v>
      </c>
      <c r="I4280" s="2">
        <v>45783</v>
      </c>
      <c r="J4280" s="2">
        <v>45771</v>
      </c>
      <c r="K4280" s="2">
        <v>45783</v>
      </c>
    </row>
    <row r="4281" spans="1:11" x14ac:dyDescent="0.25">
      <c r="A4281" s="1" t="s">
        <v>720</v>
      </c>
      <c r="B4281" s="1" t="s">
        <v>1835</v>
      </c>
      <c r="C4281" s="1" t="s">
        <v>2689</v>
      </c>
      <c r="D4281" s="1" t="s">
        <v>1998</v>
      </c>
      <c r="E4281" s="1"/>
      <c r="F4281" s="1" t="s">
        <v>11</v>
      </c>
      <c r="G4281">
        <v>1405</v>
      </c>
      <c r="H4281">
        <v>1405</v>
      </c>
      <c r="I4281" s="2">
        <v>45783</v>
      </c>
      <c r="J4281" s="2">
        <v>45771</v>
      </c>
      <c r="K4281" s="2">
        <v>45783</v>
      </c>
    </row>
    <row r="4282" spans="1:11" x14ac:dyDescent="0.25">
      <c r="A4282" s="1" t="s">
        <v>721</v>
      </c>
      <c r="B4282" s="1" t="s">
        <v>1813</v>
      </c>
      <c r="C4282" s="1" t="s">
        <v>2673</v>
      </c>
      <c r="D4282" s="1" t="s">
        <v>1998</v>
      </c>
      <c r="E4282" s="1"/>
      <c r="F4282" s="1" t="s">
        <v>11</v>
      </c>
      <c r="G4282">
        <v>20</v>
      </c>
      <c r="H4282">
        <v>20</v>
      </c>
      <c r="I4282" s="2">
        <v>45780</v>
      </c>
      <c r="J4282" s="2">
        <v>45771</v>
      </c>
      <c r="K4282" s="2">
        <v>45780</v>
      </c>
    </row>
    <row r="4283" spans="1:11" x14ac:dyDescent="0.25">
      <c r="A4283" s="1" t="s">
        <v>721</v>
      </c>
      <c r="B4283" s="1" t="s">
        <v>1814</v>
      </c>
      <c r="C4283" s="1" t="s">
        <v>2674</v>
      </c>
      <c r="D4283" s="1" t="s">
        <v>1998</v>
      </c>
      <c r="E4283" s="1"/>
      <c r="F4283" s="1" t="s">
        <v>11</v>
      </c>
      <c r="G4283">
        <v>10</v>
      </c>
      <c r="H4283">
        <v>5</v>
      </c>
      <c r="I4283" s="2">
        <v>45780</v>
      </c>
      <c r="J4283" s="2">
        <v>45771</v>
      </c>
      <c r="K4283" s="2">
        <v>45780</v>
      </c>
    </row>
    <row r="4284" spans="1:11" x14ac:dyDescent="0.25">
      <c r="A4284" s="1" t="s">
        <v>721</v>
      </c>
      <c r="B4284" s="1" t="s">
        <v>1815</v>
      </c>
      <c r="C4284" s="1" t="s">
        <v>2675</v>
      </c>
      <c r="D4284" s="1" t="s">
        <v>1998</v>
      </c>
      <c r="E4284" s="1"/>
      <c r="F4284" s="1" t="s">
        <v>11</v>
      </c>
      <c r="G4284">
        <v>10</v>
      </c>
      <c r="H4284">
        <v>10</v>
      </c>
      <c r="I4284" s="2">
        <v>45780</v>
      </c>
      <c r="J4284" s="2">
        <v>45771</v>
      </c>
      <c r="K4284" s="2">
        <v>45780</v>
      </c>
    </row>
    <row r="4285" spans="1:11" x14ac:dyDescent="0.25">
      <c r="A4285" s="1" t="s">
        <v>721</v>
      </c>
      <c r="B4285" s="1" t="s">
        <v>1836</v>
      </c>
      <c r="C4285" s="1" t="s">
        <v>2690</v>
      </c>
      <c r="D4285" s="1" t="s">
        <v>1998</v>
      </c>
      <c r="E4285" s="1"/>
      <c r="F4285" s="1" t="s">
        <v>11</v>
      </c>
      <c r="G4285">
        <v>30</v>
      </c>
      <c r="H4285">
        <v>30</v>
      </c>
      <c r="I4285" s="2">
        <v>45780</v>
      </c>
      <c r="J4285" s="2">
        <v>45771</v>
      </c>
      <c r="K4285" s="2">
        <v>45780</v>
      </c>
    </row>
    <row r="4286" spans="1:11" x14ac:dyDescent="0.25">
      <c r="A4286" s="1" t="s">
        <v>721</v>
      </c>
      <c r="B4286" s="1" t="s">
        <v>1816</v>
      </c>
      <c r="C4286" s="1" t="s">
        <v>2676</v>
      </c>
      <c r="D4286" s="1" t="s">
        <v>1998</v>
      </c>
      <c r="E4286" s="1"/>
      <c r="F4286" s="1" t="s">
        <v>11</v>
      </c>
      <c r="G4286">
        <v>10</v>
      </c>
      <c r="H4286">
        <v>5</v>
      </c>
      <c r="I4286" s="2">
        <v>45780</v>
      </c>
      <c r="J4286" s="2">
        <v>45771</v>
      </c>
      <c r="K4286" s="2">
        <v>45780</v>
      </c>
    </row>
    <row r="4287" spans="1:11" x14ac:dyDescent="0.25">
      <c r="A4287" s="1" t="s">
        <v>721</v>
      </c>
      <c r="B4287" s="1" t="s">
        <v>1817</v>
      </c>
      <c r="C4287" s="1" t="s">
        <v>2677</v>
      </c>
      <c r="D4287" s="1" t="s">
        <v>1998</v>
      </c>
      <c r="E4287" s="1"/>
      <c r="F4287" s="1" t="s">
        <v>11</v>
      </c>
      <c r="G4287">
        <v>12425</v>
      </c>
      <c r="H4287">
        <v>12425</v>
      </c>
      <c r="I4287" s="2">
        <v>45780</v>
      </c>
      <c r="J4287" s="2">
        <v>45771</v>
      </c>
      <c r="K4287" s="2">
        <v>45780</v>
      </c>
    </row>
    <row r="4288" spans="1:11" x14ac:dyDescent="0.25">
      <c r="A4288" s="1" t="s">
        <v>721</v>
      </c>
      <c r="B4288" s="1" t="s">
        <v>1837</v>
      </c>
      <c r="C4288" s="1" t="s">
        <v>2691</v>
      </c>
      <c r="D4288" s="1" t="s">
        <v>1998</v>
      </c>
      <c r="E4288" s="1"/>
      <c r="F4288" s="1" t="s">
        <v>11</v>
      </c>
      <c r="G4288">
        <v>3990</v>
      </c>
      <c r="H4288">
        <v>3990</v>
      </c>
      <c r="I4288" s="2">
        <v>45780</v>
      </c>
      <c r="J4288" s="2">
        <v>45771</v>
      </c>
      <c r="K4288" s="2">
        <v>45780</v>
      </c>
    </row>
    <row r="4289" spans="1:11" x14ac:dyDescent="0.25">
      <c r="A4289" s="1" t="s">
        <v>721</v>
      </c>
      <c r="B4289" s="1" t="s">
        <v>1818</v>
      </c>
      <c r="C4289" s="1" t="s">
        <v>2678</v>
      </c>
      <c r="D4289" s="1" t="s">
        <v>1998</v>
      </c>
      <c r="E4289" s="1"/>
      <c r="F4289" s="1" t="s">
        <v>11</v>
      </c>
      <c r="G4289">
        <v>405</v>
      </c>
      <c r="H4289">
        <v>405</v>
      </c>
      <c r="I4289" s="2">
        <v>45780</v>
      </c>
      <c r="J4289" s="2">
        <v>45771</v>
      </c>
      <c r="K4289" s="2">
        <v>45780</v>
      </c>
    </row>
    <row r="4290" spans="1:11" x14ac:dyDescent="0.25">
      <c r="A4290" s="1" t="s">
        <v>721</v>
      </c>
      <c r="B4290" s="1" t="s">
        <v>1819</v>
      </c>
      <c r="C4290" s="1" t="s">
        <v>2679</v>
      </c>
      <c r="D4290" s="1" t="s">
        <v>1998</v>
      </c>
      <c r="E4290" s="1"/>
      <c r="F4290" s="1" t="s">
        <v>11</v>
      </c>
      <c r="G4290">
        <v>135</v>
      </c>
      <c r="H4290">
        <v>135</v>
      </c>
      <c r="I4290" s="2">
        <v>45780</v>
      </c>
      <c r="J4290" s="2">
        <v>45771</v>
      </c>
      <c r="K4290" s="2">
        <v>45780</v>
      </c>
    </row>
    <row r="4291" spans="1:11" x14ac:dyDescent="0.25">
      <c r="A4291" s="1" t="s">
        <v>721</v>
      </c>
      <c r="B4291" s="1" t="s">
        <v>1838</v>
      </c>
      <c r="C4291" s="1" t="s">
        <v>2692</v>
      </c>
      <c r="D4291" s="1" t="s">
        <v>1998</v>
      </c>
      <c r="E4291" s="1"/>
      <c r="F4291" s="1" t="s">
        <v>11</v>
      </c>
      <c r="G4291">
        <v>9090</v>
      </c>
      <c r="H4291">
        <v>9090</v>
      </c>
      <c r="I4291" s="2">
        <v>45780</v>
      </c>
      <c r="J4291" s="2">
        <v>45771</v>
      </c>
      <c r="K4291" s="2">
        <v>45780</v>
      </c>
    </row>
    <row r="4292" spans="1:11" x14ac:dyDescent="0.25">
      <c r="A4292" s="1" t="s">
        <v>721</v>
      </c>
      <c r="B4292" s="1" t="s">
        <v>1820</v>
      </c>
      <c r="C4292" s="1" t="s">
        <v>2596</v>
      </c>
      <c r="D4292" s="1" t="s">
        <v>1998</v>
      </c>
      <c r="E4292" s="1"/>
      <c r="F4292" s="1" t="s">
        <v>11</v>
      </c>
      <c r="G4292">
        <v>2115</v>
      </c>
      <c r="H4292">
        <v>2115</v>
      </c>
      <c r="I4292" s="2">
        <v>45780</v>
      </c>
      <c r="J4292" s="2">
        <v>45771</v>
      </c>
      <c r="K4292" s="2">
        <v>45780</v>
      </c>
    </row>
    <row r="4293" spans="1:11" x14ac:dyDescent="0.25">
      <c r="A4293" s="1" t="s">
        <v>721</v>
      </c>
      <c r="B4293" s="1" t="s">
        <v>1821</v>
      </c>
      <c r="C4293" s="1" t="s">
        <v>2640</v>
      </c>
      <c r="D4293" s="1" t="s">
        <v>1998</v>
      </c>
      <c r="E4293" s="1"/>
      <c r="F4293" s="1" t="s">
        <v>11</v>
      </c>
      <c r="G4293">
        <v>5700</v>
      </c>
      <c r="H4293">
        <v>5700</v>
      </c>
      <c r="I4293" s="2">
        <v>45780</v>
      </c>
      <c r="J4293" s="2">
        <v>45771</v>
      </c>
      <c r="K4293" s="2">
        <v>45780</v>
      </c>
    </row>
    <row r="4294" spans="1:11" x14ac:dyDescent="0.25">
      <c r="A4294" s="1" t="s">
        <v>721</v>
      </c>
      <c r="B4294" s="1" t="s">
        <v>1822</v>
      </c>
      <c r="C4294" s="1" t="s">
        <v>2680</v>
      </c>
      <c r="D4294" s="1" t="s">
        <v>1998</v>
      </c>
      <c r="E4294" s="1"/>
      <c r="F4294" s="1" t="s">
        <v>11</v>
      </c>
      <c r="G4294">
        <v>10</v>
      </c>
      <c r="H4294">
        <v>10</v>
      </c>
      <c r="I4294" s="2">
        <v>45780</v>
      </c>
      <c r="J4294" s="2">
        <v>45771</v>
      </c>
      <c r="K4294" s="2">
        <v>45780</v>
      </c>
    </row>
    <row r="4295" spans="1:11" x14ac:dyDescent="0.25">
      <c r="A4295" s="1" t="s">
        <v>721</v>
      </c>
      <c r="B4295" s="1" t="s">
        <v>1823</v>
      </c>
      <c r="C4295" s="1" t="s">
        <v>2681</v>
      </c>
      <c r="D4295" s="1" t="s">
        <v>1998</v>
      </c>
      <c r="E4295" s="1"/>
      <c r="F4295" s="1" t="s">
        <v>11</v>
      </c>
      <c r="G4295">
        <v>85</v>
      </c>
      <c r="H4295">
        <v>85</v>
      </c>
      <c r="I4295" s="2">
        <v>45780</v>
      </c>
      <c r="J4295" s="2">
        <v>45771</v>
      </c>
      <c r="K4295" s="2">
        <v>45780</v>
      </c>
    </row>
    <row r="4296" spans="1:11" x14ac:dyDescent="0.25">
      <c r="A4296" s="1" t="s">
        <v>721</v>
      </c>
      <c r="B4296" s="1" t="s">
        <v>1824</v>
      </c>
      <c r="C4296" s="1" t="s">
        <v>2682</v>
      </c>
      <c r="D4296" s="1" t="s">
        <v>1998</v>
      </c>
      <c r="E4296" s="1"/>
      <c r="F4296" s="1" t="s">
        <v>11</v>
      </c>
      <c r="G4296">
        <v>1</v>
      </c>
      <c r="H4296">
        <v>1</v>
      </c>
      <c r="I4296" s="2">
        <v>45780</v>
      </c>
      <c r="J4296" s="2">
        <v>45771</v>
      </c>
      <c r="K4296" s="2">
        <v>45780</v>
      </c>
    </row>
    <row r="4297" spans="1:11" x14ac:dyDescent="0.25">
      <c r="A4297" s="1" t="s">
        <v>721</v>
      </c>
      <c r="B4297" s="1" t="s">
        <v>1839</v>
      </c>
      <c r="C4297" s="1" t="s">
        <v>2693</v>
      </c>
      <c r="D4297" s="1" t="s">
        <v>1998</v>
      </c>
      <c r="E4297" s="1"/>
      <c r="F4297" s="1" t="s">
        <v>11</v>
      </c>
      <c r="G4297">
        <v>5</v>
      </c>
      <c r="H4297">
        <v>5</v>
      </c>
      <c r="I4297" s="2">
        <v>45780</v>
      </c>
      <c r="J4297" s="2">
        <v>45771</v>
      </c>
      <c r="K4297" s="2">
        <v>45780</v>
      </c>
    </row>
    <row r="4298" spans="1:11" x14ac:dyDescent="0.25">
      <c r="A4298" s="1" t="s">
        <v>721</v>
      </c>
      <c r="B4298" s="1" t="s">
        <v>1840</v>
      </c>
      <c r="C4298" s="1" t="s">
        <v>2694</v>
      </c>
      <c r="D4298" s="1" t="s">
        <v>1998</v>
      </c>
      <c r="E4298" s="1"/>
      <c r="F4298" s="1" t="s">
        <v>11</v>
      </c>
      <c r="G4298">
        <v>1</v>
      </c>
      <c r="H4298">
        <v>1</v>
      </c>
      <c r="I4298" s="2">
        <v>45780</v>
      </c>
      <c r="J4298" s="2">
        <v>45771</v>
      </c>
      <c r="K4298" s="2">
        <v>45780</v>
      </c>
    </row>
    <row r="4299" spans="1:11" x14ac:dyDescent="0.25">
      <c r="A4299" s="1" t="s">
        <v>722</v>
      </c>
      <c r="B4299" s="1" t="s">
        <v>1841</v>
      </c>
      <c r="C4299" s="1" t="s">
        <v>2695</v>
      </c>
      <c r="D4299" s="1" t="s">
        <v>1998</v>
      </c>
      <c r="E4299" s="1"/>
      <c r="F4299" s="1" t="s">
        <v>11</v>
      </c>
      <c r="G4299">
        <v>500</v>
      </c>
      <c r="H4299">
        <v>500</v>
      </c>
      <c r="I4299" s="2"/>
      <c r="J4299" s="2">
        <v>45771</v>
      </c>
      <c r="K4299" s="2">
        <v>45783</v>
      </c>
    </row>
    <row r="4300" spans="1:11" x14ac:dyDescent="0.25">
      <c r="A4300" s="1" t="s">
        <v>722</v>
      </c>
      <c r="B4300" s="1" t="s">
        <v>1585</v>
      </c>
      <c r="C4300" s="1" t="s">
        <v>2504</v>
      </c>
      <c r="D4300" s="1" t="s">
        <v>1998</v>
      </c>
      <c r="E4300" s="1"/>
      <c r="F4300" s="1" t="s">
        <v>11</v>
      </c>
      <c r="G4300">
        <v>115</v>
      </c>
      <c r="H4300">
        <v>160</v>
      </c>
      <c r="I4300" s="2"/>
      <c r="J4300" s="2">
        <v>45771</v>
      </c>
      <c r="K4300" s="2">
        <v>45783</v>
      </c>
    </row>
    <row r="4301" spans="1:11" x14ac:dyDescent="0.25">
      <c r="A4301" s="1" t="s">
        <v>722</v>
      </c>
      <c r="B4301" s="1" t="s">
        <v>1027</v>
      </c>
      <c r="C4301" s="1" t="s">
        <v>2040</v>
      </c>
      <c r="D4301" s="1" t="s">
        <v>1998</v>
      </c>
      <c r="E4301" s="1"/>
      <c r="F4301" s="1" t="s">
        <v>11</v>
      </c>
      <c r="G4301">
        <v>25</v>
      </c>
      <c r="H4301">
        <v>25</v>
      </c>
      <c r="I4301" s="2"/>
      <c r="J4301" s="2">
        <v>45771</v>
      </c>
      <c r="K4301" s="2">
        <v>45783</v>
      </c>
    </row>
    <row r="4302" spans="1:11" x14ac:dyDescent="0.25">
      <c r="A4302" s="1" t="s">
        <v>722</v>
      </c>
      <c r="B4302" s="1" t="s">
        <v>1013</v>
      </c>
      <c r="C4302" s="1" t="s">
        <v>2030</v>
      </c>
      <c r="D4302" s="1" t="s">
        <v>1998</v>
      </c>
      <c r="E4302" s="1"/>
      <c r="F4302" s="1" t="s">
        <v>11</v>
      </c>
      <c r="G4302">
        <v>10</v>
      </c>
      <c r="H4302">
        <v>10</v>
      </c>
      <c r="I4302" s="2"/>
      <c r="J4302" s="2">
        <v>45771</v>
      </c>
      <c r="K4302" s="2">
        <v>45783</v>
      </c>
    </row>
    <row r="4303" spans="1:11" x14ac:dyDescent="0.25">
      <c r="A4303" s="1" t="s">
        <v>722</v>
      </c>
      <c r="B4303" s="1" t="s">
        <v>993</v>
      </c>
      <c r="C4303" s="1" t="s">
        <v>2011</v>
      </c>
      <c r="D4303" s="1" t="s">
        <v>1998</v>
      </c>
      <c r="E4303" s="1"/>
      <c r="F4303" s="1" t="s">
        <v>11</v>
      </c>
      <c r="G4303">
        <v>5</v>
      </c>
      <c r="H4303">
        <v>5</v>
      </c>
      <c r="I4303" s="2"/>
      <c r="J4303" s="2">
        <v>45771</v>
      </c>
      <c r="K4303" s="2">
        <v>45783</v>
      </c>
    </row>
    <row r="4304" spans="1:11" x14ac:dyDescent="0.25">
      <c r="A4304" s="1" t="s">
        <v>722</v>
      </c>
      <c r="B4304" s="1" t="s">
        <v>993</v>
      </c>
      <c r="C4304" s="1" t="s">
        <v>2011</v>
      </c>
      <c r="D4304" s="1" t="s">
        <v>1998</v>
      </c>
      <c r="E4304" s="1"/>
      <c r="F4304" s="1" t="s">
        <v>11</v>
      </c>
      <c r="G4304">
        <v>5</v>
      </c>
      <c r="H4304">
        <v>5</v>
      </c>
      <c r="I4304" s="2"/>
      <c r="J4304" s="2">
        <v>45771</v>
      </c>
      <c r="K4304" s="2">
        <v>45783</v>
      </c>
    </row>
    <row r="4305" spans="1:11" x14ac:dyDescent="0.25">
      <c r="A4305" s="1" t="s">
        <v>722</v>
      </c>
      <c r="B4305" s="1" t="s">
        <v>1842</v>
      </c>
      <c r="C4305" s="1" t="s">
        <v>2696</v>
      </c>
      <c r="D4305" s="1" t="s">
        <v>1998</v>
      </c>
      <c r="E4305" s="1"/>
      <c r="F4305" s="1" t="s">
        <v>11</v>
      </c>
      <c r="G4305">
        <v>795</v>
      </c>
      <c r="H4305">
        <v>795</v>
      </c>
      <c r="I4305" s="2"/>
      <c r="J4305" s="2">
        <v>45771</v>
      </c>
      <c r="K4305" s="2">
        <v>45783</v>
      </c>
    </row>
    <row r="4306" spans="1:11" x14ac:dyDescent="0.25">
      <c r="A4306" s="1" t="s">
        <v>723</v>
      </c>
      <c r="B4306" s="1" t="s">
        <v>1843</v>
      </c>
      <c r="C4306" s="1" t="s">
        <v>2697</v>
      </c>
      <c r="D4306" s="1" t="s">
        <v>1998</v>
      </c>
      <c r="E4306" s="1"/>
      <c r="F4306" s="1" t="s">
        <v>11</v>
      </c>
      <c r="G4306">
        <v>6260</v>
      </c>
      <c r="H4306">
        <v>6260</v>
      </c>
      <c r="I4306" s="2">
        <v>45784</v>
      </c>
      <c r="J4306" s="2">
        <v>45771</v>
      </c>
      <c r="K4306" s="2">
        <v>45784</v>
      </c>
    </row>
    <row r="4307" spans="1:11" x14ac:dyDescent="0.25">
      <c r="A4307" s="1" t="s">
        <v>723</v>
      </c>
      <c r="B4307" s="1" t="s">
        <v>1844</v>
      </c>
      <c r="C4307" s="1" t="s">
        <v>2698</v>
      </c>
      <c r="D4307" s="1" t="s">
        <v>1998</v>
      </c>
      <c r="E4307" s="1"/>
      <c r="F4307" s="1" t="s">
        <v>11</v>
      </c>
      <c r="G4307">
        <v>12265</v>
      </c>
      <c r="H4307">
        <v>12265</v>
      </c>
      <c r="I4307" s="2">
        <v>45784</v>
      </c>
      <c r="J4307" s="2">
        <v>45771</v>
      </c>
      <c r="K4307" s="2">
        <v>45784</v>
      </c>
    </row>
    <row r="4308" spans="1:11" x14ac:dyDescent="0.25">
      <c r="A4308" s="1" t="s">
        <v>723</v>
      </c>
      <c r="B4308" s="1" t="s">
        <v>1844</v>
      </c>
      <c r="C4308" s="1" t="s">
        <v>2698</v>
      </c>
      <c r="D4308" s="1" t="s">
        <v>1998</v>
      </c>
      <c r="E4308" s="1"/>
      <c r="F4308" s="1" t="s">
        <v>11</v>
      </c>
      <c r="G4308">
        <v>10</v>
      </c>
      <c r="H4308">
        <v>10</v>
      </c>
      <c r="I4308" s="2">
        <v>45784</v>
      </c>
      <c r="J4308" s="2">
        <v>45771</v>
      </c>
      <c r="K4308" s="2">
        <v>45784</v>
      </c>
    </row>
    <row r="4309" spans="1:11" x14ac:dyDescent="0.25">
      <c r="A4309" s="1" t="s">
        <v>723</v>
      </c>
      <c r="B4309" s="1" t="s">
        <v>1845</v>
      </c>
      <c r="C4309" s="1" t="s">
        <v>2699</v>
      </c>
      <c r="D4309" s="1" t="s">
        <v>1998</v>
      </c>
      <c r="E4309" s="1"/>
      <c r="F4309" s="1" t="s">
        <v>11</v>
      </c>
      <c r="G4309">
        <v>750</v>
      </c>
      <c r="H4309">
        <v>750</v>
      </c>
      <c r="I4309" s="2">
        <v>45784</v>
      </c>
      <c r="J4309" s="2">
        <v>45771</v>
      </c>
      <c r="K4309" s="2">
        <v>45784</v>
      </c>
    </row>
    <row r="4310" spans="1:11" x14ac:dyDescent="0.25">
      <c r="A4310" s="1" t="s">
        <v>723</v>
      </c>
      <c r="B4310" s="1" t="s">
        <v>1846</v>
      </c>
      <c r="C4310" s="1" t="s">
        <v>2700</v>
      </c>
      <c r="D4310" s="1" t="s">
        <v>1998</v>
      </c>
      <c r="E4310" s="1"/>
      <c r="F4310" s="1" t="s">
        <v>11</v>
      </c>
      <c r="G4310">
        <v>2105</v>
      </c>
      <c r="H4310">
        <v>2105</v>
      </c>
      <c r="I4310" s="2">
        <v>45784</v>
      </c>
      <c r="J4310" s="2">
        <v>45771</v>
      </c>
      <c r="K4310" s="2">
        <v>45784</v>
      </c>
    </row>
    <row r="4311" spans="1:11" x14ac:dyDescent="0.25">
      <c r="A4311" s="1" t="s">
        <v>724</v>
      </c>
      <c r="B4311" s="1" t="s">
        <v>1847</v>
      </c>
      <c r="C4311" s="1" t="s">
        <v>2701</v>
      </c>
      <c r="D4311" s="1" t="s">
        <v>1998</v>
      </c>
      <c r="E4311" s="1"/>
      <c r="F4311" s="1" t="s">
        <v>11</v>
      </c>
      <c r="G4311">
        <v>50</v>
      </c>
      <c r="H4311">
        <v>50</v>
      </c>
      <c r="I4311" s="2">
        <v>45784</v>
      </c>
      <c r="J4311" s="2">
        <v>45771</v>
      </c>
      <c r="K4311" s="2">
        <v>45784</v>
      </c>
    </row>
    <row r="4312" spans="1:11" x14ac:dyDescent="0.25">
      <c r="A4312" s="1" t="s">
        <v>724</v>
      </c>
      <c r="B4312" s="1" t="s">
        <v>1848</v>
      </c>
      <c r="C4312" s="1" t="s">
        <v>2702</v>
      </c>
      <c r="D4312" s="1" t="s">
        <v>1998</v>
      </c>
      <c r="E4312" s="1"/>
      <c r="F4312" s="1" t="s">
        <v>11</v>
      </c>
      <c r="G4312">
        <v>170</v>
      </c>
      <c r="H4312">
        <v>170</v>
      </c>
      <c r="I4312" s="2">
        <v>45784</v>
      </c>
      <c r="J4312" s="2">
        <v>45771</v>
      </c>
      <c r="K4312" s="2">
        <v>45784</v>
      </c>
    </row>
    <row r="4313" spans="1:11" x14ac:dyDescent="0.25">
      <c r="A4313" s="1" t="s">
        <v>725</v>
      </c>
      <c r="B4313" s="1" t="s">
        <v>1849</v>
      </c>
      <c r="C4313" s="1" t="s">
        <v>2014</v>
      </c>
      <c r="D4313" s="1" t="s">
        <v>1998</v>
      </c>
      <c r="E4313" s="1"/>
      <c r="F4313" s="1" t="s">
        <v>11</v>
      </c>
      <c r="G4313">
        <v>425</v>
      </c>
      <c r="H4313">
        <v>425</v>
      </c>
      <c r="I4313" s="2">
        <v>45784</v>
      </c>
      <c r="J4313" s="2">
        <v>45771</v>
      </c>
      <c r="K4313" s="2">
        <v>45784</v>
      </c>
    </row>
    <row r="4314" spans="1:11" x14ac:dyDescent="0.25">
      <c r="A4314" s="1" t="s">
        <v>725</v>
      </c>
      <c r="B4314" s="1" t="s">
        <v>1849</v>
      </c>
      <c r="C4314" s="1" t="s">
        <v>2014</v>
      </c>
      <c r="D4314" s="1" t="s">
        <v>1998</v>
      </c>
      <c r="E4314" s="1"/>
      <c r="F4314" s="1" t="s">
        <v>16</v>
      </c>
      <c r="G4314">
        <v>60</v>
      </c>
      <c r="H4314">
        <v>60</v>
      </c>
      <c r="I4314" s="2">
        <v>45784</v>
      </c>
      <c r="J4314" s="2">
        <v>45771</v>
      </c>
      <c r="K4314" s="2">
        <v>45784</v>
      </c>
    </row>
    <row r="4315" spans="1:11" x14ac:dyDescent="0.25">
      <c r="A4315" s="1" t="s">
        <v>725</v>
      </c>
      <c r="B4315" s="1" t="s">
        <v>1850</v>
      </c>
      <c r="C4315" s="1" t="s">
        <v>2581</v>
      </c>
      <c r="D4315" s="1" t="s">
        <v>1998</v>
      </c>
      <c r="E4315" s="1"/>
      <c r="F4315" s="1" t="s">
        <v>11</v>
      </c>
      <c r="G4315">
        <v>395</v>
      </c>
      <c r="H4315">
        <v>395</v>
      </c>
      <c r="I4315" s="2">
        <v>45784</v>
      </c>
      <c r="J4315" s="2">
        <v>45771</v>
      </c>
      <c r="K4315" s="2">
        <v>45784</v>
      </c>
    </row>
    <row r="4316" spans="1:11" x14ac:dyDescent="0.25">
      <c r="A4316" s="1" t="s">
        <v>725</v>
      </c>
      <c r="B4316" s="1" t="s">
        <v>1850</v>
      </c>
      <c r="C4316" s="1" t="s">
        <v>2581</v>
      </c>
      <c r="D4316" s="1" t="s">
        <v>1998</v>
      </c>
      <c r="E4316" s="1"/>
      <c r="F4316" s="1" t="s">
        <v>16</v>
      </c>
      <c r="G4316">
        <v>5</v>
      </c>
      <c r="H4316">
        <v>5</v>
      </c>
      <c r="I4316" s="2">
        <v>45784</v>
      </c>
      <c r="J4316" s="2">
        <v>45771</v>
      </c>
      <c r="K4316" s="2">
        <v>45784</v>
      </c>
    </row>
    <row r="4317" spans="1:11" x14ac:dyDescent="0.25">
      <c r="A4317" s="1" t="s">
        <v>725</v>
      </c>
      <c r="B4317" s="1" t="s">
        <v>983</v>
      </c>
      <c r="C4317" s="1" t="s">
        <v>2001</v>
      </c>
      <c r="D4317" s="1" t="s">
        <v>1998</v>
      </c>
      <c r="E4317" s="1"/>
      <c r="F4317" s="1" t="s">
        <v>11</v>
      </c>
      <c r="G4317">
        <v>200</v>
      </c>
      <c r="H4317">
        <v>200</v>
      </c>
      <c r="I4317" s="2">
        <v>45784</v>
      </c>
      <c r="J4317" s="2">
        <v>45771</v>
      </c>
      <c r="K4317" s="2">
        <v>45784</v>
      </c>
    </row>
    <row r="4318" spans="1:11" x14ac:dyDescent="0.25">
      <c r="A4318" s="1" t="s">
        <v>725</v>
      </c>
      <c r="B4318" s="1" t="s">
        <v>983</v>
      </c>
      <c r="C4318" s="1" t="s">
        <v>2001</v>
      </c>
      <c r="D4318" s="1" t="s">
        <v>1998</v>
      </c>
      <c r="E4318" s="1"/>
      <c r="F4318" s="1" t="s">
        <v>16</v>
      </c>
      <c r="G4318">
        <v>25</v>
      </c>
      <c r="H4318">
        <v>25</v>
      </c>
      <c r="I4318" s="2">
        <v>45784</v>
      </c>
      <c r="J4318" s="2">
        <v>45771</v>
      </c>
      <c r="K4318" s="2">
        <v>45784</v>
      </c>
    </row>
    <row r="4319" spans="1:11" x14ac:dyDescent="0.25">
      <c r="A4319" s="1" t="s">
        <v>725</v>
      </c>
      <c r="B4319" s="1" t="s">
        <v>1851</v>
      </c>
      <c r="C4319" s="1" t="s">
        <v>2002</v>
      </c>
      <c r="D4319" s="1" t="s">
        <v>1998</v>
      </c>
      <c r="E4319" s="1"/>
      <c r="F4319" s="1" t="s">
        <v>11</v>
      </c>
      <c r="G4319">
        <v>135</v>
      </c>
      <c r="H4319">
        <v>135</v>
      </c>
      <c r="I4319" s="2">
        <v>45784</v>
      </c>
      <c r="J4319" s="2">
        <v>45771</v>
      </c>
      <c r="K4319" s="2">
        <v>45784</v>
      </c>
    </row>
    <row r="4320" spans="1:11" x14ac:dyDescent="0.25">
      <c r="A4320" s="1" t="s">
        <v>726</v>
      </c>
      <c r="B4320" s="1" t="s">
        <v>1852</v>
      </c>
      <c r="C4320" s="1" t="s">
        <v>2703</v>
      </c>
      <c r="D4320" s="1" t="s">
        <v>1998</v>
      </c>
      <c r="E4320" s="1"/>
      <c r="F4320" s="1" t="s">
        <v>11</v>
      </c>
      <c r="G4320">
        <v>215</v>
      </c>
      <c r="H4320">
        <v>405</v>
      </c>
      <c r="I4320" s="2"/>
      <c r="J4320" s="2">
        <v>45771</v>
      </c>
      <c r="K4320" s="2">
        <v>45785</v>
      </c>
    </row>
    <row r="4321" spans="1:11" x14ac:dyDescent="0.25">
      <c r="A4321" s="1" t="s">
        <v>727</v>
      </c>
      <c r="B4321" s="1" t="s">
        <v>1853</v>
      </c>
      <c r="C4321" s="1" t="s">
        <v>2704</v>
      </c>
      <c r="D4321" s="1" t="s">
        <v>1998</v>
      </c>
      <c r="E4321" s="1"/>
      <c r="F4321" s="1" t="s">
        <v>11</v>
      </c>
      <c r="G4321">
        <v>385</v>
      </c>
      <c r="H4321">
        <v>400</v>
      </c>
      <c r="I4321" s="2"/>
      <c r="J4321" s="2">
        <v>45771</v>
      </c>
      <c r="K4321" s="2">
        <v>45779</v>
      </c>
    </row>
    <row r="4322" spans="1:11" x14ac:dyDescent="0.25">
      <c r="A4322" s="1" t="s">
        <v>727</v>
      </c>
      <c r="B4322" s="1" t="s">
        <v>1854</v>
      </c>
      <c r="C4322" s="1" t="s">
        <v>2705</v>
      </c>
      <c r="D4322" s="1" t="s">
        <v>1998</v>
      </c>
      <c r="E4322" s="1"/>
      <c r="F4322" s="1" t="s">
        <v>11</v>
      </c>
      <c r="G4322">
        <v>100</v>
      </c>
      <c r="H4322">
        <v>100</v>
      </c>
      <c r="I4322" s="2"/>
      <c r="J4322" s="2">
        <v>45771</v>
      </c>
      <c r="K4322" s="2">
        <v>45779</v>
      </c>
    </row>
    <row r="4323" spans="1:11" x14ac:dyDescent="0.25">
      <c r="A4323" s="1" t="s">
        <v>727</v>
      </c>
      <c r="B4323" s="1" t="s">
        <v>991</v>
      </c>
      <c r="C4323" s="1" t="s">
        <v>2009</v>
      </c>
      <c r="D4323" s="1" t="s">
        <v>1998</v>
      </c>
      <c r="E4323" s="1"/>
      <c r="F4323" s="1" t="s">
        <v>11</v>
      </c>
      <c r="G4323">
        <v>1</v>
      </c>
      <c r="H4323">
        <v>1</v>
      </c>
      <c r="I4323" s="2"/>
      <c r="J4323" s="2">
        <v>45771</v>
      </c>
      <c r="K4323" s="2">
        <v>45779</v>
      </c>
    </row>
    <row r="4324" spans="1:11" x14ac:dyDescent="0.25">
      <c r="A4324" s="1" t="s">
        <v>727</v>
      </c>
      <c r="B4324" s="1" t="s">
        <v>992</v>
      </c>
      <c r="C4324" s="1" t="s">
        <v>2010</v>
      </c>
      <c r="D4324" s="1" t="s">
        <v>1998</v>
      </c>
      <c r="E4324" s="1"/>
      <c r="F4324" s="1" t="s">
        <v>11</v>
      </c>
      <c r="G4324">
        <v>5</v>
      </c>
      <c r="H4324">
        <v>5</v>
      </c>
      <c r="I4324" s="2"/>
      <c r="J4324" s="2">
        <v>45771</v>
      </c>
      <c r="K4324" s="2">
        <v>45779</v>
      </c>
    </row>
    <row r="4325" spans="1:11" x14ac:dyDescent="0.25">
      <c r="A4325" s="1" t="s">
        <v>727</v>
      </c>
      <c r="B4325" s="1" t="s">
        <v>993</v>
      </c>
      <c r="C4325" s="1" t="s">
        <v>2011</v>
      </c>
      <c r="D4325" s="1" t="s">
        <v>1998</v>
      </c>
      <c r="E4325" s="1"/>
      <c r="F4325" s="1" t="s">
        <v>11</v>
      </c>
      <c r="G4325">
        <v>1</v>
      </c>
      <c r="H4325">
        <v>1</v>
      </c>
      <c r="I4325" s="2"/>
      <c r="J4325" s="2">
        <v>45771</v>
      </c>
      <c r="K4325" s="2">
        <v>45779</v>
      </c>
    </row>
    <row r="4326" spans="1:11" x14ac:dyDescent="0.25">
      <c r="A4326" s="1" t="s">
        <v>727</v>
      </c>
      <c r="B4326" s="1" t="s">
        <v>993</v>
      </c>
      <c r="C4326" s="1" t="s">
        <v>2011</v>
      </c>
      <c r="D4326" s="1" t="s">
        <v>1998</v>
      </c>
      <c r="E4326" s="1"/>
      <c r="F4326" s="1" t="s">
        <v>11</v>
      </c>
      <c r="G4326">
        <v>1</v>
      </c>
      <c r="H4326">
        <v>1</v>
      </c>
      <c r="I4326" s="2"/>
      <c r="J4326" s="2">
        <v>45771</v>
      </c>
      <c r="K4326" s="2">
        <v>45779</v>
      </c>
    </row>
    <row r="4327" spans="1:11" x14ac:dyDescent="0.25">
      <c r="A4327" s="1" t="s">
        <v>728</v>
      </c>
      <c r="B4327" s="1" t="s">
        <v>1370</v>
      </c>
      <c r="C4327" s="1" t="s">
        <v>2320</v>
      </c>
      <c r="D4327" s="1" t="s">
        <v>1998</v>
      </c>
      <c r="E4327" s="1"/>
      <c r="F4327" s="1" t="s">
        <v>11</v>
      </c>
      <c r="G4327">
        <v>250</v>
      </c>
      <c r="H4327">
        <v>1</v>
      </c>
      <c r="I4327" s="2"/>
      <c r="J4327" s="2">
        <v>45771</v>
      </c>
      <c r="K4327" s="2">
        <v>45789</v>
      </c>
    </row>
    <row r="4328" spans="1:11" x14ac:dyDescent="0.25">
      <c r="A4328" s="1" t="s">
        <v>728</v>
      </c>
      <c r="B4328" s="1" t="s">
        <v>1027</v>
      </c>
      <c r="C4328" s="1" t="s">
        <v>2040</v>
      </c>
      <c r="D4328" s="1" t="s">
        <v>1998</v>
      </c>
      <c r="E4328" s="1"/>
      <c r="F4328" s="1" t="s">
        <v>11</v>
      </c>
      <c r="G4328">
        <v>5</v>
      </c>
      <c r="H4328">
        <v>1</v>
      </c>
      <c r="I4328" s="2"/>
      <c r="J4328" s="2">
        <v>45771</v>
      </c>
      <c r="K4328" s="2">
        <v>45789</v>
      </c>
    </row>
    <row r="4329" spans="1:11" x14ac:dyDescent="0.25">
      <c r="A4329" s="1" t="s">
        <v>728</v>
      </c>
      <c r="B4329" s="1" t="s">
        <v>1013</v>
      </c>
      <c r="C4329" s="1" t="s">
        <v>2030</v>
      </c>
      <c r="D4329" s="1" t="s">
        <v>1998</v>
      </c>
      <c r="E4329" s="1"/>
      <c r="F4329" s="1" t="s">
        <v>11</v>
      </c>
      <c r="G4329">
        <v>1</v>
      </c>
      <c r="H4329">
        <v>1</v>
      </c>
      <c r="I4329" s="2"/>
      <c r="J4329" s="2">
        <v>45771</v>
      </c>
      <c r="K4329" s="2">
        <v>45789</v>
      </c>
    </row>
    <row r="4330" spans="1:11" x14ac:dyDescent="0.25">
      <c r="A4330" s="1" t="s">
        <v>728</v>
      </c>
      <c r="B4330" s="1" t="s">
        <v>993</v>
      </c>
      <c r="C4330" s="1" t="s">
        <v>2011</v>
      </c>
      <c r="D4330" s="1" t="s">
        <v>1998</v>
      </c>
      <c r="E4330" s="1"/>
      <c r="F4330" s="1" t="s">
        <v>11</v>
      </c>
      <c r="G4330">
        <v>1</v>
      </c>
      <c r="H4330">
        <v>1</v>
      </c>
      <c r="I4330" s="2"/>
      <c r="J4330" s="2">
        <v>45771</v>
      </c>
      <c r="K4330" s="2">
        <v>45789</v>
      </c>
    </row>
    <row r="4331" spans="1:11" x14ac:dyDescent="0.25">
      <c r="A4331" s="1" t="s">
        <v>728</v>
      </c>
      <c r="B4331" s="1" t="s">
        <v>993</v>
      </c>
      <c r="C4331" s="1" t="s">
        <v>2011</v>
      </c>
      <c r="D4331" s="1" t="s">
        <v>1998</v>
      </c>
      <c r="E4331" s="1"/>
      <c r="F4331" s="1" t="s">
        <v>11</v>
      </c>
      <c r="G4331">
        <v>1</v>
      </c>
      <c r="H4331">
        <v>1</v>
      </c>
      <c r="I4331" s="2"/>
      <c r="J4331" s="2">
        <v>45771</v>
      </c>
      <c r="K4331" s="2">
        <v>45789</v>
      </c>
    </row>
    <row r="4332" spans="1:11" x14ac:dyDescent="0.25">
      <c r="A4332" s="1" t="s">
        <v>728</v>
      </c>
      <c r="B4332" s="1" t="s">
        <v>1263</v>
      </c>
      <c r="C4332" s="1" t="s">
        <v>2223</v>
      </c>
      <c r="D4332" s="1" t="s">
        <v>1998</v>
      </c>
      <c r="E4332" s="1"/>
      <c r="F4332" s="1" t="s">
        <v>11</v>
      </c>
      <c r="G4332">
        <v>45</v>
      </c>
      <c r="H4332">
        <v>45</v>
      </c>
      <c r="I4332" s="2"/>
      <c r="J4332" s="2">
        <v>45771</v>
      </c>
      <c r="K4332" s="2">
        <v>45789</v>
      </c>
    </row>
    <row r="4333" spans="1:11" x14ac:dyDescent="0.25">
      <c r="A4333" s="1" t="s">
        <v>729</v>
      </c>
      <c r="B4333" s="1" t="s">
        <v>1855</v>
      </c>
      <c r="C4333" s="1" t="s">
        <v>2706</v>
      </c>
      <c r="D4333" s="1" t="s">
        <v>1998</v>
      </c>
      <c r="E4333" s="1"/>
      <c r="F4333" s="1" t="s">
        <v>11</v>
      </c>
      <c r="G4333">
        <v>230</v>
      </c>
      <c r="H4333">
        <v>245</v>
      </c>
      <c r="I4333" s="2"/>
      <c r="J4333" s="2">
        <v>45782</v>
      </c>
      <c r="K4333" s="2">
        <v>45786</v>
      </c>
    </row>
    <row r="4334" spans="1:11" x14ac:dyDescent="0.25">
      <c r="A4334" s="1" t="s">
        <v>730</v>
      </c>
      <c r="B4334" s="1" t="s">
        <v>1530</v>
      </c>
      <c r="C4334" s="1" t="s">
        <v>2115</v>
      </c>
      <c r="D4334" s="1" t="s">
        <v>1998</v>
      </c>
      <c r="E4334" s="1"/>
      <c r="F4334" s="1" t="s">
        <v>11</v>
      </c>
      <c r="G4334">
        <v>11315</v>
      </c>
      <c r="H4334">
        <v>11315</v>
      </c>
      <c r="I4334" s="2"/>
      <c r="J4334" s="2">
        <v>45772</v>
      </c>
      <c r="K4334" s="2">
        <v>45775</v>
      </c>
    </row>
    <row r="4335" spans="1:11" x14ac:dyDescent="0.25">
      <c r="A4335" s="1" t="s">
        <v>730</v>
      </c>
      <c r="B4335" s="1" t="s">
        <v>1531</v>
      </c>
      <c r="C4335" s="1" t="s">
        <v>2459</v>
      </c>
      <c r="D4335" s="1" t="s">
        <v>1998</v>
      </c>
      <c r="E4335" s="1"/>
      <c r="F4335" s="1" t="s">
        <v>11</v>
      </c>
      <c r="G4335">
        <v>65</v>
      </c>
      <c r="H4335">
        <v>65</v>
      </c>
      <c r="I4335" s="2"/>
      <c r="J4335" s="2">
        <v>45772</v>
      </c>
      <c r="K4335" s="2">
        <v>45775</v>
      </c>
    </row>
    <row r="4336" spans="1:11" x14ac:dyDescent="0.25">
      <c r="A4336" s="1" t="s">
        <v>731</v>
      </c>
      <c r="B4336" s="1" t="s">
        <v>1856</v>
      </c>
      <c r="C4336" s="1" t="s">
        <v>2707</v>
      </c>
      <c r="D4336" s="1" t="s">
        <v>1998</v>
      </c>
      <c r="E4336" s="1"/>
      <c r="F4336" s="1" t="s">
        <v>11</v>
      </c>
      <c r="G4336">
        <v>2385</v>
      </c>
      <c r="H4336">
        <v>2385</v>
      </c>
      <c r="I4336" s="2"/>
      <c r="J4336" s="2">
        <v>45772</v>
      </c>
      <c r="K4336" s="2">
        <v>45789</v>
      </c>
    </row>
    <row r="4337" spans="1:11" x14ac:dyDescent="0.25">
      <c r="A4337" s="1" t="s">
        <v>731</v>
      </c>
      <c r="B4337" s="1" t="s">
        <v>1857</v>
      </c>
      <c r="C4337" s="1" t="s">
        <v>2708</v>
      </c>
      <c r="D4337" s="1" t="s">
        <v>1998</v>
      </c>
      <c r="E4337" s="1"/>
      <c r="F4337" s="1" t="s">
        <v>11</v>
      </c>
      <c r="G4337">
        <v>35</v>
      </c>
      <c r="H4337">
        <v>1</v>
      </c>
      <c r="I4337" s="2"/>
      <c r="J4337" s="2">
        <v>45772</v>
      </c>
      <c r="K4337" s="2">
        <v>45789</v>
      </c>
    </row>
    <row r="4338" spans="1:11" x14ac:dyDescent="0.25">
      <c r="A4338" s="1" t="s">
        <v>731</v>
      </c>
      <c r="B4338" s="1" t="s">
        <v>1858</v>
      </c>
      <c r="C4338" s="1" t="s">
        <v>2064</v>
      </c>
      <c r="D4338" s="1" t="s">
        <v>1998</v>
      </c>
      <c r="E4338" s="1"/>
      <c r="F4338" s="1" t="s">
        <v>11</v>
      </c>
      <c r="G4338">
        <v>1655</v>
      </c>
      <c r="H4338">
        <v>1655</v>
      </c>
      <c r="I4338" s="2"/>
      <c r="J4338" s="2">
        <v>45772</v>
      </c>
      <c r="K4338" s="2">
        <v>45789</v>
      </c>
    </row>
    <row r="4339" spans="1:11" x14ac:dyDescent="0.25">
      <c r="A4339" s="1" t="s">
        <v>732</v>
      </c>
      <c r="B4339" s="1" t="s">
        <v>1800</v>
      </c>
      <c r="C4339" s="1" t="s">
        <v>2666</v>
      </c>
      <c r="D4339" s="1" t="s">
        <v>1998</v>
      </c>
      <c r="E4339" s="1"/>
      <c r="F4339" s="1" t="s">
        <v>11</v>
      </c>
      <c r="G4339">
        <v>160</v>
      </c>
      <c r="H4339">
        <v>160</v>
      </c>
      <c r="I4339" s="2"/>
      <c r="J4339" s="2">
        <v>45771</v>
      </c>
      <c r="K4339" s="2">
        <v>45778</v>
      </c>
    </row>
    <row r="4340" spans="1:11" x14ac:dyDescent="0.25">
      <c r="A4340" s="1" t="s">
        <v>732</v>
      </c>
      <c r="B4340" s="1" t="s">
        <v>1800</v>
      </c>
      <c r="C4340" s="1" t="s">
        <v>2666</v>
      </c>
      <c r="D4340" s="1" t="s">
        <v>1998</v>
      </c>
      <c r="E4340" s="1"/>
      <c r="F4340" s="1" t="s">
        <v>11</v>
      </c>
      <c r="G4340">
        <v>15</v>
      </c>
      <c r="H4340">
        <v>15</v>
      </c>
      <c r="I4340" s="2"/>
      <c r="J4340" s="2">
        <v>45771</v>
      </c>
      <c r="K4340" s="2">
        <v>45778</v>
      </c>
    </row>
    <row r="4341" spans="1:11" x14ac:dyDescent="0.25">
      <c r="A4341" s="1" t="s">
        <v>732</v>
      </c>
      <c r="B4341" s="1" t="s">
        <v>1804</v>
      </c>
      <c r="C4341" s="1" t="s">
        <v>2346</v>
      </c>
      <c r="D4341" s="1" t="s">
        <v>1998</v>
      </c>
      <c r="E4341" s="1"/>
      <c r="F4341" s="1" t="s">
        <v>11</v>
      </c>
      <c r="G4341">
        <v>10255</v>
      </c>
      <c r="H4341">
        <v>10370</v>
      </c>
      <c r="I4341" s="2"/>
      <c r="J4341" s="2">
        <v>45771</v>
      </c>
      <c r="K4341" s="2">
        <v>45778</v>
      </c>
    </row>
    <row r="4342" spans="1:11" x14ac:dyDescent="0.25">
      <c r="A4342" s="1" t="s">
        <v>732</v>
      </c>
      <c r="B4342" s="1" t="s">
        <v>1805</v>
      </c>
      <c r="C4342" s="1" t="s">
        <v>2140</v>
      </c>
      <c r="D4342" s="1" t="s">
        <v>1998</v>
      </c>
      <c r="E4342" s="1"/>
      <c r="F4342" s="1" t="s">
        <v>11</v>
      </c>
      <c r="G4342">
        <v>13215</v>
      </c>
      <c r="H4342">
        <v>13215</v>
      </c>
      <c r="I4342" s="2"/>
      <c r="J4342" s="2">
        <v>45771</v>
      </c>
      <c r="K4342" s="2">
        <v>45778</v>
      </c>
    </row>
    <row r="4343" spans="1:11" x14ac:dyDescent="0.25">
      <c r="A4343" s="1" t="s">
        <v>732</v>
      </c>
      <c r="B4343" s="1" t="s">
        <v>1805</v>
      </c>
      <c r="C4343" s="1" t="s">
        <v>2140</v>
      </c>
      <c r="D4343" s="1" t="s">
        <v>1998</v>
      </c>
      <c r="E4343" s="1"/>
      <c r="F4343" s="1" t="s">
        <v>11</v>
      </c>
      <c r="G4343">
        <v>330</v>
      </c>
      <c r="H4343">
        <v>485</v>
      </c>
      <c r="I4343" s="2"/>
      <c r="J4343" s="2">
        <v>45771</v>
      </c>
      <c r="K4343" s="2">
        <v>45778</v>
      </c>
    </row>
    <row r="4344" spans="1:11" x14ac:dyDescent="0.25">
      <c r="A4344" s="1" t="s">
        <v>732</v>
      </c>
      <c r="B4344" s="1" t="s">
        <v>1450</v>
      </c>
      <c r="C4344" s="1" t="s">
        <v>2388</v>
      </c>
      <c r="D4344" s="1" t="s">
        <v>1998</v>
      </c>
      <c r="E4344" s="1"/>
      <c r="F4344" s="1" t="s">
        <v>11</v>
      </c>
      <c r="G4344">
        <v>5</v>
      </c>
      <c r="H4344">
        <v>1</v>
      </c>
      <c r="I4344" s="2"/>
      <c r="J4344" s="2">
        <v>45771</v>
      </c>
      <c r="K4344" s="2">
        <v>45778</v>
      </c>
    </row>
    <row r="4345" spans="1:11" x14ac:dyDescent="0.25">
      <c r="A4345" s="1" t="s">
        <v>732</v>
      </c>
      <c r="B4345" s="1" t="s">
        <v>1806</v>
      </c>
      <c r="C4345" s="1" t="s">
        <v>2668</v>
      </c>
      <c r="D4345" s="1" t="s">
        <v>1998</v>
      </c>
      <c r="E4345" s="1"/>
      <c r="F4345" s="1" t="s">
        <v>11</v>
      </c>
      <c r="G4345">
        <v>575</v>
      </c>
      <c r="H4345">
        <v>575</v>
      </c>
      <c r="I4345" s="2"/>
      <c r="J4345" s="2">
        <v>45771</v>
      </c>
      <c r="K4345" s="2">
        <v>45778</v>
      </c>
    </row>
    <row r="4346" spans="1:11" x14ac:dyDescent="0.25">
      <c r="A4346" s="1" t="s">
        <v>732</v>
      </c>
      <c r="B4346" s="1" t="s">
        <v>1806</v>
      </c>
      <c r="C4346" s="1" t="s">
        <v>2668</v>
      </c>
      <c r="D4346" s="1" t="s">
        <v>1998</v>
      </c>
      <c r="E4346" s="1"/>
      <c r="F4346" s="1" t="s">
        <v>11</v>
      </c>
      <c r="G4346">
        <v>20</v>
      </c>
      <c r="H4346">
        <v>15</v>
      </c>
      <c r="I4346" s="2"/>
      <c r="J4346" s="2">
        <v>45771</v>
      </c>
      <c r="K4346" s="2">
        <v>45778</v>
      </c>
    </row>
    <row r="4347" spans="1:11" x14ac:dyDescent="0.25">
      <c r="A4347" s="1" t="s">
        <v>733</v>
      </c>
      <c r="B4347" s="1" t="s">
        <v>1377</v>
      </c>
      <c r="C4347" s="1" t="s">
        <v>2326</v>
      </c>
      <c r="D4347" s="1" t="s">
        <v>1998</v>
      </c>
      <c r="E4347" s="1"/>
      <c r="F4347" s="1" t="s">
        <v>11</v>
      </c>
      <c r="G4347">
        <v>3400</v>
      </c>
      <c r="H4347">
        <v>2940</v>
      </c>
      <c r="I4347" s="2"/>
      <c r="J4347" s="2">
        <v>45771</v>
      </c>
      <c r="K4347" s="2">
        <v>45785</v>
      </c>
    </row>
    <row r="4348" spans="1:11" x14ac:dyDescent="0.25">
      <c r="A4348" s="1" t="s">
        <v>734</v>
      </c>
      <c r="B4348" s="1" t="s">
        <v>1522</v>
      </c>
      <c r="C4348" s="1" t="s">
        <v>2454</v>
      </c>
      <c r="D4348" s="1" t="s">
        <v>1998</v>
      </c>
      <c r="E4348" s="1"/>
      <c r="F4348" s="1" t="s">
        <v>11</v>
      </c>
      <c r="G4348">
        <v>45</v>
      </c>
      <c r="H4348">
        <v>45</v>
      </c>
      <c r="I4348" s="2"/>
      <c r="J4348" s="2">
        <v>45771</v>
      </c>
      <c r="K4348" s="2">
        <v>45785</v>
      </c>
    </row>
    <row r="4349" spans="1:11" x14ac:dyDescent="0.25">
      <c r="A4349" s="1" t="s">
        <v>734</v>
      </c>
      <c r="B4349" s="1" t="s">
        <v>1523</v>
      </c>
      <c r="C4349" s="1" t="s">
        <v>2455</v>
      </c>
      <c r="D4349" s="1" t="s">
        <v>1998</v>
      </c>
      <c r="E4349" s="1"/>
      <c r="F4349" s="1" t="s">
        <v>11</v>
      </c>
      <c r="G4349">
        <v>165</v>
      </c>
      <c r="H4349">
        <v>165</v>
      </c>
      <c r="I4349" s="2"/>
      <c r="J4349" s="2">
        <v>45771</v>
      </c>
      <c r="K4349" s="2">
        <v>45785</v>
      </c>
    </row>
    <row r="4350" spans="1:11" x14ac:dyDescent="0.25">
      <c r="A4350" s="1" t="s">
        <v>734</v>
      </c>
      <c r="B4350" s="1" t="s">
        <v>1524</v>
      </c>
      <c r="C4350" s="1" t="s">
        <v>2115</v>
      </c>
      <c r="D4350" s="1" t="s">
        <v>1998</v>
      </c>
      <c r="E4350" s="1"/>
      <c r="F4350" s="1" t="s">
        <v>11</v>
      </c>
      <c r="G4350">
        <v>1390</v>
      </c>
      <c r="H4350">
        <v>1390</v>
      </c>
      <c r="I4350" s="2"/>
      <c r="J4350" s="2">
        <v>45771</v>
      </c>
      <c r="K4350" s="2">
        <v>45785</v>
      </c>
    </row>
    <row r="4351" spans="1:11" x14ac:dyDescent="0.25">
      <c r="A4351" s="1" t="s">
        <v>734</v>
      </c>
      <c r="B4351" s="1" t="s">
        <v>1525</v>
      </c>
      <c r="C4351" s="1" t="s">
        <v>2115</v>
      </c>
      <c r="D4351" s="1" t="s">
        <v>1998</v>
      </c>
      <c r="E4351" s="1"/>
      <c r="F4351" s="1" t="s">
        <v>11</v>
      </c>
      <c r="G4351">
        <v>210</v>
      </c>
      <c r="H4351">
        <v>210</v>
      </c>
      <c r="I4351" s="2"/>
      <c r="J4351" s="2">
        <v>45771</v>
      </c>
      <c r="K4351" s="2">
        <v>45785</v>
      </c>
    </row>
    <row r="4352" spans="1:11" x14ac:dyDescent="0.25">
      <c r="A4352" s="1" t="s">
        <v>734</v>
      </c>
      <c r="B4352" s="1" t="s">
        <v>1526</v>
      </c>
      <c r="C4352" s="1" t="s">
        <v>2026</v>
      </c>
      <c r="D4352" s="1" t="s">
        <v>1998</v>
      </c>
      <c r="E4352" s="1"/>
      <c r="F4352" s="1" t="s">
        <v>11</v>
      </c>
      <c r="G4352">
        <v>310</v>
      </c>
      <c r="H4352">
        <v>310</v>
      </c>
      <c r="I4352" s="2"/>
      <c r="J4352" s="2">
        <v>45771</v>
      </c>
      <c r="K4352" s="2">
        <v>45785</v>
      </c>
    </row>
    <row r="4353" spans="1:11" x14ac:dyDescent="0.25">
      <c r="A4353" s="1" t="s">
        <v>734</v>
      </c>
      <c r="B4353" s="1" t="s">
        <v>1527</v>
      </c>
      <c r="C4353" s="1" t="s">
        <v>2456</v>
      </c>
      <c r="D4353" s="1" t="s">
        <v>1998</v>
      </c>
      <c r="E4353" s="1"/>
      <c r="F4353" s="1" t="s">
        <v>11</v>
      </c>
      <c r="G4353">
        <v>180</v>
      </c>
      <c r="H4353">
        <v>180</v>
      </c>
      <c r="I4353" s="2"/>
      <c r="J4353" s="2">
        <v>45771</v>
      </c>
      <c r="K4353" s="2">
        <v>45785</v>
      </c>
    </row>
    <row r="4354" spans="1:11" x14ac:dyDescent="0.25">
      <c r="A4354" s="1" t="s">
        <v>734</v>
      </c>
      <c r="B4354" s="1" t="s">
        <v>1528</v>
      </c>
      <c r="C4354" s="1" t="s">
        <v>2457</v>
      </c>
      <c r="D4354" s="1" t="s">
        <v>1998</v>
      </c>
      <c r="E4354" s="1"/>
      <c r="F4354" s="1" t="s">
        <v>11</v>
      </c>
      <c r="G4354">
        <v>5</v>
      </c>
      <c r="H4354">
        <v>5</v>
      </c>
      <c r="I4354" s="2"/>
      <c r="J4354" s="2">
        <v>45771</v>
      </c>
      <c r="K4354" s="2">
        <v>45785</v>
      </c>
    </row>
    <row r="4355" spans="1:11" x14ac:dyDescent="0.25">
      <c r="A4355" s="1" t="s">
        <v>734</v>
      </c>
      <c r="B4355" s="1" t="s">
        <v>1529</v>
      </c>
      <c r="C4355" s="1" t="s">
        <v>2458</v>
      </c>
      <c r="D4355" s="1" t="s">
        <v>1998</v>
      </c>
      <c r="E4355" s="1"/>
      <c r="F4355" s="1" t="s">
        <v>11</v>
      </c>
      <c r="G4355">
        <v>300</v>
      </c>
      <c r="H4355">
        <v>300</v>
      </c>
      <c r="I4355" s="2"/>
      <c r="J4355" s="2">
        <v>45771</v>
      </c>
      <c r="K4355" s="2">
        <v>45785</v>
      </c>
    </row>
    <row r="4356" spans="1:11" x14ac:dyDescent="0.25">
      <c r="A4356" s="1" t="s">
        <v>734</v>
      </c>
      <c r="B4356" s="1" t="s">
        <v>1039</v>
      </c>
      <c r="C4356" s="1" t="s">
        <v>2049</v>
      </c>
      <c r="D4356" s="1" t="s">
        <v>1998</v>
      </c>
      <c r="E4356" s="1"/>
      <c r="F4356" s="1" t="s">
        <v>11</v>
      </c>
      <c r="G4356">
        <v>5</v>
      </c>
      <c r="H4356">
        <v>5</v>
      </c>
      <c r="I4356" s="2"/>
      <c r="J4356" s="2">
        <v>45771</v>
      </c>
      <c r="K4356" s="2">
        <v>45785</v>
      </c>
    </row>
    <row r="4357" spans="1:11" x14ac:dyDescent="0.25">
      <c r="A4357" s="1" t="s">
        <v>734</v>
      </c>
      <c r="B4357" s="1" t="s">
        <v>1087</v>
      </c>
      <c r="C4357" s="1" t="s">
        <v>2090</v>
      </c>
      <c r="D4357" s="1" t="s">
        <v>1998</v>
      </c>
      <c r="E4357" s="1"/>
      <c r="F4357" s="1" t="s">
        <v>11</v>
      </c>
      <c r="G4357">
        <v>5</v>
      </c>
      <c r="H4357">
        <v>5</v>
      </c>
      <c r="I4357" s="2"/>
      <c r="J4357" s="2">
        <v>45771</v>
      </c>
      <c r="K4357" s="2">
        <v>45785</v>
      </c>
    </row>
    <row r="4358" spans="1:11" x14ac:dyDescent="0.25">
      <c r="A4358" s="1" t="s">
        <v>734</v>
      </c>
      <c r="B4358" s="1" t="s">
        <v>1040</v>
      </c>
      <c r="C4358" s="1" t="s">
        <v>2050</v>
      </c>
      <c r="D4358" s="1" t="s">
        <v>1998</v>
      </c>
      <c r="E4358" s="1"/>
      <c r="F4358" s="1" t="s">
        <v>11</v>
      </c>
      <c r="G4358">
        <v>5</v>
      </c>
      <c r="H4358">
        <v>5</v>
      </c>
      <c r="I4358" s="2"/>
      <c r="J4358" s="2">
        <v>45771</v>
      </c>
      <c r="K4358" s="2">
        <v>45785</v>
      </c>
    </row>
    <row r="4359" spans="1:11" x14ac:dyDescent="0.25">
      <c r="A4359" s="1" t="s">
        <v>734</v>
      </c>
      <c r="B4359" s="1" t="s">
        <v>1040</v>
      </c>
      <c r="C4359" s="1" t="s">
        <v>2050</v>
      </c>
      <c r="D4359" s="1" t="s">
        <v>1998</v>
      </c>
      <c r="E4359" s="1"/>
      <c r="F4359" s="1" t="s">
        <v>11</v>
      </c>
      <c r="G4359">
        <v>5</v>
      </c>
      <c r="H4359">
        <v>5</v>
      </c>
      <c r="I4359" s="2"/>
      <c r="J4359" s="2">
        <v>45771</v>
      </c>
      <c r="K4359" s="2">
        <v>45785</v>
      </c>
    </row>
    <row r="4360" spans="1:11" x14ac:dyDescent="0.25">
      <c r="A4360" s="1" t="s">
        <v>735</v>
      </c>
      <c r="B4360" s="1" t="s">
        <v>1353</v>
      </c>
      <c r="C4360" s="1" t="s">
        <v>2306</v>
      </c>
      <c r="D4360" s="1" t="s">
        <v>1998</v>
      </c>
      <c r="E4360" s="1"/>
      <c r="F4360" s="1" t="s">
        <v>11</v>
      </c>
      <c r="G4360">
        <v>74025</v>
      </c>
      <c r="H4360">
        <v>74025</v>
      </c>
      <c r="I4360" s="2"/>
      <c r="J4360" s="2">
        <v>45778</v>
      </c>
      <c r="K4360" s="2">
        <v>45786</v>
      </c>
    </row>
    <row r="4361" spans="1:11" x14ac:dyDescent="0.25">
      <c r="A4361" s="1" t="s">
        <v>735</v>
      </c>
      <c r="B4361" s="1" t="s">
        <v>1354</v>
      </c>
      <c r="C4361" s="1" t="s">
        <v>2307</v>
      </c>
      <c r="D4361" s="1" t="s">
        <v>1998</v>
      </c>
      <c r="E4361" s="1"/>
      <c r="F4361" s="1" t="s">
        <v>11</v>
      </c>
      <c r="G4361">
        <v>85</v>
      </c>
      <c r="H4361">
        <v>85</v>
      </c>
      <c r="I4361" s="2"/>
      <c r="J4361" s="2">
        <v>45778</v>
      </c>
      <c r="K4361" s="2">
        <v>45786</v>
      </c>
    </row>
    <row r="4362" spans="1:11" x14ac:dyDescent="0.25">
      <c r="A4362" s="1" t="s">
        <v>735</v>
      </c>
      <c r="B4362" s="1" t="s">
        <v>1354</v>
      </c>
      <c r="C4362" s="1" t="s">
        <v>2307</v>
      </c>
      <c r="D4362" s="1" t="s">
        <v>1998</v>
      </c>
      <c r="E4362" s="1"/>
      <c r="F4362" s="1" t="s">
        <v>11</v>
      </c>
      <c r="G4362">
        <v>15</v>
      </c>
      <c r="H4362">
        <v>15</v>
      </c>
      <c r="I4362" s="2"/>
      <c r="J4362" s="2">
        <v>45778</v>
      </c>
      <c r="K4362" s="2">
        <v>45786</v>
      </c>
    </row>
    <row r="4363" spans="1:11" x14ac:dyDescent="0.25">
      <c r="A4363" s="1" t="s">
        <v>735</v>
      </c>
      <c r="B4363" s="1" t="s">
        <v>999</v>
      </c>
      <c r="C4363" s="1" t="s">
        <v>2017</v>
      </c>
      <c r="D4363" s="1" t="s">
        <v>1998</v>
      </c>
      <c r="E4363" s="1"/>
      <c r="F4363" s="1" t="s">
        <v>11</v>
      </c>
      <c r="G4363">
        <v>1</v>
      </c>
      <c r="H4363">
        <v>1</v>
      </c>
      <c r="I4363" s="2"/>
      <c r="J4363" s="2">
        <v>45778</v>
      </c>
      <c r="K4363" s="2">
        <v>45786</v>
      </c>
    </row>
    <row r="4364" spans="1:11" x14ac:dyDescent="0.25">
      <c r="A4364" s="1" t="s">
        <v>735</v>
      </c>
      <c r="B4364" s="1" t="s">
        <v>1000</v>
      </c>
      <c r="C4364" s="1" t="s">
        <v>2018</v>
      </c>
      <c r="D4364" s="1" t="s">
        <v>1998</v>
      </c>
      <c r="E4364" s="1"/>
      <c r="F4364" s="1" t="s">
        <v>11</v>
      </c>
      <c r="G4364">
        <v>1</v>
      </c>
      <c r="H4364">
        <v>1</v>
      </c>
      <c r="I4364" s="2"/>
      <c r="J4364" s="2">
        <v>45778</v>
      </c>
      <c r="K4364" s="2">
        <v>45786</v>
      </c>
    </row>
    <row r="4365" spans="1:11" x14ac:dyDescent="0.25">
      <c r="A4365" s="1" t="s">
        <v>735</v>
      </c>
      <c r="B4365" s="1" t="s">
        <v>1001</v>
      </c>
      <c r="C4365" s="1" t="s">
        <v>2019</v>
      </c>
      <c r="D4365" s="1" t="s">
        <v>1998</v>
      </c>
      <c r="E4365" s="1"/>
      <c r="F4365" s="1" t="s">
        <v>11</v>
      </c>
      <c r="G4365">
        <v>1</v>
      </c>
      <c r="H4365">
        <v>1</v>
      </c>
      <c r="I4365" s="2"/>
      <c r="J4365" s="2">
        <v>45778</v>
      </c>
      <c r="K4365" s="2">
        <v>45786</v>
      </c>
    </row>
    <row r="4366" spans="1:11" x14ac:dyDescent="0.25">
      <c r="A4366" s="1" t="s">
        <v>736</v>
      </c>
      <c r="B4366" s="1" t="s">
        <v>1859</v>
      </c>
      <c r="C4366" s="1" t="s">
        <v>2014</v>
      </c>
      <c r="D4366" s="1" t="s">
        <v>1998</v>
      </c>
      <c r="E4366" s="1"/>
      <c r="F4366" s="1" t="s">
        <v>11</v>
      </c>
      <c r="G4366">
        <v>390</v>
      </c>
      <c r="H4366">
        <v>390</v>
      </c>
      <c r="I4366" s="2">
        <v>45784</v>
      </c>
      <c r="J4366" s="2">
        <v>45772</v>
      </c>
      <c r="K4366" s="2">
        <v>45784</v>
      </c>
    </row>
    <row r="4367" spans="1:11" x14ac:dyDescent="0.25">
      <c r="A4367" s="1" t="s">
        <v>736</v>
      </c>
      <c r="B4367" s="1" t="s">
        <v>1859</v>
      </c>
      <c r="C4367" s="1" t="s">
        <v>2014</v>
      </c>
      <c r="D4367" s="1" t="s">
        <v>1998</v>
      </c>
      <c r="E4367" s="1"/>
      <c r="F4367" s="1" t="s">
        <v>11</v>
      </c>
      <c r="G4367">
        <v>5</v>
      </c>
      <c r="H4367">
        <v>5</v>
      </c>
      <c r="I4367" s="2">
        <v>45784</v>
      </c>
      <c r="J4367" s="2">
        <v>45772</v>
      </c>
      <c r="K4367" s="2">
        <v>45784</v>
      </c>
    </row>
    <row r="4368" spans="1:11" x14ac:dyDescent="0.25">
      <c r="A4368" s="1" t="s">
        <v>736</v>
      </c>
      <c r="B4368" s="1" t="s">
        <v>1702</v>
      </c>
      <c r="C4368" s="1" t="s">
        <v>2598</v>
      </c>
      <c r="D4368" s="1" t="s">
        <v>1998</v>
      </c>
      <c r="E4368" s="1"/>
      <c r="F4368" s="1" t="s">
        <v>11</v>
      </c>
      <c r="G4368">
        <v>535</v>
      </c>
      <c r="H4368">
        <v>535</v>
      </c>
      <c r="I4368" s="2">
        <v>45784</v>
      </c>
      <c r="J4368" s="2">
        <v>45772</v>
      </c>
      <c r="K4368" s="2">
        <v>45784</v>
      </c>
    </row>
    <row r="4369" spans="1:11" x14ac:dyDescent="0.25">
      <c r="A4369" s="1" t="s">
        <v>736</v>
      </c>
      <c r="B4369" s="1" t="s">
        <v>1702</v>
      </c>
      <c r="C4369" s="1" t="s">
        <v>2598</v>
      </c>
      <c r="D4369" s="1" t="s">
        <v>1998</v>
      </c>
      <c r="E4369" s="1"/>
      <c r="F4369" s="1" t="s">
        <v>11</v>
      </c>
      <c r="G4369">
        <v>30</v>
      </c>
      <c r="H4369">
        <v>30</v>
      </c>
      <c r="I4369" s="2">
        <v>45784</v>
      </c>
      <c r="J4369" s="2">
        <v>45772</v>
      </c>
      <c r="K4369" s="2">
        <v>45784</v>
      </c>
    </row>
    <row r="4370" spans="1:11" x14ac:dyDescent="0.25">
      <c r="A4370" s="1" t="s">
        <v>736</v>
      </c>
      <c r="B4370" s="1" t="s">
        <v>1702</v>
      </c>
      <c r="C4370" s="1" t="s">
        <v>2598</v>
      </c>
      <c r="D4370" s="1" t="s">
        <v>1998</v>
      </c>
      <c r="E4370" s="1"/>
      <c r="F4370" s="1" t="s">
        <v>11</v>
      </c>
      <c r="G4370">
        <v>5</v>
      </c>
      <c r="H4370">
        <v>5</v>
      </c>
      <c r="I4370" s="2">
        <v>45784</v>
      </c>
      <c r="J4370" s="2">
        <v>45772</v>
      </c>
      <c r="K4370" s="2">
        <v>45784</v>
      </c>
    </row>
    <row r="4371" spans="1:11" x14ac:dyDescent="0.25">
      <c r="A4371" s="1" t="s">
        <v>736</v>
      </c>
      <c r="B4371" s="1" t="s">
        <v>1703</v>
      </c>
      <c r="C4371" s="1" t="s">
        <v>2599</v>
      </c>
      <c r="D4371" s="1" t="s">
        <v>1998</v>
      </c>
      <c r="E4371" s="1"/>
      <c r="F4371" s="1" t="s">
        <v>11</v>
      </c>
      <c r="G4371">
        <v>575</v>
      </c>
      <c r="H4371">
        <v>575</v>
      </c>
      <c r="I4371" s="2">
        <v>45784</v>
      </c>
      <c r="J4371" s="2">
        <v>45772</v>
      </c>
      <c r="K4371" s="2">
        <v>45784</v>
      </c>
    </row>
    <row r="4372" spans="1:11" x14ac:dyDescent="0.25">
      <c r="A4372" s="1" t="s">
        <v>736</v>
      </c>
      <c r="B4372" s="1" t="s">
        <v>1126</v>
      </c>
      <c r="C4372" s="1" t="s">
        <v>2126</v>
      </c>
      <c r="D4372" s="1" t="s">
        <v>1998</v>
      </c>
      <c r="E4372" s="1"/>
      <c r="F4372" s="1" t="s">
        <v>11</v>
      </c>
      <c r="G4372">
        <v>70</v>
      </c>
      <c r="H4372">
        <v>70</v>
      </c>
      <c r="I4372" s="2">
        <v>45784</v>
      </c>
      <c r="J4372" s="2">
        <v>45772</v>
      </c>
      <c r="K4372" s="2">
        <v>45784</v>
      </c>
    </row>
    <row r="4373" spans="1:11" x14ac:dyDescent="0.25">
      <c r="A4373" s="1" t="s">
        <v>736</v>
      </c>
      <c r="B4373" s="1" t="s">
        <v>1704</v>
      </c>
      <c r="C4373" s="1" t="s">
        <v>2600</v>
      </c>
      <c r="D4373" s="1" t="s">
        <v>1998</v>
      </c>
      <c r="E4373" s="1"/>
      <c r="F4373" s="1" t="s">
        <v>11</v>
      </c>
      <c r="G4373">
        <v>260</v>
      </c>
      <c r="H4373">
        <v>260</v>
      </c>
      <c r="I4373" s="2">
        <v>45784</v>
      </c>
      <c r="J4373" s="2">
        <v>45772</v>
      </c>
      <c r="K4373" s="2">
        <v>45784</v>
      </c>
    </row>
    <row r="4374" spans="1:11" x14ac:dyDescent="0.25">
      <c r="A4374" s="1" t="s">
        <v>736</v>
      </c>
      <c r="B4374" s="1" t="s">
        <v>1705</v>
      </c>
      <c r="C4374" s="1" t="s">
        <v>2601</v>
      </c>
      <c r="D4374" s="1" t="s">
        <v>1998</v>
      </c>
      <c r="E4374" s="1"/>
      <c r="F4374" s="1" t="s">
        <v>11</v>
      </c>
      <c r="G4374">
        <v>120</v>
      </c>
      <c r="H4374">
        <v>120</v>
      </c>
      <c r="I4374" s="2">
        <v>45784</v>
      </c>
      <c r="J4374" s="2">
        <v>45772</v>
      </c>
      <c r="K4374" s="2">
        <v>45784</v>
      </c>
    </row>
    <row r="4375" spans="1:11" x14ac:dyDescent="0.25">
      <c r="A4375" s="1" t="s">
        <v>736</v>
      </c>
      <c r="B4375" s="1" t="s">
        <v>1705</v>
      </c>
      <c r="C4375" s="1" t="s">
        <v>2601</v>
      </c>
      <c r="D4375" s="1" t="s">
        <v>1998</v>
      </c>
      <c r="E4375" s="1"/>
      <c r="F4375" s="1" t="s">
        <v>11</v>
      </c>
      <c r="G4375">
        <v>5</v>
      </c>
      <c r="H4375">
        <v>5</v>
      </c>
      <c r="I4375" s="2">
        <v>45784</v>
      </c>
      <c r="J4375" s="2">
        <v>45772</v>
      </c>
      <c r="K4375" s="2">
        <v>45784</v>
      </c>
    </row>
    <row r="4376" spans="1:11" x14ac:dyDescent="0.25">
      <c r="A4376" s="1" t="s">
        <v>736</v>
      </c>
      <c r="B4376" s="1" t="s">
        <v>1860</v>
      </c>
      <c r="C4376" s="1" t="s">
        <v>2709</v>
      </c>
      <c r="D4376" s="1" t="s">
        <v>1998</v>
      </c>
      <c r="E4376" s="1"/>
      <c r="F4376" s="1" t="s">
        <v>11</v>
      </c>
      <c r="G4376">
        <v>415</v>
      </c>
      <c r="H4376">
        <v>415</v>
      </c>
      <c r="I4376" s="2">
        <v>45784</v>
      </c>
      <c r="J4376" s="2">
        <v>45772</v>
      </c>
      <c r="K4376" s="2">
        <v>45784</v>
      </c>
    </row>
    <row r="4377" spans="1:11" x14ac:dyDescent="0.25">
      <c r="A4377" s="1" t="s">
        <v>736</v>
      </c>
      <c r="B4377" s="1" t="s">
        <v>1707</v>
      </c>
      <c r="C4377" s="1" t="s">
        <v>2603</v>
      </c>
      <c r="D4377" s="1" t="s">
        <v>1998</v>
      </c>
      <c r="E4377" s="1"/>
      <c r="F4377" s="1" t="s">
        <v>11</v>
      </c>
      <c r="G4377">
        <v>265</v>
      </c>
      <c r="H4377">
        <v>265</v>
      </c>
      <c r="I4377" s="2">
        <v>45784</v>
      </c>
      <c r="J4377" s="2">
        <v>45772</v>
      </c>
      <c r="K4377" s="2">
        <v>45784</v>
      </c>
    </row>
    <row r="4378" spans="1:11" x14ac:dyDescent="0.25">
      <c r="A4378" s="1" t="s">
        <v>737</v>
      </c>
      <c r="B4378" s="1" t="s">
        <v>1861</v>
      </c>
      <c r="C4378" s="1" t="s">
        <v>2710</v>
      </c>
      <c r="D4378" s="1" t="s">
        <v>1998</v>
      </c>
      <c r="E4378" s="1"/>
      <c r="F4378" s="1" t="s">
        <v>11</v>
      </c>
      <c r="G4378">
        <v>60</v>
      </c>
      <c r="H4378">
        <v>55</v>
      </c>
      <c r="I4378" s="2"/>
      <c r="J4378" s="2">
        <v>45772</v>
      </c>
      <c r="K4378" s="2">
        <v>45782</v>
      </c>
    </row>
    <row r="4379" spans="1:11" x14ac:dyDescent="0.25">
      <c r="A4379" s="1" t="s">
        <v>738</v>
      </c>
      <c r="B4379" s="1" t="s">
        <v>1862</v>
      </c>
      <c r="C4379" s="1" t="s">
        <v>2711</v>
      </c>
      <c r="D4379" s="1" t="s">
        <v>1998</v>
      </c>
      <c r="E4379" s="1"/>
      <c r="F4379" s="1" t="s">
        <v>11</v>
      </c>
      <c r="G4379">
        <v>830</v>
      </c>
      <c r="H4379">
        <v>885</v>
      </c>
      <c r="I4379" s="2"/>
      <c r="J4379" s="2">
        <v>45775</v>
      </c>
      <c r="K4379" s="2">
        <v>45789</v>
      </c>
    </row>
    <row r="4380" spans="1:11" x14ac:dyDescent="0.25">
      <c r="A4380" s="1" t="s">
        <v>738</v>
      </c>
      <c r="B4380" s="1" t="s">
        <v>1862</v>
      </c>
      <c r="C4380" s="1" t="s">
        <v>2711</v>
      </c>
      <c r="D4380" s="1" t="s">
        <v>1998</v>
      </c>
      <c r="E4380" s="1"/>
      <c r="F4380" s="1" t="s">
        <v>11</v>
      </c>
      <c r="G4380">
        <v>45</v>
      </c>
      <c r="H4380">
        <v>65</v>
      </c>
      <c r="I4380" s="2"/>
      <c r="J4380" s="2">
        <v>45775</v>
      </c>
      <c r="K4380" s="2">
        <v>45789</v>
      </c>
    </row>
    <row r="4381" spans="1:11" x14ac:dyDescent="0.25">
      <c r="A4381" s="1" t="s">
        <v>739</v>
      </c>
      <c r="B4381" s="1" t="s">
        <v>1863</v>
      </c>
      <c r="C4381" s="1" t="s">
        <v>2712</v>
      </c>
      <c r="D4381" s="1" t="s">
        <v>1998</v>
      </c>
      <c r="E4381" s="1"/>
      <c r="F4381" s="1" t="s">
        <v>11</v>
      </c>
      <c r="G4381">
        <v>775</v>
      </c>
      <c r="H4381">
        <v>710</v>
      </c>
      <c r="I4381" s="2"/>
      <c r="J4381" s="2">
        <v>45771</v>
      </c>
      <c r="K4381" s="2">
        <v>45789</v>
      </c>
    </row>
    <row r="4382" spans="1:11" x14ac:dyDescent="0.25">
      <c r="A4382" s="1" t="s">
        <v>739</v>
      </c>
      <c r="B4382" s="1" t="s">
        <v>1194</v>
      </c>
      <c r="C4382" s="1" t="s">
        <v>2185</v>
      </c>
      <c r="D4382" s="1" t="s">
        <v>1998</v>
      </c>
      <c r="E4382" s="1"/>
      <c r="F4382" s="1" t="s">
        <v>11</v>
      </c>
      <c r="G4382">
        <v>5010</v>
      </c>
      <c r="H4382">
        <v>5010</v>
      </c>
      <c r="I4382" s="2"/>
      <c r="J4382" s="2">
        <v>45771</v>
      </c>
      <c r="K4382" s="2">
        <v>45789</v>
      </c>
    </row>
    <row r="4383" spans="1:11" x14ac:dyDescent="0.25">
      <c r="A4383" s="1" t="s">
        <v>740</v>
      </c>
      <c r="B4383" s="1" t="s">
        <v>1264</v>
      </c>
      <c r="C4383" s="1" t="s">
        <v>2241</v>
      </c>
      <c r="D4383" s="1" t="s">
        <v>1998</v>
      </c>
      <c r="E4383" s="1"/>
      <c r="F4383" s="1" t="s">
        <v>11</v>
      </c>
      <c r="G4383">
        <v>835</v>
      </c>
      <c r="H4383">
        <v>835</v>
      </c>
      <c r="I4383" s="2">
        <v>45782</v>
      </c>
      <c r="J4383" s="2">
        <v>45771</v>
      </c>
      <c r="K4383" s="2">
        <v>45776</v>
      </c>
    </row>
    <row r="4384" spans="1:11" x14ac:dyDescent="0.25">
      <c r="A4384" s="1" t="s">
        <v>740</v>
      </c>
      <c r="B4384" s="1" t="s">
        <v>1352</v>
      </c>
      <c r="C4384" s="1" t="s">
        <v>2305</v>
      </c>
      <c r="D4384" s="1" t="s">
        <v>1998</v>
      </c>
      <c r="E4384" s="1"/>
      <c r="F4384" s="1" t="s">
        <v>11</v>
      </c>
      <c r="G4384">
        <v>15</v>
      </c>
      <c r="H4384">
        <v>15</v>
      </c>
      <c r="I4384" s="2">
        <v>45782</v>
      </c>
      <c r="J4384" s="2">
        <v>45771</v>
      </c>
      <c r="K4384" s="2">
        <v>45776</v>
      </c>
    </row>
    <row r="4385" spans="1:11" x14ac:dyDescent="0.25">
      <c r="A4385" s="1" t="s">
        <v>740</v>
      </c>
      <c r="B4385" s="1" t="s">
        <v>1206</v>
      </c>
      <c r="C4385" s="1" t="s">
        <v>2196</v>
      </c>
      <c r="D4385" s="1" t="s">
        <v>1998</v>
      </c>
      <c r="E4385" s="1"/>
      <c r="F4385" s="1" t="s">
        <v>11</v>
      </c>
      <c r="G4385">
        <v>5</v>
      </c>
      <c r="H4385">
        <v>5</v>
      </c>
      <c r="I4385" s="2">
        <v>45782</v>
      </c>
      <c r="J4385" s="2">
        <v>45771</v>
      </c>
      <c r="K4385" s="2">
        <v>45776</v>
      </c>
    </row>
    <row r="4386" spans="1:11" x14ac:dyDescent="0.25">
      <c r="A4386" s="1" t="s">
        <v>741</v>
      </c>
      <c r="B4386" s="1" t="s">
        <v>1147</v>
      </c>
      <c r="C4386" s="1" t="s">
        <v>2143</v>
      </c>
      <c r="D4386" s="1" t="s">
        <v>1998</v>
      </c>
      <c r="E4386" s="1"/>
      <c r="F4386" s="1" t="s">
        <v>11</v>
      </c>
      <c r="G4386">
        <v>685</v>
      </c>
      <c r="H4386">
        <v>715</v>
      </c>
      <c r="I4386" s="2"/>
      <c r="J4386" s="2">
        <v>45771</v>
      </c>
      <c r="K4386" s="2">
        <v>45783</v>
      </c>
    </row>
    <row r="4387" spans="1:11" x14ac:dyDescent="0.25">
      <c r="A4387" s="1" t="s">
        <v>741</v>
      </c>
      <c r="B4387" s="1" t="s">
        <v>1148</v>
      </c>
      <c r="C4387" s="1" t="s">
        <v>2027</v>
      </c>
      <c r="D4387" s="1" t="s">
        <v>1998</v>
      </c>
      <c r="E4387" s="1"/>
      <c r="F4387" s="1" t="s">
        <v>11</v>
      </c>
      <c r="G4387">
        <v>475</v>
      </c>
      <c r="H4387">
        <v>400</v>
      </c>
      <c r="I4387" s="2"/>
      <c r="J4387" s="2">
        <v>45771</v>
      </c>
      <c r="K4387" s="2">
        <v>45783</v>
      </c>
    </row>
    <row r="4388" spans="1:11" x14ac:dyDescent="0.25">
      <c r="A4388" s="1" t="s">
        <v>741</v>
      </c>
      <c r="B4388" s="1" t="s">
        <v>1149</v>
      </c>
      <c r="C4388" s="1" t="s">
        <v>2144</v>
      </c>
      <c r="D4388" s="1" t="s">
        <v>1998</v>
      </c>
      <c r="E4388" s="1"/>
      <c r="F4388" s="1" t="s">
        <v>11</v>
      </c>
      <c r="G4388">
        <v>730</v>
      </c>
      <c r="H4388">
        <v>640</v>
      </c>
      <c r="I4388" s="2"/>
      <c r="J4388" s="2">
        <v>45771</v>
      </c>
      <c r="K4388" s="2">
        <v>45783</v>
      </c>
    </row>
    <row r="4389" spans="1:11" x14ac:dyDescent="0.25">
      <c r="A4389" s="1" t="s">
        <v>741</v>
      </c>
      <c r="B4389" s="1" t="s">
        <v>1150</v>
      </c>
      <c r="C4389" s="1" t="s">
        <v>2145</v>
      </c>
      <c r="D4389" s="1" t="s">
        <v>1998</v>
      </c>
      <c r="E4389" s="1"/>
      <c r="F4389" s="1" t="s">
        <v>11</v>
      </c>
      <c r="G4389">
        <v>720</v>
      </c>
      <c r="H4389">
        <v>630</v>
      </c>
      <c r="I4389" s="2"/>
      <c r="J4389" s="2">
        <v>45771</v>
      </c>
      <c r="K4389" s="2">
        <v>45783</v>
      </c>
    </row>
    <row r="4390" spans="1:11" x14ac:dyDescent="0.25">
      <c r="A4390" s="1" t="s">
        <v>741</v>
      </c>
      <c r="B4390" s="1" t="s">
        <v>1012</v>
      </c>
      <c r="C4390" s="1" t="s">
        <v>2029</v>
      </c>
      <c r="D4390" s="1" t="s">
        <v>1998</v>
      </c>
      <c r="E4390" s="1"/>
      <c r="F4390" s="1" t="s">
        <v>11</v>
      </c>
      <c r="G4390">
        <v>140</v>
      </c>
      <c r="H4390">
        <v>140</v>
      </c>
      <c r="I4390" s="2"/>
      <c r="J4390" s="2">
        <v>45771</v>
      </c>
      <c r="K4390" s="2">
        <v>45783</v>
      </c>
    </row>
    <row r="4391" spans="1:11" x14ac:dyDescent="0.25">
      <c r="A4391" s="1" t="s">
        <v>741</v>
      </c>
      <c r="B4391" s="1" t="s">
        <v>1013</v>
      </c>
      <c r="C4391" s="1" t="s">
        <v>2030</v>
      </c>
      <c r="D4391" s="1" t="s">
        <v>1998</v>
      </c>
      <c r="E4391" s="1"/>
      <c r="F4391" s="1" t="s">
        <v>11</v>
      </c>
      <c r="G4391">
        <v>30</v>
      </c>
      <c r="H4391">
        <v>30</v>
      </c>
      <c r="I4391" s="2"/>
      <c r="J4391" s="2">
        <v>45771</v>
      </c>
      <c r="K4391" s="2">
        <v>45783</v>
      </c>
    </row>
    <row r="4392" spans="1:11" x14ac:dyDescent="0.25">
      <c r="A4392" s="1" t="s">
        <v>741</v>
      </c>
      <c r="B4392" s="1" t="s">
        <v>993</v>
      </c>
      <c r="C4392" s="1" t="s">
        <v>2011</v>
      </c>
      <c r="D4392" s="1" t="s">
        <v>1998</v>
      </c>
      <c r="E4392" s="1"/>
      <c r="F4392" s="1" t="s">
        <v>11</v>
      </c>
      <c r="G4392">
        <v>10</v>
      </c>
      <c r="H4392">
        <v>10</v>
      </c>
      <c r="I4392" s="2"/>
      <c r="J4392" s="2">
        <v>45771</v>
      </c>
      <c r="K4392" s="2">
        <v>45783</v>
      </c>
    </row>
    <row r="4393" spans="1:11" x14ac:dyDescent="0.25">
      <c r="A4393" s="1" t="s">
        <v>742</v>
      </c>
      <c r="B4393" s="1" t="s">
        <v>1664</v>
      </c>
      <c r="C4393" s="1" t="s">
        <v>2574</v>
      </c>
      <c r="D4393" s="1" t="s">
        <v>1998</v>
      </c>
      <c r="E4393" s="1"/>
      <c r="F4393" s="1" t="s">
        <v>11</v>
      </c>
      <c r="G4393">
        <v>205</v>
      </c>
      <c r="H4393">
        <v>205</v>
      </c>
      <c r="I4393" s="2">
        <v>45785</v>
      </c>
      <c r="J4393" s="2">
        <v>45772</v>
      </c>
      <c r="K4393" s="2">
        <v>45785</v>
      </c>
    </row>
    <row r="4394" spans="1:11" x14ac:dyDescent="0.25">
      <c r="A4394" s="1" t="s">
        <v>742</v>
      </c>
      <c r="B4394" s="1" t="s">
        <v>1864</v>
      </c>
      <c r="C4394" s="1" t="s">
        <v>2713</v>
      </c>
      <c r="D4394" s="1" t="s">
        <v>1998</v>
      </c>
      <c r="E4394" s="1"/>
      <c r="F4394" s="1" t="s">
        <v>11</v>
      </c>
      <c r="G4394">
        <v>255</v>
      </c>
      <c r="H4394">
        <v>255</v>
      </c>
      <c r="I4394" s="2">
        <v>45785</v>
      </c>
      <c r="J4394" s="2">
        <v>45772</v>
      </c>
      <c r="K4394" s="2">
        <v>45785</v>
      </c>
    </row>
    <row r="4395" spans="1:11" x14ac:dyDescent="0.25">
      <c r="A4395" s="1" t="s">
        <v>742</v>
      </c>
      <c r="B4395" s="1" t="s">
        <v>1666</v>
      </c>
      <c r="C4395" s="1" t="s">
        <v>2576</v>
      </c>
      <c r="D4395" s="1" t="s">
        <v>1998</v>
      </c>
      <c r="E4395" s="1"/>
      <c r="F4395" s="1" t="s">
        <v>11</v>
      </c>
      <c r="G4395">
        <v>90</v>
      </c>
      <c r="H4395">
        <v>90</v>
      </c>
      <c r="I4395" s="2">
        <v>45785</v>
      </c>
      <c r="J4395" s="2">
        <v>45772</v>
      </c>
      <c r="K4395" s="2">
        <v>45785</v>
      </c>
    </row>
    <row r="4396" spans="1:11" x14ac:dyDescent="0.25">
      <c r="A4396" s="1" t="s">
        <v>742</v>
      </c>
      <c r="B4396" s="1" t="s">
        <v>1666</v>
      </c>
      <c r="C4396" s="1" t="s">
        <v>2576</v>
      </c>
      <c r="D4396" s="1" t="s">
        <v>1998</v>
      </c>
      <c r="E4396" s="1"/>
      <c r="F4396" s="1" t="s">
        <v>16</v>
      </c>
      <c r="G4396">
        <v>15</v>
      </c>
      <c r="H4396">
        <v>15</v>
      </c>
      <c r="I4396" s="2">
        <v>45785</v>
      </c>
      <c r="J4396" s="2">
        <v>45772</v>
      </c>
      <c r="K4396" s="2">
        <v>45785</v>
      </c>
    </row>
    <row r="4397" spans="1:11" x14ac:dyDescent="0.25">
      <c r="A4397" s="1" t="s">
        <v>742</v>
      </c>
      <c r="B4397" s="1" t="s">
        <v>1667</v>
      </c>
      <c r="C4397" s="1" t="s">
        <v>2577</v>
      </c>
      <c r="D4397" s="1" t="s">
        <v>1998</v>
      </c>
      <c r="E4397" s="1"/>
      <c r="F4397" s="1" t="s">
        <v>11</v>
      </c>
      <c r="G4397">
        <v>65</v>
      </c>
      <c r="H4397">
        <v>65</v>
      </c>
      <c r="I4397" s="2">
        <v>45785</v>
      </c>
      <c r="J4397" s="2">
        <v>45772</v>
      </c>
      <c r="K4397" s="2">
        <v>45785</v>
      </c>
    </row>
    <row r="4398" spans="1:11" x14ac:dyDescent="0.25">
      <c r="A4398" s="1" t="s">
        <v>743</v>
      </c>
      <c r="B4398" s="1" t="s">
        <v>1697</v>
      </c>
      <c r="C4398" s="1" t="s">
        <v>2346</v>
      </c>
      <c r="D4398" s="1" t="s">
        <v>1998</v>
      </c>
      <c r="E4398" s="1"/>
      <c r="F4398" s="1" t="s">
        <v>11</v>
      </c>
      <c r="G4398">
        <v>1880</v>
      </c>
      <c r="H4398">
        <v>1880</v>
      </c>
      <c r="I4398" s="2">
        <v>45784</v>
      </c>
      <c r="J4398" s="2">
        <v>45777</v>
      </c>
      <c r="K4398" s="2">
        <v>45784</v>
      </c>
    </row>
    <row r="4399" spans="1:11" x14ac:dyDescent="0.25">
      <c r="A4399" s="1" t="s">
        <v>743</v>
      </c>
      <c r="B4399" s="1" t="s">
        <v>1669</v>
      </c>
      <c r="C4399" s="1" t="s">
        <v>2578</v>
      </c>
      <c r="D4399" s="1" t="s">
        <v>1998</v>
      </c>
      <c r="E4399" s="1"/>
      <c r="F4399" s="1" t="s">
        <v>11</v>
      </c>
      <c r="G4399">
        <v>550</v>
      </c>
      <c r="H4399">
        <v>550</v>
      </c>
      <c r="I4399" s="2">
        <v>45784</v>
      </c>
      <c r="J4399" s="2">
        <v>45777</v>
      </c>
      <c r="K4399" s="2">
        <v>45784</v>
      </c>
    </row>
    <row r="4400" spans="1:11" x14ac:dyDescent="0.25">
      <c r="A4400" s="1" t="s">
        <v>743</v>
      </c>
      <c r="B4400" s="1" t="s">
        <v>1670</v>
      </c>
      <c r="C4400" s="1" t="s">
        <v>2579</v>
      </c>
      <c r="D4400" s="1" t="s">
        <v>1998</v>
      </c>
      <c r="E4400" s="1"/>
      <c r="F4400" s="1" t="s">
        <v>11</v>
      </c>
      <c r="G4400">
        <v>95</v>
      </c>
      <c r="H4400">
        <v>95</v>
      </c>
      <c r="I4400" s="2">
        <v>45784</v>
      </c>
      <c r="J4400" s="2">
        <v>45777</v>
      </c>
      <c r="K4400" s="2">
        <v>45784</v>
      </c>
    </row>
    <row r="4401" spans="1:11" x14ac:dyDescent="0.25">
      <c r="A4401" s="1" t="s">
        <v>743</v>
      </c>
      <c r="B4401" s="1" t="s">
        <v>1698</v>
      </c>
      <c r="C4401" s="1" t="s">
        <v>2102</v>
      </c>
      <c r="D4401" s="1" t="s">
        <v>1998</v>
      </c>
      <c r="E4401" s="1"/>
      <c r="F4401" s="1" t="s">
        <v>11</v>
      </c>
      <c r="G4401">
        <v>405</v>
      </c>
      <c r="H4401">
        <v>405</v>
      </c>
      <c r="I4401" s="2">
        <v>45784</v>
      </c>
      <c r="J4401" s="2">
        <v>45777</v>
      </c>
      <c r="K4401" s="2">
        <v>45784</v>
      </c>
    </row>
    <row r="4402" spans="1:11" x14ac:dyDescent="0.25">
      <c r="A4402" s="1" t="s">
        <v>744</v>
      </c>
      <c r="B4402" s="1" t="s">
        <v>1859</v>
      </c>
      <c r="C4402" s="1" t="s">
        <v>2014</v>
      </c>
      <c r="D4402" s="1" t="s">
        <v>1998</v>
      </c>
      <c r="E4402" s="1"/>
      <c r="F4402" s="1" t="s">
        <v>11</v>
      </c>
      <c r="G4402">
        <v>235</v>
      </c>
      <c r="H4402">
        <v>235</v>
      </c>
      <c r="I4402" s="2">
        <v>45784</v>
      </c>
      <c r="J4402" s="2">
        <v>45776</v>
      </c>
      <c r="K4402" s="2">
        <v>45784</v>
      </c>
    </row>
    <row r="4403" spans="1:11" x14ac:dyDescent="0.25">
      <c r="A4403" s="1" t="s">
        <v>744</v>
      </c>
      <c r="B4403" s="1" t="s">
        <v>1702</v>
      </c>
      <c r="C4403" s="1" t="s">
        <v>2598</v>
      </c>
      <c r="D4403" s="1" t="s">
        <v>1998</v>
      </c>
      <c r="E4403" s="1"/>
      <c r="F4403" s="1" t="s">
        <v>11</v>
      </c>
      <c r="G4403">
        <v>320</v>
      </c>
      <c r="H4403">
        <v>320</v>
      </c>
      <c r="I4403" s="2">
        <v>45784</v>
      </c>
      <c r="J4403" s="2">
        <v>45776</v>
      </c>
      <c r="K4403" s="2">
        <v>45784</v>
      </c>
    </row>
    <row r="4404" spans="1:11" x14ac:dyDescent="0.25">
      <c r="A4404" s="1" t="s">
        <v>744</v>
      </c>
      <c r="B4404" s="1" t="s">
        <v>1702</v>
      </c>
      <c r="C4404" s="1" t="s">
        <v>2598</v>
      </c>
      <c r="D4404" s="1" t="s">
        <v>1998</v>
      </c>
      <c r="E4404" s="1"/>
      <c r="F4404" s="1" t="s">
        <v>11</v>
      </c>
      <c r="G4404">
        <v>40</v>
      </c>
      <c r="H4404">
        <v>40</v>
      </c>
      <c r="I4404" s="2">
        <v>45784</v>
      </c>
      <c r="J4404" s="2">
        <v>45776</v>
      </c>
      <c r="K4404" s="2">
        <v>45784</v>
      </c>
    </row>
    <row r="4405" spans="1:11" x14ac:dyDescent="0.25">
      <c r="A4405" s="1" t="s">
        <v>744</v>
      </c>
      <c r="B4405" s="1" t="s">
        <v>1703</v>
      </c>
      <c r="C4405" s="1" t="s">
        <v>2599</v>
      </c>
      <c r="D4405" s="1" t="s">
        <v>1998</v>
      </c>
      <c r="E4405" s="1"/>
      <c r="F4405" s="1" t="s">
        <v>11</v>
      </c>
      <c r="G4405">
        <v>345</v>
      </c>
      <c r="H4405">
        <v>345</v>
      </c>
      <c r="I4405" s="2">
        <v>45784</v>
      </c>
      <c r="J4405" s="2">
        <v>45776</v>
      </c>
      <c r="K4405" s="2">
        <v>45784</v>
      </c>
    </row>
    <row r="4406" spans="1:11" x14ac:dyDescent="0.25">
      <c r="A4406" s="1" t="s">
        <v>744</v>
      </c>
      <c r="B4406" s="1" t="s">
        <v>1126</v>
      </c>
      <c r="C4406" s="1" t="s">
        <v>2126</v>
      </c>
      <c r="D4406" s="1" t="s">
        <v>1998</v>
      </c>
      <c r="E4406" s="1"/>
      <c r="F4406" s="1" t="s">
        <v>11</v>
      </c>
      <c r="G4406">
        <v>45</v>
      </c>
      <c r="H4406">
        <v>45</v>
      </c>
      <c r="I4406" s="2">
        <v>45784</v>
      </c>
      <c r="J4406" s="2">
        <v>45776</v>
      </c>
      <c r="K4406" s="2">
        <v>45784</v>
      </c>
    </row>
    <row r="4407" spans="1:11" x14ac:dyDescent="0.25">
      <c r="A4407" s="1" t="s">
        <v>744</v>
      </c>
      <c r="B4407" s="1" t="s">
        <v>1704</v>
      </c>
      <c r="C4407" s="1" t="s">
        <v>2600</v>
      </c>
      <c r="D4407" s="1" t="s">
        <v>1998</v>
      </c>
      <c r="E4407" s="1"/>
      <c r="F4407" s="1" t="s">
        <v>11</v>
      </c>
      <c r="G4407">
        <v>155</v>
      </c>
      <c r="H4407">
        <v>155</v>
      </c>
      <c r="I4407" s="2">
        <v>45784</v>
      </c>
      <c r="J4407" s="2">
        <v>45776</v>
      </c>
      <c r="K4407" s="2">
        <v>45784</v>
      </c>
    </row>
    <row r="4408" spans="1:11" x14ac:dyDescent="0.25">
      <c r="A4408" s="1" t="s">
        <v>744</v>
      </c>
      <c r="B4408" s="1" t="s">
        <v>1705</v>
      </c>
      <c r="C4408" s="1" t="s">
        <v>2601</v>
      </c>
      <c r="D4408" s="1" t="s">
        <v>1998</v>
      </c>
      <c r="E4408" s="1"/>
      <c r="F4408" s="1" t="s">
        <v>11</v>
      </c>
      <c r="G4408">
        <v>70</v>
      </c>
      <c r="H4408">
        <v>70</v>
      </c>
      <c r="I4408" s="2">
        <v>45784</v>
      </c>
      <c r="J4408" s="2">
        <v>45776</v>
      </c>
      <c r="K4408" s="2">
        <v>45784</v>
      </c>
    </row>
    <row r="4409" spans="1:11" x14ac:dyDescent="0.25">
      <c r="A4409" s="1" t="s">
        <v>744</v>
      </c>
      <c r="B4409" s="1" t="s">
        <v>1705</v>
      </c>
      <c r="C4409" s="1" t="s">
        <v>2601</v>
      </c>
      <c r="D4409" s="1" t="s">
        <v>1998</v>
      </c>
      <c r="E4409" s="1"/>
      <c r="F4409" s="1" t="s">
        <v>11</v>
      </c>
      <c r="G4409">
        <v>5</v>
      </c>
      <c r="H4409">
        <v>5</v>
      </c>
      <c r="I4409" s="2">
        <v>45784</v>
      </c>
      <c r="J4409" s="2">
        <v>45776</v>
      </c>
      <c r="K4409" s="2">
        <v>45784</v>
      </c>
    </row>
    <row r="4410" spans="1:11" x14ac:dyDescent="0.25">
      <c r="A4410" s="1" t="s">
        <v>744</v>
      </c>
      <c r="B4410" s="1" t="s">
        <v>1706</v>
      </c>
      <c r="C4410" s="1" t="s">
        <v>2602</v>
      </c>
      <c r="D4410" s="1" t="s">
        <v>1998</v>
      </c>
      <c r="E4410" s="1"/>
      <c r="F4410" s="1" t="s">
        <v>11</v>
      </c>
      <c r="G4410">
        <v>75</v>
      </c>
      <c r="H4410">
        <v>75</v>
      </c>
      <c r="I4410" s="2">
        <v>45784</v>
      </c>
      <c r="J4410" s="2">
        <v>45776</v>
      </c>
      <c r="K4410" s="2">
        <v>45784</v>
      </c>
    </row>
    <row r="4411" spans="1:11" x14ac:dyDescent="0.25">
      <c r="A4411" s="1" t="s">
        <v>744</v>
      </c>
      <c r="B4411" s="1" t="s">
        <v>1865</v>
      </c>
      <c r="C4411" s="1" t="s">
        <v>2714</v>
      </c>
      <c r="D4411" s="1" t="s">
        <v>1998</v>
      </c>
      <c r="E4411" s="1"/>
      <c r="F4411" s="1" t="s">
        <v>11</v>
      </c>
      <c r="G4411">
        <v>265</v>
      </c>
      <c r="H4411">
        <v>265</v>
      </c>
      <c r="I4411" s="2">
        <v>45784</v>
      </c>
      <c r="J4411" s="2">
        <v>45776</v>
      </c>
      <c r="K4411" s="2">
        <v>45784</v>
      </c>
    </row>
    <row r="4412" spans="1:11" x14ac:dyDescent="0.25">
      <c r="A4412" s="1" t="s">
        <v>744</v>
      </c>
      <c r="B4412" s="1" t="s">
        <v>1866</v>
      </c>
      <c r="C4412" s="1" t="s">
        <v>2607</v>
      </c>
      <c r="D4412" s="1" t="s">
        <v>1998</v>
      </c>
      <c r="E4412" s="1"/>
      <c r="F4412" s="1" t="s">
        <v>11</v>
      </c>
      <c r="G4412">
        <v>45</v>
      </c>
      <c r="H4412">
        <v>45</v>
      </c>
      <c r="I4412" s="2">
        <v>45784</v>
      </c>
      <c r="J4412" s="2">
        <v>45776</v>
      </c>
      <c r="K4412" s="2">
        <v>45784</v>
      </c>
    </row>
    <row r="4413" spans="1:11" x14ac:dyDescent="0.25">
      <c r="A4413" s="1" t="s">
        <v>745</v>
      </c>
      <c r="B4413" s="1" t="s">
        <v>1859</v>
      </c>
      <c r="C4413" s="1" t="s">
        <v>2014</v>
      </c>
      <c r="D4413" s="1" t="s">
        <v>1998</v>
      </c>
      <c r="E4413" s="1"/>
      <c r="F4413" s="1" t="s">
        <v>11</v>
      </c>
      <c r="G4413">
        <v>155</v>
      </c>
      <c r="H4413">
        <v>155</v>
      </c>
      <c r="I4413" s="2">
        <v>45785</v>
      </c>
      <c r="J4413" s="2">
        <v>45776</v>
      </c>
      <c r="K4413" s="2">
        <v>45785</v>
      </c>
    </row>
    <row r="4414" spans="1:11" x14ac:dyDescent="0.25">
      <c r="A4414" s="1" t="s">
        <v>745</v>
      </c>
      <c r="B4414" s="1" t="s">
        <v>1702</v>
      </c>
      <c r="C4414" s="1" t="s">
        <v>2598</v>
      </c>
      <c r="D4414" s="1" t="s">
        <v>1998</v>
      </c>
      <c r="E4414" s="1"/>
      <c r="F4414" s="1" t="s">
        <v>11</v>
      </c>
      <c r="G4414">
        <v>215</v>
      </c>
      <c r="H4414">
        <v>215</v>
      </c>
      <c r="I4414" s="2">
        <v>45785</v>
      </c>
      <c r="J4414" s="2">
        <v>45776</v>
      </c>
      <c r="K4414" s="2">
        <v>45785</v>
      </c>
    </row>
    <row r="4415" spans="1:11" x14ac:dyDescent="0.25">
      <c r="A4415" s="1" t="s">
        <v>745</v>
      </c>
      <c r="B4415" s="1" t="s">
        <v>1703</v>
      </c>
      <c r="C4415" s="1" t="s">
        <v>2599</v>
      </c>
      <c r="D4415" s="1" t="s">
        <v>1998</v>
      </c>
      <c r="E4415" s="1"/>
      <c r="F4415" s="1" t="s">
        <v>11</v>
      </c>
      <c r="G4415">
        <v>230</v>
      </c>
      <c r="H4415">
        <v>230</v>
      </c>
      <c r="I4415" s="2">
        <v>45785</v>
      </c>
      <c r="J4415" s="2">
        <v>45776</v>
      </c>
      <c r="K4415" s="2">
        <v>45785</v>
      </c>
    </row>
    <row r="4416" spans="1:11" x14ac:dyDescent="0.25">
      <c r="A4416" s="1" t="s">
        <v>745</v>
      </c>
      <c r="B4416" s="1" t="s">
        <v>1126</v>
      </c>
      <c r="C4416" s="1" t="s">
        <v>2126</v>
      </c>
      <c r="D4416" s="1" t="s">
        <v>1998</v>
      </c>
      <c r="E4416" s="1"/>
      <c r="F4416" s="1" t="s">
        <v>11</v>
      </c>
      <c r="G4416">
        <v>30</v>
      </c>
      <c r="H4416">
        <v>30</v>
      </c>
      <c r="I4416" s="2">
        <v>45785</v>
      </c>
      <c r="J4416" s="2">
        <v>45776</v>
      </c>
      <c r="K4416" s="2">
        <v>45785</v>
      </c>
    </row>
    <row r="4417" spans="1:11" x14ac:dyDescent="0.25">
      <c r="A4417" s="1" t="s">
        <v>745</v>
      </c>
      <c r="B4417" s="1" t="s">
        <v>1704</v>
      </c>
      <c r="C4417" s="1" t="s">
        <v>2600</v>
      </c>
      <c r="D4417" s="1" t="s">
        <v>1998</v>
      </c>
      <c r="E4417" s="1"/>
      <c r="F4417" s="1" t="s">
        <v>11</v>
      </c>
      <c r="G4417">
        <v>105</v>
      </c>
      <c r="H4417">
        <v>105</v>
      </c>
      <c r="I4417" s="2">
        <v>45785</v>
      </c>
      <c r="J4417" s="2">
        <v>45776</v>
      </c>
      <c r="K4417" s="2">
        <v>45785</v>
      </c>
    </row>
    <row r="4418" spans="1:11" x14ac:dyDescent="0.25">
      <c r="A4418" s="1" t="s">
        <v>745</v>
      </c>
      <c r="B4418" s="1" t="s">
        <v>1705</v>
      </c>
      <c r="C4418" s="1" t="s">
        <v>2601</v>
      </c>
      <c r="D4418" s="1" t="s">
        <v>1998</v>
      </c>
      <c r="E4418" s="1"/>
      <c r="F4418" s="1" t="s">
        <v>11</v>
      </c>
      <c r="G4418">
        <v>50</v>
      </c>
      <c r="H4418">
        <v>50</v>
      </c>
      <c r="I4418" s="2">
        <v>45785</v>
      </c>
      <c r="J4418" s="2">
        <v>45776</v>
      </c>
      <c r="K4418" s="2">
        <v>45785</v>
      </c>
    </row>
    <row r="4419" spans="1:11" x14ac:dyDescent="0.25">
      <c r="A4419" s="1" t="s">
        <v>745</v>
      </c>
      <c r="B4419" s="1" t="s">
        <v>1706</v>
      </c>
      <c r="C4419" s="1" t="s">
        <v>2602</v>
      </c>
      <c r="D4419" s="1" t="s">
        <v>1998</v>
      </c>
      <c r="E4419" s="1"/>
      <c r="F4419" s="1" t="s">
        <v>11</v>
      </c>
      <c r="G4419">
        <v>50</v>
      </c>
      <c r="H4419">
        <v>50</v>
      </c>
      <c r="I4419" s="2">
        <v>45785</v>
      </c>
      <c r="J4419" s="2">
        <v>45776</v>
      </c>
      <c r="K4419" s="2">
        <v>45785</v>
      </c>
    </row>
    <row r="4420" spans="1:11" x14ac:dyDescent="0.25">
      <c r="A4420" s="1" t="s">
        <v>745</v>
      </c>
      <c r="B4420" s="1" t="s">
        <v>1867</v>
      </c>
      <c r="C4420" s="1" t="s">
        <v>2715</v>
      </c>
      <c r="D4420" s="1" t="s">
        <v>1998</v>
      </c>
      <c r="E4420" s="1"/>
      <c r="F4420" s="1" t="s">
        <v>11</v>
      </c>
      <c r="G4420">
        <v>55</v>
      </c>
      <c r="H4420">
        <v>55</v>
      </c>
      <c r="I4420" s="2">
        <v>45785</v>
      </c>
      <c r="J4420" s="2">
        <v>45776</v>
      </c>
      <c r="K4420" s="2">
        <v>45785</v>
      </c>
    </row>
    <row r="4421" spans="1:11" x14ac:dyDescent="0.25">
      <c r="A4421" s="1" t="s">
        <v>745</v>
      </c>
      <c r="B4421" s="1" t="s">
        <v>1868</v>
      </c>
      <c r="C4421" s="1" t="s">
        <v>2716</v>
      </c>
      <c r="D4421" s="1" t="s">
        <v>1998</v>
      </c>
      <c r="E4421" s="1"/>
      <c r="F4421" s="1" t="s">
        <v>11</v>
      </c>
      <c r="G4421">
        <v>75</v>
      </c>
      <c r="H4421">
        <v>75</v>
      </c>
      <c r="I4421" s="2">
        <v>45785</v>
      </c>
      <c r="J4421" s="2">
        <v>45776</v>
      </c>
      <c r="K4421" s="2">
        <v>45785</v>
      </c>
    </row>
    <row r="4422" spans="1:11" x14ac:dyDescent="0.25">
      <c r="A4422" s="1" t="s">
        <v>746</v>
      </c>
      <c r="B4422" s="1" t="s">
        <v>981</v>
      </c>
      <c r="C4422" s="1" t="s">
        <v>1999</v>
      </c>
      <c r="D4422" s="1" t="s">
        <v>1998</v>
      </c>
      <c r="E4422" s="1"/>
      <c r="F4422" s="1" t="s">
        <v>11</v>
      </c>
      <c r="G4422">
        <v>1785</v>
      </c>
      <c r="H4422">
        <v>1785</v>
      </c>
      <c r="I4422" s="2">
        <v>45785</v>
      </c>
      <c r="J4422" s="2">
        <v>45772</v>
      </c>
      <c r="K4422" s="2">
        <v>45785</v>
      </c>
    </row>
    <row r="4423" spans="1:11" x14ac:dyDescent="0.25">
      <c r="A4423" s="1" t="s">
        <v>746</v>
      </c>
      <c r="B4423" s="1" t="s">
        <v>981</v>
      </c>
      <c r="C4423" s="1" t="s">
        <v>1999</v>
      </c>
      <c r="D4423" s="1" t="s">
        <v>1998</v>
      </c>
      <c r="E4423" s="1"/>
      <c r="F4423" s="1" t="s">
        <v>16</v>
      </c>
      <c r="G4423">
        <v>10</v>
      </c>
      <c r="H4423">
        <v>20</v>
      </c>
      <c r="I4423" s="2">
        <v>45785</v>
      </c>
      <c r="J4423" s="2">
        <v>45772</v>
      </c>
      <c r="K4423" s="2">
        <v>45785</v>
      </c>
    </row>
    <row r="4424" spans="1:11" x14ac:dyDescent="0.25">
      <c r="A4424" s="1" t="s">
        <v>746</v>
      </c>
      <c r="B4424" s="1" t="s">
        <v>982</v>
      </c>
      <c r="C4424" s="1" t="s">
        <v>2000</v>
      </c>
      <c r="D4424" s="1" t="s">
        <v>1998</v>
      </c>
      <c r="E4424" s="1"/>
      <c r="F4424" s="1" t="s">
        <v>11</v>
      </c>
      <c r="G4424">
        <v>1870</v>
      </c>
      <c r="H4424">
        <v>1870</v>
      </c>
      <c r="I4424" s="2">
        <v>45785</v>
      </c>
      <c r="J4424" s="2">
        <v>45772</v>
      </c>
      <c r="K4424" s="2">
        <v>45785</v>
      </c>
    </row>
    <row r="4425" spans="1:11" x14ac:dyDescent="0.25">
      <c r="A4425" s="1" t="s">
        <v>746</v>
      </c>
      <c r="B4425" s="1" t="s">
        <v>982</v>
      </c>
      <c r="C4425" s="1" t="s">
        <v>2000</v>
      </c>
      <c r="D4425" s="1" t="s">
        <v>1998</v>
      </c>
      <c r="E4425" s="1"/>
      <c r="F4425" s="1" t="s">
        <v>16</v>
      </c>
      <c r="G4425">
        <v>15</v>
      </c>
      <c r="H4425">
        <v>15</v>
      </c>
      <c r="I4425" s="2">
        <v>45785</v>
      </c>
      <c r="J4425" s="2">
        <v>45772</v>
      </c>
      <c r="K4425" s="2">
        <v>45785</v>
      </c>
    </row>
    <row r="4426" spans="1:11" x14ac:dyDescent="0.25">
      <c r="A4426" s="1" t="s">
        <v>746</v>
      </c>
      <c r="B4426" s="1" t="s">
        <v>983</v>
      </c>
      <c r="C4426" s="1" t="s">
        <v>2001</v>
      </c>
      <c r="D4426" s="1" t="s">
        <v>1998</v>
      </c>
      <c r="E4426" s="1"/>
      <c r="F4426" s="1" t="s">
        <v>11</v>
      </c>
      <c r="G4426">
        <v>1990</v>
      </c>
      <c r="H4426">
        <v>1990</v>
      </c>
      <c r="I4426" s="2">
        <v>45785</v>
      </c>
      <c r="J4426" s="2">
        <v>45772</v>
      </c>
      <c r="K4426" s="2">
        <v>45785</v>
      </c>
    </row>
    <row r="4427" spans="1:11" x14ac:dyDescent="0.25">
      <c r="A4427" s="1" t="s">
        <v>746</v>
      </c>
      <c r="B4427" s="1" t="s">
        <v>983</v>
      </c>
      <c r="C4427" s="1" t="s">
        <v>2001</v>
      </c>
      <c r="D4427" s="1" t="s">
        <v>1998</v>
      </c>
      <c r="E4427" s="1"/>
      <c r="F4427" s="1" t="s">
        <v>16</v>
      </c>
      <c r="G4427">
        <v>15</v>
      </c>
      <c r="H4427">
        <v>75</v>
      </c>
      <c r="I4427" s="2">
        <v>45785</v>
      </c>
      <c r="J4427" s="2">
        <v>45772</v>
      </c>
      <c r="K4427" s="2">
        <v>45785</v>
      </c>
    </row>
    <row r="4428" spans="1:11" x14ac:dyDescent="0.25">
      <c r="A4428" s="1" t="s">
        <v>746</v>
      </c>
      <c r="B4428" s="1" t="s">
        <v>984</v>
      </c>
      <c r="C4428" s="1" t="s">
        <v>2002</v>
      </c>
      <c r="D4428" s="1" t="s">
        <v>1998</v>
      </c>
      <c r="E4428" s="1"/>
      <c r="F4428" s="1" t="s">
        <v>11</v>
      </c>
      <c r="G4428">
        <v>1115</v>
      </c>
      <c r="H4428">
        <v>1125</v>
      </c>
      <c r="I4428" s="2">
        <v>45785</v>
      </c>
      <c r="J4428" s="2">
        <v>45772</v>
      </c>
      <c r="K4428" s="2">
        <v>45785</v>
      </c>
    </row>
    <row r="4429" spans="1:11" x14ac:dyDescent="0.25">
      <c r="A4429" s="1" t="s">
        <v>747</v>
      </c>
      <c r="B4429" s="1" t="s">
        <v>1201</v>
      </c>
      <c r="C4429" s="1" t="s">
        <v>2192</v>
      </c>
      <c r="D4429" s="1" t="s">
        <v>1998</v>
      </c>
      <c r="E4429" s="1"/>
      <c r="F4429" s="1" t="s">
        <v>11</v>
      </c>
      <c r="G4429">
        <v>780</v>
      </c>
      <c r="H4429">
        <v>680</v>
      </c>
      <c r="I4429" s="2"/>
      <c r="J4429" s="2">
        <v>45772</v>
      </c>
      <c r="K4429" s="2">
        <v>45789</v>
      </c>
    </row>
    <row r="4430" spans="1:11" x14ac:dyDescent="0.25">
      <c r="A4430" s="1" t="s">
        <v>747</v>
      </c>
      <c r="B4430" s="1" t="s">
        <v>1027</v>
      </c>
      <c r="C4430" s="1" t="s">
        <v>2040</v>
      </c>
      <c r="D4430" s="1" t="s">
        <v>1998</v>
      </c>
      <c r="E4430" s="1"/>
      <c r="F4430" s="1" t="s">
        <v>11</v>
      </c>
      <c r="G4430">
        <v>270</v>
      </c>
      <c r="H4430">
        <v>270</v>
      </c>
      <c r="I4430" s="2"/>
      <c r="J4430" s="2">
        <v>45772</v>
      </c>
      <c r="K4430" s="2">
        <v>45789</v>
      </c>
    </row>
    <row r="4431" spans="1:11" x14ac:dyDescent="0.25">
      <c r="A4431" s="1" t="s">
        <v>747</v>
      </c>
      <c r="B4431" s="1" t="s">
        <v>1013</v>
      </c>
      <c r="C4431" s="1" t="s">
        <v>2030</v>
      </c>
      <c r="D4431" s="1" t="s">
        <v>1998</v>
      </c>
      <c r="E4431" s="1"/>
      <c r="F4431" s="1" t="s">
        <v>11</v>
      </c>
      <c r="G4431">
        <v>45</v>
      </c>
      <c r="H4431">
        <v>45</v>
      </c>
      <c r="I4431" s="2"/>
      <c r="J4431" s="2">
        <v>45772</v>
      </c>
      <c r="K4431" s="2">
        <v>45789</v>
      </c>
    </row>
    <row r="4432" spans="1:11" x14ac:dyDescent="0.25">
      <c r="A4432" s="1" t="s">
        <v>747</v>
      </c>
      <c r="B4432" s="1" t="s">
        <v>993</v>
      </c>
      <c r="C4432" s="1" t="s">
        <v>2011</v>
      </c>
      <c r="D4432" s="1" t="s">
        <v>1998</v>
      </c>
      <c r="E4432" s="1"/>
      <c r="F4432" s="1" t="s">
        <v>11</v>
      </c>
      <c r="G4432">
        <v>15</v>
      </c>
      <c r="H4432">
        <v>15</v>
      </c>
      <c r="I4432" s="2"/>
      <c r="J4432" s="2">
        <v>45772</v>
      </c>
      <c r="K4432" s="2">
        <v>45789</v>
      </c>
    </row>
    <row r="4433" spans="1:11" x14ac:dyDescent="0.25">
      <c r="A4433" s="1" t="s">
        <v>747</v>
      </c>
      <c r="B4433" s="1" t="s">
        <v>993</v>
      </c>
      <c r="C4433" s="1" t="s">
        <v>2011</v>
      </c>
      <c r="D4433" s="1" t="s">
        <v>1998</v>
      </c>
      <c r="E4433" s="1"/>
      <c r="F4433" s="1" t="s">
        <v>11</v>
      </c>
      <c r="G4433">
        <v>45</v>
      </c>
      <c r="H4433">
        <v>45</v>
      </c>
      <c r="I4433" s="2"/>
      <c r="J4433" s="2">
        <v>45772</v>
      </c>
      <c r="K4433" s="2">
        <v>45789</v>
      </c>
    </row>
    <row r="4434" spans="1:11" x14ac:dyDescent="0.25">
      <c r="A4434" s="1" t="s">
        <v>747</v>
      </c>
      <c r="B4434" s="1" t="s">
        <v>1202</v>
      </c>
      <c r="C4434" s="1" t="s">
        <v>2165</v>
      </c>
      <c r="D4434" s="1" t="s">
        <v>1998</v>
      </c>
      <c r="E4434" s="1"/>
      <c r="F4434" s="1" t="s">
        <v>11</v>
      </c>
      <c r="G4434">
        <v>1450</v>
      </c>
      <c r="H4434">
        <v>1450</v>
      </c>
      <c r="I4434" s="2"/>
      <c r="J4434" s="2">
        <v>45772</v>
      </c>
      <c r="K4434" s="2">
        <v>45789</v>
      </c>
    </row>
    <row r="4435" spans="1:11" x14ac:dyDescent="0.25">
      <c r="A4435" s="1" t="s">
        <v>747</v>
      </c>
      <c r="B4435" s="1" t="s">
        <v>1203</v>
      </c>
      <c r="C4435" s="1" t="s">
        <v>2193</v>
      </c>
      <c r="D4435" s="1" t="s">
        <v>1998</v>
      </c>
      <c r="E4435" s="1"/>
      <c r="F4435" s="1" t="s">
        <v>11</v>
      </c>
      <c r="G4435">
        <v>1500</v>
      </c>
      <c r="H4435">
        <v>1500</v>
      </c>
      <c r="I4435" s="2"/>
      <c r="J4435" s="2">
        <v>45772</v>
      </c>
      <c r="K4435" s="2">
        <v>45789</v>
      </c>
    </row>
    <row r="4436" spans="1:11" x14ac:dyDescent="0.25">
      <c r="A4436" s="1" t="s">
        <v>748</v>
      </c>
      <c r="B4436" s="1" t="s">
        <v>1265</v>
      </c>
      <c r="C4436" s="1" t="s">
        <v>2242</v>
      </c>
      <c r="D4436" s="1" t="s">
        <v>1998</v>
      </c>
      <c r="E4436" s="1"/>
      <c r="F4436" s="1" t="s">
        <v>11</v>
      </c>
      <c r="G4436">
        <v>1160</v>
      </c>
      <c r="H4436">
        <v>1200</v>
      </c>
      <c r="I4436" s="2"/>
      <c r="J4436" s="2">
        <v>45785</v>
      </c>
      <c r="K4436" s="2">
        <v>45785</v>
      </c>
    </row>
    <row r="4437" spans="1:11" x14ac:dyDescent="0.25">
      <c r="A4437" s="1" t="s">
        <v>748</v>
      </c>
      <c r="B4437" s="1" t="s">
        <v>1267</v>
      </c>
      <c r="C4437" s="1" t="s">
        <v>2244</v>
      </c>
      <c r="D4437" s="1" t="s">
        <v>1998</v>
      </c>
      <c r="E4437" s="1"/>
      <c r="F4437" s="1" t="s">
        <v>11</v>
      </c>
      <c r="G4437">
        <v>65</v>
      </c>
      <c r="H4437">
        <v>40</v>
      </c>
      <c r="I4437" s="2"/>
      <c r="J4437" s="2">
        <v>45785</v>
      </c>
      <c r="K4437" s="2">
        <v>45785</v>
      </c>
    </row>
    <row r="4438" spans="1:11" x14ac:dyDescent="0.25">
      <c r="A4438" s="1" t="s">
        <v>748</v>
      </c>
      <c r="B4438" s="1" t="s">
        <v>1206</v>
      </c>
      <c r="C4438" s="1" t="s">
        <v>2196</v>
      </c>
      <c r="D4438" s="1" t="s">
        <v>1998</v>
      </c>
      <c r="E4438" s="1"/>
      <c r="F4438" s="1" t="s">
        <v>11</v>
      </c>
      <c r="G4438">
        <v>5</v>
      </c>
      <c r="H4438">
        <v>5</v>
      </c>
      <c r="I4438" s="2"/>
      <c r="J4438" s="2">
        <v>45785</v>
      </c>
      <c r="K4438" s="2">
        <v>45785</v>
      </c>
    </row>
    <row r="4439" spans="1:11" x14ac:dyDescent="0.25">
      <c r="A4439" s="1" t="s">
        <v>748</v>
      </c>
      <c r="B4439" s="1" t="s">
        <v>1266</v>
      </c>
      <c r="C4439" s="1" t="s">
        <v>2243</v>
      </c>
      <c r="D4439" s="1" t="s">
        <v>1998</v>
      </c>
      <c r="E4439" s="1"/>
      <c r="F4439" s="1" t="s">
        <v>11</v>
      </c>
      <c r="G4439">
        <v>10</v>
      </c>
      <c r="H4439">
        <v>10</v>
      </c>
      <c r="I4439" s="2"/>
      <c r="J4439" s="2">
        <v>45785</v>
      </c>
      <c r="K4439" s="2">
        <v>45785</v>
      </c>
    </row>
    <row r="4440" spans="1:11" x14ac:dyDescent="0.25">
      <c r="A4440" s="1" t="s">
        <v>749</v>
      </c>
      <c r="B4440" s="1" t="s">
        <v>1265</v>
      </c>
      <c r="C4440" s="1" t="s">
        <v>2242</v>
      </c>
      <c r="D4440" s="1" t="s">
        <v>1998</v>
      </c>
      <c r="E4440" s="1"/>
      <c r="F4440" s="1" t="s">
        <v>11</v>
      </c>
      <c r="G4440">
        <v>1160</v>
      </c>
      <c r="H4440">
        <v>1200</v>
      </c>
      <c r="I4440" s="2"/>
      <c r="J4440" s="2">
        <v>45785</v>
      </c>
      <c r="K4440" s="2">
        <v>45785</v>
      </c>
    </row>
    <row r="4441" spans="1:11" x14ac:dyDescent="0.25">
      <c r="A4441" s="1" t="s">
        <v>749</v>
      </c>
      <c r="B4441" s="1" t="s">
        <v>1267</v>
      </c>
      <c r="C4441" s="1" t="s">
        <v>2244</v>
      </c>
      <c r="D4441" s="1" t="s">
        <v>1998</v>
      </c>
      <c r="E4441" s="1"/>
      <c r="F4441" s="1" t="s">
        <v>11</v>
      </c>
      <c r="G4441">
        <v>65</v>
      </c>
      <c r="H4441">
        <v>40</v>
      </c>
      <c r="I4441" s="2"/>
      <c r="J4441" s="2">
        <v>45785</v>
      </c>
      <c r="K4441" s="2">
        <v>45785</v>
      </c>
    </row>
    <row r="4442" spans="1:11" x14ac:dyDescent="0.25">
      <c r="A4442" s="1" t="s">
        <v>749</v>
      </c>
      <c r="B4442" s="1" t="s">
        <v>1206</v>
      </c>
      <c r="C4442" s="1" t="s">
        <v>2196</v>
      </c>
      <c r="D4442" s="1" t="s">
        <v>1998</v>
      </c>
      <c r="E4442" s="1"/>
      <c r="F4442" s="1" t="s">
        <v>11</v>
      </c>
      <c r="G4442">
        <v>5</v>
      </c>
      <c r="H4442">
        <v>5</v>
      </c>
      <c r="I4442" s="2"/>
      <c r="J4442" s="2">
        <v>45785</v>
      </c>
      <c r="K4442" s="2">
        <v>45785</v>
      </c>
    </row>
    <row r="4443" spans="1:11" x14ac:dyDescent="0.25">
      <c r="A4443" s="1" t="s">
        <v>749</v>
      </c>
      <c r="B4443" s="1" t="s">
        <v>1266</v>
      </c>
      <c r="C4443" s="1" t="s">
        <v>2243</v>
      </c>
      <c r="D4443" s="1" t="s">
        <v>1998</v>
      </c>
      <c r="E4443" s="1"/>
      <c r="F4443" s="1" t="s">
        <v>11</v>
      </c>
      <c r="G4443">
        <v>10</v>
      </c>
      <c r="H4443">
        <v>10</v>
      </c>
      <c r="I4443" s="2"/>
      <c r="J4443" s="2">
        <v>45785</v>
      </c>
      <c r="K4443" s="2">
        <v>45785</v>
      </c>
    </row>
    <row r="4444" spans="1:11" x14ac:dyDescent="0.25">
      <c r="A4444" s="1" t="s">
        <v>750</v>
      </c>
      <c r="B4444" s="1" t="s">
        <v>1265</v>
      </c>
      <c r="C4444" s="1" t="s">
        <v>2242</v>
      </c>
      <c r="D4444" s="1" t="s">
        <v>1998</v>
      </c>
      <c r="E4444" s="1"/>
      <c r="F4444" s="1" t="s">
        <v>11</v>
      </c>
      <c r="G4444">
        <v>1160</v>
      </c>
      <c r="H4444">
        <v>1200</v>
      </c>
      <c r="I4444" s="2"/>
      <c r="J4444" s="2">
        <v>45785</v>
      </c>
      <c r="K4444" s="2">
        <v>45785</v>
      </c>
    </row>
    <row r="4445" spans="1:11" x14ac:dyDescent="0.25">
      <c r="A4445" s="1" t="s">
        <v>750</v>
      </c>
      <c r="B4445" s="1" t="s">
        <v>1267</v>
      </c>
      <c r="C4445" s="1" t="s">
        <v>2244</v>
      </c>
      <c r="D4445" s="1" t="s">
        <v>1998</v>
      </c>
      <c r="E4445" s="1"/>
      <c r="F4445" s="1" t="s">
        <v>11</v>
      </c>
      <c r="G4445">
        <v>65</v>
      </c>
      <c r="H4445">
        <v>40</v>
      </c>
      <c r="I4445" s="2"/>
      <c r="J4445" s="2">
        <v>45785</v>
      </c>
      <c r="K4445" s="2">
        <v>45785</v>
      </c>
    </row>
    <row r="4446" spans="1:11" x14ac:dyDescent="0.25">
      <c r="A4446" s="1" t="s">
        <v>750</v>
      </c>
      <c r="B4446" s="1" t="s">
        <v>1206</v>
      </c>
      <c r="C4446" s="1" t="s">
        <v>2196</v>
      </c>
      <c r="D4446" s="1" t="s">
        <v>1998</v>
      </c>
      <c r="E4446" s="1"/>
      <c r="F4446" s="1" t="s">
        <v>11</v>
      </c>
      <c r="G4446">
        <v>5</v>
      </c>
      <c r="H4446">
        <v>5</v>
      </c>
      <c r="I4446" s="2"/>
      <c r="J4446" s="2">
        <v>45785</v>
      </c>
      <c r="K4446" s="2">
        <v>45785</v>
      </c>
    </row>
    <row r="4447" spans="1:11" x14ac:dyDescent="0.25">
      <c r="A4447" s="1" t="s">
        <v>750</v>
      </c>
      <c r="B4447" s="1" t="s">
        <v>1266</v>
      </c>
      <c r="C4447" s="1" t="s">
        <v>2243</v>
      </c>
      <c r="D4447" s="1" t="s">
        <v>1998</v>
      </c>
      <c r="E4447" s="1"/>
      <c r="F4447" s="1" t="s">
        <v>11</v>
      </c>
      <c r="G4447">
        <v>10</v>
      </c>
      <c r="H4447">
        <v>10</v>
      </c>
      <c r="I4447" s="2"/>
      <c r="J4447" s="2">
        <v>45785</v>
      </c>
      <c r="K4447" s="2">
        <v>45785</v>
      </c>
    </row>
    <row r="4448" spans="1:11" x14ac:dyDescent="0.25">
      <c r="A4448" s="1" t="s">
        <v>751</v>
      </c>
      <c r="B4448" s="1" t="s">
        <v>1265</v>
      </c>
      <c r="C4448" s="1" t="s">
        <v>2242</v>
      </c>
      <c r="D4448" s="1" t="s">
        <v>1998</v>
      </c>
      <c r="E4448" s="1"/>
      <c r="F4448" s="1" t="s">
        <v>11</v>
      </c>
      <c r="G4448">
        <v>1160</v>
      </c>
      <c r="H4448">
        <v>1200</v>
      </c>
      <c r="I4448" s="2"/>
      <c r="J4448" s="2">
        <v>45785</v>
      </c>
      <c r="K4448" s="2">
        <v>45785</v>
      </c>
    </row>
    <row r="4449" spans="1:11" x14ac:dyDescent="0.25">
      <c r="A4449" s="1" t="s">
        <v>751</v>
      </c>
      <c r="B4449" s="1" t="s">
        <v>1267</v>
      </c>
      <c r="C4449" s="1" t="s">
        <v>2244</v>
      </c>
      <c r="D4449" s="1" t="s">
        <v>1998</v>
      </c>
      <c r="E4449" s="1"/>
      <c r="F4449" s="1" t="s">
        <v>11</v>
      </c>
      <c r="G4449">
        <v>65</v>
      </c>
      <c r="H4449">
        <v>40</v>
      </c>
      <c r="I4449" s="2"/>
      <c r="J4449" s="2">
        <v>45785</v>
      </c>
      <c r="K4449" s="2">
        <v>45785</v>
      </c>
    </row>
    <row r="4450" spans="1:11" x14ac:dyDescent="0.25">
      <c r="A4450" s="1" t="s">
        <v>751</v>
      </c>
      <c r="B4450" s="1" t="s">
        <v>1206</v>
      </c>
      <c r="C4450" s="1" t="s">
        <v>2196</v>
      </c>
      <c r="D4450" s="1" t="s">
        <v>1998</v>
      </c>
      <c r="E4450" s="1"/>
      <c r="F4450" s="1" t="s">
        <v>11</v>
      </c>
      <c r="G4450">
        <v>5</v>
      </c>
      <c r="H4450">
        <v>10</v>
      </c>
      <c r="I4450" s="2"/>
      <c r="J4450" s="2">
        <v>45785</v>
      </c>
      <c r="K4450" s="2">
        <v>45785</v>
      </c>
    </row>
    <row r="4451" spans="1:11" x14ac:dyDescent="0.25">
      <c r="A4451" s="1" t="s">
        <v>751</v>
      </c>
      <c r="B4451" s="1" t="s">
        <v>1266</v>
      </c>
      <c r="C4451" s="1" t="s">
        <v>2243</v>
      </c>
      <c r="D4451" s="1" t="s">
        <v>1998</v>
      </c>
      <c r="E4451" s="1"/>
      <c r="F4451" s="1" t="s">
        <v>11</v>
      </c>
      <c r="G4451">
        <v>10</v>
      </c>
      <c r="H4451">
        <v>1</v>
      </c>
      <c r="I4451" s="2"/>
      <c r="J4451" s="2">
        <v>45785</v>
      </c>
      <c r="K4451" s="2">
        <v>45785</v>
      </c>
    </row>
    <row r="4452" spans="1:11" x14ac:dyDescent="0.25">
      <c r="A4452" s="1" t="s">
        <v>751</v>
      </c>
      <c r="B4452" s="1" t="s">
        <v>1266</v>
      </c>
      <c r="C4452" s="1" t="s">
        <v>2243</v>
      </c>
      <c r="D4452" s="1" t="s">
        <v>1998</v>
      </c>
      <c r="E4452" s="1"/>
      <c r="F4452" s="1" t="s">
        <v>12</v>
      </c>
      <c r="G4452">
        <v>1</v>
      </c>
      <c r="H4452">
        <v>10</v>
      </c>
      <c r="I4452" s="2"/>
      <c r="J4452" s="2">
        <v>45785</v>
      </c>
      <c r="K4452" s="2">
        <v>45785</v>
      </c>
    </row>
    <row r="4453" spans="1:11" x14ac:dyDescent="0.25">
      <c r="A4453" s="1" t="s">
        <v>752</v>
      </c>
      <c r="B4453" s="1" t="s">
        <v>1264</v>
      </c>
      <c r="C4453" s="1" t="s">
        <v>2241</v>
      </c>
      <c r="D4453" s="1" t="s">
        <v>1998</v>
      </c>
      <c r="E4453" s="1"/>
      <c r="F4453" s="1" t="s">
        <v>11</v>
      </c>
      <c r="G4453">
        <v>415</v>
      </c>
      <c r="H4453">
        <v>620</v>
      </c>
      <c r="I4453" s="2"/>
      <c r="J4453" s="2">
        <v>45778</v>
      </c>
      <c r="K4453" s="2">
        <v>45778</v>
      </c>
    </row>
    <row r="4454" spans="1:11" x14ac:dyDescent="0.25">
      <c r="A4454" s="1" t="s">
        <v>752</v>
      </c>
      <c r="B4454" s="1" t="s">
        <v>1265</v>
      </c>
      <c r="C4454" s="1" t="s">
        <v>2242</v>
      </c>
      <c r="D4454" s="1" t="s">
        <v>1998</v>
      </c>
      <c r="E4454" s="1"/>
      <c r="F4454" s="1" t="s">
        <v>11</v>
      </c>
      <c r="G4454">
        <v>905</v>
      </c>
      <c r="H4454">
        <v>635</v>
      </c>
      <c r="I4454" s="2"/>
      <c r="J4454" s="2">
        <v>45778</v>
      </c>
      <c r="K4454" s="2">
        <v>45778</v>
      </c>
    </row>
    <row r="4455" spans="1:11" x14ac:dyDescent="0.25">
      <c r="A4455" s="1" t="s">
        <v>752</v>
      </c>
      <c r="B4455" s="1" t="s">
        <v>1206</v>
      </c>
      <c r="C4455" s="1" t="s">
        <v>2196</v>
      </c>
      <c r="D4455" s="1" t="s">
        <v>1998</v>
      </c>
      <c r="E4455" s="1"/>
      <c r="F4455" s="1" t="s">
        <v>11</v>
      </c>
      <c r="G4455">
        <v>5</v>
      </c>
      <c r="H4455">
        <v>5</v>
      </c>
      <c r="I4455" s="2"/>
      <c r="J4455" s="2">
        <v>45778</v>
      </c>
      <c r="K4455" s="2">
        <v>45778</v>
      </c>
    </row>
    <row r="4456" spans="1:11" x14ac:dyDescent="0.25">
      <c r="A4456" s="1" t="s">
        <v>752</v>
      </c>
      <c r="B4456" s="1" t="s">
        <v>1207</v>
      </c>
      <c r="C4456" s="1" t="s">
        <v>2197</v>
      </c>
      <c r="D4456" s="1" t="s">
        <v>1998</v>
      </c>
      <c r="E4456" s="1"/>
      <c r="F4456" s="1" t="s">
        <v>11</v>
      </c>
      <c r="G4456">
        <v>25</v>
      </c>
      <c r="H4456">
        <v>25</v>
      </c>
      <c r="I4456" s="2"/>
      <c r="J4456" s="2">
        <v>45778</v>
      </c>
      <c r="K4456" s="2">
        <v>45778</v>
      </c>
    </row>
    <row r="4457" spans="1:11" x14ac:dyDescent="0.25">
      <c r="A4457" s="1" t="s">
        <v>752</v>
      </c>
      <c r="B4457" s="1" t="s">
        <v>1208</v>
      </c>
      <c r="C4457" s="1" t="s">
        <v>2198</v>
      </c>
      <c r="D4457" s="1" t="s">
        <v>1998</v>
      </c>
      <c r="E4457" s="1"/>
      <c r="F4457" s="1" t="s">
        <v>11</v>
      </c>
      <c r="G4457">
        <v>1</v>
      </c>
      <c r="H4457">
        <v>5</v>
      </c>
      <c r="I4457" s="2"/>
      <c r="J4457" s="2">
        <v>45778</v>
      </c>
      <c r="K4457" s="2">
        <v>45778</v>
      </c>
    </row>
    <row r="4458" spans="1:11" x14ac:dyDescent="0.25">
      <c r="A4458" s="1" t="s">
        <v>753</v>
      </c>
      <c r="B4458" s="1" t="s">
        <v>1264</v>
      </c>
      <c r="C4458" s="1" t="s">
        <v>2241</v>
      </c>
      <c r="D4458" s="1" t="s">
        <v>1998</v>
      </c>
      <c r="E4458" s="1"/>
      <c r="F4458" s="1" t="s">
        <v>11</v>
      </c>
      <c r="G4458">
        <v>415</v>
      </c>
      <c r="H4458">
        <v>620</v>
      </c>
      <c r="I4458" s="2"/>
      <c r="J4458" s="2">
        <v>45779</v>
      </c>
      <c r="K4458" s="2">
        <v>45779</v>
      </c>
    </row>
    <row r="4459" spans="1:11" x14ac:dyDescent="0.25">
      <c r="A4459" s="1" t="s">
        <v>753</v>
      </c>
      <c r="B4459" s="1" t="s">
        <v>1265</v>
      </c>
      <c r="C4459" s="1" t="s">
        <v>2242</v>
      </c>
      <c r="D4459" s="1" t="s">
        <v>1998</v>
      </c>
      <c r="E4459" s="1"/>
      <c r="F4459" s="1" t="s">
        <v>11</v>
      </c>
      <c r="G4459">
        <v>905</v>
      </c>
      <c r="H4459">
        <v>635</v>
      </c>
      <c r="I4459" s="2"/>
      <c r="J4459" s="2">
        <v>45779</v>
      </c>
      <c r="K4459" s="2">
        <v>45779</v>
      </c>
    </row>
    <row r="4460" spans="1:11" x14ac:dyDescent="0.25">
      <c r="A4460" s="1" t="s">
        <v>753</v>
      </c>
      <c r="B4460" s="1" t="s">
        <v>1206</v>
      </c>
      <c r="C4460" s="1" t="s">
        <v>2196</v>
      </c>
      <c r="D4460" s="1" t="s">
        <v>1998</v>
      </c>
      <c r="E4460" s="1"/>
      <c r="F4460" s="1" t="s">
        <v>11</v>
      </c>
      <c r="G4460">
        <v>5</v>
      </c>
      <c r="H4460">
        <v>5</v>
      </c>
      <c r="I4460" s="2"/>
      <c r="J4460" s="2">
        <v>45779</v>
      </c>
      <c r="K4460" s="2">
        <v>45779</v>
      </c>
    </row>
    <row r="4461" spans="1:11" x14ac:dyDescent="0.25">
      <c r="A4461" s="1" t="s">
        <v>753</v>
      </c>
      <c r="B4461" s="1" t="s">
        <v>1207</v>
      </c>
      <c r="C4461" s="1" t="s">
        <v>2197</v>
      </c>
      <c r="D4461" s="1" t="s">
        <v>1998</v>
      </c>
      <c r="E4461" s="1"/>
      <c r="F4461" s="1" t="s">
        <v>11</v>
      </c>
      <c r="G4461">
        <v>25</v>
      </c>
      <c r="H4461">
        <v>25</v>
      </c>
      <c r="I4461" s="2"/>
      <c r="J4461" s="2">
        <v>45779</v>
      </c>
      <c r="K4461" s="2">
        <v>45779</v>
      </c>
    </row>
    <row r="4462" spans="1:11" x14ac:dyDescent="0.25">
      <c r="A4462" s="1" t="s">
        <v>753</v>
      </c>
      <c r="B4462" s="1" t="s">
        <v>1208</v>
      </c>
      <c r="C4462" s="1" t="s">
        <v>2198</v>
      </c>
      <c r="D4462" s="1" t="s">
        <v>1998</v>
      </c>
      <c r="E4462" s="1"/>
      <c r="F4462" s="1" t="s">
        <v>11</v>
      </c>
      <c r="G4462">
        <v>1</v>
      </c>
      <c r="H4462">
        <v>1</v>
      </c>
      <c r="I4462" s="2"/>
      <c r="J4462" s="2">
        <v>45779</v>
      </c>
      <c r="K4462" s="2">
        <v>45779</v>
      </c>
    </row>
    <row r="4463" spans="1:11" x14ac:dyDescent="0.25">
      <c r="A4463" s="1" t="s">
        <v>754</v>
      </c>
      <c r="B4463" s="1" t="s">
        <v>1265</v>
      </c>
      <c r="C4463" s="1" t="s">
        <v>2242</v>
      </c>
      <c r="D4463" s="1" t="s">
        <v>1998</v>
      </c>
      <c r="E4463" s="1"/>
      <c r="F4463" s="1" t="s">
        <v>11</v>
      </c>
      <c r="G4463">
        <v>1160</v>
      </c>
      <c r="H4463">
        <v>1200</v>
      </c>
      <c r="I4463" s="2"/>
      <c r="J4463" s="2">
        <v>45785</v>
      </c>
      <c r="K4463" s="2">
        <v>45785</v>
      </c>
    </row>
    <row r="4464" spans="1:11" x14ac:dyDescent="0.25">
      <c r="A4464" s="1" t="s">
        <v>754</v>
      </c>
      <c r="B4464" s="1" t="s">
        <v>1267</v>
      </c>
      <c r="C4464" s="1" t="s">
        <v>2244</v>
      </c>
      <c r="D4464" s="1" t="s">
        <v>1998</v>
      </c>
      <c r="E4464" s="1"/>
      <c r="F4464" s="1" t="s">
        <v>11</v>
      </c>
      <c r="G4464">
        <v>65</v>
      </c>
      <c r="H4464">
        <v>40</v>
      </c>
      <c r="I4464" s="2"/>
      <c r="J4464" s="2">
        <v>45785</v>
      </c>
      <c r="K4464" s="2">
        <v>45785</v>
      </c>
    </row>
    <row r="4465" spans="1:11" x14ac:dyDescent="0.25">
      <c r="A4465" s="1" t="s">
        <v>754</v>
      </c>
      <c r="B4465" s="1" t="s">
        <v>1206</v>
      </c>
      <c r="C4465" s="1" t="s">
        <v>2196</v>
      </c>
      <c r="D4465" s="1" t="s">
        <v>1998</v>
      </c>
      <c r="E4465" s="1"/>
      <c r="F4465" s="1" t="s">
        <v>11</v>
      </c>
      <c r="G4465">
        <v>5</v>
      </c>
      <c r="H4465">
        <v>5</v>
      </c>
      <c r="I4465" s="2"/>
      <c r="J4465" s="2">
        <v>45785</v>
      </c>
      <c r="K4465" s="2">
        <v>45785</v>
      </c>
    </row>
    <row r="4466" spans="1:11" x14ac:dyDescent="0.25">
      <c r="A4466" s="1" t="s">
        <v>754</v>
      </c>
      <c r="B4466" s="1" t="s">
        <v>1266</v>
      </c>
      <c r="C4466" s="1" t="s">
        <v>2243</v>
      </c>
      <c r="D4466" s="1" t="s">
        <v>1998</v>
      </c>
      <c r="E4466" s="1"/>
      <c r="F4466" s="1" t="s">
        <v>11</v>
      </c>
      <c r="G4466">
        <v>10</v>
      </c>
      <c r="H4466">
        <v>10</v>
      </c>
      <c r="I4466" s="2"/>
      <c r="J4466" s="2">
        <v>45785</v>
      </c>
      <c r="K4466" s="2">
        <v>45785</v>
      </c>
    </row>
    <row r="4467" spans="1:11" x14ac:dyDescent="0.25">
      <c r="A4467" s="1" t="s">
        <v>755</v>
      </c>
      <c r="B4467" s="1" t="s">
        <v>1265</v>
      </c>
      <c r="C4467" s="1" t="s">
        <v>2242</v>
      </c>
      <c r="D4467" s="1" t="s">
        <v>1998</v>
      </c>
      <c r="E4467" s="1"/>
      <c r="F4467" s="1" t="s">
        <v>11</v>
      </c>
      <c r="G4467">
        <v>1160</v>
      </c>
      <c r="H4467">
        <v>1200</v>
      </c>
      <c r="I4467" s="2"/>
      <c r="J4467" s="2">
        <v>45786</v>
      </c>
      <c r="K4467" s="2">
        <v>45786</v>
      </c>
    </row>
    <row r="4468" spans="1:11" x14ac:dyDescent="0.25">
      <c r="A4468" s="1" t="s">
        <v>755</v>
      </c>
      <c r="B4468" s="1" t="s">
        <v>1267</v>
      </c>
      <c r="C4468" s="1" t="s">
        <v>2244</v>
      </c>
      <c r="D4468" s="1" t="s">
        <v>1998</v>
      </c>
      <c r="E4468" s="1"/>
      <c r="F4468" s="1" t="s">
        <v>11</v>
      </c>
      <c r="G4468">
        <v>65</v>
      </c>
      <c r="H4468">
        <v>40</v>
      </c>
      <c r="I4468" s="2"/>
      <c r="J4468" s="2">
        <v>45786</v>
      </c>
      <c r="K4468" s="2">
        <v>45786</v>
      </c>
    </row>
    <row r="4469" spans="1:11" x14ac:dyDescent="0.25">
      <c r="A4469" s="1" t="s">
        <v>755</v>
      </c>
      <c r="B4469" s="1" t="s">
        <v>1206</v>
      </c>
      <c r="C4469" s="1" t="s">
        <v>2196</v>
      </c>
      <c r="D4469" s="1" t="s">
        <v>1998</v>
      </c>
      <c r="E4469" s="1"/>
      <c r="F4469" s="1" t="s">
        <v>11</v>
      </c>
      <c r="G4469">
        <v>5</v>
      </c>
      <c r="H4469">
        <v>5</v>
      </c>
      <c r="I4469" s="2"/>
      <c r="J4469" s="2">
        <v>45786</v>
      </c>
      <c r="K4469" s="2">
        <v>45786</v>
      </c>
    </row>
    <row r="4470" spans="1:11" x14ac:dyDescent="0.25">
      <c r="A4470" s="1" t="s">
        <v>755</v>
      </c>
      <c r="B4470" s="1" t="s">
        <v>1266</v>
      </c>
      <c r="C4470" s="1" t="s">
        <v>2243</v>
      </c>
      <c r="D4470" s="1" t="s">
        <v>1998</v>
      </c>
      <c r="E4470" s="1"/>
      <c r="F4470" s="1" t="s">
        <v>11</v>
      </c>
      <c r="G4470">
        <v>10</v>
      </c>
      <c r="H4470">
        <v>10</v>
      </c>
      <c r="I4470" s="2"/>
      <c r="J4470" s="2">
        <v>45786</v>
      </c>
      <c r="K4470" s="2">
        <v>45786</v>
      </c>
    </row>
    <row r="4471" spans="1:11" x14ac:dyDescent="0.25">
      <c r="A4471" s="1" t="s">
        <v>756</v>
      </c>
      <c r="B4471" s="1" t="s">
        <v>1869</v>
      </c>
      <c r="C4471" s="1" t="s">
        <v>2717</v>
      </c>
      <c r="D4471" s="1" t="s">
        <v>1998</v>
      </c>
      <c r="E4471" s="1"/>
      <c r="F4471" s="1" t="s">
        <v>11</v>
      </c>
      <c r="G4471">
        <v>100</v>
      </c>
      <c r="H4471">
        <v>100</v>
      </c>
      <c r="I4471" s="2"/>
      <c r="J4471" s="2">
        <v>45775</v>
      </c>
      <c r="K4471" s="2">
        <v>45775</v>
      </c>
    </row>
    <row r="4472" spans="1:11" x14ac:dyDescent="0.25">
      <c r="A4472" s="1" t="s">
        <v>756</v>
      </c>
      <c r="B4472" s="1" t="s">
        <v>1533</v>
      </c>
      <c r="C4472" s="1" t="s">
        <v>2461</v>
      </c>
      <c r="D4472" s="1" t="s">
        <v>1998</v>
      </c>
      <c r="E4472" s="1"/>
      <c r="F4472" s="1" t="s">
        <v>11</v>
      </c>
      <c r="G4472">
        <v>1</v>
      </c>
      <c r="H4472">
        <v>1</v>
      </c>
      <c r="I4472" s="2"/>
      <c r="J4472" s="2">
        <v>45775</v>
      </c>
      <c r="K4472" s="2">
        <v>45775</v>
      </c>
    </row>
    <row r="4473" spans="1:11" x14ac:dyDescent="0.25">
      <c r="A4473" s="1" t="s">
        <v>756</v>
      </c>
      <c r="B4473" s="1" t="s">
        <v>1229</v>
      </c>
      <c r="C4473" s="1" t="s">
        <v>2213</v>
      </c>
      <c r="D4473" s="1" t="s">
        <v>1998</v>
      </c>
      <c r="E4473" s="1"/>
      <c r="F4473" s="1" t="s">
        <v>11</v>
      </c>
      <c r="G4473">
        <v>5</v>
      </c>
      <c r="H4473">
        <v>5</v>
      </c>
      <c r="I4473" s="2"/>
      <c r="J4473" s="2">
        <v>45775</v>
      </c>
      <c r="K4473" s="2">
        <v>45775</v>
      </c>
    </row>
    <row r="4474" spans="1:11" x14ac:dyDescent="0.25">
      <c r="A4474" s="1" t="s">
        <v>756</v>
      </c>
      <c r="B4474" s="1" t="s">
        <v>1622</v>
      </c>
      <c r="C4474" s="1" t="s">
        <v>2537</v>
      </c>
      <c r="D4474" s="1" t="s">
        <v>1998</v>
      </c>
      <c r="E4474" s="1"/>
      <c r="F4474" s="1" t="s">
        <v>11</v>
      </c>
      <c r="G4474">
        <v>5</v>
      </c>
      <c r="H4474">
        <v>5</v>
      </c>
      <c r="I4474" s="2"/>
      <c r="J4474" s="2">
        <v>45775</v>
      </c>
      <c r="K4474" s="2">
        <v>45775</v>
      </c>
    </row>
    <row r="4475" spans="1:11" x14ac:dyDescent="0.25">
      <c r="A4475" s="1" t="s">
        <v>756</v>
      </c>
      <c r="B4475" s="1" t="s">
        <v>1230</v>
      </c>
      <c r="C4475" s="1" t="s">
        <v>2214</v>
      </c>
      <c r="D4475" s="1" t="s">
        <v>1998</v>
      </c>
      <c r="E4475" s="1"/>
      <c r="F4475" s="1" t="s">
        <v>11</v>
      </c>
      <c r="G4475">
        <v>1</v>
      </c>
      <c r="H4475">
        <v>1</v>
      </c>
      <c r="I4475" s="2"/>
      <c r="J4475" s="2">
        <v>45775</v>
      </c>
      <c r="K4475" s="2">
        <v>45775</v>
      </c>
    </row>
    <row r="4476" spans="1:11" x14ac:dyDescent="0.25">
      <c r="A4476" s="1" t="s">
        <v>756</v>
      </c>
      <c r="B4476" s="1" t="s">
        <v>1231</v>
      </c>
      <c r="C4476" s="1" t="s">
        <v>2215</v>
      </c>
      <c r="D4476" s="1" t="s">
        <v>1998</v>
      </c>
      <c r="E4476" s="1"/>
      <c r="F4476" s="1" t="s">
        <v>11</v>
      </c>
      <c r="G4476">
        <v>1</v>
      </c>
      <c r="H4476">
        <v>1</v>
      </c>
      <c r="I4476" s="2"/>
      <c r="J4476" s="2">
        <v>45775</v>
      </c>
      <c r="K4476" s="2">
        <v>45775</v>
      </c>
    </row>
    <row r="4477" spans="1:11" x14ac:dyDescent="0.25">
      <c r="A4477" s="1" t="s">
        <v>756</v>
      </c>
      <c r="B4477" s="1" t="s">
        <v>1232</v>
      </c>
      <c r="C4477" s="1" t="s">
        <v>2216</v>
      </c>
      <c r="D4477" s="1" t="s">
        <v>1998</v>
      </c>
      <c r="E4477" s="1"/>
      <c r="F4477" s="1" t="s">
        <v>11</v>
      </c>
      <c r="G4477">
        <v>1</v>
      </c>
      <c r="H4477">
        <v>1</v>
      </c>
      <c r="I4477" s="2"/>
      <c r="J4477" s="2">
        <v>45775</v>
      </c>
      <c r="K4477" s="2">
        <v>45775</v>
      </c>
    </row>
    <row r="4478" spans="1:11" x14ac:dyDescent="0.25">
      <c r="A4478" s="1" t="s">
        <v>756</v>
      </c>
      <c r="B4478" s="1" t="s">
        <v>1870</v>
      </c>
      <c r="C4478" s="1" t="s">
        <v>2718</v>
      </c>
      <c r="D4478" s="1" t="s">
        <v>1998</v>
      </c>
      <c r="E4478" s="1"/>
      <c r="F4478" s="1" t="s">
        <v>11</v>
      </c>
      <c r="G4478">
        <v>5</v>
      </c>
      <c r="H4478">
        <v>5</v>
      </c>
      <c r="I4478" s="2"/>
      <c r="J4478" s="2">
        <v>45775</v>
      </c>
      <c r="K4478" s="2">
        <v>45775</v>
      </c>
    </row>
    <row r="4479" spans="1:11" x14ac:dyDescent="0.25">
      <c r="A4479" s="1" t="s">
        <v>756</v>
      </c>
      <c r="B4479" s="1" t="s">
        <v>1871</v>
      </c>
      <c r="C4479" s="1" t="s">
        <v>2719</v>
      </c>
      <c r="D4479" s="1" t="s">
        <v>1998</v>
      </c>
      <c r="E4479" s="1"/>
      <c r="F4479" s="1" t="s">
        <v>11</v>
      </c>
      <c r="G4479">
        <v>5</v>
      </c>
      <c r="H4479">
        <v>1</v>
      </c>
      <c r="I4479" s="2"/>
      <c r="J4479" s="2">
        <v>45775</v>
      </c>
      <c r="K4479" s="2">
        <v>45775</v>
      </c>
    </row>
    <row r="4480" spans="1:11" x14ac:dyDescent="0.25">
      <c r="A4480" s="1" t="s">
        <v>756</v>
      </c>
      <c r="B4480" s="1" t="s">
        <v>1388</v>
      </c>
      <c r="C4480" s="1" t="s">
        <v>2337</v>
      </c>
      <c r="D4480" s="1" t="s">
        <v>1998</v>
      </c>
      <c r="E4480" s="1"/>
      <c r="F4480" s="1" t="s">
        <v>11</v>
      </c>
      <c r="G4480">
        <v>1</v>
      </c>
      <c r="H4480">
        <v>1</v>
      </c>
      <c r="I4480" s="2"/>
      <c r="J4480" s="2">
        <v>45775</v>
      </c>
      <c r="K4480" s="2">
        <v>45775</v>
      </c>
    </row>
    <row r="4481" spans="1:11" x14ac:dyDescent="0.25">
      <c r="A4481" s="1" t="s">
        <v>756</v>
      </c>
      <c r="B4481" s="1" t="s">
        <v>1364</v>
      </c>
      <c r="C4481" s="1" t="s">
        <v>2314</v>
      </c>
      <c r="D4481" s="1" t="s">
        <v>1998</v>
      </c>
      <c r="E4481" s="1"/>
      <c r="F4481" s="1" t="s">
        <v>11</v>
      </c>
      <c r="G4481">
        <v>1</v>
      </c>
      <c r="H4481">
        <v>1</v>
      </c>
      <c r="I4481" s="2"/>
      <c r="J4481" s="2">
        <v>45775</v>
      </c>
      <c r="K4481" s="2">
        <v>45775</v>
      </c>
    </row>
    <row r="4482" spans="1:11" x14ac:dyDescent="0.25">
      <c r="A4482" s="1" t="s">
        <v>756</v>
      </c>
      <c r="B4482" s="1" t="s">
        <v>1390</v>
      </c>
      <c r="C4482" s="1" t="s">
        <v>2339</v>
      </c>
      <c r="D4482" s="1" t="s">
        <v>1998</v>
      </c>
      <c r="E4482" s="1"/>
      <c r="F4482" s="1" t="s">
        <v>11</v>
      </c>
      <c r="G4482">
        <v>1</v>
      </c>
      <c r="H4482">
        <v>1</v>
      </c>
      <c r="I4482" s="2"/>
      <c r="J4482" s="2">
        <v>45775</v>
      </c>
      <c r="K4482" s="2">
        <v>45775</v>
      </c>
    </row>
    <row r="4483" spans="1:11" x14ac:dyDescent="0.25">
      <c r="A4483" s="1" t="s">
        <v>756</v>
      </c>
      <c r="B4483" s="1" t="s">
        <v>1872</v>
      </c>
      <c r="C4483" s="1" t="s">
        <v>2720</v>
      </c>
      <c r="D4483" s="1" t="s">
        <v>1998</v>
      </c>
      <c r="E4483" s="1"/>
      <c r="F4483" s="1" t="s">
        <v>11</v>
      </c>
      <c r="G4483">
        <v>40</v>
      </c>
      <c r="H4483">
        <v>40</v>
      </c>
      <c r="I4483" s="2"/>
      <c r="J4483" s="2">
        <v>45775</v>
      </c>
      <c r="K4483" s="2">
        <v>45775</v>
      </c>
    </row>
    <row r="4484" spans="1:11" x14ac:dyDescent="0.25">
      <c r="A4484" s="1" t="s">
        <v>756</v>
      </c>
      <c r="B4484" s="1" t="s">
        <v>1873</v>
      </c>
      <c r="C4484" s="1" t="s">
        <v>2721</v>
      </c>
      <c r="D4484" s="1" t="s">
        <v>1998</v>
      </c>
      <c r="E4484" s="1"/>
      <c r="F4484" s="1" t="s">
        <v>11</v>
      </c>
      <c r="G4484">
        <v>15</v>
      </c>
      <c r="H4484">
        <v>15</v>
      </c>
      <c r="I4484" s="2"/>
      <c r="J4484" s="2">
        <v>45775</v>
      </c>
      <c r="K4484" s="2">
        <v>45775</v>
      </c>
    </row>
    <row r="4485" spans="1:11" x14ac:dyDescent="0.25">
      <c r="A4485" s="1" t="s">
        <v>757</v>
      </c>
      <c r="B4485" s="1" t="s">
        <v>1021</v>
      </c>
      <c r="C4485" s="1" t="s">
        <v>2038</v>
      </c>
      <c r="D4485" s="1" t="s">
        <v>1998</v>
      </c>
      <c r="E4485" s="1"/>
      <c r="F4485" s="1" t="s">
        <v>11</v>
      </c>
      <c r="G4485">
        <v>17205</v>
      </c>
      <c r="H4485">
        <v>17205</v>
      </c>
      <c r="I4485" s="2"/>
      <c r="J4485" s="2">
        <v>45775</v>
      </c>
      <c r="K4485" s="2">
        <v>45787</v>
      </c>
    </row>
    <row r="4486" spans="1:11" x14ac:dyDescent="0.25">
      <c r="A4486" s="1" t="s">
        <v>757</v>
      </c>
      <c r="B4486" s="1" t="s">
        <v>1022</v>
      </c>
      <c r="C4486" s="1" t="s">
        <v>2039</v>
      </c>
      <c r="D4486" s="1" t="s">
        <v>1998</v>
      </c>
      <c r="E4486" s="1"/>
      <c r="F4486" s="1" t="s">
        <v>11</v>
      </c>
      <c r="G4486">
        <v>15835</v>
      </c>
      <c r="H4486">
        <v>15835</v>
      </c>
      <c r="I4486" s="2"/>
      <c r="J4486" s="2">
        <v>45775</v>
      </c>
      <c r="K4486" s="2">
        <v>45787</v>
      </c>
    </row>
    <row r="4487" spans="1:11" x14ac:dyDescent="0.25">
      <c r="A4487" s="1" t="s">
        <v>757</v>
      </c>
      <c r="B4487" s="1" t="s">
        <v>1173</v>
      </c>
      <c r="C4487" s="1" t="s">
        <v>2167</v>
      </c>
      <c r="D4487" s="1" t="s">
        <v>1998</v>
      </c>
      <c r="E4487" s="1"/>
      <c r="F4487" s="1" t="s">
        <v>11</v>
      </c>
      <c r="G4487">
        <v>400</v>
      </c>
      <c r="H4487">
        <v>550</v>
      </c>
      <c r="I4487" s="2"/>
      <c r="J4487" s="2">
        <v>45775</v>
      </c>
      <c r="K4487" s="2">
        <v>45787</v>
      </c>
    </row>
    <row r="4488" spans="1:11" x14ac:dyDescent="0.25">
      <c r="A4488" s="1" t="s">
        <v>757</v>
      </c>
      <c r="B4488" s="1" t="s">
        <v>999</v>
      </c>
      <c r="C4488" s="1" t="s">
        <v>2017</v>
      </c>
      <c r="D4488" s="1" t="s">
        <v>1998</v>
      </c>
      <c r="E4488" s="1"/>
      <c r="F4488" s="1" t="s">
        <v>11</v>
      </c>
      <c r="G4488">
        <v>1</v>
      </c>
      <c r="H4488">
        <v>1</v>
      </c>
      <c r="I4488" s="2"/>
      <c r="J4488" s="2">
        <v>45775</v>
      </c>
      <c r="K4488" s="2">
        <v>45787</v>
      </c>
    </row>
    <row r="4489" spans="1:11" x14ac:dyDescent="0.25">
      <c r="A4489" s="1" t="s">
        <v>757</v>
      </c>
      <c r="B4489" s="1" t="s">
        <v>1000</v>
      </c>
      <c r="C4489" s="1" t="s">
        <v>2018</v>
      </c>
      <c r="D4489" s="1" t="s">
        <v>1998</v>
      </c>
      <c r="E4489" s="1"/>
      <c r="F4489" s="1" t="s">
        <v>11</v>
      </c>
      <c r="G4489">
        <v>1</v>
      </c>
      <c r="H4489">
        <v>1</v>
      </c>
      <c r="I4489" s="2"/>
      <c r="J4489" s="2">
        <v>45775</v>
      </c>
      <c r="K4489" s="2">
        <v>45787</v>
      </c>
    </row>
    <row r="4490" spans="1:11" x14ac:dyDescent="0.25">
      <c r="A4490" s="1" t="s">
        <v>757</v>
      </c>
      <c r="B4490" s="1" t="s">
        <v>1001</v>
      </c>
      <c r="C4490" s="1" t="s">
        <v>2019</v>
      </c>
      <c r="D4490" s="1" t="s">
        <v>1998</v>
      </c>
      <c r="E4490" s="1"/>
      <c r="F4490" s="1" t="s">
        <v>11</v>
      </c>
      <c r="G4490">
        <v>1</v>
      </c>
      <c r="H4490">
        <v>1</v>
      </c>
      <c r="I4490" s="2"/>
      <c r="J4490" s="2">
        <v>45775</v>
      </c>
      <c r="K4490" s="2">
        <v>45787</v>
      </c>
    </row>
    <row r="4491" spans="1:11" x14ac:dyDescent="0.25">
      <c r="A4491" s="1" t="s">
        <v>758</v>
      </c>
      <c r="B4491" s="1" t="s">
        <v>1361</v>
      </c>
      <c r="C4491" s="1" t="s">
        <v>2311</v>
      </c>
      <c r="D4491" s="1" t="s">
        <v>1998</v>
      </c>
      <c r="E4491" s="1"/>
      <c r="F4491" s="1" t="s">
        <v>11</v>
      </c>
      <c r="G4491">
        <v>85</v>
      </c>
      <c r="H4491">
        <v>1</v>
      </c>
      <c r="I4491" s="2"/>
      <c r="J4491" s="2">
        <v>45779</v>
      </c>
      <c r="K4491" s="2">
        <v>45785</v>
      </c>
    </row>
    <row r="4492" spans="1:11" x14ac:dyDescent="0.25">
      <c r="A4492" s="1" t="s">
        <v>758</v>
      </c>
      <c r="B4492" s="1" t="s">
        <v>1362</v>
      </c>
      <c r="C4492" s="1" t="s">
        <v>2312</v>
      </c>
      <c r="D4492" s="1" t="s">
        <v>1998</v>
      </c>
      <c r="E4492" s="1"/>
      <c r="F4492" s="1" t="s">
        <v>11</v>
      </c>
      <c r="G4492">
        <v>105</v>
      </c>
      <c r="H4492">
        <v>1</v>
      </c>
      <c r="I4492" s="2"/>
      <c r="J4492" s="2">
        <v>45779</v>
      </c>
      <c r="K4492" s="2">
        <v>45785</v>
      </c>
    </row>
    <row r="4493" spans="1:11" x14ac:dyDescent="0.25">
      <c r="A4493" s="1" t="s">
        <v>758</v>
      </c>
      <c r="B4493" s="1" t="s">
        <v>1363</v>
      </c>
      <c r="C4493" s="1" t="s">
        <v>2313</v>
      </c>
      <c r="D4493" s="1" t="s">
        <v>1998</v>
      </c>
      <c r="E4493" s="1"/>
      <c r="F4493" s="1" t="s">
        <v>11</v>
      </c>
      <c r="G4493">
        <v>1</v>
      </c>
      <c r="H4493">
        <v>1</v>
      </c>
      <c r="I4493" s="2"/>
      <c r="J4493" s="2">
        <v>45779</v>
      </c>
      <c r="K4493" s="2">
        <v>45785</v>
      </c>
    </row>
    <row r="4494" spans="1:11" x14ac:dyDescent="0.25">
      <c r="A4494" s="1" t="s">
        <v>758</v>
      </c>
      <c r="B4494" s="1" t="s">
        <v>1234</v>
      </c>
      <c r="C4494" s="1" t="s">
        <v>2218</v>
      </c>
      <c r="D4494" s="1" t="s">
        <v>1998</v>
      </c>
      <c r="E4494" s="1"/>
      <c r="F4494" s="1" t="s">
        <v>11</v>
      </c>
      <c r="G4494">
        <v>1</v>
      </c>
      <c r="H4494">
        <v>1</v>
      </c>
      <c r="I4494" s="2"/>
      <c r="J4494" s="2">
        <v>45779</v>
      </c>
      <c r="K4494" s="2">
        <v>45785</v>
      </c>
    </row>
    <row r="4495" spans="1:11" x14ac:dyDescent="0.25">
      <c r="A4495" s="1" t="s">
        <v>758</v>
      </c>
      <c r="B4495" s="1" t="s">
        <v>1364</v>
      </c>
      <c r="C4495" s="1" t="s">
        <v>2314</v>
      </c>
      <c r="D4495" s="1" t="s">
        <v>1998</v>
      </c>
      <c r="E4495" s="1"/>
      <c r="F4495" s="1" t="s">
        <v>11</v>
      </c>
      <c r="G4495">
        <v>1</v>
      </c>
      <c r="H4495">
        <v>1</v>
      </c>
      <c r="I4495" s="2"/>
      <c r="J4495" s="2">
        <v>45779</v>
      </c>
      <c r="K4495" s="2">
        <v>45785</v>
      </c>
    </row>
    <row r="4496" spans="1:11" x14ac:dyDescent="0.25">
      <c r="A4496" s="1" t="s">
        <v>759</v>
      </c>
      <c r="B4496" s="1" t="s">
        <v>1361</v>
      </c>
      <c r="C4496" s="1" t="s">
        <v>2311</v>
      </c>
      <c r="D4496" s="1" t="s">
        <v>1998</v>
      </c>
      <c r="E4496" s="1"/>
      <c r="F4496" s="1" t="s">
        <v>11</v>
      </c>
      <c r="G4496">
        <v>90</v>
      </c>
      <c r="H4496">
        <v>70</v>
      </c>
      <c r="I4496" s="2"/>
      <c r="J4496" s="2">
        <v>45785</v>
      </c>
      <c r="K4496" s="2">
        <v>45785</v>
      </c>
    </row>
    <row r="4497" spans="1:11" x14ac:dyDescent="0.25">
      <c r="A4497" s="1" t="s">
        <v>759</v>
      </c>
      <c r="B4497" s="1" t="s">
        <v>1362</v>
      </c>
      <c r="C4497" s="1" t="s">
        <v>2312</v>
      </c>
      <c r="D4497" s="1" t="s">
        <v>1998</v>
      </c>
      <c r="E4497" s="1"/>
      <c r="F4497" s="1" t="s">
        <v>11</v>
      </c>
      <c r="G4497">
        <v>110</v>
      </c>
      <c r="H4497">
        <v>125</v>
      </c>
      <c r="I4497" s="2"/>
      <c r="J4497" s="2">
        <v>45785</v>
      </c>
      <c r="K4497" s="2">
        <v>45785</v>
      </c>
    </row>
    <row r="4498" spans="1:11" x14ac:dyDescent="0.25">
      <c r="A4498" s="1" t="s">
        <v>759</v>
      </c>
      <c r="B4498" s="1" t="s">
        <v>1363</v>
      </c>
      <c r="C4498" s="1" t="s">
        <v>2313</v>
      </c>
      <c r="D4498" s="1" t="s">
        <v>1998</v>
      </c>
      <c r="E4498" s="1"/>
      <c r="F4498" s="1" t="s">
        <v>11</v>
      </c>
      <c r="G4498">
        <v>1</v>
      </c>
      <c r="H4498">
        <v>1</v>
      </c>
      <c r="I4498" s="2"/>
      <c r="J4498" s="2">
        <v>45785</v>
      </c>
      <c r="K4498" s="2">
        <v>45785</v>
      </c>
    </row>
    <row r="4499" spans="1:11" x14ac:dyDescent="0.25">
      <c r="A4499" s="1" t="s">
        <v>759</v>
      </c>
      <c r="B4499" s="1" t="s">
        <v>1234</v>
      </c>
      <c r="C4499" s="1" t="s">
        <v>2218</v>
      </c>
      <c r="D4499" s="1" t="s">
        <v>1998</v>
      </c>
      <c r="E4499" s="1"/>
      <c r="F4499" s="1" t="s">
        <v>11</v>
      </c>
      <c r="G4499">
        <v>1</v>
      </c>
      <c r="H4499">
        <v>1</v>
      </c>
      <c r="I4499" s="2"/>
      <c r="J4499" s="2">
        <v>45785</v>
      </c>
      <c r="K4499" s="2">
        <v>45785</v>
      </c>
    </row>
    <row r="4500" spans="1:11" x14ac:dyDescent="0.25">
      <c r="A4500" s="1" t="s">
        <v>759</v>
      </c>
      <c r="B4500" s="1" t="s">
        <v>1364</v>
      </c>
      <c r="C4500" s="1" t="s">
        <v>2314</v>
      </c>
      <c r="D4500" s="1" t="s">
        <v>1998</v>
      </c>
      <c r="E4500" s="1"/>
      <c r="F4500" s="1" t="s">
        <v>11</v>
      </c>
      <c r="G4500">
        <v>1</v>
      </c>
      <c r="H4500">
        <v>1</v>
      </c>
      <c r="I4500" s="2"/>
      <c r="J4500" s="2">
        <v>45785</v>
      </c>
      <c r="K4500" s="2">
        <v>45785</v>
      </c>
    </row>
    <row r="4501" spans="1:11" x14ac:dyDescent="0.25">
      <c r="A4501" s="1" t="s">
        <v>760</v>
      </c>
      <c r="B4501" s="1" t="s">
        <v>1361</v>
      </c>
      <c r="C4501" s="1" t="s">
        <v>2311</v>
      </c>
      <c r="D4501" s="1" t="s">
        <v>1998</v>
      </c>
      <c r="E4501" s="1"/>
      <c r="F4501" s="1" t="s">
        <v>11</v>
      </c>
      <c r="G4501">
        <v>90</v>
      </c>
      <c r="H4501">
        <v>70</v>
      </c>
      <c r="I4501" s="2"/>
      <c r="J4501" s="2">
        <v>45785</v>
      </c>
      <c r="K4501" s="2">
        <v>45785</v>
      </c>
    </row>
    <row r="4502" spans="1:11" x14ac:dyDescent="0.25">
      <c r="A4502" s="1" t="s">
        <v>760</v>
      </c>
      <c r="B4502" s="1" t="s">
        <v>1362</v>
      </c>
      <c r="C4502" s="1" t="s">
        <v>2312</v>
      </c>
      <c r="D4502" s="1" t="s">
        <v>1998</v>
      </c>
      <c r="E4502" s="1"/>
      <c r="F4502" s="1" t="s">
        <v>11</v>
      </c>
      <c r="G4502">
        <v>110</v>
      </c>
      <c r="H4502">
        <v>125</v>
      </c>
      <c r="I4502" s="2"/>
      <c r="J4502" s="2">
        <v>45785</v>
      </c>
      <c r="K4502" s="2">
        <v>45785</v>
      </c>
    </row>
    <row r="4503" spans="1:11" x14ac:dyDescent="0.25">
      <c r="A4503" s="1" t="s">
        <v>760</v>
      </c>
      <c r="B4503" s="1" t="s">
        <v>1363</v>
      </c>
      <c r="C4503" s="1" t="s">
        <v>2313</v>
      </c>
      <c r="D4503" s="1" t="s">
        <v>1998</v>
      </c>
      <c r="E4503" s="1"/>
      <c r="F4503" s="1" t="s">
        <v>11</v>
      </c>
      <c r="G4503">
        <v>1</v>
      </c>
      <c r="H4503">
        <v>1</v>
      </c>
      <c r="I4503" s="2"/>
      <c r="J4503" s="2">
        <v>45785</v>
      </c>
      <c r="K4503" s="2">
        <v>45785</v>
      </c>
    </row>
    <row r="4504" spans="1:11" x14ac:dyDescent="0.25">
      <c r="A4504" s="1" t="s">
        <v>760</v>
      </c>
      <c r="B4504" s="1" t="s">
        <v>1234</v>
      </c>
      <c r="C4504" s="1" t="s">
        <v>2218</v>
      </c>
      <c r="D4504" s="1" t="s">
        <v>1998</v>
      </c>
      <c r="E4504" s="1"/>
      <c r="F4504" s="1" t="s">
        <v>11</v>
      </c>
      <c r="G4504">
        <v>1</v>
      </c>
      <c r="H4504">
        <v>1</v>
      </c>
      <c r="I4504" s="2"/>
      <c r="J4504" s="2">
        <v>45785</v>
      </c>
      <c r="K4504" s="2">
        <v>45785</v>
      </c>
    </row>
    <row r="4505" spans="1:11" x14ac:dyDescent="0.25">
      <c r="A4505" s="1" t="s">
        <v>760</v>
      </c>
      <c r="B4505" s="1" t="s">
        <v>1364</v>
      </c>
      <c r="C4505" s="1" t="s">
        <v>2314</v>
      </c>
      <c r="D4505" s="1" t="s">
        <v>1998</v>
      </c>
      <c r="E4505" s="1"/>
      <c r="F4505" s="1" t="s">
        <v>11</v>
      </c>
      <c r="G4505">
        <v>1</v>
      </c>
      <c r="H4505">
        <v>1</v>
      </c>
      <c r="I4505" s="2"/>
      <c r="J4505" s="2">
        <v>45785</v>
      </c>
      <c r="K4505" s="2">
        <v>45785</v>
      </c>
    </row>
    <row r="4506" spans="1:11" x14ac:dyDescent="0.25">
      <c r="A4506" s="1" t="s">
        <v>761</v>
      </c>
      <c r="B4506" s="1" t="s">
        <v>1361</v>
      </c>
      <c r="C4506" s="1" t="s">
        <v>2311</v>
      </c>
      <c r="D4506" s="1" t="s">
        <v>1998</v>
      </c>
      <c r="E4506" s="1"/>
      <c r="F4506" s="1" t="s">
        <v>11</v>
      </c>
      <c r="G4506">
        <v>90</v>
      </c>
      <c r="H4506">
        <v>70</v>
      </c>
      <c r="I4506" s="2"/>
      <c r="J4506" s="2">
        <v>45785</v>
      </c>
      <c r="K4506" s="2">
        <v>45786</v>
      </c>
    </row>
    <row r="4507" spans="1:11" x14ac:dyDescent="0.25">
      <c r="A4507" s="1" t="s">
        <v>761</v>
      </c>
      <c r="B4507" s="1" t="s">
        <v>1362</v>
      </c>
      <c r="C4507" s="1" t="s">
        <v>2312</v>
      </c>
      <c r="D4507" s="1" t="s">
        <v>1998</v>
      </c>
      <c r="E4507" s="1"/>
      <c r="F4507" s="1" t="s">
        <v>11</v>
      </c>
      <c r="G4507">
        <v>110</v>
      </c>
      <c r="H4507">
        <v>125</v>
      </c>
      <c r="I4507" s="2"/>
      <c r="J4507" s="2">
        <v>45785</v>
      </c>
      <c r="K4507" s="2">
        <v>45786</v>
      </c>
    </row>
    <row r="4508" spans="1:11" x14ac:dyDescent="0.25">
      <c r="A4508" s="1" t="s">
        <v>761</v>
      </c>
      <c r="B4508" s="1" t="s">
        <v>1363</v>
      </c>
      <c r="C4508" s="1" t="s">
        <v>2313</v>
      </c>
      <c r="D4508" s="1" t="s">
        <v>1998</v>
      </c>
      <c r="E4508" s="1"/>
      <c r="F4508" s="1" t="s">
        <v>11</v>
      </c>
      <c r="G4508">
        <v>1</v>
      </c>
      <c r="H4508">
        <v>1</v>
      </c>
      <c r="I4508" s="2"/>
      <c r="J4508" s="2">
        <v>45785</v>
      </c>
      <c r="K4508" s="2">
        <v>45786</v>
      </c>
    </row>
    <row r="4509" spans="1:11" x14ac:dyDescent="0.25">
      <c r="A4509" s="1" t="s">
        <v>761</v>
      </c>
      <c r="B4509" s="1" t="s">
        <v>1234</v>
      </c>
      <c r="C4509" s="1" t="s">
        <v>2218</v>
      </c>
      <c r="D4509" s="1" t="s">
        <v>1998</v>
      </c>
      <c r="E4509" s="1"/>
      <c r="F4509" s="1" t="s">
        <v>11</v>
      </c>
      <c r="G4509">
        <v>1</v>
      </c>
      <c r="H4509">
        <v>1</v>
      </c>
      <c r="I4509" s="2"/>
      <c r="J4509" s="2">
        <v>45785</v>
      </c>
      <c r="K4509" s="2">
        <v>45786</v>
      </c>
    </row>
    <row r="4510" spans="1:11" x14ac:dyDescent="0.25">
      <c r="A4510" s="1" t="s">
        <v>761</v>
      </c>
      <c r="B4510" s="1" t="s">
        <v>1364</v>
      </c>
      <c r="C4510" s="1" t="s">
        <v>2314</v>
      </c>
      <c r="D4510" s="1" t="s">
        <v>1998</v>
      </c>
      <c r="E4510" s="1"/>
      <c r="F4510" s="1" t="s">
        <v>11</v>
      </c>
      <c r="G4510">
        <v>1</v>
      </c>
      <c r="H4510">
        <v>1</v>
      </c>
      <c r="I4510" s="2"/>
      <c r="J4510" s="2">
        <v>45785</v>
      </c>
      <c r="K4510" s="2">
        <v>45786</v>
      </c>
    </row>
    <row r="4511" spans="1:11" x14ac:dyDescent="0.25">
      <c r="A4511" s="1" t="s">
        <v>762</v>
      </c>
      <c r="B4511" s="1" t="s">
        <v>1252</v>
      </c>
      <c r="C4511" s="1" t="s">
        <v>2039</v>
      </c>
      <c r="D4511" s="1" t="s">
        <v>1998</v>
      </c>
      <c r="E4511" s="1"/>
      <c r="F4511" s="1" t="s">
        <v>11</v>
      </c>
      <c r="G4511">
        <v>150</v>
      </c>
      <c r="H4511">
        <v>150</v>
      </c>
      <c r="I4511" s="2"/>
      <c r="J4511" s="2">
        <v>45776</v>
      </c>
      <c r="K4511" s="2">
        <v>45776</v>
      </c>
    </row>
    <row r="4512" spans="1:11" x14ac:dyDescent="0.25">
      <c r="A4512" s="1" t="s">
        <v>762</v>
      </c>
      <c r="B4512" s="1" t="s">
        <v>1874</v>
      </c>
      <c r="C4512" s="1" t="s">
        <v>2722</v>
      </c>
      <c r="D4512" s="1" t="s">
        <v>1998</v>
      </c>
      <c r="E4512" s="1"/>
      <c r="F4512" s="1" t="s">
        <v>11</v>
      </c>
      <c r="G4512">
        <v>25</v>
      </c>
      <c r="H4512">
        <v>1</v>
      </c>
      <c r="I4512" s="2"/>
      <c r="J4512" s="2">
        <v>45776</v>
      </c>
      <c r="K4512" s="2">
        <v>45776</v>
      </c>
    </row>
    <row r="4513" spans="1:11" x14ac:dyDescent="0.25">
      <c r="A4513" s="1" t="s">
        <v>762</v>
      </c>
      <c r="B4513" s="1" t="s">
        <v>1254</v>
      </c>
      <c r="C4513" s="1" t="s">
        <v>2001</v>
      </c>
      <c r="D4513" s="1" t="s">
        <v>1998</v>
      </c>
      <c r="E4513" s="1"/>
      <c r="F4513" s="1" t="s">
        <v>11</v>
      </c>
      <c r="G4513">
        <v>65</v>
      </c>
      <c r="H4513">
        <v>65</v>
      </c>
      <c r="I4513" s="2"/>
      <c r="J4513" s="2">
        <v>45776</v>
      </c>
      <c r="K4513" s="2">
        <v>45776</v>
      </c>
    </row>
    <row r="4514" spans="1:11" x14ac:dyDescent="0.25">
      <c r="A4514" s="1" t="s">
        <v>763</v>
      </c>
      <c r="B4514" s="1" t="s">
        <v>1252</v>
      </c>
      <c r="C4514" s="1" t="s">
        <v>2039</v>
      </c>
      <c r="D4514" s="1" t="s">
        <v>1998</v>
      </c>
      <c r="E4514" s="1"/>
      <c r="F4514" s="1" t="s">
        <v>11</v>
      </c>
      <c r="G4514">
        <v>300</v>
      </c>
      <c r="H4514">
        <v>300</v>
      </c>
      <c r="I4514" s="2"/>
      <c r="J4514" s="2">
        <v>45776</v>
      </c>
      <c r="K4514" s="2">
        <v>45777</v>
      </c>
    </row>
    <row r="4515" spans="1:11" x14ac:dyDescent="0.25">
      <c r="A4515" s="1" t="s">
        <v>763</v>
      </c>
      <c r="B4515" s="1" t="s">
        <v>1875</v>
      </c>
      <c r="C4515" s="1" t="s">
        <v>2723</v>
      </c>
      <c r="D4515" s="1" t="s">
        <v>1998</v>
      </c>
      <c r="E4515" s="1"/>
      <c r="F4515" s="1" t="s">
        <v>11</v>
      </c>
      <c r="G4515">
        <v>55</v>
      </c>
      <c r="H4515">
        <v>1</v>
      </c>
      <c r="I4515" s="2"/>
      <c r="J4515" s="2">
        <v>45776</v>
      </c>
      <c r="K4515" s="2">
        <v>45777</v>
      </c>
    </row>
    <row r="4516" spans="1:11" x14ac:dyDescent="0.25">
      <c r="A4516" s="1" t="s">
        <v>763</v>
      </c>
      <c r="B4516" s="1" t="s">
        <v>1254</v>
      </c>
      <c r="C4516" s="1" t="s">
        <v>2001</v>
      </c>
      <c r="D4516" s="1" t="s">
        <v>1998</v>
      </c>
      <c r="E4516" s="1"/>
      <c r="F4516" s="1" t="s">
        <v>11</v>
      </c>
      <c r="G4516">
        <v>135</v>
      </c>
      <c r="H4516">
        <v>135</v>
      </c>
      <c r="I4516" s="2"/>
      <c r="J4516" s="2">
        <v>45776</v>
      </c>
      <c r="K4516" s="2">
        <v>45777</v>
      </c>
    </row>
    <row r="4517" spans="1:11" x14ac:dyDescent="0.25">
      <c r="A4517" s="1" t="s">
        <v>764</v>
      </c>
      <c r="B4517" s="1" t="s">
        <v>1841</v>
      </c>
      <c r="C4517" s="1" t="s">
        <v>2695</v>
      </c>
      <c r="D4517" s="1" t="s">
        <v>1998</v>
      </c>
      <c r="E4517" s="1"/>
      <c r="F4517" s="1" t="s">
        <v>11</v>
      </c>
      <c r="G4517">
        <v>1595</v>
      </c>
      <c r="H4517">
        <v>1595</v>
      </c>
      <c r="I4517" s="2"/>
      <c r="J4517" s="2">
        <v>45775</v>
      </c>
      <c r="K4517" s="2">
        <v>45789</v>
      </c>
    </row>
    <row r="4518" spans="1:11" x14ac:dyDescent="0.25">
      <c r="A4518" s="1" t="s">
        <v>764</v>
      </c>
      <c r="B4518" s="1" t="s">
        <v>1854</v>
      </c>
      <c r="C4518" s="1" t="s">
        <v>2705</v>
      </c>
      <c r="D4518" s="1" t="s">
        <v>1998</v>
      </c>
      <c r="E4518" s="1"/>
      <c r="F4518" s="1" t="s">
        <v>11</v>
      </c>
      <c r="G4518">
        <v>830</v>
      </c>
      <c r="H4518">
        <v>1</v>
      </c>
      <c r="I4518" s="2"/>
      <c r="J4518" s="2">
        <v>45775</v>
      </c>
      <c r="K4518" s="2">
        <v>45789</v>
      </c>
    </row>
    <row r="4519" spans="1:11" x14ac:dyDescent="0.25">
      <c r="A4519" s="1" t="s">
        <v>764</v>
      </c>
      <c r="B4519" s="1" t="s">
        <v>1027</v>
      </c>
      <c r="C4519" s="1" t="s">
        <v>2040</v>
      </c>
      <c r="D4519" s="1" t="s">
        <v>1998</v>
      </c>
      <c r="E4519" s="1"/>
      <c r="F4519" s="1" t="s">
        <v>11</v>
      </c>
      <c r="G4519">
        <v>75</v>
      </c>
      <c r="H4519">
        <v>1</v>
      </c>
      <c r="I4519" s="2"/>
      <c r="J4519" s="2">
        <v>45775</v>
      </c>
      <c r="K4519" s="2">
        <v>45789</v>
      </c>
    </row>
    <row r="4520" spans="1:11" x14ac:dyDescent="0.25">
      <c r="A4520" s="1" t="s">
        <v>764</v>
      </c>
      <c r="B4520" s="1" t="s">
        <v>1013</v>
      </c>
      <c r="C4520" s="1" t="s">
        <v>2030</v>
      </c>
      <c r="D4520" s="1" t="s">
        <v>1998</v>
      </c>
      <c r="E4520" s="1"/>
      <c r="F4520" s="1" t="s">
        <v>11</v>
      </c>
      <c r="G4520">
        <v>30</v>
      </c>
      <c r="H4520">
        <v>1</v>
      </c>
      <c r="I4520" s="2"/>
      <c r="J4520" s="2">
        <v>45775</v>
      </c>
      <c r="K4520" s="2">
        <v>45789</v>
      </c>
    </row>
    <row r="4521" spans="1:11" x14ac:dyDescent="0.25">
      <c r="A4521" s="1" t="s">
        <v>764</v>
      </c>
      <c r="B4521" s="1" t="s">
        <v>993</v>
      </c>
      <c r="C4521" s="1" t="s">
        <v>2011</v>
      </c>
      <c r="D4521" s="1" t="s">
        <v>1998</v>
      </c>
      <c r="E4521" s="1"/>
      <c r="F4521" s="1" t="s">
        <v>11</v>
      </c>
      <c r="G4521">
        <v>10</v>
      </c>
      <c r="H4521">
        <v>1</v>
      </c>
      <c r="I4521" s="2"/>
      <c r="J4521" s="2">
        <v>45775</v>
      </c>
      <c r="K4521" s="2">
        <v>45789</v>
      </c>
    </row>
    <row r="4522" spans="1:11" x14ac:dyDescent="0.25">
      <c r="A4522" s="1" t="s">
        <v>764</v>
      </c>
      <c r="B4522" s="1" t="s">
        <v>993</v>
      </c>
      <c r="C4522" s="1" t="s">
        <v>2011</v>
      </c>
      <c r="D4522" s="1" t="s">
        <v>1998</v>
      </c>
      <c r="E4522" s="1"/>
      <c r="F4522" s="1" t="s">
        <v>11</v>
      </c>
      <c r="G4522">
        <v>15</v>
      </c>
      <c r="H4522">
        <v>1</v>
      </c>
      <c r="I4522" s="2"/>
      <c r="J4522" s="2">
        <v>45775</v>
      </c>
      <c r="K4522" s="2">
        <v>45789</v>
      </c>
    </row>
    <row r="4523" spans="1:11" x14ac:dyDescent="0.25">
      <c r="A4523" s="1" t="s">
        <v>764</v>
      </c>
      <c r="B4523" s="1" t="s">
        <v>1876</v>
      </c>
      <c r="C4523" s="1" t="s">
        <v>2724</v>
      </c>
      <c r="D4523" s="1" t="s">
        <v>1998</v>
      </c>
      <c r="E4523" s="1"/>
      <c r="F4523" s="1" t="s">
        <v>11</v>
      </c>
      <c r="G4523">
        <v>1335</v>
      </c>
      <c r="H4523">
        <v>1335</v>
      </c>
      <c r="I4523" s="2"/>
      <c r="J4523" s="2">
        <v>45775</v>
      </c>
      <c r="K4523" s="2">
        <v>45789</v>
      </c>
    </row>
    <row r="4524" spans="1:11" x14ac:dyDescent="0.25">
      <c r="A4524" s="1" t="s">
        <v>765</v>
      </c>
      <c r="B4524" s="1" t="s">
        <v>1841</v>
      </c>
      <c r="C4524" s="1" t="s">
        <v>2695</v>
      </c>
      <c r="D4524" s="1" t="s">
        <v>1998</v>
      </c>
      <c r="E4524" s="1"/>
      <c r="F4524" s="1" t="s">
        <v>11</v>
      </c>
      <c r="G4524">
        <v>435</v>
      </c>
      <c r="H4524">
        <v>435</v>
      </c>
      <c r="I4524" s="2"/>
      <c r="J4524" s="2">
        <v>45775</v>
      </c>
      <c r="K4524" s="2">
        <v>45789</v>
      </c>
    </row>
    <row r="4525" spans="1:11" x14ac:dyDescent="0.25">
      <c r="A4525" s="1" t="s">
        <v>765</v>
      </c>
      <c r="B4525" s="1" t="s">
        <v>1877</v>
      </c>
      <c r="C4525" s="1" t="s">
        <v>2725</v>
      </c>
      <c r="D4525" s="1" t="s">
        <v>1998</v>
      </c>
      <c r="E4525" s="1"/>
      <c r="F4525" s="1" t="s">
        <v>11</v>
      </c>
      <c r="G4525">
        <v>250</v>
      </c>
      <c r="H4525">
        <v>1</v>
      </c>
      <c r="I4525" s="2"/>
      <c r="J4525" s="2">
        <v>45775</v>
      </c>
      <c r="K4525" s="2">
        <v>45789</v>
      </c>
    </row>
    <row r="4526" spans="1:11" x14ac:dyDescent="0.25">
      <c r="A4526" s="1" t="s">
        <v>765</v>
      </c>
      <c r="B4526" s="1" t="s">
        <v>1027</v>
      </c>
      <c r="C4526" s="1" t="s">
        <v>2040</v>
      </c>
      <c r="D4526" s="1" t="s">
        <v>1998</v>
      </c>
      <c r="E4526" s="1"/>
      <c r="F4526" s="1" t="s">
        <v>11</v>
      </c>
      <c r="G4526">
        <v>20</v>
      </c>
      <c r="H4526">
        <v>1</v>
      </c>
      <c r="I4526" s="2"/>
      <c r="J4526" s="2">
        <v>45775</v>
      </c>
      <c r="K4526" s="2">
        <v>45789</v>
      </c>
    </row>
    <row r="4527" spans="1:11" x14ac:dyDescent="0.25">
      <c r="A4527" s="1" t="s">
        <v>765</v>
      </c>
      <c r="B4527" s="1" t="s">
        <v>1013</v>
      </c>
      <c r="C4527" s="1" t="s">
        <v>2030</v>
      </c>
      <c r="D4527" s="1" t="s">
        <v>1998</v>
      </c>
      <c r="E4527" s="1"/>
      <c r="F4527" s="1" t="s">
        <v>11</v>
      </c>
      <c r="G4527">
        <v>10</v>
      </c>
      <c r="H4527">
        <v>1</v>
      </c>
      <c r="I4527" s="2"/>
      <c r="J4527" s="2">
        <v>45775</v>
      </c>
      <c r="K4527" s="2">
        <v>45789</v>
      </c>
    </row>
    <row r="4528" spans="1:11" x14ac:dyDescent="0.25">
      <c r="A4528" s="1" t="s">
        <v>765</v>
      </c>
      <c r="B4528" s="1" t="s">
        <v>993</v>
      </c>
      <c r="C4528" s="1" t="s">
        <v>2011</v>
      </c>
      <c r="D4528" s="1" t="s">
        <v>1998</v>
      </c>
      <c r="E4528" s="1"/>
      <c r="F4528" s="1" t="s">
        <v>11</v>
      </c>
      <c r="G4528">
        <v>5</v>
      </c>
      <c r="H4528">
        <v>1</v>
      </c>
      <c r="I4528" s="2"/>
      <c r="J4528" s="2">
        <v>45775</v>
      </c>
      <c r="K4528" s="2">
        <v>45789</v>
      </c>
    </row>
    <row r="4529" spans="1:11" x14ac:dyDescent="0.25">
      <c r="A4529" s="1" t="s">
        <v>765</v>
      </c>
      <c r="B4529" s="1" t="s">
        <v>993</v>
      </c>
      <c r="C4529" s="1" t="s">
        <v>2011</v>
      </c>
      <c r="D4529" s="1" t="s">
        <v>1998</v>
      </c>
      <c r="E4529" s="1"/>
      <c r="F4529" s="1" t="s">
        <v>11</v>
      </c>
      <c r="G4529">
        <v>5</v>
      </c>
      <c r="H4529">
        <v>1</v>
      </c>
      <c r="I4529" s="2"/>
      <c r="J4529" s="2">
        <v>45775</v>
      </c>
      <c r="K4529" s="2">
        <v>45789</v>
      </c>
    </row>
    <row r="4530" spans="1:11" x14ac:dyDescent="0.25">
      <c r="A4530" s="1" t="s">
        <v>765</v>
      </c>
      <c r="B4530" s="1" t="s">
        <v>1876</v>
      </c>
      <c r="C4530" s="1" t="s">
        <v>2724</v>
      </c>
      <c r="D4530" s="1" t="s">
        <v>1998</v>
      </c>
      <c r="E4530" s="1"/>
      <c r="F4530" s="1" t="s">
        <v>11</v>
      </c>
      <c r="G4530">
        <v>360</v>
      </c>
      <c r="H4530">
        <v>360</v>
      </c>
      <c r="I4530" s="2"/>
      <c r="J4530" s="2">
        <v>45775</v>
      </c>
      <c r="K4530" s="2">
        <v>45789</v>
      </c>
    </row>
    <row r="4531" spans="1:11" x14ac:dyDescent="0.25">
      <c r="A4531" s="1" t="s">
        <v>766</v>
      </c>
      <c r="B4531" s="1" t="s">
        <v>1451</v>
      </c>
      <c r="C4531" s="1" t="s">
        <v>2165</v>
      </c>
      <c r="D4531" s="1" t="s">
        <v>1998</v>
      </c>
      <c r="E4531" s="1"/>
      <c r="F4531" s="1" t="s">
        <v>11</v>
      </c>
      <c r="G4531">
        <v>1480</v>
      </c>
      <c r="H4531">
        <v>1500</v>
      </c>
      <c r="I4531" s="2"/>
      <c r="J4531" s="2">
        <v>45775</v>
      </c>
      <c r="K4531" s="2">
        <v>45784</v>
      </c>
    </row>
    <row r="4532" spans="1:11" x14ac:dyDescent="0.25">
      <c r="A4532" s="1" t="s">
        <v>766</v>
      </c>
      <c r="B4532" s="1" t="s">
        <v>1452</v>
      </c>
      <c r="C4532" s="1" t="s">
        <v>2389</v>
      </c>
      <c r="D4532" s="1" t="s">
        <v>1998</v>
      </c>
      <c r="E4532" s="1"/>
      <c r="F4532" s="1" t="s">
        <v>11</v>
      </c>
      <c r="G4532">
        <v>2025</v>
      </c>
      <c r="H4532">
        <v>2050</v>
      </c>
      <c r="I4532" s="2"/>
      <c r="J4532" s="2">
        <v>45775</v>
      </c>
      <c r="K4532" s="2">
        <v>45784</v>
      </c>
    </row>
    <row r="4533" spans="1:11" x14ac:dyDescent="0.25">
      <c r="A4533" s="1" t="s">
        <v>766</v>
      </c>
      <c r="B4533" s="1" t="s">
        <v>1453</v>
      </c>
      <c r="C4533" s="1" t="s">
        <v>2390</v>
      </c>
      <c r="D4533" s="1" t="s">
        <v>1998</v>
      </c>
      <c r="E4533" s="1"/>
      <c r="F4533" s="1" t="s">
        <v>11</v>
      </c>
      <c r="G4533">
        <v>215</v>
      </c>
      <c r="H4533">
        <v>220</v>
      </c>
      <c r="I4533" s="2"/>
      <c r="J4533" s="2">
        <v>45775</v>
      </c>
      <c r="K4533" s="2">
        <v>45784</v>
      </c>
    </row>
    <row r="4534" spans="1:11" x14ac:dyDescent="0.25">
      <c r="A4534" s="1" t="s">
        <v>766</v>
      </c>
      <c r="B4534" s="1" t="s">
        <v>1555</v>
      </c>
      <c r="C4534" s="1" t="s">
        <v>2481</v>
      </c>
      <c r="D4534" s="1" t="s">
        <v>1998</v>
      </c>
      <c r="E4534" s="1"/>
      <c r="F4534" s="1" t="s">
        <v>11</v>
      </c>
      <c r="G4534">
        <v>30</v>
      </c>
      <c r="H4534">
        <v>35</v>
      </c>
      <c r="I4534" s="2"/>
      <c r="J4534" s="2">
        <v>45775</v>
      </c>
      <c r="K4534" s="2">
        <v>45784</v>
      </c>
    </row>
    <row r="4535" spans="1:11" x14ac:dyDescent="0.25">
      <c r="A4535" s="1" t="s">
        <v>767</v>
      </c>
      <c r="B4535" s="1" t="s">
        <v>1033</v>
      </c>
      <c r="C4535" s="1" t="s">
        <v>2046</v>
      </c>
      <c r="D4535" s="1" t="s">
        <v>1998</v>
      </c>
      <c r="E4535" s="1"/>
      <c r="F4535" s="1" t="s">
        <v>11</v>
      </c>
      <c r="G4535">
        <v>110</v>
      </c>
      <c r="H4535">
        <v>1</v>
      </c>
      <c r="I4535" s="2"/>
      <c r="J4535" s="2">
        <v>45776</v>
      </c>
      <c r="K4535" s="2">
        <v>45789</v>
      </c>
    </row>
    <row r="4536" spans="1:11" x14ac:dyDescent="0.25">
      <c r="A4536" s="1" t="s">
        <v>767</v>
      </c>
      <c r="B4536" s="1" t="s">
        <v>1034</v>
      </c>
      <c r="C4536" s="1" t="s">
        <v>2047</v>
      </c>
      <c r="D4536" s="1" t="s">
        <v>1998</v>
      </c>
      <c r="E4536" s="1"/>
      <c r="F4536" s="1" t="s">
        <v>11</v>
      </c>
      <c r="G4536">
        <v>255</v>
      </c>
      <c r="H4536">
        <v>1</v>
      </c>
      <c r="I4536" s="2"/>
      <c r="J4536" s="2">
        <v>45776</v>
      </c>
      <c r="K4536" s="2">
        <v>45789</v>
      </c>
    </row>
    <row r="4537" spans="1:11" x14ac:dyDescent="0.25">
      <c r="A4537" s="1" t="s">
        <v>767</v>
      </c>
      <c r="B4537" s="1" t="s">
        <v>1549</v>
      </c>
      <c r="C4537" s="1" t="s">
        <v>2475</v>
      </c>
      <c r="D4537" s="1" t="s">
        <v>1998</v>
      </c>
      <c r="E4537" s="1"/>
      <c r="F4537" s="1" t="s">
        <v>11</v>
      </c>
      <c r="G4537">
        <v>1010</v>
      </c>
      <c r="H4537">
        <v>1010</v>
      </c>
      <c r="I4537" s="2"/>
      <c r="J4537" s="2">
        <v>45776</v>
      </c>
      <c r="K4537" s="2">
        <v>45789</v>
      </c>
    </row>
    <row r="4538" spans="1:11" x14ac:dyDescent="0.25">
      <c r="A4538" s="1" t="s">
        <v>767</v>
      </c>
      <c r="B4538" s="1" t="s">
        <v>1550</v>
      </c>
      <c r="C4538" s="1" t="s">
        <v>2476</v>
      </c>
      <c r="D4538" s="1" t="s">
        <v>1998</v>
      </c>
      <c r="E4538" s="1"/>
      <c r="F4538" s="1" t="s">
        <v>11</v>
      </c>
      <c r="G4538">
        <v>590</v>
      </c>
      <c r="H4538">
        <v>630</v>
      </c>
      <c r="I4538" s="2"/>
      <c r="J4538" s="2">
        <v>45776</v>
      </c>
      <c r="K4538" s="2">
        <v>45789</v>
      </c>
    </row>
    <row r="4539" spans="1:11" x14ac:dyDescent="0.25">
      <c r="A4539" s="1" t="s">
        <v>767</v>
      </c>
      <c r="B4539" s="1" t="s">
        <v>1551</v>
      </c>
      <c r="C4539" s="1" t="s">
        <v>2477</v>
      </c>
      <c r="D4539" s="1" t="s">
        <v>1998</v>
      </c>
      <c r="E4539" s="1"/>
      <c r="F4539" s="1" t="s">
        <v>11</v>
      </c>
      <c r="G4539">
        <v>1180</v>
      </c>
      <c r="H4539">
        <v>1180</v>
      </c>
      <c r="I4539" s="2"/>
      <c r="J4539" s="2">
        <v>45776</v>
      </c>
      <c r="K4539" s="2">
        <v>45789</v>
      </c>
    </row>
    <row r="4540" spans="1:11" x14ac:dyDescent="0.25">
      <c r="A4540" s="1" t="s">
        <v>767</v>
      </c>
      <c r="B4540" s="1" t="s">
        <v>1191</v>
      </c>
      <c r="C4540" s="1" t="s">
        <v>2182</v>
      </c>
      <c r="D4540" s="1" t="s">
        <v>1998</v>
      </c>
      <c r="E4540" s="1"/>
      <c r="F4540" s="1" t="s">
        <v>11</v>
      </c>
      <c r="G4540">
        <v>10</v>
      </c>
      <c r="H4540">
        <v>1</v>
      </c>
      <c r="I4540" s="2"/>
      <c r="J4540" s="2">
        <v>45776</v>
      </c>
      <c r="K4540" s="2">
        <v>45789</v>
      </c>
    </row>
    <row r="4541" spans="1:11" x14ac:dyDescent="0.25">
      <c r="A4541" s="1" t="s">
        <v>767</v>
      </c>
      <c r="B4541" s="1" t="s">
        <v>1192</v>
      </c>
      <c r="C4541" s="1" t="s">
        <v>2183</v>
      </c>
      <c r="D4541" s="1" t="s">
        <v>1998</v>
      </c>
      <c r="E4541" s="1"/>
      <c r="F4541" s="1" t="s">
        <v>11</v>
      </c>
      <c r="G4541">
        <v>10</v>
      </c>
      <c r="H4541">
        <v>1</v>
      </c>
      <c r="I4541" s="2"/>
      <c r="J4541" s="2">
        <v>45776</v>
      </c>
      <c r="K4541" s="2">
        <v>45789</v>
      </c>
    </row>
    <row r="4542" spans="1:11" x14ac:dyDescent="0.25">
      <c r="A4542" s="1" t="s">
        <v>767</v>
      </c>
      <c r="B4542" s="1" t="s">
        <v>1552</v>
      </c>
      <c r="C4542" s="1" t="s">
        <v>2478</v>
      </c>
      <c r="D4542" s="1" t="s">
        <v>1998</v>
      </c>
      <c r="E4542" s="1"/>
      <c r="F4542" s="1" t="s">
        <v>11</v>
      </c>
      <c r="G4542">
        <v>40</v>
      </c>
      <c r="H4542">
        <v>1</v>
      </c>
      <c r="I4542" s="2"/>
      <c r="J4542" s="2">
        <v>45776</v>
      </c>
      <c r="K4542" s="2">
        <v>45789</v>
      </c>
    </row>
    <row r="4543" spans="1:11" x14ac:dyDescent="0.25">
      <c r="A4543" s="1" t="s">
        <v>767</v>
      </c>
      <c r="B4543" s="1" t="s">
        <v>1040</v>
      </c>
      <c r="C4543" s="1" t="s">
        <v>2050</v>
      </c>
      <c r="D4543" s="1" t="s">
        <v>1998</v>
      </c>
      <c r="E4543" s="1"/>
      <c r="F4543" s="1" t="s">
        <v>11</v>
      </c>
      <c r="G4543">
        <v>40</v>
      </c>
      <c r="H4543">
        <v>1</v>
      </c>
      <c r="I4543" s="2"/>
      <c r="J4543" s="2">
        <v>45776</v>
      </c>
      <c r="K4543" s="2">
        <v>45789</v>
      </c>
    </row>
    <row r="4544" spans="1:11" x14ac:dyDescent="0.25">
      <c r="A4544" s="1" t="s">
        <v>767</v>
      </c>
      <c r="B4544" s="1" t="s">
        <v>1027</v>
      </c>
      <c r="C4544" s="1" t="s">
        <v>2040</v>
      </c>
      <c r="D4544" s="1" t="s">
        <v>1998</v>
      </c>
      <c r="E4544" s="1"/>
      <c r="F4544" s="1" t="s">
        <v>11</v>
      </c>
      <c r="G4544">
        <v>115</v>
      </c>
      <c r="H4544">
        <v>235</v>
      </c>
      <c r="I4544" s="2"/>
      <c r="J4544" s="2">
        <v>45776</v>
      </c>
      <c r="K4544" s="2">
        <v>45789</v>
      </c>
    </row>
    <row r="4545" spans="1:11" x14ac:dyDescent="0.25">
      <c r="A4545" s="1" t="s">
        <v>767</v>
      </c>
      <c r="B4545" s="1" t="s">
        <v>1013</v>
      </c>
      <c r="C4545" s="1" t="s">
        <v>2030</v>
      </c>
      <c r="D4545" s="1" t="s">
        <v>1998</v>
      </c>
      <c r="E4545" s="1"/>
      <c r="F4545" s="1" t="s">
        <v>11</v>
      </c>
      <c r="G4545">
        <v>20</v>
      </c>
      <c r="H4545">
        <v>40</v>
      </c>
      <c r="I4545" s="2"/>
      <c r="J4545" s="2">
        <v>45776</v>
      </c>
      <c r="K4545" s="2">
        <v>45789</v>
      </c>
    </row>
    <row r="4546" spans="1:11" x14ac:dyDescent="0.25">
      <c r="A4546" s="1" t="s">
        <v>767</v>
      </c>
      <c r="B4546" s="1" t="s">
        <v>993</v>
      </c>
      <c r="C4546" s="1" t="s">
        <v>2011</v>
      </c>
      <c r="D4546" s="1" t="s">
        <v>1998</v>
      </c>
      <c r="E4546" s="1"/>
      <c r="F4546" s="1" t="s">
        <v>11</v>
      </c>
      <c r="G4546">
        <v>5</v>
      </c>
      <c r="H4546">
        <v>5</v>
      </c>
      <c r="I4546" s="2"/>
      <c r="J4546" s="2">
        <v>45776</v>
      </c>
      <c r="K4546" s="2">
        <v>45789</v>
      </c>
    </row>
    <row r="4547" spans="1:11" x14ac:dyDescent="0.25">
      <c r="A4547" s="1" t="s">
        <v>767</v>
      </c>
      <c r="B4547" s="1" t="s">
        <v>993</v>
      </c>
      <c r="C4547" s="1" t="s">
        <v>2011</v>
      </c>
      <c r="D4547" s="1" t="s">
        <v>1998</v>
      </c>
      <c r="E4547" s="1"/>
      <c r="F4547" s="1" t="s">
        <v>11</v>
      </c>
      <c r="G4547">
        <v>20</v>
      </c>
      <c r="H4547">
        <v>45</v>
      </c>
      <c r="I4547" s="2"/>
      <c r="J4547" s="2">
        <v>45776</v>
      </c>
      <c r="K4547" s="2">
        <v>45789</v>
      </c>
    </row>
    <row r="4548" spans="1:11" x14ac:dyDescent="0.25">
      <c r="A4548" s="1" t="s">
        <v>768</v>
      </c>
      <c r="B4548" s="1" t="s">
        <v>1878</v>
      </c>
      <c r="C4548" s="1" t="s">
        <v>2726</v>
      </c>
      <c r="D4548" s="1" t="s">
        <v>1998</v>
      </c>
      <c r="E4548" s="1"/>
      <c r="F4548" s="1" t="s">
        <v>11</v>
      </c>
      <c r="G4548">
        <v>5035</v>
      </c>
      <c r="H4548">
        <v>1</v>
      </c>
      <c r="I4548" s="2"/>
      <c r="J4548" s="2">
        <v>45775</v>
      </c>
      <c r="K4548" s="2">
        <v>45775</v>
      </c>
    </row>
    <row r="4549" spans="1:11" x14ac:dyDescent="0.25">
      <c r="A4549" s="1" t="s">
        <v>768</v>
      </c>
      <c r="B4549" s="1" t="s">
        <v>1879</v>
      </c>
      <c r="C4549" s="1" t="s">
        <v>2727</v>
      </c>
      <c r="D4549" s="1" t="s">
        <v>1998</v>
      </c>
      <c r="E4549" s="1"/>
      <c r="F4549" s="1" t="s">
        <v>11</v>
      </c>
      <c r="G4549">
        <v>2470</v>
      </c>
      <c r="H4549">
        <v>1</v>
      </c>
      <c r="I4549" s="2"/>
      <c r="J4549" s="2">
        <v>45775</v>
      </c>
      <c r="K4549" s="2">
        <v>45775</v>
      </c>
    </row>
    <row r="4550" spans="1:11" x14ac:dyDescent="0.25">
      <c r="A4550" s="1" t="s">
        <v>768</v>
      </c>
      <c r="B4550" s="1" t="s">
        <v>1880</v>
      </c>
      <c r="C4550" s="1" t="s">
        <v>2728</v>
      </c>
      <c r="D4550" s="1" t="s">
        <v>1998</v>
      </c>
      <c r="E4550" s="1"/>
      <c r="F4550" s="1" t="s">
        <v>11</v>
      </c>
      <c r="G4550">
        <v>5230</v>
      </c>
      <c r="H4550">
        <v>5230</v>
      </c>
      <c r="I4550" s="2"/>
      <c r="J4550" s="2">
        <v>45775</v>
      </c>
      <c r="K4550" s="2">
        <v>45775</v>
      </c>
    </row>
    <row r="4551" spans="1:11" x14ac:dyDescent="0.25">
      <c r="A4551" s="1" t="s">
        <v>769</v>
      </c>
      <c r="B4551" s="1" t="s">
        <v>1881</v>
      </c>
      <c r="C4551" s="1" t="s">
        <v>2729</v>
      </c>
      <c r="D4551" s="1" t="s">
        <v>1998</v>
      </c>
      <c r="E4551" s="1"/>
      <c r="F4551" s="1" t="s">
        <v>11</v>
      </c>
      <c r="G4551">
        <v>1395</v>
      </c>
      <c r="H4551">
        <v>1395</v>
      </c>
      <c r="I4551" s="2"/>
      <c r="J4551" s="2">
        <v>45776</v>
      </c>
      <c r="K4551" s="2">
        <v>45785</v>
      </c>
    </row>
    <row r="4552" spans="1:11" x14ac:dyDescent="0.25">
      <c r="A4552" s="1" t="s">
        <v>769</v>
      </c>
      <c r="B4552" s="1" t="s">
        <v>1882</v>
      </c>
      <c r="C4552" s="1" t="s">
        <v>2730</v>
      </c>
      <c r="D4552" s="1" t="s">
        <v>1998</v>
      </c>
      <c r="E4552" s="1"/>
      <c r="F4552" s="1" t="s">
        <v>11</v>
      </c>
      <c r="G4552">
        <v>140</v>
      </c>
      <c r="H4552">
        <v>140</v>
      </c>
      <c r="I4552" s="2"/>
      <c r="J4552" s="2">
        <v>45776</v>
      </c>
      <c r="K4552" s="2">
        <v>45785</v>
      </c>
    </row>
    <row r="4553" spans="1:11" x14ac:dyDescent="0.25">
      <c r="A4553" s="1" t="s">
        <v>770</v>
      </c>
      <c r="B4553" s="1" t="s">
        <v>1368</v>
      </c>
      <c r="C4553" s="1" t="s">
        <v>2318</v>
      </c>
      <c r="D4553" s="1" t="s">
        <v>1998</v>
      </c>
      <c r="E4553" s="1"/>
      <c r="F4553" s="1" t="s">
        <v>11</v>
      </c>
      <c r="G4553">
        <v>1025</v>
      </c>
      <c r="H4553">
        <v>1025</v>
      </c>
      <c r="I4553" s="2"/>
      <c r="J4553" s="2">
        <v>45776</v>
      </c>
      <c r="K4553" s="2">
        <v>45784</v>
      </c>
    </row>
    <row r="4554" spans="1:11" x14ac:dyDescent="0.25">
      <c r="A4554" s="1" t="s">
        <v>770</v>
      </c>
      <c r="B4554" s="1" t="s">
        <v>1267</v>
      </c>
      <c r="C4554" s="1" t="s">
        <v>2244</v>
      </c>
      <c r="D4554" s="1" t="s">
        <v>1998</v>
      </c>
      <c r="E4554" s="1"/>
      <c r="F4554" s="1" t="s">
        <v>11</v>
      </c>
      <c r="G4554">
        <v>5</v>
      </c>
      <c r="H4554">
        <v>5</v>
      </c>
      <c r="I4554" s="2"/>
      <c r="J4554" s="2">
        <v>45776</v>
      </c>
      <c r="K4554" s="2">
        <v>45784</v>
      </c>
    </row>
    <row r="4555" spans="1:11" x14ac:dyDescent="0.25">
      <c r="A4555" s="1" t="s">
        <v>771</v>
      </c>
      <c r="B4555" s="1" t="s">
        <v>1368</v>
      </c>
      <c r="C4555" s="1" t="s">
        <v>2318</v>
      </c>
      <c r="D4555" s="1" t="s">
        <v>1998</v>
      </c>
      <c r="E4555" s="1"/>
      <c r="F4555" s="1" t="s">
        <v>11</v>
      </c>
      <c r="G4555">
        <v>400</v>
      </c>
      <c r="H4555">
        <v>400</v>
      </c>
      <c r="I4555" s="2"/>
      <c r="J4555" s="2">
        <v>45776</v>
      </c>
      <c r="K4555" s="2">
        <v>45784</v>
      </c>
    </row>
    <row r="4556" spans="1:11" x14ac:dyDescent="0.25">
      <c r="A4556" s="1" t="s">
        <v>771</v>
      </c>
      <c r="B4556" s="1" t="s">
        <v>1267</v>
      </c>
      <c r="C4556" s="1" t="s">
        <v>2244</v>
      </c>
      <c r="D4556" s="1" t="s">
        <v>1998</v>
      </c>
      <c r="E4556" s="1"/>
      <c r="F4556" s="1" t="s">
        <v>11</v>
      </c>
      <c r="G4556">
        <v>1</v>
      </c>
      <c r="H4556">
        <v>1</v>
      </c>
      <c r="I4556" s="2"/>
      <c r="J4556" s="2">
        <v>45776</v>
      </c>
      <c r="K4556" s="2">
        <v>45784</v>
      </c>
    </row>
    <row r="4557" spans="1:11" x14ac:dyDescent="0.25">
      <c r="A4557" s="1" t="s">
        <v>772</v>
      </c>
      <c r="B4557" s="1" t="s">
        <v>1811</v>
      </c>
      <c r="C4557" s="1" t="s">
        <v>2671</v>
      </c>
      <c r="D4557" s="1" t="s">
        <v>1998</v>
      </c>
      <c r="E4557" s="1"/>
      <c r="F4557" s="1" t="s">
        <v>11</v>
      </c>
      <c r="G4557">
        <v>10</v>
      </c>
      <c r="H4557">
        <v>10</v>
      </c>
      <c r="I4557" s="2">
        <v>45780</v>
      </c>
      <c r="J4557" s="2">
        <v>45776</v>
      </c>
      <c r="K4557" s="2">
        <v>45780</v>
      </c>
    </row>
    <row r="4558" spans="1:11" x14ac:dyDescent="0.25">
      <c r="A4558" s="1" t="s">
        <v>772</v>
      </c>
      <c r="B4558" s="1" t="s">
        <v>1812</v>
      </c>
      <c r="C4558" s="1" t="s">
        <v>2672</v>
      </c>
      <c r="D4558" s="1" t="s">
        <v>1998</v>
      </c>
      <c r="E4558" s="1"/>
      <c r="F4558" s="1" t="s">
        <v>11</v>
      </c>
      <c r="G4558">
        <v>5</v>
      </c>
      <c r="H4558">
        <v>5</v>
      </c>
      <c r="I4558" s="2">
        <v>45780</v>
      </c>
      <c r="J4558" s="2">
        <v>45776</v>
      </c>
      <c r="K4558" s="2">
        <v>45780</v>
      </c>
    </row>
    <row r="4559" spans="1:11" x14ac:dyDescent="0.25">
      <c r="A4559" s="1" t="s">
        <v>772</v>
      </c>
      <c r="B4559" s="1" t="s">
        <v>1813</v>
      </c>
      <c r="C4559" s="1" t="s">
        <v>2673</v>
      </c>
      <c r="D4559" s="1" t="s">
        <v>1998</v>
      </c>
      <c r="E4559" s="1"/>
      <c r="F4559" s="1" t="s">
        <v>11</v>
      </c>
      <c r="G4559">
        <v>20</v>
      </c>
      <c r="H4559">
        <v>20</v>
      </c>
      <c r="I4559" s="2">
        <v>45780</v>
      </c>
      <c r="J4559" s="2">
        <v>45776</v>
      </c>
      <c r="K4559" s="2">
        <v>45780</v>
      </c>
    </row>
    <row r="4560" spans="1:11" x14ac:dyDescent="0.25">
      <c r="A4560" s="1" t="s">
        <v>772</v>
      </c>
      <c r="B4560" s="1" t="s">
        <v>1814</v>
      </c>
      <c r="C4560" s="1" t="s">
        <v>2674</v>
      </c>
      <c r="D4560" s="1" t="s">
        <v>1998</v>
      </c>
      <c r="E4560" s="1"/>
      <c r="F4560" s="1" t="s">
        <v>11</v>
      </c>
      <c r="G4560">
        <v>5</v>
      </c>
      <c r="H4560">
        <v>5</v>
      </c>
      <c r="I4560" s="2">
        <v>45780</v>
      </c>
      <c r="J4560" s="2">
        <v>45776</v>
      </c>
      <c r="K4560" s="2">
        <v>45780</v>
      </c>
    </row>
    <row r="4561" spans="1:11" x14ac:dyDescent="0.25">
      <c r="A4561" s="1" t="s">
        <v>772</v>
      </c>
      <c r="B4561" s="1" t="s">
        <v>1815</v>
      </c>
      <c r="C4561" s="1" t="s">
        <v>2675</v>
      </c>
      <c r="D4561" s="1" t="s">
        <v>1998</v>
      </c>
      <c r="E4561" s="1"/>
      <c r="F4561" s="1" t="s">
        <v>11</v>
      </c>
      <c r="G4561">
        <v>10</v>
      </c>
      <c r="H4561">
        <v>10</v>
      </c>
      <c r="I4561" s="2">
        <v>45780</v>
      </c>
      <c r="J4561" s="2">
        <v>45776</v>
      </c>
      <c r="K4561" s="2">
        <v>45780</v>
      </c>
    </row>
    <row r="4562" spans="1:11" x14ac:dyDescent="0.25">
      <c r="A4562" s="1" t="s">
        <v>772</v>
      </c>
      <c r="B4562" s="1" t="s">
        <v>1816</v>
      </c>
      <c r="C4562" s="1" t="s">
        <v>2731</v>
      </c>
      <c r="D4562" s="1" t="s">
        <v>1998</v>
      </c>
      <c r="E4562" s="1"/>
      <c r="F4562" s="1" t="s">
        <v>11</v>
      </c>
      <c r="G4562">
        <v>5</v>
      </c>
      <c r="H4562">
        <v>5</v>
      </c>
      <c r="I4562" s="2">
        <v>45780</v>
      </c>
      <c r="J4562" s="2">
        <v>45776</v>
      </c>
      <c r="K4562" s="2">
        <v>45780</v>
      </c>
    </row>
    <row r="4563" spans="1:11" x14ac:dyDescent="0.25">
      <c r="A4563" s="1" t="s">
        <v>772</v>
      </c>
      <c r="B4563" s="1" t="s">
        <v>1817</v>
      </c>
      <c r="C4563" s="1" t="s">
        <v>2677</v>
      </c>
      <c r="D4563" s="1" t="s">
        <v>1998</v>
      </c>
      <c r="E4563" s="1"/>
      <c r="F4563" s="1" t="s">
        <v>11</v>
      </c>
      <c r="G4563">
        <v>12425</v>
      </c>
      <c r="H4563">
        <v>12425</v>
      </c>
      <c r="I4563" s="2">
        <v>45780</v>
      </c>
      <c r="J4563" s="2">
        <v>45776</v>
      </c>
      <c r="K4563" s="2">
        <v>45780</v>
      </c>
    </row>
    <row r="4564" spans="1:11" x14ac:dyDescent="0.25">
      <c r="A4564" s="1" t="s">
        <v>772</v>
      </c>
      <c r="B4564" s="1" t="s">
        <v>1818</v>
      </c>
      <c r="C4564" s="1" t="s">
        <v>2678</v>
      </c>
      <c r="D4564" s="1" t="s">
        <v>1998</v>
      </c>
      <c r="E4564" s="1"/>
      <c r="F4564" s="1" t="s">
        <v>11</v>
      </c>
      <c r="G4564">
        <v>405</v>
      </c>
      <c r="H4564">
        <v>405</v>
      </c>
      <c r="I4564" s="2">
        <v>45780</v>
      </c>
      <c r="J4564" s="2">
        <v>45776</v>
      </c>
      <c r="K4564" s="2">
        <v>45780</v>
      </c>
    </row>
    <row r="4565" spans="1:11" x14ac:dyDescent="0.25">
      <c r="A4565" s="1" t="s">
        <v>772</v>
      </c>
      <c r="B4565" s="1" t="s">
        <v>1819</v>
      </c>
      <c r="C4565" s="1" t="s">
        <v>2679</v>
      </c>
      <c r="D4565" s="1" t="s">
        <v>1998</v>
      </c>
      <c r="E4565" s="1"/>
      <c r="F4565" s="1" t="s">
        <v>11</v>
      </c>
      <c r="G4565">
        <v>135</v>
      </c>
      <c r="H4565">
        <v>135</v>
      </c>
      <c r="I4565" s="2">
        <v>45780</v>
      </c>
      <c r="J4565" s="2">
        <v>45776</v>
      </c>
      <c r="K4565" s="2">
        <v>45780</v>
      </c>
    </row>
    <row r="4566" spans="1:11" x14ac:dyDescent="0.25">
      <c r="A4566" s="1" t="s">
        <v>772</v>
      </c>
      <c r="B4566" s="1" t="s">
        <v>1820</v>
      </c>
      <c r="C4566" s="1" t="s">
        <v>2596</v>
      </c>
      <c r="D4566" s="1" t="s">
        <v>1998</v>
      </c>
      <c r="E4566" s="1"/>
      <c r="F4566" s="1" t="s">
        <v>11</v>
      </c>
      <c r="G4566">
        <v>2115</v>
      </c>
      <c r="H4566">
        <v>2115</v>
      </c>
      <c r="I4566" s="2">
        <v>45780</v>
      </c>
      <c r="J4566" s="2">
        <v>45776</v>
      </c>
      <c r="K4566" s="2">
        <v>45780</v>
      </c>
    </row>
    <row r="4567" spans="1:11" x14ac:dyDescent="0.25">
      <c r="A4567" s="1" t="s">
        <v>772</v>
      </c>
      <c r="B4567" s="1" t="s">
        <v>1821</v>
      </c>
      <c r="C4567" s="1" t="s">
        <v>2640</v>
      </c>
      <c r="D4567" s="1" t="s">
        <v>1998</v>
      </c>
      <c r="E4567" s="1"/>
      <c r="F4567" s="1" t="s">
        <v>11</v>
      </c>
      <c r="G4567">
        <v>5700</v>
      </c>
      <c r="H4567">
        <v>5700</v>
      </c>
      <c r="I4567" s="2">
        <v>45780</v>
      </c>
      <c r="J4567" s="2">
        <v>45776</v>
      </c>
      <c r="K4567" s="2">
        <v>45780</v>
      </c>
    </row>
    <row r="4568" spans="1:11" x14ac:dyDescent="0.25">
      <c r="A4568" s="1" t="s">
        <v>772</v>
      </c>
      <c r="B4568" s="1" t="s">
        <v>1822</v>
      </c>
      <c r="C4568" s="1" t="s">
        <v>2680</v>
      </c>
      <c r="D4568" s="1" t="s">
        <v>1998</v>
      </c>
      <c r="E4568" s="1"/>
      <c r="F4568" s="1" t="s">
        <v>11</v>
      </c>
      <c r="G4568">
        <v>10</v>
      </c>
      <c r="H4568">
        <v>10</v>
      </c>
      <c r="I4568" s="2">
        <v>45780</v>
      </c>
      <c r="J4568" s="2">
        <v>45776</v>
      </c>
      <c r="K4568" s="2">
        <v>45780</v>
      </c>
    </row>
    <row r="4569" spans="1:11" x14ac:dyDescent="0.25">
      <c r="A4569" s="1" t="s">
        <v>772</v>
      </c>
      <c r="B4569" s="1" t="s">
        <v>1823</v>
      </c>
      <c r="C4569" s="1" t="s">
        <v>2681</v>
      </c>
      <c r="D4569" s="1" t="s">
        <v>1998</v>
      </c>
      <c r="E4569" s="1"/>
      <c r="F4569" s="1" t="s">
        <v>11</v>
      </c>
      <c r="G4569">
        <v>50</v>
      </c>
      <c r="H4569">
        <v>50</v>
      </c>
      <c r="I4569" s="2">
        <v>45780</v>
      </c>
      <c r="J4569" s="2">
        <v>45776</v>
      </c>
      <c r="K4569" s="2">
        <v>45780</v>
      </c>
    </row>
    <row r="4570" spans="1:11" x14ac:dyDescent="0.25">
      <c r="A4570" s="1" t="s">
        <v>772</v>
      </c>
      <c r="B4570" s="1" t="s">
        <v>1824</v>
      </c>
      <c r="C4570" s="1" t="s">
        <v>2682</v>
      </c>
      <c r="D4570" s="1" t="s">
        <v>1998</v>
      </c>
      <c r="E4570" s="1"/>
      <c r="F4570" s="1" t="s">
        <v>11</v>
      </c>
      <c r="G4570">
        <v>1</v>
      </c>
      <c r="H4570">
        <v>1</v>
      </c>
      <c r="I4570" s="2">
        <v>45780</v>
      </c>
      <c r="J4570" s="2">
        <v>45776</v>
      </c>
      <c r="K4570" s="2">
        <v>45780</v>
      </c>
    </row>
    <row r="4571" spans="1:11" x14ac:dyDescent="0.25">
      <c r="A4571" s="1" t="s">
        <v>773</v>
      </c>
      <c r="B4571" s="1" t="s">
        <v>1699</v>
      </c>
      <c r="C4571" s="1" t="s">
        <v>2596</v>
      </c>
      <c r="D4571" s="1" t="s">
        <v>1998</v>
      </c>
      <c r="E4571" s="1"/>
      <c r="F4571" s="1" t="s">
        <v>11</v>
      </c>
      <c r="G4571">
        <v>1785</v>
      </c>
      <c r="H4571">
        <v>1785</v>
      </c>
      <c r="I4571" s="2">
        <v>45780</v>
      </c>
      <c r="J4571" s="2">
        <v>45775</v>
      </c>
      <c r="K4571" s="2">
        <v>45780</v>
      </c>
    </row>
    <row r="4572" spans="1:11" x14ac:dyDescent="0.25">
      <c r="A4572" s="1" t="s">
        <v>773</v>
      </c>
      <c r="B4572" s="1" t="s">
        <v>1492</v>
      </c>
      <c r="C4572" s="1" t="s">
        <v>2429</v>
      </c>
      <c r="D4572" s="1" t="s">
        <v>1998</v>
      </c>
      <c r="E4572" s="1"/>
      <c r="F4572" s="1" t="s">
        <v>11</v>
      </c>
      <c r="G4572">
        <v>5</v>
      </c>
      <c r="H4572">
        <v>5</v>
      </c>
      <c r="I4572" s="2">
        <v>45780</v>
      </c>
      <c r="J4572" s="2">
        <v>45775</v>
      </c>
      <c r="K4572" s="2">
        <v>45780</v>
      </c>
    </row>
    <row r="4573" spans="1:11" x14ac:dyDescent="0.25">
      <c r="A4573" s="1" t="s">
        <v>773</v>
      </c>
      <c r="B4573" s="1" t="s">
        <v>1493</v>
      </c>
      <c r="C4573" s="1" t="s">
        <v>2429</v>
      </c>
      <c r="D4573" s="1" t="s">
        <v>1998</v>
      </c>
      <c r="E4573" s="1"/>
      <c r="F4573" s="1" t="s">
        <v>11</v>
      </c>
      <c r="G4573">
        <v>10</v>
      </c>
      <c r="H4573">
        <v>10</v>
      </c>
      <c r="I4573" s="2">
        <v>45780</v>
      </c>
      <c r="J4573" s="2">
        <v>45775</v>
      </c>
      <c r="K4573" s="2">
        <v>45780</v>
      </c>
    </row>
    <row r="4574" spans="1:11" x14ac:dyDescent="0.25">
      <c r="A4574" s="1" t="s">
        <v>773</v>
      </c>
      <c r="B4574" s="1" t="s">
        <v>1494</v>
      </c>
      <c r="C4574" s="1" t="s">
        <v>2430</v>
      </c>
      <c r="D4574" s="1" t="s">
        <v>1998</v>
      </c>
      <c r="E4574" s="1"/>
      <c r="F4574" s="1" t="s">
        <v>11</v>
      </c>
      <c r="G4574">
        <v>1</v>
      </c>
      <c r="H4574">
        <v>1</v>
      </c>
      <c r="I4574" s="2">
        <v>45780</v>
      </c>
      <c r="J4574" s="2">
        <v>45775</v>
      </c>
      <c r="K4574" s="2">
        <v>45780</v>
      </c>
    </row>
    <row r="4575" spans="1:11" x14ac:dyDescent="0.25">
      <c r="A4575" s="1" t="s">
        <v>773</v>
      </c>
      <c r="B4575" s="1" t="s">
        <v>1495</v>
      </c>
      <c r="C4575" s="1" t="s">
        <v>2431</v>
      </c>
      <c r="D4575" s="1" t="s">
        <v>1998</v>
      </c>
      <c r="E4575" s="1"/>
      <c r="F4575" s="1" t="s">
        <v>11</v>
      </c>
      <c r="G4575">
        <v>1</v>
      </c>
      <c r="H4575">
        <v>1</v>
      </c>
      <c r="I4575" s="2">
        <v>45780</v>
      </c>
      <c r="J4575" s="2">
        <v>45775</v>
      </c>
      <c r="K4575" s="2">
        <v>45780</v>
      </c>
    </row>
    <row r="4576" spans="1:11" x14ac:dyDescent="0.25">
      <c r="A4576" s="1" t="s">
        <v>773</v>
      </c>
      <c r="B4576" s="1" t="s">
        <v>1496</v>
      </c>
      <c r="C4576" s="1" t="s">
        <v>2432</v>
      </c>
      <c r="D4576" s="1" t="s">
        <v>1998</v>
      </c>
      <c r="E4576" s="1"/>
      <c r="F4576" s="1" t="s">
        <v>11</v>
      </c>
      <c r="G4576">
        <v>1</v>
      </c>
      <c r="H4576">
        <v>1</v>
      </c>
      <c r="I4576" s="2">
        <v>45780</v>
      </c>
      <c r="J4576" s="2">
        <v>45775</v>
      </c>
      <c r="K4576" s="2">
        <v>45780</v>
      </c>
    </row>
    <row r="4577" spans="1:11" x14ac:dyDescent="0.25">
      <c r="A4577" s="1" t="s">
        <v>773</v>
      </c>
      <c r="B4577" s="1" t="s">
        <v>1497</v>
      </c>
      <c r="C4577" s="1" t="s">
        <v>2432</v>
      </c>
      <c r="D4577" s="1" t="s">
        <v>1998</v>
      </c>
      <c r="E4577" s="1"/>
      <c r="F4577" s="1" t="s">
        <v>11</v>
      </c>
      <c r="G4577">
        <v>1</v>
      </c>
      <c r="H4577">
        <v>1</v>
      </c>
      <c r="I4577" s="2">
        <v>45780</v>
      </c>
      <c r="J4577" s="2">
        <v>45775</v>
      </c>
      <c r="K4577" s="2">
        <v>45780</v>
      </c>
    </row>
    <row r="4578" spans="1:11" x14ac:dyDescent="0.25">
      <c r="A4578" s="1" t="s">
        <v>773</v>
      </c>
      <c r="B4578" s="1" t="s">
        <v>1498</v>
      </c>
      <c r="C4578" s="1" t="s">
        <v>2433</v>
      </c>
      <c r="D4578" s="1" t="s">
        <v>1998</v>
      </c>
      <c r="E4578" s="1"/>
      <c r="F4578" s="1" t="s">
        <v>11</v>
      </c>
      <c r="G4578">
        <v>5</v>
      </c>
      <c r="H4578">
        <v>5</v>
      </c>
      <c r="I4578" s="2">
        <v>45780</v>
      </c>
      <c r="J4578" s="2">
        <v>45775</v>
      </c>
      <c r="K4578" s="2">
        <v>45780</v>
      </c>
    </row>
    <row r="4579" spans="1:11" x14ac:dyDescent="0.25">
      <c r="A4579" s="1" t="s">
        <v>773</v>
      </c>
      <c r="B4579" s="1" t="s">
        <v>1499</v>
      </c>
      <c r="C4579" s="1" t="s">
        <v>2433</v>
      </c>
      <c r="D4579" s="1" t="s">
        <v>1998</v>
      </c>
      <c r="E4579" s="1"/>
      <c r="F4579" s="1" t="s">
        <v>11</v>
      </c>
      <c r="G4579">
        <v>5</v>
      </c>
      <c r="H4579">
        <v>5</v>
      </c>
      <c r="I4579" s="2">
        <v>45780</v>
      </c>
      <c r="J4579" s="2">
        <v>45775</v>
      </c>
      <c r="K4579" s="2">
        <v>45780</v>
      </c>
    </row>
    <row r="4580" spans="1:11" x14ac:dyDescent="0.25">
      <c r="A4580" s="1" t="s">
        <v>773</v>
      </c>
      <c r="B4580" s="1" t="s">
        <v>993</v>
      </c>
      <c r="C4580" s="1" t="s">
        <v>2011</v>
      </c>
      <c r="D4580" s="1" t="s">
        <v>1998</v>
      </c>
      <c r="E4580" s="1"/>
      <c r="F4580" s="1" t="s">
        <v>11</v>
      </c>
      <c r="G4580">
        <v>1</v>
      </c>
      <c r="H4580">
        <v>1</v>
      </c>
      <c r="I4580" s="2">
        <v>45780</v>
      </c>
      <c r="J4580" s="2">
        <v>45775</v>
      </c>
      <c r="K4580" s="2">
        <v>45780</v>
      </c>
    </row>
    <row r="4581" spans="1:11" x14ac:dyDescent="0.25">
      <c r="A4581" s="1" t="s">
        <v>774</v>
      </c>
      <c r="B4581" s="1" t="s">
        <v>1699</v>
      </c>
      <c r="C4581" s="1" t="s">
        <v>2596</v>
      </c>
      <c r="D4581" s="1" t="s">
        <v>1998</v>
      </c>
      <c r="E4581" s="1"/>
      <c r="F4581" s="1" t="s">
        <v>11</v>
      </c>
      <c r="G4581">
        <v>1785</v>
      </c>
      <c r="H4581">
        <v>1785</v>
      </c>
      <c r="I4581" s="2">
        <v>45780</v>
      </c>
      <c r="J4581" s="2">
        <v>45775</v>
      </c>
      <c r="K4581" s="2">
        <v>45780</v>
      </c>
    </row>
    <row r="4582" spans="1:11" x14ac:dyDescent="0.25">
      <c r="A4582" s="1" t="s">
        <v>774</v>
      </c>
      <c r="B4582" s="1" t="s">
        <v>1492</v>
      </c>
      <c r="C4582" s="1" t="s">
        <v>2429</v>
      </c>
      <c r="D4582" s="1" t="s">
        <v>1998</v>
      </c>
      <c r="E4582" s="1"/>
      <c r="F4582" s="1" t="s">
        <v>11</v>
      </c>
      <c r="G4582">
        <v>5</v>
      </c>
      <c r="H4582">
        <v>5</v>
      </c>
      <c r="I4582" s="2">
        <v>45780</v>
      </c>
      <c r="J4582" s="2">
        <v>45775</v>
      </c>
      <c r="K4582" s="2">
        <v>45780</v>
      </c>
    </row>
    <row r="4583" spans="1:11" x14ac:dyDescent="0.25">
      <c r="A4583" s="1" t="s">
        <v>774</v>
      </c>
      <c r="B4583" s="1" t="s">
        <v>1493</v>
      </c>
      <c r="C4583" s="1" t="s">
        <v>2429</v>
      </c>
      <c r="D4583" s="1" t="s">
        <v>1998</v>
      </c>
      <c r="E4583" s="1"/>
      <c r="F4583" s="1" t="s">
        <v>11</v>
      </c>
      <c r="G4583">
        <v>10</v>
      </c>
      <c r="H4583">
        <v>10</v>
      </c>
      <c r="I4583" s="2">
        <v>45780</v>
      </c>
      <c r="J4583" s="2">
        <v>45775</v>
      </c>
      <c r="K4583" s="2">
        <v>45780</v>
      </c>
    </row>
    <row r="4584" spans="1:11" x14ac:dyDescent="0.25">
      <c r="A4584" s="1" t="s">
        <v>774</v>
      </c>
      <c r="B4584" s="1" t="s">
        <v>1494</v>
      </c>
      <c r="C4584" s="1" t="s">
        <v>2430</v>
      </c>
      <c r="D4584" s="1" t="s">
        <v>1998</v>
      </c>
      <c r="E4584" s="1"/>
      <c r="F4584" s="1" t="s">
        <v>11</v>
      </c>
      <c r="G4584">
        <v>1</v>
      </c>
      <c r="H4584">
        <v>1</v>
      </c>
      <c r="I4584" s="2">
        <v>45780</v>
      </c>
      <c r="J4584" s="2">
        <v>45775</v>
      </c>
      <c r="K4584" s="2">
        <v>45780</v>
      </c>
    </row>
    <row r="4585" spans="1:11" x14ac:dyDescent="0.25">
      <c r="A4585" s="1" t="s">
        <v>774</v>
      </c>
      <c r="B4585" s="1" t="s">
        <v>1495</v>
      </c>
      <c r="C4585" s="1" t="s">
        <v>2431</v>
      </c>
      <c r="D4585" s="1" t="s">
        <v>1998</v>
      </c>
      <c r="E4585" s="1"/>
      <c r="F4585" s="1" t="s">
        <v>11</v>
      </c>
      <c r="G4585">
        <v>1</v>
      </c>
      <c r="H4585">
        <v>1</v>
      </c>
      <c r="I4585" s="2">
        <v>45780</v>
      </c>
      <c r="J4585" s="2">
        <v>45775</v>
      </c>
      <c r="K4585" s="2">
        <v>45780</v>
      </c>
    </row>
    <row r="4586" spans="1:11" x14ac:dyDescent="0.25">
      <c r="A4586" s="1" t="s">
        <v>774</v>
      </c>
      <c r="B4586" s="1" t="s">
        <v>1496</v>
      </c>
      <c r="C4586" s="1" t="s">
        <v>2432</v>
      </c>
      <c r="D4586" s="1" t="s">
        <v>1998</v>
      </c>
      <c r="E4586" s="1"/>
      <c r="F4586" s="1" t="s">
        <v>11</v>
      </c>
      <c r="G4586">
        <v>1</v>
      </c>
      <c r="H4586">
        <v>1</v>
      </c>
      <c r="I4586" s="2">
        <v>45780</v>
      </c>
      <c r="J4586" s="2">
        <v>45775</v>
      </c>
      <c r="K4586" s="2">
        <v>45780</v>
      </c>
    </row>
    <row r="4587" spans="1:11" x14ac:dyDescent="0.25">
      <c r="A4587" s="1" t="s">
        <v>774</v>
      </c>
      <c r="B4587" s="1" t="s">
        <v>1497</v>
      </c>
      <c r="C4587" s="1" t="s">
        <v>2432</v>
      </c>
      <c r="D4587" s="1" t="s">
        <v>1998</v>
      </c>
      <c r="E4587" s="1"/>
      <c r="F4587" s="1" t="s">
        <v>11</v>
      </c>
      <c r="G4587">
        <v>1</v>
      </c>
      <c r="H4587">
        <v>1</v>
      </c>
      <c r="I4587" s="2">
        <v>45780</v>
      </c>
      <c r="J4587" s="2">
        <v>45775</v>
      </c>
      <c r="K4587" s="2">
        <v>45780</v>
      </c>
    </row>
    <row r="4588" spans="1:11" x14ac:dyDescent="0.25">
      <c r="A4588" s="1" t="s">
        <v>774</v>
      </c>
      <c r="B4588" s="1" t="s">
        <v>1498</v>
      </c>
      <c r="C4588" s="1" t="s">
        <v>2433</v>
      </c>
      <c r="D4588" s="1" t="s">
        <v>1998</v>
      </c>
      <c r="E4588" s="1"/>
      <c r="F4588" s="1" t="s">
        <v>11</v>
      </c>
      <c r="G4588">
        <v>5</v>
      </c>
      <c r="H4588">
        <v>5</v>
      </c>
      <c r="I4588" s="2">
        <v>45780</v>
      </c>
      <c r="J4588" s="2">
        <v>45775</v>
      </c>
      <c r="K4588" s="2">
        <v>45780</v>
      </c>
    </row>
    <row r="4589" spans="1:11" x14ac:dyDescent="0.25">
      <c r="A4589" s="1" t="s">
        <v>774</v>
      </c>
      <c r="B4589" s="1" t="s">
        <v>1499</v>
      </c>
      <c r="C4589" s="1" t="s">
        <v>2433</v>
      </c>
      <c r="D4589" s="1" t="s">
        <v>1998</v>
      </c>
      <c r="E4589" s="1"/>
      <c r="F4589" s="1" t="s">
        <v>11</v>
      </c>
      <c r="G4589">
        <v>5</v>
      </c>
      <c r="H4589">
        <v>5</v>
      </c>
      <c r="I4589" s="2">
        <v>45780</v>
      </c>
      <c r="J4589" s="2">
        <v>45775</v>
      </c>
      <c r="K4589" s="2">
        <v>45780</v>
      </c>
    </row>
    <row r="4590" spans="1:11" x14ac:dyDescent="0.25">
      <c r="A4590" s="1" t="s">
        <v>774</v>
      </c>
      <c r="B4590" s="1" t="s">
        <v>993</v>
      </c>
      <c r="C4590" s="1" t="s">
        <v>2011</v>
      </c>
      <c r="D4590" s="1" t="s">
        <v>1998</v>
      </c>
      <c r="E4590" s="1"/>
      <c r="F4590" s="1" t="s">
        <v>11</v>
      </c>
      <c r="G4590">
        <v>1</v>
      </c>
      <c r="H4590">
        <v>1</v>
      </c>
      <c r="I4590" s="2">
        <v>45780</v>
      </c>
      <c r="J4590" s="2">
        <v>45775</v>
      </c>
      <c r="K4590" s="2">
        <v>45780</v>
      </c>
    </row>
    <row r="4591" spans="1:11" x14ac:dyDescent="0.25">
      <c r="A4591" s="1" t="s">
        <v>775</v>
      </c>
      <c r="B4591" s="1" t="s">
        <v>1788</v>
      </c>
      <c r="C4591" s="1" t="s">
        <v>2661</v>
      </c>
      <c r="D4591" s="1" t="s">
        <v>1998</v>
      </c>
      <c r="E4591" s="1"/>
      <c r="F4591" s="1" t="s">
        <v>11</v>
      </c>
      <c r="G4591">
        <v>965</v>
      </c>
      <c r="H4591">
        <v>965</v>
      </c>
      <c r="I4591" s="2">
        <v>45785</v>
      </c>
      <c r="J4591" s="2">
        <v>45776</v>
      </c>
      <c r="K4591" s="2">
        <v>45785</v>
      </c>
    </row>
    <row r="4592" spans="1:11" x14ac:dyDescent="0.25">
      <c r="A4592" s="1" t="s">
        <v>775</v>
      </c>
      <c r="B4592" s="1" t="s">
        <v>1788</v>
      </c>
      <c r="C4592" s="1" t="s">
        <v>2661</v>
      </c>
      <c r="D4592" s="1" t="s">
        <v>1998</v>
      </c>
      <c r="E4592" s="1"/>
      <c r="F4592" s="1" t="s">
        <v>16</v>
      </c>
      <c r="G4592">
        <v>15</v>
      </c>
      <c r="H4592">
        <v>15</v>
      </c>
      <c r="I4592" s="2">
        <v>45785</v>
      </c>
      <c r="J4592" s="2">
        <v>45776</v>
      </c>
      <c r="K4592" s="2">
        <v>45785</v>
      </c>
    </row>
    <row r="4593" spans="1:11" x14ac:dyDescent="0.25">
      <c r="A4593" s="1" t="s">
        <v>775</v>
      </c>
      <c r="B4593" s="1" t="s">
        <v>1789</v>
      </c>
      <c r="C4593" s="1" t="s">
        <v>2000</v>
      </c>
      <c r="D4593" s="1" t="s">
        <v>1998</v>
      </c>
      <c r="E4593" s="1"/>
      <c r="F4593" s="1" t="s">
        <v>11</v>
      </c>
      <c r="G4593">
        <v>695</v>
      </c>
      <c r="H4593">
        <v>695</v>
      </c>
      <c r="I4593" s="2">
        <v>45785</v>
      </c>
      <c r="J4593" s="2">
        <v>45776</v>
      </c>
      <c r="K4593" s="2">
        <v>45785</v>
      </c>
    </row>
    <row r="4594" spans="1:11" x14ac:dyDescent="0.25">
      <c r="A4594" s="1" t="s">
        <v>775</v>
      </c>
      <c r="B4594" s="1" t="s">
        <v>983</v>
      </c>
      <c r="C4594" s="1" t="s">
        <v>2001</v>
      </c>
      <c r="D4594" s="1" t="s">
        <v>1998</v>
      </c>
      <c r="E4594" s="1"/>
      <c r="F4594" s="1" t="s">
        <v>11</v>
      </c>
      <c r="G4594">
        <v>395</v>
      </c>
      <c r="H4594">
        <v>395</v>
      </c>
      <c r="I4594" s="2">
        <v>45785</v>
      </c>
      <c r="J4594" s="2">
        <v>45776</v>
      </c>
      <c r="K4594" s="2">
        <v>45785</v>
      </c>
    </row>
    <row r="4595" spans="1:11" x14ac:dyDescent="0.25">
      <c r="A4595" s="1" t="s">
        <v>775</v>
      </c>
      <c r="B4595" s="1" t="s">
        <v>983</v>
      </c>
      <c r="C4595" s="1" t="s">
        <v>2001</v>
      </c>
      <c r="D4595" s="1" t="s">
        <v>1998</v>
      </c>
      <c r="E4595" s="1"/>
      <c r="F4595" s="1" t="s">
        <v>16</v>
      </c>
      <c r="G4595">
        <v>5</v>
      </c>
      <c r="H4595">
        <v>5</v>
      </c>
      <c r="I4595" s="2">
        <v>45785</v>
      </c>
      <c r="J4595" s="2">
        <v>45776</v>
      </c>
      <c r="K4595" s="2">
        <v>45785</v>
      </c>
    </row>
    <row r="4596" spans="1:11" x14ac:dyDescent="0.25">
      <c r="A4596" s="1" t="s">
        <v>775</v>
      </c>
      <c r="B4596" s="1" t="s">
        <v>1667</v>
      </c>
      <c r="C4596" s="1" t="s">
        <v>2577</v>
      </c>
      <c r="D4596" s="1" t="s">
        <v>1998</v>
      </c>
      <c r="E4596" s="1"/>
      <c r="F4596" s="1" t="s">
        <v>11</v>
      </c>
      <c r="G4596">
        <v>310</v>
      </c>
      <c r="H4596">
        <v>310</v>
      </c>
      <c r="I4596" s="2">
        <v>45785</v>
      </c>
      <c r="J4596" s="2">
        <v>45776</v>
      </c>
      <c r="K4596" s="2">
        <v>45785</v>
      </c>
    </row>
    <row r="4597" spans="1:11" x14ac:dyDescent="0.25">
      <c r="A4597" s="1" t="s">
        <v>776</v>
      </c>
      <c r="B4597" s="1" t="s">
        <v>1883</v>
      </c>
      <c r="C4597" s="1" t="s">
        <v>2014</v>
      </c>
      <c r="D4597" s="1" t="s">
        <v>1998</v>
      </c>
      <c r="E4597" s="1"/>
      <c r="F4597" s="1" t="s">
        <v>11</v>
      </c>
      <c r="G4597">
        <v>3330</v>
      </c>
      <c r="H4597">
        <v>3330</v>
      </c>
      <c r="I4597" s="2"/>
      <c r="J4597" s="2">
        <v>45776</v>
      </c>
      <c r="K4597" s="2">
        <v>45789</v>
      </c>
    </row>
    <row r="4598" spans="1:11" x14ac:dyDescent="0.25">
      <c r="A4598" s="1" t="s">
        <v>776</v>
      </c>
      <c r="B4598" s="1" t="s">
        <v>1884</v>
      </c>
      <c r="C4598" s="1" t="s">
        <v>2732</v>
      </c>
      <c r="D4598" s="1" t="s">
        <v>1998</v>
      </c>
      <c r="E4598" s="1"/>
      <c r="F4598" s="1" t="s">
        <v>11</v>
      </c>
      <c r="G4598">
        <v>1155</v>
      </c>
      <c r="H4598">
        <v>1155</v>
      </c>
      <c r="I4598" s="2"/>
      <c r="J4598" s="2">
        <v>45776</v>
      </c>
      <c r="K4598" s="2">
        <v>45789</v>
      </c>
    </row>
    <row r="4599" spans="1:11" x14ac:dyDescent="0.25">
      <c r="A4599" s="1" t="s">
        <v>776</v>
      </c>
      <c r="B4599" s="1" t="s">
        <v>1884</v>
      </c>
      <c r="C4599" s="1" t="s">
        <v>2732</v>
      </c>
      <c r="D4599" s="1" t="s">
        <v>1998</v>
      </c>
      <c r="E4599" s="1"/>
      <c r="F4599" s="1" t="s">
        <v>15</v>
      </c>
      <c r="G4599">
        <v>205</v>
      </c>
      <c r="H4599">
        <v>205</v>
      </c>
      <c r="I4599" s="2"/>
      <c r="J4599" s="2">
        <v>45776</v>
      </c>
      <c r="K4599" s="2">
        <v>45789</v>
      </c>
    </row>
    <row r="4600" spans="1:11" x14ac:dyDescent="0.25">
      <c r="A4600" s="1" t="s">
        <v>777</v>
      </c>
      <c r="B4600" s="1" t="s">
        <v>1885</v>
      </c>
      <c r="C4600" s="1" t="s">
        <v>2346</v>
      </c>
      <c r="D4600" s="1" t="s">
        <v>1998</v>
      </c>
      <c r="E4600" s="1"/>
      <c r="F4600" s="1" t="s">
        <v>11</v>
      </c>
      <c r="G4600">
        <v>3610</v>
      </c>
      <c r="H4600">
        <v>3610</v>
      </c>
      <c r="I4600" s="2">
        <v>45785</v>
      </c>
      <c r="J4600" s="2">
        <v>45776</v>
      </c>
      <c r="K4600" s="2">
        <v>45785</v>
      </c>
    </row>
    <row r="4601" spans="1:11" x14ac:dyDescent="0.25">
      <c r="A4601" s="1" t="s">
        <v>777</v>
      </c>
      <c r="B4601" s="1" t="s">
        <v>1886</v>
      </c>
      <c r="C4601" s="1" t="s">
        <v>2124</v>
      </c>
      <c r="D4601" s="1" t="s">
        <v>1998</v>
      </c>
      <c r="E4601" s="1"/>
      <c r="F4601" s="1" t="s">
        <v>11</v>
      </c>
      <c r="G4601">
        <v>965</v>
      </c>
      <c r="H4601">
        <v>965</v>
      </c>
      <c r="I4601" s="2">
        <v>45785</v>
      </c>
      <c r="J4601" s="2">
        <v>45776</v>
      </c>
      <c r="K4601" s="2">
        <v>45785</v>
      </c>
    </row>
    <row r="4602" spans="1:11" x14ac:dyDescent="0.25">
      <c r="A4602" s="1" t="s">
        <v>777</v>
      </c>
      <c r="B4602" s="1" t="s">
        <v>1126</v>
      </c>
      <c r="C4602" s="1" t="s">
        <v>2126</v>
      </c>
      <c r="D4602" s="1" t="s">
        <v>1998</v>
      </c>
      <c r="E4602" s="1"/>
      <c r="F4602" s="1" t="s">
        <v>11</v>
      </c>
      <c r="G4602">
        <v>80</v>
      </c>
      <c r="H4602">
        <v>80</v>
      </c>
      <c r="I4602" s="2">
        <v>45785</v>
      </c>
      <c r="J4602" s="2">
        <v>45776</v>
      </c>
      <c r="K4602" s="2">
        <v>45785</v>
      </c>
    </row>
    <row r="4603" spans="1:11" x14ac:dyDescent="0.25">
      <c r="A4603" s="1" t="s">
        <v>777</v>
      </c>
      <c r="B4603" s="1" t="s">
        <v>1887</v>
      </c>
      <c r="C4603" s="1" t="s">
        <v>2733</v>
      </c>
      <c r="D4603" s="1" t="s">
        <v>1998</v>
      </c>
      <c r="E4603" s="1"/>
      <c r="F4603" s="1" t="s">
        <v>11</v>
      </c>
      <c r="G4603">
        <v>440</v>
      </c>
      <c r="H4603">
        <v>440</v>
      </c>
      <c r="I4603" s="2">
        <v>45785</v>
      </c>
      <c r="J4603" s="2">
        <v>45776</v>
      </c>
      <c r="K4603" s="2">
        <v>45785</v>
      </c>
    </row>
    <row r="4604" spans="1:11" x14ac:dyDescent="0.25">
      <c r="A4604" s="1" t="s">
        <v>777</v>
      </c>
      <c r="B4604" s="1" t="s">
        <v>1887</v>
      </c>
      <c r="C4604" s="1" t="s">
        <v>2733</v>
      </c>
      <c r="D4604" s="1" t="s">
        <v>1998</v>
      </c>
      <c r="E4604" s="1"/>
      <c r="F4604" s="1" t="s">
        <v>16</v>
      </c>
      <c r="G4604">
        <v>1</v>
      </c>
      <c r="H4604">
        <v>1</v>
      </c>
      <c r="I4604" s="2">
        <v>45785</v>
      </c>
      <c r="J4604" s="2">
        <v>45776</v>
      </c>
      <c r="K4604" s="2">
        <v>45785</v>
      </c>
    </row>
    <row r="4605" spans="1:11" x14ac:dyDescent="0.25">
      <c r="A4605" s="1" t="s">
        <v>778</v>
      </c>
      <c r="B4605" s="1" t="s">
        <v>1226</v>
      </c>
      <c r="C4605" s="1" t="s">
        <v>2210</v>
      </c>
      <c r="D4605" s="1" t="s">
        <v>1998</v>
      </c>
      <c r="E4605" s="1"/>
      <c r="F4605" s="1" t="s">
        <v>13</v>
      </c>
      <c r="G4605">
        <v>5</v>
      </c>
      <c r="H4605">
        <v>10</v>
      </c>
      <c r="I4605" s="2"/>
      <c r="J4605" s="2">
        <v>45778</v>
      </c>
      <c r="K4605" s="2">
        <v>45778</v>
      </c>
    </row>
    <row r="4606" spans="1:11" x14ac:dyDescent="0.25">
      <c r="A4606" s="1" t="s">
        <v>778</v>
      </c>
      <c r="B4606" s="1" t="s">
        <v>1227</v>
      </c>
      <c r="C4606" s="1" t="s">
        <v>2211</v>
      </c>
      <c r="D4606" s="1" t="s">
        <v>1998</v>
      </c>
      <c r="E4606" s="1"/>
      <c r="F4606" s="1" t="s">
        <v>17</v>
      </c>
      <c r="G4606">
        <v>1</v>
      </c>
      <c r="H4606">
        <v>1</v>
      </c>
      <c r="I4606" s="2"/>
      <c r="J4606" s="2">
        <v>45778</v>
      </c>
      <c r="K4606" s="2">
        <v>45778</v>
      </c>
    </row>
    <row r="4607" spans="1:11" x14ac:dyDescent="0.25">
      <c r="A4607" s="1" t="s">
        <v>778</v>
      </c>
      <c r="B4607" s="1" t="s">
        <v>1228</v>
      </c>
      <c r="C4607" s="1" t="s">
        <v>2212</v>
      </c>
      <c r="D4607" s="1" t="s">
        <v>1998</v>
      </c>
      <c r="E4607" s="1"/>
      <c r="F4607" s="1" t="s">
        <v>17</v>
      </c>
      <c r="G4607">
        <v>1</v>
      </c>
      <c r="H4607">
        <v>1</v>
      </c>
      <c r="I4607" s="2"/>
      <c r="J4607" s="2">
        <v>45778</v>
      </c>
      <c r="K4607" s="2">
        <v>45778</v>
      </c>
    </row>
    <row r="4608" spans="1:11" x14ac:dyDescent="0.25">
      <c r="A4608" s="1" t="s">
        <v>778</v>
      </c>
      <c r="B4608" s="1" t="s">
        <v>1229</v>
      </c>
      <c r="C4608" s="1" t="s">
        <v>2213</v>
      </c>
      <c r="D4608" s="1" t="s">
        <v>1998</v>
      </c>
      <c r="E4608" s="1"/>
      <c r="F4608" s="1" t="s">
        <v>17</v>
      </c>
      <c r="G4608">
        <v>1</v>
      </c>
      <c r="H4608">
        <v>1</v>
      </c>
      <c r="I4608" s="2"/>
      <c r="J4608" s="2">
        <v>45778</v>
      </c>
      <c r="K4608" s="2">
        <v>45778</v>
      </c>
    </row>
    <row r="4609" spans="1:11" x14ac:dyDescent="0.25">
      <c r="A4609" s="1" t="s">
        <v>778</v>
      </c>
      <c r="B4609" s="1" t="s">
        <v>1230</v>
      </c>
      <c r="C4609" s="1" t="s">
        <v>2214</v>
      </c>
      <c r="D4609" s="1" t="s">
        <v>1998</v>
      </c>
      <c r="E4609" s="1"/>
      <c r="F4609" s="1" t="s">
        <v>17</v>
      </c>
      <c r="G4609">
        <v>1</v>
      </c>
      <c r="H4609">
        <v>1</v>
      </c>
      <c r="I4609" s="2"/>
      <c r="J4609" s="2">
        <v>45778</v>
      </c>
      <c r="K4609" s="2">
        <v>45778</v>
      </c>
    </row>
    <row r="4610" spans="1:11" x14ac:dyDescent="0.25">
      <c r="A4610" s="1" t="s">
        <v>778</v>
      </c>
      <c r="B4610" s="1" t="s">
        <v>1367</v>
      </c>
      <c r="C4610" s="1" t="s">
        <v>2317</v>
      </c>
      <c r="D4610" s="1" t="s">
        <v>1998</v>
      </c>
      <c r="E4610" s="1"/>
      <c r="F4610" s="1" t="s">
        <v>19</v>
      </c>
      <c r="G4610">
        <v>1</v>
      </c>
      <c r="H4610">
        <v>1</v>
      </c>
      <c r="I4610" s="2"/>
      <c r="J4610" s="2">
        <v>45778</v>
      </c>
      <c r="K4610" s="2">
        <v>45778</v>
      </c>
    </row>
    <row r="4611" spans="1:11" x14ac:dyDescent="0.25">
      <c r="A4611" s="1" t="s">
        <v>778</v>
      </c>
      <c r="B4611" s="1" t="s">
        <v>1538</v>
      </c>
      <c r="C4611" s="1" t="s">
        <v>2466</v>
      </c>
      <c r="D4611" s="1" t="s">
        <v>1998</v>
      </c>
      <c r="E4611" s="1"/>
      <c r="F4611" s="1" t="s">
        <v>18</v>
      </c>
      <c r="G4611">
        <v>10</v>
      </c>
      <c r="H4611">
        <v>15</v>
      </c>
      <c r="I4611" s="2"/>
      <c r="J4611" s="2">
        <v>45778</v>
      </c>
      <c r="K4611" s="2">
        <v>45778</v>
      </c>
    </row>
    <row r="4612" spans="1:11" x14ac:dyDescent="0.25">
      <c r="A4612" s="1" t="s">
        <v>778</v>
      </c>
      <c r="B4612" s="1" t="s">
        <v>1234</v>
      </c>
      <c r="C4612" s="1" t="s">
        <v>2218</v>
      </c>
      <c r="D4612" s="1" t="s">
        <v>1998</v>
      </c>
      <c r="E4612" s="1"/>
      <c r="F4612" s="1" t="s">
        <v>19</v>
      </c>
      <c r="G4612">
        <v>1</v>
      </c>
      <c r="H4612">
        <v>1</v>
      </c>
      <c r="I4612" s="2"/>
      <c r="J4612" s="2">
        <v>45778</v>
      </c>
      <c r="K4612" s="2">
        <v>45778</v>
      </c>
    </row>
    <row r="4613" spans="1:11" x14ac:dyDescent="0.25">
      <c r="A4613" s="1" t="s">
        <v>778</v>
      </c>
      <c r="B4613" s="1" t="s">
        <v>1388</v>
      </c>
      <c r="C4613" s="1" t="s">
        <v>2337</v>
      </c>
      <c r="D4613" s="1" t="s">
        <v>1998</v>
      </c>
      <c r="E4613" s="1"/>
      <c r="F4613" s="1" t="s">
        <v>17</v>
      </c>
      <c r="G4613">
        <v>1</v>
      </c>
      <c r="H4613">
        <v>1</v>
      </c>
      <c r="I4613" s="2"/>
      <c r="J4613" s="2">
        <v>45778</v>
      </c>
      <c r="K4613" s="2">
        <v>45778</v>
      </c>
    </row>
    <row r="4614" spans="1:11" x14ac:dyDescent="0.25">
      <c r="A4614" s="1" t="s">
        <v>778</v>
      </c>
      <c r="B4614" s="1" t="s">
        <v>1570</v>
      </c>
      <c r="C4614" s="1" t="s">
        <v>2491</v>
      </c>
      <c r="D4614" s="1" t="s">
        <v>1998</v>
      </c>
      <c r="E4614" s="1"/>
      <c r="F4614" s="1" t="s">
        <v>18</v>
      </c>
      <c r="G4614">
        <v>5</v>
      </c>
      <c r="H4614">
        <v>10</v>
      </c>
      <c r="I4614" s="2"/>
      <c r="J4614" s="2">
        <v>45778</v>
      </c>
      <c r="K4614" s="2">
        <v>45778</v>
      </c>
    </row>
    <row r="4615" spans="1:11" x14ac:dyDescent="0.25">
      <c r="A4615" s="1" t="s">
        <v>778</v>
      </c>
      <c r="B4615" s="1" t="s">
        <v>1364</v>
      </c>
      <c r="C4615" s="1" t="s">
        <v>2314</v>
      </c>
      <c r="D4615" s="1" t="s">
        <v>1998</v>
      </c>
      <c r="E4615" s="1"/>
      <c r="F4615" s="1" t="s">
        <v>19</v>
      </c>
      <c r="G4615">
        <v>1</v>
      </c>
      <c r="H4615">
        <v>1</v>
      </c>
      <c r="I4615" s="2"/>
      <c r="J4615" s="2">
        <v>45778</v>
      </c>
      <c r="K4615" s="2">
        <v>45778</v>
      </c>
    </row>
    <row r="4616" spans="1:11" x14ac:dyDescent="0.25">
      <c r="A4616" s="1" t="s">
        <v>778</v>
      </c>
      <c r="B4616" s="1" t="s">
        <v>1571</v>
      </c>
      <c r="C4616" s="1" t="s">
        <v>2492</v>
      </c>
      <c r="D4616" s="1" t="s">
        <v>1998</v>
      </c>
      <c r="E4616" s="1"/>
      <c r="F4616" s="1" t="s">
        <v>12</v>
      </c>
      <c r="G4616">
        <v>1</v>
      </c>
      <c r="H4616">
        <v>1</v>
      </c>
      <c r="I4616" s="2"/>
      <c r="J4616" s="2">
        <v>45778</v>
      </c>
      <c r="K4616" s="2">
        <v>45778</v>
      </c>
    </row>
    <row r="4617" spans="1:11" x14ac:dyDescent="0.25">
      <c r="A4617" s="1" t="s">
        <v>778</v>
      </c>
      <c r="B4617" s="1" t="s">
        <v>1572</v>
      </c>
      <c r="C4617" s="1" t="s">
        <v>2493</v>
      </c>
      <c r="D4617" s="1" t="s">
        <v>1998</v>
      </c>
      <c r="E4617" s="1"/>
      <c r="F4617" s="1" t="s">
        <v>19</v>
      </c>
      <c r="G4617">
        <v>1</v>
      </c>
      <c r="H4617">
        <v>1</v>
      </c>
      <c r="I4617" s="2"/>
      <c r="J4617" s="2">
        <v>45778</v>
      </c>
      <c r="K4617" s="2">
        <v>45778</v>
      </c>
    </row>
    <row r="4618" spans="1:11" x14ac:dyDescent="0.25">
      <c r="A4618" s="1" t="s">
        <v>778</v>
      </c>
      <c r="B4618" s="1" t="s">
        <v>1389</v>
      </c>
      <c r="C4618" s="1" t="s">
        <v>2338</v>
      </c>
      <c r="D4618" s="1" t="s">
        <v>1998</v>
      </c>
      <c r="E4618" s="1"/>
      <c r="F4618" s="1" t="s">
        <v>17</v>
      </c>
      <c r="G4618">
        <v>1</v>
      </c>
      <c r="H4618">
        <v>1</v>
      </c>
      <c r="I4618" s="2"/>
      <c r="J4618" s="2">
        <v>45778</v>
      </c>
      <c r="K4618" s="2">
        <v>45778</v>
      </c>
    </row>
    <row r="4619" spans="1:11" x14ac:dyDescent="0.25">
      <c r="A4619" s="1" t="s">
        <v>778</v>
      </c>
      <c r="B4619" s="1" t="s">
        <v>1573</v>
      </c>
      <c r="C4619" s="1" t="s">
        <v>2494</v>
      </c>
      <c r="D4619" s="1" t="s">
        <v>1998</v>
      </c>
      <c r="E4619" s="1"/>
      <c r="F4619" s="1" t="s">
        <v>20</v>
      </c>
      <c r="G4619">
        <v>1</v>
      </c>
      <c r="H4619">
        <v>1</v>
      </c>
      <c r="I4619" s="2"/>
      <c r="J4619" s="2">
        <v>45778</v>
      </c>
      <c r="K4619" s="2">
        <v>45778</v>
      </c>
    </row>
    <row r="4620" spans="1:11" x14ac:dyDescent="0.25">
      <c r="A4620" s="1" t="s">
        <v>779</v>
      </c>
      <c r="B4620" s="1" t="s">
        <v>1454</v>
      </c>
      <c r="C4620" s="1" t="s">
        <v>2391</v>
      </c>
      <c r="D4620" s="1" t="s">
        <v>1998</v>
      </c>
      <c r="E4620" s="1"/>
      <c r="F4620" s="1" t="s">
        <v>11</v>
      </c>
      <c r="G4620">
        <v>1865</v>
      </c>
      <c r="H4620">
        <v>1865</v>
      </c>
      <c r="I4620" s="2">
        <v>45785</v>
      </c>
      <c r="J4620" s="2">
        <v>45776</v>
      </c>
      <c r="K4620" s="2">
        <v>45785</v>
      </c>
    </row>
    <row r="4621" spans="1:11" x14ac:dyDescent="0.25">
      <c r="A4621" s="1" t="s">
        <v>779</v>
      </c>
      <c r="B4621" s="1" t="s">
        <v>1454</v>
      </c>
      <c r="C4621" s="1" t="s">
        <v>2391</v>
      </c>
      <c r="D4621" s="1" t="s">
        <v>1998</v>
      </c>
      <c r="E4621" s="1"/>
      <c r="F4621" s="1" t="s">
        <v>11</v>
      </c>
      <c r="G4621">
        <v>5</v>
      </c>
      <c r="H4621">
        <v>5</v>
      </c>
      <c r="I4621" s="2">
        <v>45785</v>
      </c>
      <c r="J4621" s="2">
        <v>45776</v>
      </c>
      <c r="K4621" s="2">
        <v>45785</v>
      </c>
    </row>
    <row r="4622" spans="1:11" x14ac:dyDescent="0.25">
      <c r="A4622" s="1" t="s">
        <v>779</v>
      </c>
      <c r="B4622" s="1" t="s">
        <v>1455</v>
      </c>
      <c r="C4622" s="1" t="s">
        <v>2392</v>
      </c>
      <c r="D4622" s="1" t="s">
        <v>1998</v>
      </c>
      <c r="E4622" s="1"/>
      <c r="F4622" s="1" t="s">
        <v>11</v>
      </c>
      <c r="G4622">
        <v>960</v>
      </c>
      <c r="H4622">
        <v>960</v>
      </c>
      <c r="I4622" s="2">
        <v>45785</v>
      </c>
      <c r="J4622" s="2">
        <v>45776</v>
      </c>
      <c r="K4622" s="2">
        <v>45785</v>
      </c>
    </row>
    <row r="4623" spans="1:11" x14ac:dyDescent="0.25">
      <c r="A4623" s="1" t="s">
        <v>779</v>
      </c>
      <c r="B4623" s="1" t="s">
        <v>1455</v>
      </c>
      <c r="C4623" s="1" t="s">
        <v>2392</v>
      </c>
      <c r="D4623" s="1" t="s">
        <v>1998</v>
      </c>
      <c r="E4623" s="1"/>
      <c r="F4623" s="1" t="s">
        <v>11</v>
      </c>
      <c r="G4623">
        <v>1</v>
      </c>
      <c r="H4623">
        <v>1</v>
      </c>
      <c r="I4623" s="2">
        <v>45785</v>
      </c>
      <c r="J4623" s="2">
        <v>45776</v>
      </c>
      <c r="K4623" s="2">
        <v>45785</v>
      </c>
    </row>
    <row r="4624" spans="1:11" x14ac:dyDescent="0.25">
      <c r="A4624" s="1" t="s">
        <v>779</v>
      </c>
      <c r="B4624" s="1" t="s">
        <v>1456</v>
      </c>
      <c r="C4624" s="1" t="s">
        <v>2393</v>
      </c>
      <c r="D4624" s="1" t="s">
        <v>1998</v>
      </c>
      <c r="E4624" s="1"/>
      <c r="F4624" s="1" t="s">
        <v>11</v>
      </c>
      <c r="G4624">
        <v>1325</v>
      </c>
      <c r="H4624">
        <v>1325</v>
      </c>
      <c r="I4624" s="2">
        <v>45785</v>
      </c>
      <c r="J4624" s="2">
        <v>45776</v>
      </c>
      <c r="K4624" s="2">
        <v>45785</v>
      </c>
    </row>
    <row r="4625" spans="1:11" x14ac:dyDescent="0.25">
      <c r="A4625" s="1" t="s">
        <v>779</v>
      </c>
      <c r="B4625" s="1" t="s">
        <v>1542</v>
      </c>
      <c r="C4625" s="1" t="s">
        <v>2470</v>
      </c>
      <c r="D4625" s="1" t="s">
        <v>1998</v>
      </c>
      <c r="E4625" s="1"/>
      <c r="F4625" s="1" t="s">
        <v>11</v>
      </c>
      <c r="G4625">
        <v>2960</v>
      </c>
      <c r="H4625">
        <v>2960</v>
      </c>
      <c r="I4625" s="2">
        <v>45785</v>
      </c>
      <c r="J4625" s="2">
        <v>45776</v>
      </c>
      <c r="K4625" s="2">
        <v>45785</v>
      </c>
    </row>
    <row r="4626" spans="1:11" x14ac:dyDescent="0.25">
      <c r="A4626" s="1" t="s">
        <v>779</v>
      </c>
      <c r="B4626" s="1" t="s">
        <v>1543</v>
      </c>
      <c r="C4626" s="1" t="s">
        <v>2471</v>
      </c>
      <c r="D4626" s="1" t="s">
        <v>1998</v>
      </c>
      <c r="E4626" s="1"/>
      <c r="F4626" s="1" t="s">
        <v>11</v>
      </c>
      <c r="G4626">
        <v>2610</v>
      </c>
      <c r="H4626">
        <v>2610</v>
      </c>
      <c r="I4626" s="2">
        <v>45785</v>
      </c>
      <c r="J4626" s="2">
        <v>45776</v>
      </c>
      <c r="K4626" s="2">
        <v>45785</v>
      </c>
    </row>
    <row r="4627" spans="1:11" x14ac:dyDescent="0.25">
      <c r="A4627" s="1" t="s">
        <v>779</v>
      </c>
      <c r="B4627" s="1" t="s">
        <v>1543</v>
      </c>
      <c r="C4627" s="1" t="s">
        <v>2471</v>
      </c>
      <c r="D4627" s="1" t="s">
        <v>1998</v>
      </c>
      <c r="E4627" s="1"/>
      <c r="F4627" s="1" t="s">
        <v>11</v>
      </c>
      <c r="G4627">
        <v>5</v>
      </c>
      <c r="H4627">
        <v>5</v>
      </c>
      <c r="I4627" s="2">
        <v>45785</v>
      </c>
      <c r="J4627" s="2">
        <v>45776</v>
      </c>
      <c r="K4627" s="2">
        <v>45785</v>
      </c>
    </row>
    <row r="4628" spans="1:11" x14ac:dyDescent="0.25">
      <c r="A4628" s="1" t="s">
        <v>780</v>
      </c>
      <c r="B4628" s="1" t="s">
        <v>1888</v>
      </c>
      <c r="C4628" s="1" t="s">
        <v>2734</v>
      </c>
      <c r="D4628" s="1" t="s">
        <v>1998</v>
      </c>
      <c r="E4628" s="1"/>
      <c r="F4628" s="1" t="s">
        <v>11</v>
      </c>
      <c r="G4628">
        <v>3110</v>
      </c>
      <c r="H4628">
        <v>3110</v>
      </c>
      <c r="I4628" s="2"/>
      <c r="J4628" s="2">
        <v>45776</v>
      </c>
      <c r="K4628" s="2">
        <v>45789</v>
      </c>
    </row>
    <row r="4629" spans="1:11" x14ac:dyDescent="0.25">
      <c r="A4629" s="1" t="s">
        <v>781</v>
      </c>
      <c r="B4629" s="1" t="s">
        <v>1888</v>
      </c>
      <c r="C4629" s="1" t="s">
        <v>2734</v>
      </c>
      <c r="D4629" s="1" t="s">
        <v>1998</v>
      </c>
      <c r="E4629" s="1"/>
      <c r="F4629" s="1" t="s">
        <v>11</v>
      </c>
      <c r="G4629">
        <v>3110</v>
      </c>
      <c r="H4629">
        <v>3110</v>
      </c>
      <c r="I4629" s="2"/>
      <c r="J4629" s="2">
        <v>45783</v>
      </c>
      <c r="K4629" s="2">
        <v>45785</v>
      </c>
    </row>
    <row r="4630" spans="1:11" x14ac:dyDescent="0.25">
      <c r="A4630" s="1" t="s">
        <v>782</v>
      </c>
      <c r="B4630" s="1" t="s">
        <v>1859</v>
      </c>
      <c r="C4630" s="1" t="s">
        <v>2014</v>
      </c>
      <c r="D4630" s="1" t="s">
        <v>1998</v>
      </c>
      <c r="E4630" s="1"/>
      <c r="F4630" s="1" t="s">
        <v>11</v>
      </c>
      <c r="G4630">
        <v>235</v>
      </c>
      <c r="H4630">
        <v>235</v>
      </c>
      <c r="I4630" s="2"/>
      <c r="J4630" s="2">
        <v>45785</v>
      </c>
      <c r="K4630" s="2">
        <v>45789</v>
      </c>
    </row>
    <row r="4631" spans="1:11" x14ac:dyDescent="0.25">
      <c r="A4631" s="1" t="s">
        <v>782</v>
      </c>
      <c r="B4631" s="1" t="s">
        <v>1702</v>
      </c>
      <c r="C4631" s="1" t="s">
        <v>2598</v>
      </c>
      <c r="D4631" s="1" t="s">
        <v>1998</v>
      </c>
      <c r="E4631" s="1"/>
      <c r="F4631" s="1" t="s">
        <v>11</v>
      </c>
      <c r="G4631">
        <v>320</v>
      </c>
      <c r="H4631">
        <v>320</v>
      </c>
      <c r="I4631" s="2"/>
      <c r="J4631" s="2">
        <v>45785</v>
      </c>
      <c r="K4631" s="2">
        <v>45789</v>
      </c>
    </row>
    <row r="4632" spans="1:11" x14ac:dyDescent="0.25">
      <c r="A4632" s="1" t="s">
        <v>782</v>
      </c>
      <c r="B4632" s="1" t="s">
        <v>1703</v>
      </c>
      <c r="C4632" s="1" t="s">
        <v>2599</v>
      </c>
      <c r="D4632" s="1" t="s">
        <v>1998</v>
      </c>
      <c r="E4632" s="1"/>
      <c r="F4632" s="1" t="s">
        <v>11</v>
      </c>
      <c r="G4632">
        <v>345</v>
      </c>
      <c r="H4632">
        <v>345</v>
      </c>
      <c r="I4632" s="2"/>
      <c r="J4632" s="2">
        <v>45785</v>
      </c>
      <c r="K4632" s="2">
        <v>45789</v>
      </c>
    </row>
    <row r="4633" spans="1:11" x14ac:dyDescent="0.25">
      <c r="A4633" s="1" t="s">
        <v>782</v>
      </c>
      <c r="B4633" s="1" t="s">
        <v>1126</v>
      </c>
      <c r="C4633" s="1" t="s">
        <v>2126</v>
      </c>
      <c r="D4633" s="1" t="s">
        <v>1998</v>
      </c>
      <c r="E4633" s="1"/>
      <c r="F4633" s="1" t="s">
        <v>11</v>
      </c>
      <c r="G4633">
        <v>45</v>
      </c>
      <c r="H4633">
        <v>45</v>
      </c>
      <c r="I4633" s="2"/>
      <c r="J4633" s="2">
        <v>45785</v>
      </c>
      <c r="K4633" s="2">
        <v>45789</v>
      </c>
    </row>
    <row r="4634" spans="1:11" x14ac:dyDescent="0.25">
      <c r="A4634" s="1" t="s">
        <v>782</v>
      </c>
      <c r="B4634" s="1" t="s">
        <v>1704</v>
      </c>
      <c r="C4634" s="1" t="s">
        <v>2600</v>
      </c>
      <c r="D4634" s="1" t="s">
        <v>1998</v>
      </c>
      <c r="E4634" s="1"/>
      <c r="F4634" s="1" t="s">
        <v>11</v>
      </c>
      <c r="G4634">
        <v>155</v>
      </c>
      <c r="H4634">
        <v>155</v>
      </c>
      <c r="I4634" s="2"/>
      <c r="J4634" s="2">
        <v>45785</v>
      </c>
      <c r="K4634" s="2">
        <v>45789</v>
      </c>
    </row>
    <row r="4635" spans="1:11" x14ac:dyDescent="0.25">
      <c r="A4635" s="1" t="s">
        <v>782</v>
      </c>
      <c r="B4635" s="1" t="s">
        <v>1705</v>
      </c>
      <c r="C4635" s="1" t="s">
        <v>2601</v>
      </c>
      <c r="D4635" s="1" t="s">
        <v>1998</v>
      </c>
      <c r="E4635" s="1"/>
      <c r="F4635" s="1" t="s">
        <v>11</v>
      </c>
      <c r="G4635">
        <v>70</v>
      </c>
      <c r="H4635">
        <v>70</v>
      </c>
      <c r="I4635" s="2"/>
      <c r="J4635" s="2">
        <v>45785</v>
      </c>
      <c r="K4635" s="2">
        <v>45789</v>
      </c>
    </row>
    <row r="4636" spans="1:11" x14ac:dyDescent="0.25">
      <c r="A4636" s="1" t="s">
        <v>782</v>
      </c>
      <c r="B4636" s="1" t="s">
        <v>1743</v>
      </c>
      <c r="C4636" s="1" t="s">
        <v>2628</v>
      </c>
      <c r="D4636" s="1" t="s">
        <v>1998</v>
      </c>
      <c r="E4636" s="1"/>
      <c r="F4636" s="1" t="s">
        <v>11</v>
      </c>
      <c r="G4636">
        <v>85</v>
      </c>
      <c r="H4636">
        <v>85</v>
      </c>
      <c r="I4636" s="2"/>
      <c r="J4636" s="2">
        <v>45785</v>
      </c>
      <c r="K4636" s="2">
        <v>45789</v>
      </c>
    </row>
    <row r="4637" spans="1:11" x14ac:dyDescent="0.25">
      <c r="A4637" s="1" t="s">
        <v>782</v>
      </c>
      <c r="B4637" s="1" t="s">
        <v>1865</v>
      </c>
      <c r="C4637" s="1" t="s">
        <v>2714</v>
      </c>
      <c r="D4637" s="1" t="s">
        <v>1998</v>
      </c>
      <c r="E4637" s="1"/>
      <c r="F4637" s="1" t="s">
        <v>11</v>
      </c>
      <c r="G4637">
        <v>265</v>
      </c>
      <c r="H4637">
        <v>265</v>
      </c>
      <c r="I4637" s="2"/>
      <c r="J4637" s="2">
        <v>45785</v>
      </c>
      <c r="K4637" s="2">
        <v>45789</v>
      </c>
    </row>
    <row r="4638" spans="1:11" x14ac:dyDescent="0.25">
      <c r="A4638" s="1" t="s">
        <v>782</v>
      </c>
      <c r="B4638" s="1" t="s">
        <v>1868</v>
      </c>
      <c r="C4638" s="1" t="s">
        <v>2716</v>
      </c>
      <c r="D4638" s="1" t="s">
        <v>1998</v>
      </c>
      <c r="E4638" s="1"/>
      <c r="F4638" s="1" t="s">
        <v>11</v>
      </c>
      <c r="G4638">
        <v>110</v>
      </c>
      <c r="H4638">
        <v>110</v>
      </c>
      <c r="I4638" s="2"/>
      <c r="J4638" s="2">
        <v>45785</v>
      </c>
      <c r="K4638" s="2">
        <v>45789</v>
      </c>
    </row>
    <row r="4639" spans="1:11" x14ac:dyDescent="0.25">
      <c r="A4639" s="1" t="s">
        <v>783</v>
      </c>
      <c r="B4639" s="1" t="s">
        <v>995</v>
      </c>
      <c r="C4639" s="1" t="s">
        <v>2013</v>
      </c>
      <c r="D4639" s="1" t="s">
        <v>1998</v>
      </c>
      <c r="E4639" s="1"/>
      <c r="F4639" s="1" t="s">
        <v>11</v>
      </c>
      <c r="G4639">
        <v>40</v>
      </c>
      <c r="H4639">
        <v>1</v>
      </c>
      <c r="I4639" s="2"/>
      <c r="J4639" s="2">
        <v>45777</v>
      </c>
      <c r="K4639" s="2">
        <v>45789</v>
      </c>
    </row>
    <row r="4640" spans="1:11" x14ac:dyDescent="0.25">
      <c r="A4640" s="1" t="s">
        <v>783</v>
      </c>
      <c r="B4640" s="1" t="s">
        <v>1075</v>
      </c>
      <c r="C4640" s="1" t="s">
        <v>2078</v>
      </c>
      <c r="D4640" s="1" t="s">
        <v>1998</v>
      </c>
      <c r="E4640" s="1"/>
      <c r="F4640" s="1" t="s">
        <v>11</v>
      </c>
      <c r="G4640">
        <v>55</v>
      </c>
      <c r="H4640">
        <v>55</v>
      </c>
      <c r="I4640" s="2"/>
      <c r="J4640" s="2">
        <v>45777</v>
      </c>
      <c r="K4640" s="2">
        <v>45789</v>
      </c>
    </row>
    <row r="4641" spans="1:11" x14ac:dyDescent="0.25">
      <c r="A4641" s="1" t="s">
        <v>783</v>
      </c>
      <c r="B4641" s="1" t="s">
        <v>1052</v>
      </c>
      <c r="C4641" s="1" t="s">
        <v>2061</v>
      </c>
      <c r="D4641" s="1" t="s">
        <v>1998</v>
      </c>
      <c r="E4641" s="1"/>
      <c r="F4641" s="1" t="s">
        <v>11</v>
      </c>
      <c r="G4641">
        <v>515</v>
      </c>
      <c r="H4641">
        <v>650</v>
      </c>
      <c r="I4641" s="2"/>
      <c r="J4641" s="2">
        <v>45777</v>
      </c>
      <c r="K4641" s="2">
        <v>45789</v>
      </c>
    </row>
    <row r="4642" spans="1:11" x14ac:dyDescent="0.25">
      <c r="A4642" s="1" t="s">
        <v>783</v>
      </c>
      <c r="B4642" s="1" t="s">
        <v>999</v>
      </c>
      <c r="C4642" s="1" t="s">
        <v>2017</v>
      </c>
      <c r="D4642" s="1" t="s">
        <v>1998</v>
      </c>
      <c r="E4642" s="1"/>
      <c r="F4642" s="1" t="s">
        <v>11</v>
      </c>
      <c r="G4642">
        <v>1</v>
      </c>
      <c r="H4642">
        <v>1</v>
      </c>
      <c r="I4642" s="2"/>
      <c r="J4642" s="2">
        <v>45777</v>
      </c>
      <c r="K4642" s="2">
        <v>45789</v>
      </c>
    </row>
    <row r="4643" spans="1:11" x14ac:dyDescent="0.25">
      <c r="A4643" s="1" t="s">
        <v>783</v>
      </c>
      <c r="B4643" s="1" t="s">
        <v>1000</v>
      </c>
      <c r="C4643" s="1" t="s">
        <v>2018</v>
      </c>
      <c r="D4643" s="1" t="s">
        <v>1998</v>
      </c>
      <c r="E4643" s="1"/>
      <c r="F4643" s="1" t="s">
        <v>11</v>
      </c>
      <c r="G4643">
        <v>1</v>
      </c>
      <c r="H4643">
        <v>1</v>
      </c>
      <c r="I4643" s="2"/>
      <c r="J4643" s="2">
        <v>45777</v>
      </c>
      <c r="K4643" s="2">
        <v>45789</v>
      </c>
    </row>
    <row r="4644" spans="1:11" x14ac:dyDescent="0.25">
      <c r="A4644" s="1" t="s">
        <v>783</v>
      </c>
      <c r="B4644" s="1" t="s">
        <v>1001</v>
      </c>
      <c r="C4644" s="1" t="s">
        <v>2019</v>
      </c>
      <c r="D4644" s="1" t="s">
        <v>1998</v>
      </c>
      <c r="E4644" s="1"/>
      <c r="F4644" s="1" t="s">
        <v>11</v>
      </c>
      <c r="G4644">
        <v>1</v>
      </c>
      <c r="H4644">
        <v>1</v>
      </c>
      <c r="I4644" s="2"/>
      <c r="J4644" s="2">
        <v>45777</v>
      </c>
      <c r="K4644" s="2">
        <v>45789</v>
      </c>
    </row>
    <row r="4645" spans="1:11" x14ac:dyDescent="0.25">
      <c r="A4645" s="1" t="s">
        <v>783</v>
      </c>
      <c r="B4645" s="1" t="s">
        <v>1076</v>
      </c>
      <c r="C4645" s="1" t="s">
        <v>2079</v>
      </c>
      <c r="D4645" s="1" t="s">
        <v>1998</v>
      </c>
      <c r="E4645" s="1"/>
      <c r="F4645" s="1" t="s">
        <v>11</v>
      </c>
      <c r="G4645">
        <v>1455</v>
      </c>
      <c r="H4645">
        <v>1455</v>
      </c>
      <c r="I4645" s="2"/>
      <c r="J4645" s="2">
        <v>45777</v>
      </c>
      <c r="K4645" s="2">
        <v>45789</v>
      </c>
    </row>
    <row r="4646" spans="1:11" x14ac:dyDescent="0.25">
      <c r="A4646" s="1" t="s">
        <v>783</v>
      </c>
      <c r="B4646" s="1" t="s">
        <v>1077</v>
      </c>
      <c r="C4646" s="1" t="s">
        <v>2080</v>
      </c>
      <c r="D4646" s="1" t="s">
        <v>1998</v>
      </c>
      <c r="E4646" s="1"/>
      <c r="F4646" s="1" t="s">
        <v>11</v>
      </c>
      <c r="G4646">
        <v>1690</v>
      </c>
      <c r="H4646">
        <v>1690</v>
      </c>
      <c r="I4646" s="2"/>
      <c r="J4646" s="2">
        <v>45777</v>
      </c>
      <c r="K4646" s="2">
        <v>45789</v>
      </c>
    </row>
    <row r="4647" spans="1:11" x14ac:dyDescent="0.25">
      <c r="A4647" s="1" t="s">
        <v>784</v>
      </c>
      <c r="B4647" s="1" t="s">
        <v>1646</v>
      </c>
      <c r="C4647" s="1" t="s">
        <v>2560</v>
      </c>
      <c r="D4647" s="1" t="s">
        <v>1998</v>
      </c>
      <c r="E4647" s="1"/>
      <c r="F4647" s="1" t="s">
        <v>11</v>
      </c>
      <c r="G4647">
        <v>3260</v>
      </c>
      <c r="H4647">
        <v>3085</v>
      </c>
      <c r="I4647" s="2"/>
      <c r="J4647" s="2">
        <v>45782</v>
      </c>
      <c r="K4647" s="2">
        <v>45789</v>
      </c>
    </row>
    <row r="4648" spans="1:11" x14ac:dyDescent="0.25">
      <c r="A4648" s="1" t="s">
        <v>785</v>
      </c>
      <c r="B4648" s="1" t="s">
        <v>1016</v>
      </c>
      <c r="C4648" s="1" t="s">
        <v>2033</v>
      </c>
      <c r="D4648" s="1" t="s">
        <v>1998</v>
      </c>
      <c r="E4648" s="1"/>
      <c r="F4648" s="1" t="s">
        <v>11</v>
      </c>
      <c r="G4648">
        <v>75</v>
      </c>
      <c r="H4648">
        <v>75</v>
      </c>
      <c r="I4648" s="2"/>
      <c r="J4648" s="2">
        <v>45777</v>
      </c>
      <c r="K4648" s="2">
        <v>45784</v>
      </c>
    </row>
    <row r="4649" spans="1:11" x14ac:dyDescent="0.25">
      <c r="A4649" s="1" t="s">
        <v>785</v>
      </c>
      <c r="B4649" s="1" t="s">
        <v>1017</v>
      </c>
      <c r="C4649" s="1" t="s">
        <v>2034</v>
      </c>
      <c r="D4649" s="1" t="s">
        <v>1998</v>
      </c>
      <c r="E4649" s="1"/>
      <c r="F4649" s="1" t="s">
        <v>11</v>
      </c>
      <c r="G4649">
        <v>200</v>
      </c>
      <c r="H4649">
        <v>200</v>
      </c>
      <c r="I4649" s="2"/>
      <c r="J4649" s="2">
        <v>45777</v>
      </c>
      <c r="K4649" s="2">
        <v>45784</v>
      </c>
    </row>
    <row r="4650" spans="1:11" x14ac:dyDescent="0.25">
      <c r="A4650" s="1" t="s">
        <v>785</v>
      </c>
      <c r="B4650" s="1" t="s">
        <v>1018</v>
      </c>
      <c r="C4650" s="1" t="s">
        <v>2035</v>
      </c>
      <c r="D4650" s="1" t="s">
        <v>1998</v>
      </c>
      <c r="E4650" s="1"/>
      <c r="F4650" s="1" t="s">
        <v>11</v>
      </c>
      <c r="G4650">
        <v>885</v>
      </c>
      <c r="H4650">
        <v>875</v>
      </c>
      <c r="I4650" s="2"/>
      <c r="J4650" s="2">
        <v>45777</v>
      </c>
      <c r="K4650" s="2">
        <v>45784</v>
      </c>
    </row>
    <row r="4651" spans="1:11" x14ac:dyDescent="0.25">
      <c r="A4651" s="1" t="s">
        <v>785</v>
      </c>
      <c r="B4651" s="1" t="s">
        <v>999</v>
      </c>
      <c r="C4651" s="1" t="s">
        <v>2017</v>
      </c>
      <c r="D4651" s="1" t="s">
        <v>1998</v>
      </c>
      <c r="E4651" s="1"/>
      <c r="F4651" s="1" t="s">
        <v>11</v>
      </c>
      <c r="G4651">
        <v>1</v>
      </c>
      <c r="H4651">
        <v>1</v>
      </c>
      <c r="I4651" s="2"/>
      <c r="J4651" s="2">
        <v>45777</v>
      </c>
      <c r="K4651" s="2">
        <v>45784</v>
      </c>
    </row>
    <row r="4652" spans="1:11" x14ac:dyDescent="0.25">
      <c r="A4652" s="1" t="s">
        <v>785</v>
      </c>
      <c r="B4652" s="1" t="s">
        <v>1000</v>
      </c>
      <c r="C4652" s="1" t="s">
        <v>2018</v>
      </c>
      <c r="D4652" s="1" t="s">
        <v>1998</v>
      </c>
      <c r="E4652" s="1"/>
      <c r="F4652" s="1" t="s">
        <v>11</v>
      </c>
      <c r="G4652">
        <v>5</v>
      </c>
      <c r="H4652">
        <v>5</v>
      </c>
      <c r="I4652" s="2"/>
      <c r="J4652" s="2">
        <v>45777</v>
      </c>
      <c r="K4652" s="2">
        <v>45784</v>
      </c>
    </row>
    <row r="4653" spans="1:11" x14ac:dyDescent="0.25">
      <c r="A4653" s="1" t="s">
        <v>785</v>
      </c>
      <c r="B4653" s="1" t="s">
        <v>1001</v>
      </c>
      <c r="C4653" s="1" t="s">
        <v>2019</v>
      </c>
      <c r="D4653" s="1" t="s">
        <v>1998</v>
      </c>
      <c r="E4653" s="1"/>
      <c r="F4653" s="1" t="s">
        <v>11</v>
      </c>
      <c r="G4653">
        <v>5</v>
      </c>
      <c r="H4653">
        <v>5</v>
      </c>
      <c r="I4653" s="2"/>
      <c r="J4653" s="2">
        <v>45777</v>
      </c>
      <c r="K4653" s="2">
        <v>45784</v>
      </c>
    </row>
    <row r="4654" spans="1:11" x14ac:dyDescent="0.25">
      <c r="A4654" s="1" t="s">
        <v>785</v>
      </c>
      <c r="B4654" s="1" t="s">
        <v>1019</v>
      </c>
      <c r="C4654" s="1" t="s">
        <v>2036</v>
      </c>
      <c r="D4654" s="1" t="s">
        <v>1998</v>
      </c>
      <c r="E4654" s="1"/>
      <c r="F4654" s="1" t="s">
        <v>11</v>
      </c>
      <c r="G4654">
        <v>3135</v>
      </c>
      <c r="H4654">
        <v>3135</v>
      </c>
      <c r="I4654" s="2"/>
      <c r="J4654" s="2">
        <v>45777</v>
      </c>
      <c r="K4654" s="2">
        <v>45784</v>
      </c>
    </row>
    <row r="4655" spans="1:11" x14ac:dyDescent="0.25">
      <c r="A4655" s="1" t="s">
        <v>785</v>
      </c>
      <c r="B4655" s="1" t="s">
        <v>1020</v>
      </c>
      <c r="C4655" s="1" t="s">
        <v>2037</v>
      </c>
      <c r="D4655" s="1" t="s">
        <v>1998</v>
      </c>
      <c r="E4655" s="1"/>
      <c r="F4655" s="1" t="s">
        <v>11</v>
      </c>
      <c r="G4655">
        <v>8375</v>
      </c>
      <c r="H4655">
        <v>8375</v>
      </c>
      <c r="I4655" s="2"/>
      <c r="J4655" s="2">
        <v>45777</v>
      </c>
      <c r="K4655" s="2">
        <v>45784</v>
      </c>
    </row>
    <row r="4656" spans="1:11" x14ac:dyDescent="0.25">
      <c r="A4656" s="1" t="s">
        <v>786</v>
      </c>
      <c r="B4656" s="1" t="s">
        <v>1811</v>
      </c>
      <c r="C4656" s="1" t="s">
        <v>2671</v>
      </c>
      <c r="D4656" s="1" t="s">
        <v>1998</v>
      </c>
      <c r="E4656" s="1"/>
      <c r="F4656" s="1" t="s">
        <v>11</v>
      </c>
      <c r="G4656">
        <v>10</v>
      </c>
      <c r="H4656">
        <v>10</v>
      </c>
      <c r="I4656" s="2">
        <v>45780</v>
      </c>
      <c r="J4656" s="2">
        <v>45776</v>
      </c>
      <c r="K4656" s="2">
        <v>45780</v>
      </c>
    </row>
    <row r="4657" spans="1:11" x14ac:dyDescent="0.25">
      <c r="A4657" s="1" t="s">
        <v>786</v>
      </c>
      <c r="B4657" s="1" t="s">
        <v>1812</v>
      </c>
      <c r="C4657" s="1" t="s">
        <v>2672</v>
      </c>
      <c r="D4657" s="1" t="s">
        <v>1998</v>
      </c>
      <c r="E4657" s="1"/>
      <c r="F4657" s="1" t="s">
        <v>11</v>
      </c>
      <c r="G4657">
        <v>5</v>
      </c>
      <c r="H4657">
        <v>5</v>
      </c>
      <c r="I4657" s="2">
        <v>45780</v>
      </c>
      <c r="J4657" s="2">
        <v>45776</v>
      </c>
      <c r="K4657" s="2">
        <v>45780</v>
      </c>
    </row>
    <row r="4658" spans="1:11" x14ac:dyDescent="0.25">
      <c r="A4658" s="1" t="s">
        <v>786</v>
      </c>
      <c r="B4658" s="1" t="s">
        <v>1813</v>
      </c>
      <c r="C4658" s="1" t="s">
        <v>2673</v>
      </c>
      <c r="D4658" s="1" t="s">
        <v>1998</v>
      </c>
      <c r="E4658" s="1"/>
      <c r="F4658" s="1" t="s">
        <v>11</v>
      </c>
      <c r="G4658">
        <v>20</v>
      </c>
      <c r="H4658">
        <v>20</v>
      </c>
      <c r="I4658" s="2">
        <v>45780</v>
      </c>
      <c r="J4658" s="2">
        <v>45776</v>
      </c>
      <c r="K4658" s="2">
        <v>45780</v>
      </c>
    </row>
    <row r="4659" spans="1:11" x14ac:dyDescent="0.25">
      <c r="A4659" s="1" t="s">
        <v>786</v>
      </c>
      <c r="B4659" s="1" t="s">
        <v>1814</v>
      </c>
      <c r="C4659" s="1" t="s">
        <v>2674</v>
      </c>
      <c r="D4659" s="1" t="s">
        <v>1998</v>
      </c>
      <c r="E4659" s="1"/>
      <c r="F4659" s="1" t="s">
        <v>11</v>
      </c>
      <c r="G4659">
        <v>5</v>
      </c>
      <c r="H4659">
        <v>5</v>
      </c>
      <c r="I4659" s="2">
        <v>45780</v>
      </c>
      <c r="J4659" s="2">
        <v>45776</v>
      </c>
      <c r="K4659" s="2">
        <v>45780</v>
      </c>
    </row>
    <row r="4660" spans="1:11" x14ac:dyDescent="0.25">
      <c r="A4660" s="1" t="s">
        <v>786</v>
      </c>
      <c r="B4660" s="1" t="s">
        <v>1815</v>
      </c>
      <c r="C4660" s="1" t="s">
        <v>2675</v>
      </c>
      <c r="D4660" s="1" t="s">
        <v>1998</v>
      </c>
      <c r="E4660" s="1"/>
      <c r="F4660" s="1" t="s">
        <v>11</v>
      </c>
      <c r="G4660">
        <v>10</v>
      </c>
      <c r="H4660">
        <v>10</v>
      </c>
      <c r="I4660" s="2">
        <v>45780</v>
      </c>
      <c r="J4660" s="2">
        <v>45776</v>
      </c>
      <c r="K4660" s="2">
        <v>45780</v>
      </c>
    </row>
    <row r="4661" spans="1:11" x14ac:dyDescent="0.25">
      <c r="A4661" s="1" t="s">
        <v>786</v>
      </c>
      <c r="B4661" s="1" t="s">
        <v>1816</v>
      </c>
      <c r="C4661" s="1" t="s">
        <v>2731</v>
      </c>
      <c r="D4661" s="1" t="s">
        <v>1998</v>
      </c>
      <c r="E4661" s="1"/>
      <c r="F4661" s="1" t="s">
        <v>11</v>
      </c>
      <c r="G4661">
        <v>5</v>
      </c>
      <c r="H4661">
        <v>5</v>
      </c>
      <c r="I4661" s="2">
        <v>45780</v>
      </c>
      <c r="J4661" s="2">
        <v>45776</v>
      </c>
      <c r="K4661" s="2">
        <v>45780</v>
      </c>
    </row>
    <row r="4662" spans="1:11" x14ac:dyDescent="0.25">
      <c r="A4662" s="1" t="s">
        <v>786</v>
      </c>
      <c r="B4662" s="1" t="s">
        <v>1817</v>
      </c>
      <c r="C4662" s="1" t="s">
        <v>2677</v>
      </c>
      <c r="D4662" s="1" t="s">
        <v>1998</v>
      </c>
      <c r="E4662" s="1"/>
      <c r="F4662" s="1" t="s">
        <v>11</v>
      </c>
      <c r="G4662">
        <v>12425</v>
      </c>
      <c r="H4662">
        <v>12425</v>
      </c>
      <c r="I4662" s="2">
        <v>45780</v>
      </c>
      <c r="J4662" s="2">
        <v>45776</v>
      </c>
      <c r="K4662" s="2">
        <v>45780</v>
      </c>
    </row>
    <row r="4663" spans="1:11" x14ac:dyDescent="0.25">
      <c r="A4663" s="1" t="s">
        <v>786</v>
      </c>
      <c r="B4663" s="1" t="s">
        <v>1818</v>
      </c>
      <c r="C4663" s="1" t="s">
        <v>2678</v>
      </c>
      <c r="D4663" s="1" t="s">
        <v>1998</v>
      </c>
      <c r="E4663" s="1"/>
      <c r="F4663" s="1" t="s">
        <v>11</v>
      </c>
      <c r="G4663">
        <v>405</v>
      </c>
      <c r="H4663">
        <v>405</v>
      </c>
      <c r="I4663" s="2">
        <v>45780</v>
      </c>
      <c r="J4663" s="2">
        <v>45776</v>
      </c>
      <c r="K4663" s="2">
        <v>45780</v>
      </c>
    </row>
    <row r="4664" spans="1:11" x14ac:dyDescent="0.25">
      <c r="A4664" s="1" t="s">
        <v>786</v>
      </c>
      <c r="B4664" s="1" t="s">
        <v>1819</v>
      </c>
      <c r="C4664" s="1" t="s">
        <v>2679</v>
      </c>
      <c r="D4664" s="1" t="s">
        <v>1998</v>
      </c>
      <c r="E4664" s="1"/>
      <c r="F4664" s="1" t="s">
        <v>11</v>
      </c>
      <c r="G4664">
        <v>135</v>
      </c>
      <c r="H4664">
        <v>135</v>
      </c>
      <c r="I4664" s="2">
        <v>45780</v>
      </c>
      <c r="J4664" s="2">
        <v>45776</v>
      </c>
      <c r="K4664" s="2">
        <v>45780</v>
      </c>
    </row>
    <row r="4665" spans="1:11" x14ac:dyDescent="0.25">
      <c r="A4665" s="1" t="s">
        <v>786</v>
      </c>
      <c r="B4665" s="1" t="s">
        <v>1820</v>
      </c>
      <c r="C4665" s="1" t="s">
        <v>2596</v>
      </c>
      <c r="D4665" s="1" t="s">
        <v>1998</v>
      </c>
      <c r="E4665" s="1"/>
      <c r="F4665" s="1" t="s">
        <v>11</v>
      </c>
      <c r="G4665">
        <v>2115</v>
      </c>
      <c r="H4665">
        <v>2115</v>
      </c>
      <c r="I4665" s="2">
        <v>45780</v>
      </c>
      <c r="J4665" s="2">
        <v>45776</v>
      </c>
      <c r="K4665" s="2">
        <v>45780</v>
      </c>
    </row>
    <row r="4666" spans="1:11" x14ac:dyDescent="0.25">
      <c r="A4666" s="1" t="s">
        <v>786</v>
      </c>
      <c r="B4666" s="1" t="s">
        <v>1821</v>
      </c>
      <c r="C4666" s="1" t="s">
        <v>2640</v>
      </c>
      <c r="D4666" s="1" t="s">
        <v>1998</v>
      </c>
      <c r="E4666" s="1"/>
      <c r="F4666" s="1" t="s">
        <v>11</v>
      </c>
      <c r="G4666">
        <v>5700</v>
      </c>
      <c r="H4666">
        <v>5700</v>
      </c>
      <c r="I4666" s="2">
        <v>45780</v>
      </c>
      <c r="J4666" s="2">
        <v>45776</v>
      </c>
      <c r="K4666" s="2">
        <v>45780</v>
      </c>
    </row>
    <row r="4667" spans="1:11" x14ac:dyDescent="0.25">
      <c r="A4667" s="1" t="s">
        <v>786</v>
      </c>
      <c r="B4667" s="1" t="s">
        <v>1822</v>
      </c>
      <c r="C4667" s="1" t="s">
        <v>2680</v>
      </c>
      <c r="D4667" s="1" t="s">
        <v>1998</v>
      </c>
      <c r="E4667" s="1"/>
      <c r="F4667" s="1" t="s">
        <v>11</v>
      </c>
      <c r="G4667">
        <v>10</v>
      </c>
      <c r="H4667">
        <v>10</v>
      </c>
      <c r="I4667" s="2">
        <v>45780</v>
      </c>
      <c r="J4667" s="2">
        <v>45776</v>
      </c>
      <c r="K4667" s="2">
        <v>45780</v>
      </c>
    </row>
    <row r="4668" spans="1:11" x14ac:dyDescent="0.25">
      <c r="A4668" s="1" t="s">
        <v>786</v>
      </c>
      <c r="B4668" s="1" t="s">
        <v>1823</v>
      </c>
      <c r="C4668" s="1" t="s">
        <v>2681</v>
      </c>
      <c r="D4668" s="1" t="s">
        <v>1998</v>
      </c>
      <c r="E4668" s="1"/>
      <c r="F4668" s="1" t="s">
        <v>11</v>
      </c>
      <c r="G4668">
        <v>50</v>
      </c>
      <c r="H4668">
        <v>50</v>
      </c>
      <c r="I4668" s="2">
        <v>45780</v>
      </c>
      <c r="J4668" s="2">
        <v>45776</v>
      </c>
      <c r="K4668" s="2">
        <v>45780</v>
      </c>
    </row>
    <row r="4669" spans="1:11" x14ac:dyDescent="0.25">
      <c r="A4669" s="1" t="s">
        <v>786</v>
      </c>
      <c r="B4669" s="1" t="s">
        <v>1824</v>
      </c>
      <c r="C4669" s="1" t="s">
        <v>2682</v>
      </c>
      <c r="D4669" s="1" t="s">
        <v>1998</v>
      </c>
      <c r="E4669" s="1"/>
      <c r="F4669" s="1" t="s">
        <v>11</v>
      </c>
      <c r="G4669">
        <v>1</v>
      </c>
      <c r="H4669">
        <v>1</v>
      </c>
      <c r="I4669" s="2">
        <v>45780</v>
      </c>
      <c r="J4669" s="2">
        <v>45776</v>
      </c>
      <c r="K4669" s="2">
        <v>45780</v>
      </c>
    </row>
    <row r="4670" spans="1:11" x14ac:dyDescent="0.25">
      <c r="A4670" s="1" t="s">
        <v>787</v>
      </c>
      <c r="B4670" s="1" t="s">
        <v>1755</v>
      </c>
      <c r="C4670" s="1" t="s">
        <v>2640</v>
      </c>
      <c r="D4670" s="1" t="s">
        <v>1998</v>
      </c>
      <c r="E4670" s="1"/>
      <c r="F4670" s="1" t="s">
        <v>11</v>
      </c>
      <c r="G4670">
        <v>5485</v>
      </c>
      <c r="H4670">
        <v>5485</v>
      </c>
      <c r="I4670" s="2">
        <v>45787</v>
      </c>
      <c r="J4670" s="2">
        <v>45776</v>
      </c>
      <c r="K4670" s="2">
        <v>45787</v>
      </c>
    </row>
    <row r="4671" spans="1:11" x14ac:dyDescent="0.25">
      <c r="A4671" s="1" t="s">
        <v>787</v>
      </c>
      <c r="B4671" s="1" t="s">
        <v>1492</v>
      </c>
      <c r="C4671" s="1" t="s">
        <v>2429</v>
      </c>
      <c r="D4671" s="1" t="s">
        <v>1998</v>
      </c>
      <c r="E4671" s="1"/>
      <c r="F4671" s="1" t="s">
        <v>11</v>
      </c>
      <c r="G4671">
        <v>5</v>
      </c>
      <c r="H4671">
        <v>5</v>
      </c>
      <c r="I4671" s="2">
        <v>45787</v>
      </c>
      <c r="J4671" s="2">
        <v>45776</v>
      </c>
      <c r="K4671" s="2">
        <v>45787</v>
      </c>
    </row>
    <row r="4672" spans="1:11" x14ac:dyDescent="0.25">
      <c r="A4672" s="1" t="s">
        <v>787</v>
      </c>
      <c r="B4672" s="1" t="s">
        <v>1493</v>
      </c>
      <c r="C4672" s="1" t="s">
        <v>2429</v>
      </c>
      <c r="D4672" s="1" t="s">
        <v>1998</v>
      </c>
      <c r="E4672" s="1"/>
      <c r="F4672" s="1" t="s">
        <v>11</v>
      </c>
      <c r="G4672">
        <v>10</v>
      </c>
      <c r="H4672">
        <v>10</v>
      </c>
      <c r="I4672" s="2">
        <v>45787</v>
      </c>
      <c r="J4672" s="2">
        <v>45776</v>
      </c>
      <c r="K4672" s="2">
        <v>45787</v>
      </c>
    </row>
    <row r="4673" spans="1:11" x14ac:dyDescent="0.25">
      <c r="A4673" s="1" t="s">
        <v>787</v>
      </c>
      <c r="B4673" s="1" t="s">
        <v>1494</v>
      </c>
      <c r="C4673" s="1" t="s">
        <v>2430</v>
      </c>
      <c r="D4673" s="1" t="s">
        <v>1998</v>
      </c>
      <c r="E4673" s="1"/>
      <c r="F4673" s="1" t="s">
        <v>11</v>
      </c>
      <c r="G4673">
        <v>1</v>
      </c>
      <c r="H4673">
        <v>1</v>
      </c>
      <c r="I4673" s="2">
        <v>45787</v>
      </c>
      <c r="J4673" s="2">
        <v>45776</v>
      </c>
      <c r="K4673" s="2">
        <v>45787</v>
      </c>
    </row>
    <row r="4674" spans="1:11" x14ac:dyDescent="0.25">
      <c r="A4674" s="1" t="s">
        <v>787</v>
      </c>
      <c r="B4674" s="1" t="s">
        <v>1495</v>
      </c>
      <c r="C4674" s="1" t="s">
        <v>2431</v>
      </c>
      <c r="D4674" s="1" t="s">
        <v>1998</v>
      </c>
      <c r="E4674" s="1"/>
      <c r="F4674" s="1" t="s">
        <v>11</v>
      </c>
      <c r="G4674">
        <v>1</v>
      </c>
      <c r="H4674">
        <v>1</v>
      </c>
      <c r="I4674" s="2">
        <v>45787</v>
      </c>
      <c r="J4674" s="2">
        <v>45776</v>
      </c>
      <c r="K4674" s="2">
        <v>45787</v>
      </c>
    </row>
    <row r="4675" spans="1:11" x14ac:dyDescent="0.25">
      <c r="A4675" s="1" t="s">
        <v>787</v>
      </c>
      <c r="B4675" s="1" t="s">
        <v>1496</v>
      </c>
      <c r="C4675" s="1" t="s">
        <v>2432</v>
      </c>
      <c r="D4675" s="1" t="s">
        <v>1998</v>
      </c>
      <c r="E4675" s="1"/>
      <c r="F4675" s="1" t="s">
        <v>11</v>
      </c>
      <c r="G4675">
        <v>1</v>
      </c>
      <c r="H4675">
        <v>1</v>
      </c>
      <c r="I4675" s="2">
        <v>45787</v>
      </c>
      <c r="J4675" s="2">
        <v>45776</v>
      </c>
      <c r="K4675" s="2">
        <v>45787</v>
      </c>
    </row>
    <row r="4676" spans="1:11" x14ac:dyDescent="0.25">
      <c r="A4676" s="1" t="s">
        <v>787</v>
      </c>
      <c r="B4676" s="1" t="s">
        <v>1497</v>
      </c>
      <c r="C4676" s="1" t="s">
        <v>2432</v>
      </c>
      <c r="D4676" s="1" t="s">
        <v>1998</v>
      </c>
      <c r="E4676" s="1"/>
      <c r="F4676" s="1" t="s">
        <v>11</v>
      </c>
      <c r="G4676">
        <v>1</v>
      </c>
      <c r="H4676">
        <v>1</v>
      </c>
      <c r="I4676" s="2">
        <v>45787</v>
      </c>
      <c r="J4676" s="2">
        <v>45776</v>
      </c>
      <c r="K4676" s="2">
        <v>45787</v>
      </c>
    </row>
    <row r="4677" spans="1:11" x14ac:dyDescent="0.25">
      <c r="A4677" s="1" t="s">
        <v>787</v>
      </c>
      <c r="B4677" s="1" t="s">
        <v>1498</v>
      </c>
      <c r="C4677" s="1" t="s">
        <v>2433</v>
      </c>
      <c r="D4677" s="1" t="s">
        <v>1998</v>
      </c>
      <c r="E4677" s="1"/>
      <c r="F4677" s="1" t="s">
        <v>11</v>
      </c>
      <c r="G4677">
        <v>5</v>
      </c>
      <c r="H4677">
        <v>5</v>
      </c>
      <c r="I4677" s="2">
        <v>45787</v>
      </c>
      <c r="J4677" s="2">
        <v>45776</v>
      </c>
      <c r="K4677" s="2">
        <v>45787</v>
      </c>
    </row>
    <row r="4678" spans="1:11" x14ac:dyDescent="0.25">
      <c r="A4678" s="1" t="s">
        <v>787</v>
      </c>
      <c r="B4678" s="1" t="s">
        <v>1499</v>
      </c>
      <c r="C4678" s="1" t="s">
        <v>2433</v>
      </c>
      <c r="D4678" s="1" t="s">
        <v>1998</v>
      </c>
      <c r="E4678" s="1"/>
      <c r="F4678" s="1" t="s">
        <v>11</v>
      </c>
      <c r="G4678">
        <v>5</v>
      </c>
      <c r="H4678">
        <v>5</v>
      </c>
      <c r="I4678" s="2">
        <v>45787</v>
      </c>
      <c r="J4678" s="2">
        <v>45776</v>
      </c>
      <c r="K4678" s="2">
        <v>45787</v>
      </c>
    </row>
    <row r="4679" spans="1:11" x14ac:dyDescent="0.25">
      <c r="A4679" s="1" t="s">
        <v>787</v>
      </c>
      <c r="B4679" s="1" t="s">
        <v>993</v>
      </c>
      <c r="C4679" s="1" t="s">
        <v>2011</v>
      </c>
      <c r="D4679" s="1" t="s">
        <v>1998</v>
      </c>
      <c r="E4679" s="1"/>
      <c r="F4679" s="1" t="s">
        <v>11</v>
      </c>
      <c r="G4679">
        <v>1</v>
      </c>
      <c r="H4679">
        <v>1</v>
      </c>
      <c r="I4679" s="2">
        <v>45787</v>
      </c>
      <c r="J4679" s="2">
        <v>45776</v>
      </c>
      <c r="K4679" s="2">
        <v>45787</v>
      </c>
    </row>
    <row r="4680" spans="1:11" x14ac:dyDescent="0.25">
      <c r="A4680" s="1" t="s">
        <v>788</v>
      </c>
      <c r="B4680" s="1" t="s">
        <v>1755</v>
      </c>
      <c r="C4680" s="1" t="s">
        <v>2640</v>
      </c>
      <c r="D4680" s="1" t="s">
        <v>1998</v>
      </c>
      <c r="E4680" s="1"/>
      <c r="F4680" s="1" t="s">
        <v>11</v>
      </c>
      <c r="G4680">
        <v>5485</v>
      </c>
      <c r="H4680">
        <v>5485</v>
      </c>
      <c r="I4680" s="2">
        <v>45787</v>
      </c>
      <c r="J4680" s="2">
        <v>45776</v>
      </c>
      <c r="K4680" s="2">
        <v>45787</v>
      </c>
    </row>
    <row r="4681" spans="1:11" x14ac:dyDescent="0.25">
      <c r="A4681" s="1" t="s">
        <v>788</v>
      </c>
      <c r="B4681" s="1" t="s">
        <v>1492</v>
      </c>
      <c r="C4681" s="1" t="s">
        <v>2429</v>
      </c>
      <c r="D4681" s="1" t="s">
        <v>1998</v>
      </c>
      <c r="E4681" s="1"/>
      <c r="F4681" s="1" t="s">
        <v>11</v>
      </c>
      <c r="G4681">
        <v>5</v>
      </c>
      <c r="H4681">
        <v>5</v>
      </c>
      <c r="I4681" s="2">
        <v>45787</v>
      </c>
      <c r="J4681" s="2">
        <v>45776</v>
      </c>
      <c r="K4681" s="2">
        <v>45787</v>
      </c>
    </row>
    <row r="4682" spans="1:11" x14ac:dyDescent="0.25">
      <c r="A4682" s="1" t="s">
        <v>788</v>
      </c>
      <c r="B4682" s="1" t="s">
        <v>1493</v>
      </c>
      <c r="C4682" s="1" t="s">
        <v>2429</v>
      </c>
      <c r="D4682" s="1" t="s">
        <v>1998</v>
      </c>
      <c r="E4682" s="1"/>
      <c r="F4682" s="1" t="s">
        <v>11</v>
      </c>
      <c r="G4682">
        <v>10</v>
      </c>
      <c r="H4682">
        <v>10</v>
      </c>
      <c r="I4682" s="2">
        <v>45787</v>
      </c>
      <c r="J4682" s="2">
        <v>45776</v>
      </c>
      <c r="K4682" s="2">
        <v>45787</v>
      </c>
    </row>
    <row r="4683" spans="1:11" x14ac:dyDescent="0.25">
      <c r="A4683" s="1" t="s">
        <v>788</v>
      </c>
      <c r="B4683" s="1" t="s">
        <v>1494</v>
      </c>
      <c r="C4683" s="1" t="s">
        <v>2430</v>
      </c>
      <c r="D4683" s="1" t="s">
        <v>1998</v>
      </c>
      <c r="E4683" s="1"/>
      <c r="F4683" s="1" t="s">
        <v>11</v>
      </c>
      <c r="G4683">
        <v>1</v>
      </c>
      <c r="H4683">
        <v>1</v>
      </c>
      <c r="I4683" s="2">
        <v>45787</v>
      </c>
      <c r="J4683" s="2">
        <v>45776</v>
      </c>
      <c r="K4683" s="2">
        <v>45787</v>
      </c>
    </row>
    <row r="4684" spans="1:11" x14ac:dyDescent="0.25">
      <c r="A4684" s="1" t="s">
        <v>788</v>
      </c>
      <c r="B4684" s="1" t="s">
        <v>1495</v>
      </c>
      <c r="C4684" s="1" t="s">
        <v>2431</v>
      </c>
      <c r="D4684" s="1" t="s">
        <v>1998</v>
      </c>
      <c r="E4684" s="1"/>
      <c r="F4684" s="1" t="s">
        <v>11</v>
      </c>
      <c r="G4684">
        <v>1</v>
      </c>
      <c r="H4684">
        <v>1</v>
      </c>
      <c r="I4684" s="2">
        <v>45787</v>
      </c>
      <c r="J4684" s="2">
        <v>45776</v>
      </c>
      <c r="K4684" s="2">
        <v>45787</v>
      </c>
    </row>
    <row r="4685" spans="1:11" x14ac:dyDescent="0.25">
      <c r="A4685" s="1" t="s">
        <v>788</v>
      </c>
      <c r="B4685" s="1" t="s">
        <v>1496</v>
      </c>
      <c r="C4685" s="1" t="s">
        <v>2432</v>
      </c>
      <c r="D4685" s="1" t="s">
        <v>1998</v>
      </c>
      <c r="E4685" s="1"/>
      <c r="F4685" s="1" t="s">
        <v>11</v>
      </c>
      <c r="G4685">
        <v>1</v>
      </c>
      <c r="H4685">
        <v>1</v>
      </c>
      <c r="I4685" s="2">
        <v>45787</v>
      </c>
      <c r="J4685" s="2">
        <v>45776</v>
      </c>
      <c r="K4685" s="2">
        <v>45787</v>
      </c>
    </row>
    <row r="4686" spans="1:11" x14ac:dyDescent="0.25">
      <c r="A4686" s="1" t="s">
        <v>788</v>
      </c>
      <c r="B4686" s="1" t="s">
        <v>1497</v>
      </c>
      <c r="C4686" s="1" t="s">
        <v>2432</v>
      </c>
      <c r="D4686" s="1" t="s">
        <v>1998</v>
      </c>
      <c r="E4686" s="1"/>
      <c r="F4686" s="1" t="s">
        <v>11</v>
      </c>
      <c r="G4686">
        <v>1</v>
      </c>
      <c r="H4686">
        <v>1</v>
      </c>
      <c r="I4686" s="2">
        <v>45787</v>
      </c>
      <c r="J4686" s="2">
        <v>45776</v>
      </c>
      <c r="K4686" s="2">
        <v>45787</v>
      </c>
    </row>
    <row r="4687" spans="1:11" x14ac:dyDescent="0.25">
      <c r="A4687" s="1" t="s">
        <v>788</v>
      </c>
      <c r="B4687" s="1" t="s">
        <v>1498</v>
      </c>
      <c r="C4687" s="1" t="s">
        <v>2433</v>
      </c>
      <c r="D4687" s="1" t="s">
        <v>1998</v>
      </c>
      <c r="E4687" s="1"/>
      <c r="F4687" s="1" t="s">
        <v>11</v>
      </c>
      <c r="G4687">
        <v>5</v>
      </c>
      <c r="H4687">
        <v>5</v>
      </c>
      <c r="I4687" s="2">
        <v>45787</v>
      </c>
      <c r="J4687" s="2">
        <v>45776</v>
      </c>
      <c r="K4687" s="2">
        <v>45787</v>
      </c>
    </row>
    <row r="4688" spans="1:11" x14ac:dyDescent="0.25">
      <c r="A4688" s="1" t="s">
        <v>788</v>
      </c>
      <c r="B4688" s="1" t="s">
        <v>1499</v>
      </c>
      <c r="C4688" s="1" t="s">
        <v>2433</v>
      </c>
      <c r="D4688" s="1" t="s">
        <v>1998</v>
      </c>
      <c r="E4688" s="1"/>
      <c r="F4688" s="1" t="s">
        <v>11</v>
      </c>
      <c r="G4688">
        <v>5</v>
      </c>
      <c r="H4688">
        <v>5</v>
      </c>
      <c r="I4688" s="2">
        <v>45787</v>
      </c>
      <c r="J4688" s="2">
        <v>45776</v>
      </c>
      <c r="K4688" s="2">
        <v>45787</v>
      </c>
    </row>
    <row r="4689" spans="1:11" x14ac:dyDescent="0.25">
      <c r="A4689" s="1" t="s">
        <v>788</v>
      </c>
      <c r="B4689" s="1" t="s">
        <v>993</v>
      </c>
      <c r="C4689" s="1" t="s">
        <v>2011</v>
      </c>
      <c r="D4689" s="1" t="s">
        <v>1998</v>
      </c>
      <c r="E4689" s="1"/>
      <c r="F4689" s="1" t="s">
        <v>11</v>
      </c>
      <c r="G4689">
        <v>1</v>
      </c>
      <c r="H4689">
        <v>1</v>
      </c>
      <c r="I4689" s="2">
        <v>45787</v>
      </c>
      <c r="J4689" s="2">
        <v>45776</v>
      </c>
      <c r="K4689" s="2">
        <v>45787</v>
      </c>
    </row>
    <row r="4690" spans="1:11" x14ac:dyDescent="0.25">
      <c r="A4690" s="1" t="s">
        <v>789</v>
      </c>
      <c r="B4690" s="1" t="s">
        <v>1237</v>
      </c>
      <c r="C4690" s="1" t="s">
        <v>2221</v>
      </c>
      <c r="D4690" s="1" t="s">
        <v>1998</v>
      </c>
      <c r="E4690" s="1"/>
      <c r="F4690" s="1" t="s">
        <v>11</v>
      </c>
      <c r="G4690">
        <v>2275</v>
      </c>
      <c r="H4690">
        <v>1</v>
      </c>
      <c r="I4690" s="2"/>
      <c r="J4690" s="2">
        <v>45776</v>
      </c>
      <c r="K4690" s="2">
        <v>45776</v>
      </c>
    </row>
    <row r="4691" spans="1:11" x14ac:dyDescent="0.25">
      <c r="A4691" s="1" t="s">
        <v>789</v>
      </c>
      <c r="B4691" s="1" t="s">
        <v>1238</v>
      </c>
      <c r="C4691" s="1" t="s">
        <v>2222</v>
      </c>
      <c r="D4691" s="1" t="s">
        <v>1998</v>
      </c>
      <c r="E4691" s="1"/>
      <c r="F4691" s="1" t="s">
        <v>11</v>
      </c>
      <c r="G4691">
        <v>155</v>
      </c>
      <c r="H4691">
        <v>1</v>
      </c>
      <c r="I4691" s="2"/>
      <c r="J4691" s="2">
        <v>45776</v>
      </c>
      <c r="K4691" s="2">
        <v>45776</v>
      </c>
    </row>
    <row r="4692" spans="1:11" x14ac:dyDescent="0.25">
      <c r="A4692" s="1" t="s">
        <v>789</v>
      </c>
      <c r="B4692" s="1" t="s">
        <v>1239</v>
      </c>
      <c r="C4692" s="1" t="s">
        <v>2223</v>
      </c>
      <c r="D4692" s="1" t="s">
        <v>1998</v>
      </c>
      <c r="E4692" s="1"/>
      <c r="F4692" s="1" t="s">
        <v>11</v>
      </c>
      <c r="G4692">
        <v>2355</v>
      </c>
      <c r="H4692">
        <v>2355</v>
      </c>
      <c r="I4692" s="2"/>
      <c r="J4692" s="2">
        <v>45776</v>
      </c>
      <c r="K4692" s="2">
        <v>45776</v>
      </c>
    </row>
    <row r="4693" spans="1:11" x14ac:dyDescent="0.25">
      <c r="A4693" s="1" t="s">
        <v>790</v>
      </c>
      <c r="B4693" s="1" t="s">
        <v>1889</v>
      </c>
      <c r="C4693" s="1" t="s">
        <v>2735</v>
      </c>
      <c r="D4693" s="1" t="s">
        <v>1998</v>
      </c>
      <c r="E4693" s="1"/>
      <c r="F4693" s="1" t="s">
        <v>11</v>
      </c>
      <c r="G4693">
        <v>10</v>
      </c>
      <c r="H4693">
        <v>10</v>
      </c>
      <c r="I4693" s="2"/>
      <c r="J4693" s="2">
        <v>45778</v>
      </c>
      <c r="K4693" s="2">
        <v>45787</v>
      </c>
    </row>
    <row r="4694" spans="1:11" x14ac:dyDescent="0.25">
      <c r="A4694" s="1" t="s">
        <v>790</v>
      </c>
      <c r="B4694" s="1" t="s">
        <v>1890</v>
      </c>
      <c r="C4694" s="1" t="s">
        <v>2736</v>
      </c>
      <c r="D4694" s="1" t="s">
        <v>1998</v>
      </c>
      <c r="E4694" s="1"/>
      <c r="F4694" s="1" t="s">
        <v>11</v>
      </c>
      <c r="G4694">
        <v>5</v>
      </c>
      <c r="H4694">
        <v>5</v>
      </c>
      <c r="I4694" s="2"/>
      <c r="J4694" s="2">
        <v>45778</v>
      </c>
      <c r="K4694" s="2">
        <v>45787</v>
      </c>
    </row>
    <row r="4695" spans="1:11" x14ac:dyDescent="0.25">
      <c r="A4695" s="1" t="s">
        <v>790</v>
      </c>
      <c r="B4695" s="1" t="s">
        <v>1891</v>
      </c>
      <c r="C4695" s="1" t="s">
        <v>2737</v>
      </c>
      <c r="D4695" s="1" t="s">
        <v>1998</v>
      </c>
      <c r="E4695" s="1"/>
      <c r="F4695" s="1" t="s">
        <v>11</v>
      </c>
      <c r="G4695">
        <v>15</v>
      </c>
      <c r="H4695">
        <v>15</v>
      </c>
      <c r="I4695" s="2"/>
      <c r="J4695" s="2">
        <v>45778</v>
      </c>
      <c r="K4695" s="2">
        <v>45787</v>
      </c>
    </row>
    <row r="4696" spans="1:11" x14ac:dyDescent="0.25">
      <c r="A4696" s="1" t="s">
        <v>790</v>
      </c>
      <c r="B4696" s="1" t="s">
        <v>1892</v>
      </c>
      <c r="C4696" s="1" t="s">
        <v>2738</v>
      </c>
      <c r="D4696" s="1" t="s">
        <v>1998</v>
      </c>
      <c r="E4696" s="1"/>
      <c r="F4696" s="1" t="s">
        <v>11</v>
      </c>
      <c r="G4696">
        <v>5</v>
      </c>
      <c r="H4696">
        <v>5</v>
      </c>
      <c r="I4696" s="2"/>
      <c r="J4696" s="2">
        <v>45778</v>
      </c>
      <c r="K4696" s="2">
        <v>45787</v>
      </c>
    </row>
    <row r="4697" spans="1:11" x14ac:dyDescent="0.25">
      <c r="A4697" s="1" t="s">
        <v>790</v>
      </c>
      <c r="B4697" s="1" t="s">
        <v>1206</v>
      </c>
      <c r="C4697" s="1" t="s">
        <v>2196</v>
      </c>
      <c r="D4697" s="1" t="s">
        <v>1998</v>
      </c>
      <c r="E4697" s="1"/>
      <c r="F4697" s="1" t="s">
        <v>11</v>
      </c>
      <c r="G4697">
        <v>1</v>
      </c>
      <c r="H4697">
        <v>1</v>
      </c>
      <c r="I4697" s="2"/>
      <c r="J4697" s="2">
        <v>45778</v>
      </c>
      <c r="K4697" s="2">
        <v>45787</v>
      </c>
    </row>
    <row r="4698" spans="1:11" x14ac:dyDescent="0.25">
      <c r="A4698" s="1" t="s">
        <v>790</v>
      </c>
      <c r="B4698" s="1" t="s">
        <v>1893</v>
      </c>
      <c r="C4698" s="1" t="s">
        <v>2739</v>
      </c>
      <c r="D4698" s="1" t="s">
        <v>1998</v>
      </c>
      <c r="E4698" s="1"/>
      <c r="F4698" s="1" t="s">
        <v>11</v>
      </c>
      <c r="G4698">
        <v>10</v>
      </c>
      <c r="H4698">
        <v>10</v>
      </c>
      <c r="I4698" s="2"/>
      <c r="J4698" s="2">
        <v>45778</v>
      </c>
      <c r="K4698" s="2">
        <v>45787</v>
      </c>
    </row>
    <row r="4699" spans="1:11" x14ac:dyDescent="0.25">
      <c r="A4699" s="1" t="s">
        <v>791</v>
      </c>
      <c r="B4699" s="1" t="s">
        <v>1755</v>
      </c>
      <c r="C4699" s="1" t="s">
        <v>2640</v>
      </c>
      <c r="D4699" s="1" t="s">
        <v>1998</v>
      </c>
      <c r="E4699" s="1"/>
      <c r="F4699" s="1" t="s">
        <v>11</v>
      </c>
      <c r="G4699">
        <v>5485</v>
      </c>
      <c r="H4699">
        <v>5485</v>
      </c>
      <c r="I4699" s="2">
        <v>45787</v>
      </c>
      <c r="J4699" s="2">
        <v>45776</v>
      </c>
      <c r="K4699" s="2">
        <v>45787</v>
      </c>
    </row>
    <row r="4700" spans="1:11" x14ac:dyDescent="0.25">
      <c r="A4700" s="1" t="s">
        <v>791</v>
      </c>
      <c r="B4700" s="1" t="s">
        <v>1492</v>
      </c>
      <c r="C4700" s="1" t="s">
        <v>2429</v>
      </c>
      <c r="D4700" s="1" t="s">
        <v>1998</v>
      </c>
      <c r="E4700" s="1"/>
      <c r="F4700" s="1" t="s">
        <v>11</v>
      </c>
      <c r="G4700">
        <v>5</v>
      </c>
      <c r="H4700">
        <v>5</v>
      </c>
      <c r="I4700" s="2">
        <v>45787</v>
      </c>
      <c r="J4700" s="2">
        <v>45776</v>
      </c>
      <c r="K4700" s="2">
        <v>45787</v>
      </c>
    </row>
    <row r="4701" spans="1:11" x14ac:dyDescent="0.25">
      <c r="A4701" s="1" t="s">
        <v>791</v>
      </c>
      <c r="B4701" s="1" t="s">
        <v>1493</v>
      </c>
      <c r="C4701" s="1" t="s">
        <v>2429</v>
      </c>
      <c r="D4701" s="1" t="s">
        <v>1998</v>
      </c>
      <c r="E4701" s="1"/>
      <c r="F4701" s="1" t="s">
        <v>11</v>
      </c>
      <c r="G4701">
        <v>10</v>
      </c>
      <c r="H4701">
        <v>10</v>
      </c>
      <c r="I4701" s="2">
        <v>45787</v>
      </c>
      <c r="J4701" s="2">
        <v>45776</v>
      </c>
      <c r="K4701" s="2">
        <v>45787</v>
      </c>
    </row>
    <row r="4702" spans="1:11" x14ac:dyDescent="0.25">
      <c r="A4702" s="1" t="s">
        <v>791</v>
      </c>
      <c r="B4702" s="1" t="s">
        <v>1494</v>
      </c>
      <c r="C4702" s="1" t="s">
        <v>2430</v>
      </c>
      <c r="D4702" s="1" t="s">
        <v>1998</v>
      </c>
      <c r="E4702" s="1"/>
      <c r="F4702" s="1" t="s">
        <v>11</v>
      </c>
      <c r="G4702">
        <v>1</v>
      </c>
      <c r="H4702">
        <v>1</v>
      </c>
      <c r="I4702" s="2">
        <v>45787</v>
      </c>
      <c r="J4702" s="2">
        <v>45776</v>
      </c>
      <c r="K4702" s="2">
        <v>45787</v>
      </c>
    </row>
    <row r="4703" spans="1:11" x14ac:dyDescent="0.25">
      <c r="A4703" s="1" t="s">
        <v>791</v>
      </c>
      <c r="B4703" s="1" t="s">
        <v>1495</v>
      </c>
      <c r="C4703" s="1" t="s">
        <v>2431</v>
      </c>
      <c r="D4703" s="1" t="s">
        <v>1998</v>
      </c>
      <c r="E4703" s="1"/>
      <c r="F4703" s="1" t="s">
        <v>11</v>
      </c>
      <c r="G4703">
        <v>1</v>
      </c>
      <c r="H4703">
        <v>1</v>
      </c>
      <c r="I4703" s="2">
        <v>45787</v>
      </c>
      <c r="J4703" s="2">
        <v>45776</v>
      </c>
      <c r="K4703" s="2">
        <v>45787</v>
      </c>
    </row>
    <row r="4704" spans="1:11" x14ac:dyDescent="0.25">
      <c r="A4704" s="1" t="s">
        <v>791</v>
      </c>
      <c r="B4704" s="1" t="s">
        <v>1496</v>
      </c>
      <c r="C4704" s="1" t="s">
        <v>2432</v>
      </c>
      <c r="D4704" s="1" t="s">
        <v>1998</v>
      </c>
      <c r="E4704" s="1"/>
      <c r="F4704" s="1" t="s">
        <v>11</v>
      </c>
      <c r="G4704">
        <v>1</v>
      </c>
      <c r="H4704">
        <v>1</v>
      </c>
      <c r="I4704" s="2">
        <v>45787</v>
      </c>
      <c r="J4704" s="2">
        <v>45776</v>
      </c>
      <c r="K4704" s="2">
        <v>45787</v>
      </c>
    </row>
    <row r="4705" spans="1:11" x14ac:dyDescent="0.25">
      <c r="A4705" s="1" t="s">
        <v>791</v>
      </c>
      <c r="B4705" s="1" t="s">
        <v>1497</v>
      </c>
      <c r="C4705" s="1" t="s">
        <v>2432</v>
      </c>
      <c r="D4705" s="1" t="s">
        <v>1998</v>
      </c>
      <c r="E4705" s="1"/>
      <c r="F4705" s="1" t="s">
        <v>11</v>
      </c>
      <c r="G4705">
        <v>1</v>
      </c>
      <c r="H4705">
        <v>1</v>
      </c>
      <c r="I4705" s="2">
        <v>45787</v>
      </c>
      <c r="J4705" s="2">
        <v>45776</v>
      </c>
      <c r="K4705" s="2">
        <v>45787</v>
      </c>
    </row>
    <row r="4706" spans="1:11" x14ac:dyDescent="0.25">
      <c r="A4706" s="1" t="s">
        <v>791</v>
      </c>
      <c r="B4706" s="1" t="s">
        <v>1498</v>
      </c>
      <c r="C4706" s="1" t="s">
        <v>2433</v>
      </c>
      <c r="D4706" s="1" t="s">
        <v>1998</v>
      </c>
      <c r="E4706" s="1"/>
      <c r="F4706" s="1" t="s">
        <v>11</v>
      </c>
      <c r="G4706">
        <v>5</v>
      </c>
      <c r="H4706">
        <v>5</v>
      </c>
      <c r="I4706" s="2">
        <v>45787</v>
      </c>
      <c r="J4706" s="2">
        <v>45776</v>
      </c>
      <c r="K4706" s="2">
        <v>45787</v>
      </c>
    </row>
    <row r="4707" spans="1:11" x14ac:dyDescent="0.25">
      <c r="A4707" s="1" t="s">
        <v>791</v>
      </c>
      <c r="B4707" s="1" t="s">
        <v>1499</v>
      </c>
      <c r="C4707" s="1" t="s">
        <v>2433</v>
      </c>
      <c r="D4707" s="1" t="s">
        <v>1998</v>
      </c>
      <c r="E4707" s="1"/>
      <c r="F4707" s="1" t="s">
        <v>11</v>
      </c>
      <c r="G4707">
        <v>5</v>
      </c>
      <c r="H4707">
        <v>5</v>
      </c>
      <c r="I4707" s="2">
        <v>45787</v>
      </c>
      <c r="J4707" s="2">
        <v>45776</v>
      </c>
      <c r="K4707" s="2">
        <v>45787</v>
      </c>
    </row>
    <row r="4708" spans="1:11" x14ac:dyDescent="0.25">
      <c r="A4708" s="1" t="s">
        <v>791</v>
      </c>
      <c r="B4708" s="1" t="s">
        <v>993</v>
      </c>
      <c r="C4708" s="1" t="s">
        <v>2011</v>
      </c>
      <c r="D4708" s="1" t="s">
        <v>1998</v>
      </c>
      <c r="E4708" s="1"/>
      <c r="F4708" s="1" t="s">
        <v>11</v>
      </c>
      <c r="G4708">
        <v>1</v>
      </c>
      <c r="H4708">
        <v>1</v>
      </c>
      <c r="I4708" s="2">
        <v>45787</v>
      </c>
      <c r="J4708" s="2">
        <v>45776</v>
      </c>
      <c r="K4708" s="2">
        <v>45787</v>
      </c>
    </row>
    <row r="4709" spans="1:11" x14ac:dyDescent="0.25">
      <c r="A4709" s="1" t="s">
        <v>792</v>
      </c>
      <c r="B4709" s="1" t="s">
        <v>1755</v>
      </c>
      <c r="C4709" s="1" t="s">
        <v>2640</v>
      </c>
      <c r="D4709" s="1" t="s">
        <v>1998</v>
      </c>
      <c r="E4709" s="1"/>
      <c r="F4709" s="1" t="s">
        <v>11</v>
      </c>
      <c r="G4709">
        <v>5485</v>
      </c>
      <c r="H4709">
        <v>5485</v>
      </c>
      <c r="I4709" s="2">
        <v>45787</v>
      </c>
      <c r="J4709" s="2">
        <v>45776</v>
      </c>
      <c r="K4709" s="2">
        <v>45787</v>
      </c>
    </row>
    <row r="4710" spans="1:11" x14ac:dyDescent="0.25">
      <c r="A4710" s="1" t="s">
        <v>792</v>
      </c>
      <c r="B4710" s="1" t="s">
        <v>1492</v>
      </c>
      <c r="C4710" s="1" t="s">
        <v>2429</v>
      </c>
      <c r="D4710" s="1" t="s">
        <v>1998</v>
      </c>
      <c r="E4710" s="1"/>
      <c r="F4710" s="1" t="s">
        <v>11</v>
      </c>
      <c r="G4710">
        <v>5</v>
      </c>
      <c r="H4710">
        <v>5</v>
      </c>
      <c r="I4710" s="2">
        <v>45787</v>
      </c>
      <c r="J4710" s="2">
        <v>45776</v>
      </c>
      <c r="K4710" s="2">
        <v>45787</v>
      </c>
    </row>
    <row r="4711" spans="1:11" x14ac:dyDescent="0.25">
      <c r="A4711" s="1" t="s">
        <v>792</v>
      </c>
      <c r="B4711" s="1" t="s">
        <v>1493</v>
      </c>
      <c r="C4711" s="1" t="s">
        <v>2429</v>
      </c>
      <c r="D4711" s="1" t="s">
        <v>1998</v>
      </c>
      <c r="E4711" s="1"/>
      <c r="F4711" s="1" t="s">
        <v>11</v>
      </c>
      <c r="G4711">
        <v>10</v>
      </c>
      <c r="H4711">
        <v>10</v>
      </c>
      <c r="I4711" s="2">
        <v>45787</v>
      </c>
      <c r="J4711" s="2">
        <v>45776</v>
      </c>
      <c r="K4711" s="2">
        <v>45787</v>
      </c>
    </row>
    <row r="4712" spans="1:11" x14ac:dyDescent="0.25">
      <c r="A4712" s="1" t="s">
        <v>792</v>
      </c>
      <c r="B4712" s="1" t="s">
        <v>1494</v>
      </c>
      <c r="C4712" s="1" t="s">
        <v>2430</v>
      </c>
      <c r="D4712" s="1" t="s">
        <v>1998</v>
      </c>
      <c r="E4712" s="1"/>
      <c r="F4712" s="1" t="s">
        <v>11</v>
      </c>
      <c r="G4712">
        <v>1</v>
      </c>
      <c r="H4712">
        <v>1</v>
      </c>
      <c r="I4712" s="2">
        <v>45787</v>
      </c>
      <c r="J4712" s="2">
        <v>45776</v>
      </c>
      <c r="K4712" s="2">
        <v>45787</v>
      </c>
    </row>
    <row r="4713" spans="1:11" x14ac:dyDescent="0.25">
      <c r="A4713" s="1" t="s">
        <v>792</v>
      </c>
      <c r="B4713" s="1" t="s">
        <v>1495</v>
      </c>
      <c r="C4713" s="1" t="s">
        <v>2431</v>
      </c>
      <c r="D4713" s="1" t="s">
        <v>1998</v>
      </c>
      <c r="E4713" s="1"/>
      <c r="F4713" s="1" t="s">
        <v>11</v>
      </c>
      <c r="G4713">
        <v>1</v>
      </c>
      <c r="H4713">
        <v>1</v>
      </c>
      <c r="I4713" s="2">
        <v>45787</v>
      </c>
      <c r="J4713" s="2">
        <v>45776</v>
      </c>
      <c r="K4713" s="2">
        <v>45787</v>
      </c>
    </row>
    <row r="4714" spans="1:11" x14ac:dyDescent="0.25">
      <c r="A4714" s="1" t="s">
        <v>792</v>
      </c>
      <c r="B4714" s="1" t="s">
        <v>1496</v>
      </c>
      <c r="C4714" s="1" t="s">
        <v>2432</v>
      </c>
      <c r="D4714" s="1" t="s">
        <v>1998</v>
      </c>
      <c r="E4714" s="1"/>
      <c r="F4714" s="1" t="s">
        <v>11</v>
      </c>
      <c r="G4714">
        <v>1</v>
      </c>
      <c r="H4714">
        <v>1</v>
      </c>
      <c r="I4714" s="2">
        <v>45787</v>
      </c>
      <c r="J4714" s="2">
        <v>45776</v>
      </c>
      <c r="K4714" s="2">
        <v>45787</v>
      </c>
    </row>
    <row r="4715" spans="1:11" x14ac:dyDescent="0.25">
      <c r="A4715" s="1" t="s">
        <v>792</v>
      </c>
      <c r="B4715" s="1" t="s">
        <v>1497</v>
      </c>
      <c r="C4715" s="1" t="s">
        <v>2432</v>
      </c>
      <c r="D4715" s="1" t="s">
        <v>1998</v>
      </c>
      <c r="E4715" s="1"/>
      <c r="F4715" s="1" t="s">
        <v>11</v>
      </c>
      <c r="G4715">
        <v>1</v>
      </c>
      <c r="H4715">
        <v>1</v>
      </c>
      <c r="I4715" s="2">
        <v>45787</v>
      </c>
      <c r="J4715" s="2">
        <v>45776</v>
      </c>
      <c r="K4715" s="2">
        <v>45787</v>
      </c>
    </row>
    <row r="4716" spans="1:11" x14ac:dyDescent="0.25">
      <c r="A4716" s="1" t="s">
        <v>792</v>
      </c>
      <c r="B4716" s="1" t="s">
        <v>1498</v>
      </c>
      <c r="C4716" s="1" t="s">
        <v>2433</v>
      </c>
      <c r="D4716" s="1" t="s">
        <v>1998</v>
      </c>
      <c r="E4716" s="1"/>
      <c r="F4716" s="1" t="s">
        <v>11</v>
      </c>
      <c r="G4716">
        <v>5</v>
      </c>
      <c r="H4716">
        <v>5</v>
      </c>
      <c r="I4716" s="2">
        <v>45787</v>
      </c>
      <c r="J4716" s="2">
        <v>45776</v>
      </c>
      <c r="K4716" s="2">
        <v>45787</v>
      </c>
    </row>
    <row r="4717" spans="1:11" x14ac:dyDescent="0.25">
      <c r="A4717" s="1" t="s">
        <v>792</v>
      </c>
      <c r="B4717" s="1" t="s">
        <v>1499</v>
      </c>
      <c r="C4717" s="1" t="s">
        <v>2433</v>
      </c>
      <c r="D4717" s="1" t="s">
        <v>1998</v>
      </c>
      <c r="E4717" s="1"/>
      <c r="F4717" s="1" t="s">
        <v>11</v>
      </c>
      <c r="G4717">
        <v>5</v>
      </c>
      <c r="H4717">
        <v>5</v>
      </c>
      <c r="I4717" s="2">
        <v>45787</v>
      </c>
      <c r="J4717" s="2">
        <v>45776</v>
      </c>
      <c r="K4717" s="2">
        <v>45787</v>
      </c>
    </row>
    <row r="4718" spans="1:11" x14ac:dyDescent="0.25">
      <c r="A4718" s="1" t="s">
        <v>792</v>
      </c>
      <c r="B4718" s="1" t="s">
        <v>993</v>
      </c>
      <c r="C4718" s="1" t="s">
        <v>2011</v>
      </c>
      <c r="D4718" s="1" t="s">
        <v>1998</v>
      </c>
      <c r="E4718" s="1"/>
      <c r="F4718" s="1" t="s">
        <v>11</v>
      </c>
      <c r="G4718">
        <v>1</v>
      </c>
      <c r="H4718">
        <v>1</v>
      </c>
      <c r="I4718" s="2">
        <v>45787</v>
      </c>
      <c r="J4718" s="2">
        <v>45776</v>
      </c>
      <c r="K4718" s="2">
        <v>45787</v>
      </c>
    </row>
    <row r="4719" spans="1:11" x14ac:dyDescent="0.25">
      <c r="A4719" s="1" t="s">
        <v>793</v>
      </c>
      <c r="B4719" s="1" t="s">
        <v>1894</v>
      </c>
      <c r="C4719" s="1" t="s">
        <v>2456</v>
      </c>
      <c r="D4719" s="1" t="s">
        <v>1998</v>
      </c>
      <c r="E4719" s="1"/>
      <c r="F4719" s="1" t="s">
        <v>11</v>
      </c>
      <c r="G4719">
        <v>5190</v>
      </c>
      <c r="H4719">
        <v>5190</v>
      </c>
      <c r="I4719" s="2"/>
      <c r="J4719" s="2">
        <v>45777</v>
      </c>
      <c r="K4719" s="2">
        <v>45777</v>
      </c>
    </row>
    <row r="4720" spans="1:11" x14ac:dyDescent="0.25">
      <c r="A4720" s="1" t="s">
        <v>794</v>
      </c>
      <c r="B4720" s="1" t="s">
        <v>1800</v>
      </c>
      <c r="C4720" s="1" t="s">
        <v>2666</v>
      </c>
      <c r="D4720" s="1" t="s">
        <v>1998</v>
      </c>
      <c r="E4720" s="1"/>
      <c r="F4720" s="1" t="s">
        <v>11</v>
      </c>
      <c r="G4720">
        <v>20</v>
      </c>
      <c r="H4720">
        <v>20</v>
      </c>
      <c r="I4720" s="2"/>
      <c r="J4720" s="2">
        <v>45777</v>
      </c>
      <c r="K4720" s="2">
        <v>45779</v>
      </c>
    </row>
    <row r="4721" spans="1:11" x14ac:dyDescent="0.25">
      <c r="A4721" s="1" t="s">
        <v>794</v>
      </c>
      <c r="B4721" s="1" t="s">
        <v>1801</v>
      </c>
      <c r="C4721" s="1" t="s">
        <v>2346</v>
      </c>
      <c r="D4721" s="1" t="s">
        <v>1998</v>
      </c>
      <c r="E4721" s="1"/>
      <c r="F4721" s="1" t="s">
        <v>11</v>
      </c>
      <c r="G4721">
        <v>1490</v>
      </c>
      <c r="H4721">
        <v>1490</v>
      </c>
      <c r="I4721" s="2"/>
      <c r="J4721" s="2">
        <v>45777</v>
      </c>
      <c r="K4721" s="2">
        <v>45779</v>
      </c>
    </row>
    <row r="4722" spans="1:11" x14ac:dyDescent="0.25">
      <c r="A4722" s="1" t="s">
        <v>794</v>
      </c>
      <c r="B4722" s="1" t="s">
        <v>1802</v>
      </c>
      <c r="C4722" s="1" t="s">
        <v>2140</v>
      </c>
      <c r="D4722" s="1" t="s">
        <v>1998</v>
      </c>
      <c r="E4722" s="1"/>
      <c r="F4722" s="1" t="s">
        <v>11</v>
      </c>
      <c r="G4722">
        <v>1695</v>
      </c>
      <c r="H4722">
        <v>1695</v>
      </c>
      <c r="I4722" s="2"/>
      <c r="J4722" s="2">
        <v>45777</v>
      </c>
      <c r="K4722" s="2">
        <v>45779</v>
      </c>
    </row>
    <row r="4723" spans="1:11" x14ac:dyDescent="0.25">
      <c r="A4723" s="1" t="s">
        <v>794</v>
      </c>
      <c r="B4723" s="1" t="s">
        <v>1450</v>
      </c>
      <c r="C4723" s="1" t="s">
        <v>2388</v>
      </c>
      <c r="D4723" s="1" t="s">
        <v>1998</v>
      </c>
      <c r="E4723" s="1"/>
      <c r="F4723" s="1" t="s">
        <v>11</v>
      </c>
      <c r="G4723">
        <v>1</v>
      </c>
      <c r="H4723">
        <v>1</v>
      </c>
      <c r="I4723" s="2"/>
      <c r="J4723" s="2">
        <v>45777</v>
      </c>
      <c r="K4723" s="2">
        <v>45779</v>
      </c>
    </row>
    <row r="4724" spans="1:11" x14ac:dyDescent="0.25">
      <c r="A4724" s="1" t="s">
        <v>794</v>
      </c>
      <c r="B4724" s="1" t="s">
        <v>1803</v>
      </c>
      <c r="C4724" s="1" t="s">
        <v>2667</v>
      </c>
      <c r="D4724" s="1" t="s">
        <v>1998</v>
      </c>
      <c r="E4724" s="1"/>
      <c r="F4724" s="1" t="s">
        <v>11</v>
      </c>
      <c r="G4724">
        <v>40</v>
      </c>
      <c r="H4724">
        <v>40</v>
      </c>
      <c r="I4724" s="2"/>
      <c r="J4724" s="2">
        <v>45777</v>
      </c>
      <c r="K4724" s="2">
        <v>45779</v>
      </c>
    </row>
    <row r="4725" spans="1:11" x14ac:dyDescent="0.25">
      <c r="A4725" s="1" t="s">
        <v>795</v>
      </c>
      <c r="B4725" s="1" t="s">
        <v>1062</v>
      </c>
      <c r="C4725" s="1" t="s">
        <v>2069</v>
      </c>
      <c r="D4725" s="1" t="s">
        <v>1998</v>
      </c>
      <c r="E4725" s="1"/>
      <c r="F4725" s="1" t="s">
        <v>11</v>
      </c>
      <c r="G4725">
        <v>105</v>
      </c>
      <c r="H4725">
        <v>1</v>
      </c>
      <c r="I4725" s="2"/>
      <c r="J4725" s="2">
        <v>45777</v>
      </c>
      <c r="K4725" s="2">
        <v>45789</v>
      </c>
    </row>
    <row r="4726" spans="1:11" x14ac:dyDescent="0.25">
      <c r="A4726" s="1" t="s">
        <v>795</v>
      </c>
      <c r="B4726" s="1" t="s">
        <v>1063</v>
      </c>
      <c r="C4726" s="1" t="s">
        <v>2069</v>
      </c>
      <c r="D4726" s="1" t="s">
        <v>1998</v>
      </c>
      <c r="E4726" s="1"/>
      <c r="F4726" s="1" t="s">
        <v>11</v>
      </c>
      <c r="G4726">
        <v>130</v>
      </c>
      <c r="H4726">
        <v>1</v>
      </c>
      <c r="I4726" s="2"/>
      <c r="J4726" s="2">
        <v>45777</v>
      </c>
      <c r="K4726" s="2">
        <v>45789</v>
      </c>
    </row>
    <row r="4727" spans="1:11" x14ac:dyDescent="0.25">
      <c r="A4727" s="1" t="s">
        <v>795</v>
      </c>
      <c r="B4727" s="1" t="s">
        <v>1650</v>
      </c>
      <c r="C4727" s="1" t="s">
        <v>2562</v>
      </c>
      <c r="D4727" s="1" t="s">
        <v>1998</v>
      </c>
      <c r="E4727" s="1"/>
      <c r="F4727" s="1" t="s">
        <v>11</v>
      </c>
      <c r="G4727">
        <v>135</v>
      </c>
      <c r="H4727">
        <v>135</v>
      </c>
      <c r="I4727" s="2"/>
      <c r="J4727" s="2">
        <v>45777</v>
      </c>
      <c r="K4727" s="2">
        <v>45789</v>
      </c>
    </row>
    <row r="4728" spans="1:11" x14ac:dyDescent="0.25">
      <c r="A4728" s="1" t="s">
        <v>795</v>
      </c>
      <c r="B4728" s="1" t="s">
        <v>1651</v>
      </c>
      <c r="C4728" s="1" t="s">
        <v>2563</v>
      </c>
      <c r="D4728" s="1" t="s">
        <v>1998</v>
      </c>
      <c r="E4728" s="1"/>
      <c r="F4728" s="1" t="s">
        <v>11</v>
      </c>
      <c r="G4728">
        <v>1675</v>
      </c>
      <c r="H4728">
        <v>1675</v>
      </c>
      <c r="I4728" s="2"/>
      <c r="J4728" s="2">
        <v>45777</v>
      </c>
      <c r="K4728" s="2">
        <v>45789</v>
      </c>
    </row>
    <row r="4729" spans="1:11" x14ac:dyDescent="0.25">
      <c r="A4729" s="1" t="s">
        <v>795</v>
      </c>
      <c r="B4729" s="1" t="s">
        <v>1652</v>
      </c>
      <c r="C4729" s="1" t="s">
        <v>2564</v>
      </c>
      <c r="D4729" s="1" t="s">
        <v>1998</v>
      </c>
      <c r="E4729" s="1"/>
      <c r="F4729" s="1" t="s">
        <v>11</v>
      </c>
      <c r="G4729">
        <v>14175</v>
      </c>
      <c r="H4729">
        <v>14175</v>
      </c>
      <c r="I4729" s="2"/>
      <c r="J4729" s="2">
        <v>45777</v>
      </c>
      <c r="K4729" s="2">
        <v>45789</v>
      </c>
    </row>
    <row r="4730" spans="1:11" x14ac:dyDescent="0.25">
      <c r="A4730" s="1" t="s">
        <v>795</v>
      </c>
      <c r="B4730" s="1" t="s">
        <v>1653</v>
      </c>
      <c r="C4730" s="1" t="s">
        <v>2565</v>
      </c>
      <c r="D4730" s="1" t="s">
        <v>1998</v>
      </c>
      <c r="E4730" s="1"/>
      <c r="F4730" s="1" t="s">
        <v>11</v>
      </c>
      <c r="G4730">
        <v>6240</v>
      </c>
      <c r="H4730">
        <v>6240</v>
      </c>
      <c r="I4730" s="2"/>
      <c r="J4730" s="2">
        <v>45777</v>
      </c>
      <c r="K4730" s="2">
        <v>45789</v>
      </c>
    </row>
    <row r="4731" spans="1:11" x14ac:dyDescent="0.25">
      <c r="A4731" s="1" t="s">
        <v>795</v>
      </c>
      <c r="B4731" s="1" t="s">
        <v>1654</v>
      </c>
      <c r="C4731" s="1" t="s">
        <v>2566</v>
      </c>
      <c r="D4731" s="1" t="s">
        <v>1998</v>
      </c>
      <c r="E4731" s="1"/>
      <c r="F4731" s="1" t="s">
        <v>11</v>
      </c>
      <c r="G4731">
        <v>3555</v>
      </c>
      <c r="H4731">
        <v>1</v>
      </c>
      <c r="I4731" s="2"/>
      <c r="J4731" s="2">
        <v>45777</v>
      </c>
      <c r="K4731" s="2">
        <v>45789</v>
      </c>
    </row>
    <row r="4732" spans="1:11" x14ac:dyDescent="0.25">
      <c r="A4732" s="1" t="s">
        <v>795</v>
      </c>
      <c r="B4732" s="1" t="s">
        <v>1655</v>
      </c>
      <c r="C4732" s="1" t="s">
        <v>2071</v>
      </c>
      <c r="D4732" s="1" t="s">
        <v>1998</v>
      </c>
      <c r="E4732" s="1"/>
      <c r="F4732" s="1" t="s">
        <v>11</v>
      </c>
      <c r="G4732">
        <v>30</v>
      </c>
      <c r="H4732">
        <v>30</v>
      </c>
      <c r="I4732" s="2"/>
      <c r="J4732" s="2">
        <v>45777</v>
      </c>
      <c r="K4732" s="2">
        <v>45789</v>
      </c>
    </row>
    <row r="4733" spans="1:11" x14ac:dyDescent="0.25">
      <c r="A4733" s="1" t="s">
        <v>795</v>
      </c>
      <c r="B4733" s="1" t="s">
        <v>1656</v>
      </c>
      <c r="C4733" s="1" t="s">
        <v>2071</v>
      </c>
      <c r="D4733" s="1" t="s">
        <v>1998</v>
      </c>
      <c r="E4733" s="1"/>
      <c r="F4733" s="1" t="s">
        <v>11</v>
      </c>
      <c r="G4733">
        <v>8170</v>
      </c>
      <c r="H4733">
        <v>8170</v>
      </c>
      <c r="I4733" s="2"/>
      <c r="J4733" s="2">
        <v>45777</v>
      </c>
      <c r="K4733" s="2">
        <v>45789</v>
      </c>
    </row>
    <row r="4734" spans="1:11" x14ac:dyDescent="0.25">
      <c r="A4734" s="1" t="s">
        <v>795</v>
      </c>
      <c r="B4734" s="1" t="s">
        <v>1657</v>
      </c>
      <c r="C4734" s="1" t="s">
        <v>2567</v>
      </c>
      <c r="D4734" s="1" t="s">
        <v>1998</v>
      </c>
      <c r="E4734" s="1"/>
      <c r="F4734" s="1" t="s">
        <v>11</v>
      </c>
      <c r="G4734">
        <v>140</v>
      </c>
      <c r="H4734">
        <v>140</v>
      </c>
      <c r="I4734" s="2"/>
      <c r="J4734" s="2">
        <v>45777</v>
      </c>
      <c r="K4734" s="2">
        <v>45789</v>
      </c>
    </row>
    <row r="4735" spans="1:11" x14ac:dyDescent="0.25">
      <c r="A4735" s="1" t="s">
        <v>795</v>
      </c>
      <c r="B4735" s="1" t="s">
        <v>1658</v>
      </c>
      <c r="C4735" s="1" t="s">
        <v>2568</v>
      </c>
      <c r="D4735" s="1" t="s">
        <v>1998</v>
      </c>
      <c r="E4735" s="1"/>
      <c r="F4735" s="1" t="s">
        <v>11</v>
      </c>
      <c r="G4735">
        <v>7875</v>
      </c>
      <c r="H4735">
        <v>7875</v>
      </c>
      <c r="I4735" s="2"/>
      <c r="J4735" s="2">
        <v>45777</v>
      </c>
      <c r="K4735" s="2">
        <v>45789</v>
      </c>
    </row>
    <row r="4736" spans="1:11" x14ac:dyDescent="0.25">
      <c r="A4736" s="1" t="s">
        <v>795</v>
      </c>
      <c r="B4736" s="1" t="s">
        <v>1659</v>
      </c>
      <c r="C4736" s="1" t="s">
        <v>2569</v>
      </c>
      <c r="D4736" s="1" t="s">
        <v>1998</v>
      </c>
      <c r="E4736" s="1"/>
      <c r="F4736" s="1" t="s">
        <v>11</v>
      </c>
      <c r="G4736">
        <v>165</v>
      </c>
      <c r="H4736">
        <v>165</v>
      </c>
      <c r="I4736" s="2"/>
      <c r="J4736" s="2">
        <v>45777</v>
      </c>
      <c r="K4736" s="2">
        <v>45789</v>
      </c>
    </row>
    <row r="4737" spans="1:11" x14ac:dyDescent="0.25">
      <c r="A4737" s="1" t="s">
        <v>795</v>
      </c>
      <c r="B4737" s="1" t="s">
        <v>1634</v>
      </c>
      <c r="C4737" s="1" t="s">
        <v>2549</v>
      </c>
      <c r="D4737" s="1" t="s">
        <v>1998</v>
      </c>
      <c r="E4737" s="1"/>
      <c r="F4737" s="1" t="s">
        <v>11</v>
      </c>
      <c r="G4737">
        <v>5</v>
      </c>
      <c r="H4737">
        <v>5</v>
      </c>
      <c r="I4737" s="2"/>
      <c r="J4737" s="2">
        <v>45777</v>
      </c>
      <c r="K4737" s="2">
        <v>45789</v>
      </c>
    </row>
    <row r="4738" spans="1:11" x14ac:dyDescent="0.25">
      <c r="A4738" s="1" t="s">
        <v>795</v>
      </c>
      <c r="B4738" s="1" t="s">
        <v>1634</v>
      </c>
      <c r="C4738" s="1" t="s">
        <v>2549</v>
      </c>
      <c r="D4738" s="1" t="s">
        <v>1998</v>
      </c>
      <c r="E4738" s="1"/>
      <c r="F4738" s="1" t="s">
        <v>11</v>
      </c>
      <c r="G4738">
        <v>5</v>
      </c>
      <c r="H4738">
        <v>5</v>
      </c>
      <c r="I4738" s="2"/>
      <c r="J4738" s="2">
        <v>45777</v>
      </c>
      <c r="K4738" s="2">
        <v>45789</v>
      </c>
    </row>
    <row r="4739" spans="1:11" x14ac:dyDescent="0.25">
      <c r="A4739" s="1" t="s">
        <v>795</v>
      </c>
      <c r="B4739" s="1" t="s">
        <v>1635</v>
      </c>
      <c r="C4739" s="1" t="s">
        <v>2550</v>
      </c>
      <c r="D4739" s="1" t="s">
        <v>1998</v>
      </c>
      <c r="E4739" s="1"/>
      <c r="F4739" s="1" t="s">
        <v>11</v>
      </c>
      <c r="G4739">
        <v>50</v>
      </c>
      <c r="H4739">
        <v>50</v>
      </c>
      <c r="I4739" s="2"/>
      <c r="J4739" s="2">
        <v>45777</v>
      </c>
      <c r="K4739" s="2">
        <v>45789</v>
      </c>
    </row>
    <row r="4740" spans="1:11" x14ac:dyDescent="0.25">
      <c r="A4740" s="1" t="s">
        <v>795</v>
      </c>
      <c r="B4740" s="1" t="s">
        <v>1635</v>
      </c>
      <c r="C4740" s="1" t="s">
        <v>2550</v>
      </c>
      <c r="D4740" s="1" t="s">
        <v>1998</v>
      </c>
      <c r="E4740" s="1"/>
      <c r="F4740" s="1" t="s">
        <v>11</v>
      </c>
      <c r="G4740">
        <v>50</v>
      </c>
      <c r="H4740">
        <v>50</v>
      </c>
      <c r="I4740" s="2"/>
      <c r="J4740" s="2">
        <v>45777</v>
      </c>
      <c r="K4740" s="2">
        <v>45789</v>
      </c>
    </row>
    <row r="4741" spans="1:11" x14ac:dyDescent="0.25">
      <c r="A4741" s="1" t="s">
        <v>795</v>
      </c>
      <c r="B4741" s="1" t="s">
        <v>1636</v>
      </c>
      <c r="C4741" s="1" t="s">
        <v>2551</v>
      </c>
      <c r="D4741" s="1" t="s">
        <v>1998</v>
      </c>
      <c r="E4741" s="1"/>
      <c r="F4741" s="1" t="s">
        <v>11</v>
      </c>
      <c r="G4741">
        <v>555</v>
      </c>
      <c r="H4741">
        <v>555</v>
      </c>
      <c r="I4741" s="2"/>
      <c r="J4741" s="2">
        <v>45777</v>
      </c>
      <c r="K4741" s="2">
        <v>45789</v>
      </c>
    </row>
    <row r="4742" spans="1:11" x14ac:dyDescent="0.25">
      <c r="A4742" s="1" t="s">
        <v>795</v>
      </c>
      <c r="B4742" s="1" t="s">
        <v>1637</v>
      </c>
      <c r="C4742" s="1" t="s">
        <v>2552</v>
      </c>
      <c r="D4742" s="1" t="s">
        <v>1998</v>
      </c>
      <c r="E4742" s="1"/>
      <c r="F4742" s="1" t="s">
        <v>11</v>
      </c>
      <c r="G4742">
        <v>555</v>
      </c>
      <c r="H4742">
        <v>555</v>
      </c>
      <c r="I4742" s="2"/>
      <c r="J4742" s="2">
        <v>45777</v>
      </c>
      <c r="K4742" s="2">
        <v>45789</v>
      </c>
    </row>
    <row r="4743" spans="1:11" x14ac:dyDescent="0.25">
      <c r="A4743" s="1" t="s">
        <v>795</v>
      </c>
      <c r="B4743" s="1" t="s">
        <v>1069</v>
      </c>
      <c r="C4743" s="1" t="s">
        <v>2075</v>
      </c>
      <c r="D4743" s="1" t="s">
        <v>1998</v>
      </c>
      <c r="E4743" s="1"/>
      <c r="F4743" s="1" t="s">
        <v>11</v>
      </c>
      <c r="G4743">
        <v>105</v>
      </c>
      <c r="H4743">
        <v>1</v>
      </c>
      <c r="I4743" s="2"/>
      <c r="J4743" s="2">
        <v>45777</v>
      </c>
      <c r="K4743" s="2">
        <v>45789</v>
      </c>
    </row>
    <row r="4744" spans="1:11" x14ac:dyDescent="0.25">
      <c r="A4744" s="1" t="s">
        <v>795</v>
      </c>
      <c r="B4744" s="1" t="s">
        <v>1070</v>
      </c>
      <c r="C4744" s="1" t="s">
        <v>2076</v>
      </c>
      <c r="D4744" s="1" t="s">
        <v>1998</v>
      </c>
      <c r="E4744" s="1"/>
      <c r="F4744" s="1" t="s">
        <v>11</v>
      </c>
      <c r="G4744">
        <v>125</v>
      </c>
      <c r="H4744">
        <v>1</v>
      </c>
      <c r="I4744" s="2"/>
      <c r="J4744" s="2">
        <v>45777</v>
      </c>
      <c r="K4744" s="2">
        <v>45789</v>
      </c>
    </row>
    <row r="4745" spans="1:11" x14ac:dyDescent="0.25">
      <c r="A4745" s="1" t="s">
        <v>795</v>
      </c>
      <c r="B4745" s="1" t="s">
        <v>1660</v>
      </c>
      <c r="C4745" s="1" t="s">
        <v>2570</v>
      </c>
      <c r="D4745" s="1" t="s">
        <v>1998</v>
      </c>
      <c r="E4745" s="1"/>
      <c r="F4745" s="1" t="s">
        <v>11</v>
      </c>
      <c r="G4745">
        <v>1</v>
      </c>
      <c r="H4745">
        <v>1</v>
      </c>
      <c r="I4745" s="2"/>
      <c r="J4745" s="2">
        <v>45777</v>
      </c>
      <c r="K4745" s="2">
        <v>45789</v>
      </c>
    </row>
    <row r="4746" spans="1:11" x14ac:dyDescent="0.25">
      <c r="A4746" s="1" t="s">
        <v>795</v>
      </c>
      <c r="B4746" s="1" t="s">
        <v>1661</v>
      </c>
      <c r="C4746" s="1" t="s">
        <v>2571</v>
      </c>
      <c r="D4746" s="1" t="s">
        <v>1998</v>
      </c>
      <c r="E4746" s="1"/>
      <c r="F4746" s="1" t="s">
        <v>11</v>
      </c>
      <c r="G4746">
        <v>745</v>
      </c>
      <c r="H4746">
        <v>745</v>
      </c>
      <c r="I4746" s="2"/>
      <c r="J4746" s="2">
        <v>45777</v>
      </c>
      <c r="K4746" s="2">
        <v>45789</v>
      </c>
    </row>
    <row r="4747" spans="1:11" x14ac:dyDescent="0.25">
      <c r="A4747" s="1" t="s">
        <v>795</v>
      </c>
      <c r="B4747" s="1" t="s">
        <v>1662</v>
      </c>
      <c r="C4747" s="1" t="s">
        <v>2572</v>
      </c>
      <c r="D4747" s="1" t="s">
        <v>1998</v>
      </c>
      <c r="E4747" s="1"/>
      <c r="F4747" s="1" t="s">
        <v>11</v>
      </c>
      <c r="G4747">
        <v>25</v>
      </c>
      <c r="H4747">
        <v>25</v>
      </c>
      <c r="I4747" s="2"/>
      <c r="J4747" s="2">
        <v>45777</v>
      </c>
      <c r="K4747" s="2">
        <v>45789</v>
      </c>
    </row>
    <row r="4748" spans="1:11" x14ac:dyDescent="0.25">
      <c r="A4748" s="1" t="s">
        <v>796</v>
      </c>
      <c r="B4748" s="1" t="s">
        <v>1216</v>
      </c>
      <c r="C4748" s="1" t="s">
        <v>2204</v>
      </c>
      <c r="D4748" s="1" t="s">
        <v>1998</v>
      </c>
      <c r="E4748" s="1"/>
      <c r="F4748" s="1" t="s">
        <v>11</v>
      </c>
      <c r="G4748">
        <v>485</v>
      </c>
      <c r="H4748">
        <v>1</v>
      </c>
      <c r="I4748" s="2"/>
      <c r="J4748" s="2">
        <v>45777</v>
      </c>
      <c r="K4748" s="2">
        <v>45789</v>
      </c>
    </row>
    <row r="4749" spans="1:11" x14ac:dyDescent="0.25">
      <c r="A4749" s="1" t="s">
        <v>796</v>
      </c>
      <c r="B4749" s="1" t="s">
        <v>1585</v>
      </c>
      <c r="C4749" s="1" t="s">
        <v>2504</v>
      </c>
      <c r="D4749" s="1" t="s">
        <v>1998</v>
      </c>
      <c r="E4749" s="1"/>
      <c r="F4749" s="1" t="s">
        <v>11</v>
      </c>
      <c r="G4749">
        <v>355</v>
      </c>
      <c r="H4749">
        <v>370</v>
      </c>
      <c r="I4749" s="2"/>
      <c r="J4749" s="2">
        <v>45777</v>
      </c>
      <c r="K4749" s="2">
        <v>45789</v>
      </c>
    </row>
    <row r="4750" spans="1:11" x14ac:dyDescent="0.25">
      <c r="A4750" s="1" t="s">
        <v>796</v>
      </c>
      <c r="B4750" s="1" t="s">
        <v>1585</v>
      </c>
      <c r="C4750" s="1" t="s">
        <v>2504</v>
      </c>
      <c r="D4750" s="1" t="s">
        <v>1998</v>
      </c>
      <c r="E4750" s="1"/>
      <c r="F4750" s="1" t="s">
        <v>11</v>
      </c>
      <c r="G4750">
        <v>200</v>
      </c>
      <c r="H4750">
        <v>235</v>
      </c>
      <c r="I4750" s="2"/>
      <c r="J4750" s="2">
        <v>45777</v>
      </c>
      <c r="K4750" s="2">
        <v>45789</v>
      </c>
    </row>
    <row r="4751" spans="1:11" x14ac:dyDescent="0.25">
      <c r="A4751" s="1" t="s">
        <v>796</v>
      </c>
      <c r="B4751" s="1" t="s">
        <v>1895</v>
      </c>
      <c r="C4751" s="1" t="s">
        <v>2456</v>
      </c>
      <c r="D4751" s="1" t="s">
        <v>1998</v>
      </c>
      <c r="E4751" s="1"/>
      <c r="F4751" s="1" t="s">
        <v>11</v>
      </c>
      <c r="G4751">
        <v>8025</v>
      </c>
      <c r="H4751">
        <v>8025</v>
      </c>
      <c r="I4751" s="2"/>
      <c r="J4751" s="2">
        <v>45777</v>
      </c>
      <c r="K4751" s="2">
        <v>45789</v>
      </c>
    </row>
    <row r="4752" spans="1:11" x14ac:dyDescent="0.25">
      <c r="A4752" s="1" t="s">
        <v>796</v>
      </c>
      <c r="B4752" s="1" t="s">
        <v>1012</v>
      </c>
      <c r="C4752" s="1" t="s">
        <v>2029</v>
      </c>
      <c r="D4752" s="1" t="s">
        <v>1998</v>
      </c>
      <c r="E4752" s="1"/>
      <c r="F4752" s="1" t="s">
        <v>11</v>
      </c>
      <c r="G4752">
        <v>215</v>
      </c>
      <c r="H4752">
        <v>1</v>
      </c>
      <c r="I4752" s="2"/>
      <c r="J4752" s="2">
        <v>45777</v>
      </c>
      <c r="K4752" s="2">
        <v>45789</v>
      </c>
    </row>
    <row r="4753" spans="1:11" x14ac:dyDescent="0.25">
      <c r="A4753" s="1" t="s">
        <v>796</v>
      </c>
      <c r="B4753" s="1" t="s">
        <v>1027</v>
      </c>
      <c r="C4753" s="1" t="s">
        <v>2040</v>
      </c>
      <c r="D4753" s="1" t="s">
        <v>1998</v>
      </c>
      <c r="E4753" s="1"/>
      <c r="F4753" s="1" t="s">
        <v>12</v>
      </c>
      <c r="G4753">
        <v>1</v>
      </c>
      <c r="H4753">
        <v>85</v>
      </c>
      <c r="I4753" s="2"/>
      <c r="J4753" s="2">
        <v>45777</v>
      </c>
      <c r="K4753" s="2">
        <v>45789</v>
      </c>
    </row>
    <row r="4754" spans="1:11" x14ac:dyDescent="0.25">
      <c r="A4754" s="1" t="s">
        <v>796</v>
      </c>
      <c r="B4754" s="1" t="s">
        <v>1027</v>
      </c>
      <c r="C4754" s="1" t="s">
        <v>2040</v>
      </c>
      <c r="D4754" s="1" t="s">
        <v>1998</v>
      </c>
      <c r="E4754" s="1"/>
      <c r="F4754" s="1" t="s">
        <v>12</v>
      </c>
      <c r="G4754">
        <v>1</v>
      </c>
      <c r="H4754">
        <v>85</v>
      </c>
      <c r="I4754" s="2"/>
      <c r="J4754" s="2">
        <v>45777</v>
      </c>
      <c r="K4754" s="2">
        <v>45789</v>
      </c>
    </row>
    <row r="4755" spans="1:11" x14ac:dyDescent="0.25">
      <c r="A4755" s="1" t="s">
        <v>796</v>
      </c>
      <c r="B4755" s="1" t="s">
        <v>1013</v>
      </c>
      <c r="C4755" s="1" t="s">
        <v>2030</v>
      </c>
      <c r="D4755" s="1" t="s">
        <v>1998</v>
      </c>
      <c r="E4755" s="1"/>
      <c r="F4755" s="1" t="s">
        <v>11</v>
      </c>
      <c r="G4755">
        <v>50</v>
      </c>
      <c r="H4755">
        <v>50</v>
      </c>
      <c r="I4755" s="2"/>
      <c r="J4755" s="2">
        <v>45777</v>
      </c>
      <c r="K4755" s="2">
        <v>45789</v>
      </c>
    </row>
    <row r="4756" spans="1:11" x14ac:dyDescent="0.25">
      <c r="A4756" s="1" t="s">
        <v>796</v>
      </c>
      <c r="B4756" s="1" t="s">
        <v>993</v>
      </c>
      <c r="C4756" s="1" t="s">
        <v>2011</v>
      </c>
      <c r="D4756" s="1" t="s">
        <v>1998</v>
      </c>
      <c r="E4756" s="1"/>
      <c r="F4756" s="1" t="s">
        <v>11</v>
      </c>
      <c r="G4756">
        <v>20</v>
      </c>
      <c r="H4756">
        <v>20</v>
      </c>
      <c r="I4756" s="2"/>
      <c r="J4756" s="2">
        <v>45777</v>
      </c>
      <c r="K4756" s="2">
        <v>45789</v>
      </c>
    </row>
    <row r="4757" spans="1:11" x14ac:dyDescent="0.25">
      <c r="A4757" s="1" t="s">
        <v>796</v>
      </c>
      <c r="B4757" s="1" t="s">
        <v>1896</v>
      </c>
      <c r="C4757" s="1" t="s">
        <v>2740</v>
      </c>
      <c r="D4757" s="1" t="s">
        <v>1998</v>
      </c>
      <c r="E4757" s="1"/>
      <c r="F4757" s="1" t="s">
        <v>12</v>
      </c>
      <c r="G4757">
        <v>1</v>
      </c>
      <c r="H4757">
        <v>80</v>
      </c>
      <c r="I4757" s="2"/>
      <c r="J4757" s="2">
        <v>45777</v>
      </c>
      <c r="K4757" s="2">
        <v>45789</v>
      </c>
    </row>
    <row r="4758" spans="1:11" x14ac:dyDescent="0.25">
      <c r="A4758" s="1" t="s">
        <v>796</v>
      </c>
      <c r="B4758" s="1" t="s">
        <v>1897</v>
      </c>
      <c r="C4758" s="1" t="s">
        <v>2206</v>
      </c>
      <c r="D4758" s="1" t="s">
        <v>1998</v>
      </c>
      <c r="E4758" s="1"/>
      <c r="F4758" s="1" t="s">
        <v>11</v>
      </c>
      <c r="G4758">
        <v>2040</v>
      </c>
      <c r="H4758">
        <v>2040</v>
      </c>
      <c r="I4758" s="2"/>
      <c r="J4758" s="2">
        <v>45777</v>
      </c>
      <c r="K4758" s="2">
        <v>45789</v>
      </c>
    </row>
    <row r="4759" spans="1:11" x14ac:dyDescent="0.25">
      <c r="A4759" s="1" t="s">
        <v>797</v>
      </c>
      <c r="B4759" s="1" t="s">
        <v>1755</v>
      </c>
      <c r="C4759" s="1" t="s">
        <v>2640</v>
      </c>
      <c r="D4759" s="1" t="s">
        <v>1998</v>
      </c>
      <c r="E4759" s="1"/>
      <c r="F4759" s="1" t="s">
        <v>11</v>
      </c>
      <c r="G4759">
        <v>5485</v>
      </c>
      <c r="H4759">
        <v>5485</v>
      </c>
      <c r="I4759" s="2">
        <v>45787</v>
      </c>
      <c r="J4759" s="2">
        <v>45777</v>
      </c>
      <c r="K4759" s="2">
        <v>45787</v>
      </c>
    </row>
    <row r="4760" spans="1:11" x14ac:dyDescent="0.25">
      <c r="A4760" s="1" t="s">
        <v>797</v>
      </c>
      <c r="B4760" s="1" t="s">
        <v>1492</v>
      </c>
      <c r="C4760" s="1" t="s">
        <v>2429</v>
      </c>
      <c r="D4760" s="1" t="s">
        <v>1998</v>
      </c>
      <c r="E4760" s="1"/>
      <c r="F4760" s="1" t="s">
        <v>11</v>
      </c>
      <c r="G4760">
        <v>5</v>
      </c>
      <c r="H4760">
        <v>5</v>
      </c>
      <c r="I4760" s="2">
        <v>45787</v>
      </c>
      <c r="J4760" s="2">
        <v>45777</v>
      </c>
      <c r="K4760" s="2">
        <v>45787</v>
      </c>
    </row>
    <row r="4761" spans="1:11" x14ac:dyDescent="0.25">
      <c r="A4761" s="1" t="s">
        <v>797</v>
      </c>
      <c r="B4761" s="1" t="s">
        <v>1493</v>
      </c>
      <c r="C4761" s="1" t="s">
        <v>2429</v>
      </c>
      <c r="D4761" s="1" t="s">
        <v>1998</v>
      </c>
      <c r="E4761" s="1"/>
      <c r="F4761" s="1" t="s">
        <v>11</v>
      </c>
      <c r="G4761">
        <v>10</v>
      </c>
      <c r="H4761">
        <v>10</v>
      </c>
      <c r="I4761" s="2">
        <v>45787</v>
      </c>
      <c r="J4761" s="2">
        <v>45777</v>
      </c>
      <c r="K4761" s="2">
        <v>45787</v>
      </c>
    </row>
    <row r="4762" spans="1:11" x14ac:dyDescent="0.25">
      <c r="A4762" s="1" t="s">
        <v>797</v>
      </c>
      <c r="B4762" s="1" t="s">
        <v>1494</v>
      </c>
      <c r="C4762" s="1" t="s">
        <v>2430</v>
      </c>
      <c r="D4762" s="1" t="s">
        <v>1998</v>
      </c>
      <c r="E4762" s="1"/>
      <c r="F4762" s="1" t="s">
        <v>11</v>
      </c>
      <c r="G4762">
        <v>1</v>
      </c>
      <c r="H4762">
        <v>1</v>
      </c>
      <c r="I4762" s="2">
        <v>45787</v>
      </c>
      <c r="J4762" s="2">
        <v>45777</v>
      </c>
      <c r="K4762" s="2">
        <v>45787</v>
      </c>
    </row>
    <row r="4763" spans="1:11" x14ac:dyDescent="0.25">
      <c r="A4763" s="1" t="s">
        <v>797</v>
      </c>
      <c r="B4763" s="1" t="s">
        <v>1495</v>
      </c>
      <c r="C4763" s="1" t="s">
        <v>2431</v>
      </c>
      <c r="D4763" s="1" t="s">
        <v>1998</v>
      </c>
      <c r="E4763" s="1"/>
      <c r="F4763" s="1" t="s">
        <v>11</v>
      </c>
      <c r="G4763">
        <v>1</v>
      </c>
      <c r="H4763">
        <v>1</v>
      </c>
      <c r="I4763" s="2">
        <v>45787</v>
      </c>
      <c r="J4763" s="2">
        <v>45777</v>
      </c>
      <c r="K4763" s="2">
        <v>45787</v>
      </c>
    </row>
    <row r="4764" spans="1:11" x14ac:dyDescent="0.25">
      <c r="A4764" s="1" t="s">
        <v>797</v>
      </c>
      <c r="B4764" s="1" t="s">
        <v>1496</v>
      </c>
      <c r="C4764" s="1" t="s">
        <v>2432</v>
      </c>
      <c r="D4764" s="1" t="s">
        <v>1998</v>
      </c>
      <c r="E4764" s="1"/>
      <c r="F4764" s="1" t="s">
        <v>11</v>
      </c>
      <c r="G4764">
        <v>1</v>
      </c>
      <c r="H4764">
        <v>1</v>
      </c>
      <c r="I4764" s="2">
        <v>45787</v>
      </c>
      <c r="J4764" s="2">
        <v>45777</v>
      </c>
      <c r="K4764" s="2">
        <v>45787</v>
      </c>
    </row>
    <row r="4765" spans="1:11" x14ac:dyDescent="0.25">
      <c r="A4765" s="1" t="s">
        <v>797</v>
      </c>
      <c r="B4765" s="1" t="s">
        <v>1497</v>
      </c>
      <c r="C4765" s="1" t="s">
        <v>2432</v>
      </c>
      <c r="D4765" s="1" t="s">
        <v>1998</v>
      </c>
      <c r="E4765" s="1"/>
      <c r="F4765" s="1" t="s">
        <v>11</v>
      </c>
      <c r="G4765">
        <v>1</v>
      </c>
      <c r="H4765">
        <v>1</v>
      </c>
      <c r="I4765" s="2">
        <v>45787</v>
      </c>
      <c r="J4765" s="2">
        <v>45777</v>
      </c>
      <c r="K4765" s="2">
        <v>45787</v>
      </c>
    </row>
    <row r="4766" spans="1:11" x14ac:dyDescent="0.25">
      <c r="A4766" s="1" t="s">
        <v>797</v>
      </c>
      <c r="B4766" s="1" t="s">
        <v>1498</v>
      </c>
      <c r="C4766" s="1" t="s">
        <v>2433</v>
      </c>
      <c r="D4766" s="1" t="s">
        <v>1998</v>
      </c>
      <c r="E4766" s="1"/>
      <c r="F4766" s="1" t="s">
        <v>11</v>
      </c>
      <c r="G4766">
        <v>5</v>
      </c>
      <c r="H4766">
        <v>5</v>
      </c>
      <c r="I4766" s="2">
        <v>45787</v>
      </c>
      <c r="J4766" s="2">
        <v>45777</v>
      </c>
      <c r="K4766" s="2">
        <v>45787</v>
      </c>
    </row>
    <row r="4767" spans="1:11" x14ac:dyDescent="0.25">
      <c r="A4767" s="1" t="s">
        <v>797</v>
      </c>
      <c r="B4767" s="1" t="s">
        <v>1499</v>
      </c>
      <c r="C4767" s="1" t="s">
        <v>2433</v>
      </c>
      <c r="D4767" s="1" t="s">
        <v>1998</v>
      </c>
      <c r="E4767" s="1"/>
      <c r="F4767" s="1" t="s">
        <v>11</v>
      </c>
      <c r="G4767">
        <v>5</v>
      </c>
      <c r="H4767">
        <v>5</v>
      </c>
      <c r="I4767" s="2">
        <v>45787</v>
      </c>
      <c r="J4767" s="2">
        <v>45777</v>
      </c>
      <c r="K4767" s="2">
        <v>45787</v>
      </c>
    </row>
    <row r="4768" spans="1:11" x14ac:dyDescent="0.25">
      <c r="A4768" s="1" t="s">
        <v>797</v>
      </c>
      <c r="B4768" s="1" t="s">
        <v>993</v>
      </c>
      <c r="C4768" s="1" t="s">
        <v>2011</v>
      </c>
      <c r="D4768" s="1" t="s">
        <v>1998</v>
      </c>
      <c r="E4768" s="1"/>
      <c r="F4768" s="1" t="s">
        <v>11</v>
      </c>
      <c r="G4768">
        <v>1</v>
      </c>
      <c r="H4768">
        <v>1</v>
      </c>
      <c r="I4768" s="2">
        <v>45787</v>
      </c>
      <c r="J4768" s="2">
        <v>45777</v>
      </c>
      <c r="K4768" s="2">
        <v>45787</v>
      </c>
    </row>
    <row r="4769" spans="1:11" x14ac:dyDescent="0.25">
      <c r="A4769" s="1" t="s">
        <v>798</v>
      </c>
      <c r="B4769" s="1" t="s">
        <v>1755</v>
      </c>
      <c r="C4769" s="1" t="s">
        <v>2640</v>
      </c>
      <c r="D4769" s="1" t="s">
        <v>1998</v>
      </c>
      <c r="E4769" s="1"/>
      <c r="F4769" s="1" t="s">
        <v>11</v>
      </c>
      <c r="G4769">
        <v>5485</v>
      </c>
      <c r="H4769">
        <v>5485</v>
      </c>
      <c r="I4769" s="2">
        <v>45787</v>
      </c>
      <c r="J4769" s="2">
        <v>45777</v>
      </c>
      <c r="K4769" s="2">
        <v>45787</v>
      </c>
    </row>
    <row r="4770" spans="1:11" x14ac:dyDescent="0.25">
      <c r="A4770" s="1" t="s">
        <v>798</v>
      </c>
      <c r="B4770" s="1" t="s">
        <v>1492</v>
      </c>
      <c r="C4770" s="1" t="s">
        <v>2429</v>
      </c>
      <c r="D4770" s="1" t="s">
        <v>1998</v>
      </c>
      <c r="E4770" s="1"/>
      <c r="F4770" s="1" t="s">
        <v>11</v>
      </c>
      <c r="G4770">
        <v>5</v>
      </c>
      <c r="H4770">
        <v>5</v>
      </c>
      <c r="I4770" s="2">
        <v>45787</v>
      </c>
      <c r="J4770" s="2">
        <v>45777</v>
      </c>
      <c r="K4770" s="2">
        <v>45787</v>
      </c>
    </row>
    <row r="4771" spans="1:11" x14ac:dyDescent="0.25">
      <c r="A4771" s="1" t="s">
        <v>798</v>
      </c>
      <c r="B4771" s="1" t="s">
        <v>1493</v>
      </c>
      <c r="C4771" s="1" t="s">
        <v>2429</v>
      </c>
      <c r="D4771" s="1" t="s">
        <v>1998</v>
      </c>
      <c r="E4771" s="1"/>
      <c r="F4771" s="1" t="s">
        <v>11</v>
      </c>
      <c r="G4771">
        <v>10</v>
      </c>
      <c r="H4771">
        <v>10</v>
      </c>
      <c r="I4771" s="2">
        <v>45787</v>
      </c>
      <c r="J4771" s="2">
        <v>45777</v>
      </c>
      <c r="K4771" s="2">
        <v>45787</v>
      </c>
    </row>
    <row r="4772" spans="1:11" x14ac:dyDescent="0.25">
      <c r="A4772" s="1" t="s">
        <v>798</v>
      </c>
      <c r="B4772" s="1" t="s">
        <v>1494</v>
      </c>
      <c r="C4772" s="1" t="s">
        <v>2430</v>
      </c>
      <c r="D4772" s="1" t="s">
        <v>1998</v>
      </c>
      <c r="E4772" s="1"/>
      <c r="F4772" s="1" t="s">
        <v>11</v>
      </c>
      <c r="G4772">
        <v>1</v>
      </c>
      <c r="H4772">
        <v>1</v>
      </c>
      <c r="I4772" s="2">
        <v>45787</v>
      </c>
      <c r="J4772" s="2">
        <v>45777</v>
      </c>
      <c r="K4772" s="2">
        <v>45787</v>
      </c>
    </row>
    <row r="4773" spans="1:11" x14ac:dyDescent="0.25">
      <c r="A4773" s="1" t="s">
        <v>798</v>
      </c>
      <c r="B4773" s="1" t="s">
        <v>1495</v>
      </c>
      <c r="C4773" s="1" t="s">
        <v>2431</v>
      </c>
      <c r="D4773" s="1" t="s">
        <v>1998</v>
      </c>
      <c r="E4773" s="1"/>
      <c r="F4773" s="1" t="s">
        <v>11</v>
      </c>
      <c r="G4773">
        <v>1</v>
      </c>
      <c r="H4773">
        <v>1</v>
      </c>
      <c r="I4773" s="2">
        <v>45787</v>
      </c>
      <c r="J4773" s="2">
        <v>45777</v>
      </c>
      <c r="K4773" s="2">
        <v>45787</v>
      </c>
    </row>
    <row r="4774" spans="1:11" x14ac:dyDescent="0.25">
      <c r="A4774" s="1" t="s">
        <v>798</v>
      </c>
      <c r="B4774" s="1" t="s">
        <v>1496</v>
      </c>
      <c r="C4774" s="1" t="s">
        <v>2432</v>
      </c>
      <c r="D4774" s="1" t="s">
        <v>1998</v>
      </c>
      <c r="E4774" s="1"/>
      <c r="F4774" s="1" t="s">
        <v>11</v>
      </c>
      <c r="G4774">
        <v>1</v>
      </c>
      <c r="H4774">
        <v>1</v>
      </c>
      <c r="I4774" s="2">
        <v>45787</v>
      </c>
      <c r="J4774" s="2">
        <v>45777</v>
      </c>
      <c r="K4774" s="2">
        <v>45787</v>
      </c>
    </row>
    <row r="4775" spans="1:11" x14ac:dyDescent="0.25">
      <c r="A4775" s="1" t="s">
        <v>798</v>
      </c>
      <c r="B4775" s="1" t="s">
        <v>1497</v>
      </c>
      <c r="C4775" s="1" t="s">
        <v>2432</v>
      </c>
      <c r="D4775" s="1" t="s">
        <v>1998</v>
      </c>
      <c r="E4775" s="1"/>
      <c r="F4775" s="1" t="s">
        <v>11</v>
      </c>
      <c r="G4775">
        <v>1</v>
      </c>
      <c r="H4775">
        <v>1</v>
      </c>
      <c r="I4775" s="2">
        <v>45787</v>
      </c>
      <c r="J4775" s="2">
        <v>45777</v>
      </c>
      <c r="K4775" s="2">
        <v>45787</v>
      </c>
    </row>
    <row r="4776" spans="1:11" x14ac:dyDescent="0.25">
      <c r="A4776" s="1" t="s">
        <v>798</v>
      </c>
      <c r="B4776" s="1" t="s">
        <v>1498</v>
      </c>
      <c r="C4776" s="1" t="s">
        <v>2433</v>
      </c>
      <c r="D4776" s="1" t="s">
        <v>1998</v>
      </c>
      <c r="E4776" s="1"/>
      <c r="F4776" s="1" t="s">
        <v>11</v>
      </c>
      <c r="G4776">
        <v>5</v>
      </c>
      <c r="H4776">
        <v>5</v>
      </c>
      <c r="I4776" s="2">
        <v>45787</v>
      </c>
      <c r="J4776" s="2">
        <v>45777</v>
      </c>
      <c r="K4776" s="2">
        <v>45787</v>
      </c>
    </row>
    <row r="4777" spans="1:11" x14ac:dyDescent="0.25">
      <c r="A4777" s="1" t="s">
        <v>798</v>
      </c>
      <c r="B4777" s="1" t="s">
        <v>1499</v>
      </c>
      <c r="C4777" s="1" t="s">
        <v>2433</v>
      </c>
      <c r="D4777" s="1" t="s">
        <v>1998</v>
      </c>
      <c r="E4777" s="1"/>
      <c r="F4777" s="1" t="s">
        <v>11</v>
      </c>
      <c r="G4777">
        <v>5</v>
      </c>
      <c r="H4777">
        <v>5</v>
      </c>
      <c r="I4777" s="2">
        <v>45787</v>
      </c>
      <c r="J4777" s="2">
        <v>45777</v>
      </c>
      <c r="K4777" s="2">
        <v>45787</v>
      </c>
    </row>
    <row r="4778" spans="1:11" x14ac:dyDescent="0.25">
      <c r="A4778" s="1" t="s">
        <v>798</v>
      </c>
      <c r="B4778" s="1" t="s">
        <v>993</v>
      </c>
      <c r="C4778" s="1" t="s">
        <v>2011</v>
      </c>
      <c r="D4778" s="1" t="s">
        <v>1998</v>
      </c>
      <c r="E4778" s="1"/>
      <c r="F4778" s="1" t="s">
        <v>11</v>
      </c>
      <c r="G4778">
        <v>1</v>
      </c>
      <c r="H4778">
        <v>1</v>
      </c>
      <c r="I4778" s="2">
        <v>45787</v>
      </c>
      <c r="J4778" s="2">
        <v>45777</v>
      </c>
      <c r="K4778" s="2">
        <v>45787</v>
      </c>
    </row>
    <row r="4779" spans="1:11" x14ac:dyDescent="0.25">
      <c r="A4779" s="1" t="s">
        <v>799</v>
      </c>
      <c r="B4779" s="1" t="s">
        <v>1108</v>
      </c>
      <c r="C4779" s="1" t="s">
        <v>2108</v>
      </c>
      <c r="D4779" s="1" t="s">
        <v>1998</v>
      </c>
      <c r="E4779" s="1"/>
      <c r="F4779" s="1" t="s">
        <v>11</v>
      </c>
      <c r="G4779">
        <v>605</v>
      </c>
      <c r="H4779">
        <v>605</v>
      </c>
      <c r="I4779" s="2">
        <v>45789</v>
      </c>
      <c r="J4779" s="2">
        <v>45777</v>
      </c>
      <c r="K4779" s="2">
        <v>45789</v>
      </c>
    </row>
    <row r="4780" spans="1:11" x14ac:dyDescent="0.25">
      <c r="A4780" s="1" t="s">
        <v>799</v>
      </c>
      <c r="B4780" s="1" t="s">
        <v>1105</v>
      </c>
      <c r="C4780" s="1" t="s">
        <v>2106</v>
      </c>
      <c r="D4780" s="1" t="s">
        <v>1998</v>
      </c>
      <c r="E4780" s="1"/>
      <c r="F4780" s="1" t="s">
        <v>11</v>
      </c>
      <c r="G4780">
        <v>235</v>
      </c>
      <c r="H4780">
        <v>235</v>
      </c>
      <c r="I4780" s="2">
        <v>45789</v>
      </c>
      <c r="J4780" s="2">
        <v>45777</v>
      </c>
      <c r="K4780" s="2">
        <v>45789</v>
      </c>
    </row>
    <row r="4781" spans="1:11" x14ac:dyDescent="0.25">
      <c r="A4781" s="1" t="s">
        <v>799</v>
      </c>
      <c r="B4781" s="1" t="s">
        <v>1105</v>
      </c>
      <c r="C4781" s="1" t="s">
        <v>2106</v>
      </c>
      <c r="D4781" s="1" t="s">
        <v>1998</v>
      </c>
      <c r="E4781" s="1"/>
      <c r="F4781" s="1" t="s">
        <v>16</v>
      </c>
      <c r="G4781">
        <v>1</v>
      </c>
      <c r="H4781">
        <v>1</v>
      </c>
      <c r="I4781" s="2">
        <v>45789</v>
      </c>
      <c r="J4781" s="2">
        <v>45777</v>
      </c>
      <c r="K4781" s="2">
        <v>45789</v>
      </c>
    </row>
    <row r="4782" spans="1:11" x14ac:dyDescent="0.25">
      <c r="A4782" s="1" t="s">
        <v>799</v>
      </c>
      <c r="B4782" s="1" t="s">
        <v>1898</v>
      </c>
      <c r="C4782" s="1" t="s">
        <v>2741</v>
      </c>
      <c r="D4782" s="1" t="s">
        <v>1998</v>
      </c>
      <c r="E4782" s="1"/>
      <c r="F4782" s="1" t="s">
        <v>11</v>
      </c>
      <c r="G4782">
        <v>900</v>
      </c>
      <c r="H4782">
        <v>900</v>
      </c>
      <c r="I4782" s="2">
        <v>45789</v>
      </c>
      <c r="J4782" s="2">
        <v>45777</v>
      </c>
      <c r="K4782" s="2">
        <v>45789</v>
      </c>
    </row>
    <row r="4783" spans="1:11" x14ac:dyDescent="0.25">
      <c r="A4783" s="1" t="s">
        <v>799</v>
      </c>
      <c r="B4783" s="1" t="s">
        <v>1898</v>
      </c>
      <c r="C4783" s="1" t="s">
        <v>2741</v>
      </c>
      <c r="D4783" s="1" t="s">
        <v>1998</v>
      </c>
      <c r="E4783" s="1"/>
      <c r="F4783" s="1" t="s">
        <v>16</v>
      </c>
      <c r="G4783">
        <v>110</v>
      </c>
      <c r="H4783">
        <v>85</v>
      </c>
      <c r="I4783" s="2">
        <v>45789</v>
      </c>
      <c r="J4783" s="2">
        <v>45777</v>
      </c>
      <c r="K4783" s="2">
        <v>45789</v>
      </c>
    </row>
    <row r="4784" spans="1:11" x14ac:dyDescent="0.25">
      <c r="A4784" s="1" t="s">
        <v>799</v>
      </c>
      <c r="B4784" s="1" t="s">
        <v>1747</v>
      </c>
      <c r="C4784" s="1" t="s">
        <v>2632</v>
      </c>
      <c r="D4784" s="1" t="s">
        <v>1998</v>
      </c>
      <c r="E4784" s="1"/>
      <c r="F4784" s="1" t="s">
        <v>11</v>
      </c>
      <c r="G4784">
        <v>530</v>
      </c>
      <c r="H4784">
        <v>530</v>
      </c>
      <c r="I4784" s="2">
        <v>45789</v>
      </c>
      <c r="J4784" s="2">
        <v>45777</v>
      </c>
      <c r="K4784" s="2">
        <v>45789</v>
      </c>
    </row>
    <row r="4785" spans="1:11" x14ac:dyDescent="0.25">
      <c r="A4785" s="1" t="s">
        <v>799</v>
      </c>
      <c r="B4785" s="1" t="s">
        <v>1747</v>
      </c>
      <c r="C4785" s="1" t="s">
        <v>2632</v>
      </c>
      <c r="D4785" s="1" t="s">
        <v>1998</v>
      </c>
      <c r="E4785" s="1"/>
      <c r="F4785" s="1" t="s">
        <v>16</v>
      </c>
      <c r="G4785">
        <v>15</v>
      </c>
      <c r="H4785">
        <v>15</v>
      </c>
      <c r="I4785" s="2">
        <v>45789</v>
      </c>
      <c r="J4785" s="2">
        <v>45777</v>
      </c>
      <c r="K4785" s="2">
        <v>45789</v>
      </c>
    </row>
    <row r="4786" spans="1:11" x14ac:dyDescent="0.25">
      <c r="A4786" s="1" t="s">
        <v>800</v>
      </c>
      <c r="B4786" s="1" t="s">
        <v>1899</v>
      </c>
      <c r="C4786" s="1" t="s">
        <v>2391</v>
      </c>
      <c r="D4786" s="1" t="s">
        <v>1998</v>
      </c>
      <c r="E4786" s="1"/>
      <c r="F4786" s="1" t="s">
        <v>11</v>
      </c>
      <c r="G4786">
        <v>1940</v>
      </c>
      <c r="H4786">
        <v>1940</v>
      </c>
      <c r="I4786" s="2">
        <v>45785</v>
      </c>
      <c r="J4786" s="2">
        <v>45777</v>
      </c>
      <c r="K4786" s="2">
        <v>45785</v>
      </c>
    </row>
    <row r="4787" spans="1:11" x14ac:dyDescent="0.25">
      <c r="A4787" s="1" t="s">
        <v>800</v>
      </c>
      <c r="B4787" s="1" t="s">
        <v>1899</v>
      </c>
      <c r="C4787" s="1" t="s">
        <v>2391</v>
      </c>
      <c r="D4787" s="1" t="s">
        <v>1998</v>
      </c>
      <c r="E4787" s="1"/>
      <c r="F4787" s="1" t="s">
        <v>11</v>
      </c>
      <c r="G4787">
        <v>5</v>
      </c>
      <c r="H4787">
        <v>5</v>
      </c>
      <c r="I4787" s="2">
        <v>45785</v>
      </c>
      <c r="J4787" s="2">
        <v>45777</v>
      </c>
      <c r="K4787" s="2">
        <v>45785</v>
      </c>
    </row>
    <row r="4788" spans="1:11" x14ac:dyDescent="0.25">
      <c r="A4788" s="1" t="s">
        <v>800</v>
      </c>
      <c r="B4788" s="1" t="s">
        <v>1900</v>
      </c>
      <c r="C4788" s="1" t="s">
        <v>2742</v>
      </c>
      <c r="D4788" s="1" t="s">
        <v>1998</v>
      </c>
      <c r="E4788" s="1"/>
      <c r="F4788" s="1" t="s">
        <v>11</v>
      </c>
      <c r="G4788">
        <v>1555</v>
      </c>
      <c r="H4788">
        <v>1555</v>
      </c>
      <c r="I4788" s="2">
        <v>45785</v>
      </c>
      <c r="J4788" s="2">
        <v>45777</v>
      </c>
      <c r="K4788" s="2">
        <v>45785</v>
      </c>
    </row>
    <row r="4789" spans="1:11" x14ac:dyDescent="0.25">
      <c r="A4789" s="1" t="s">
        <v>800</v>
      </c>
      <c r="B4789" s="1" t="s">
        <v>1901</v>
      </c>
      <c r="C4789" s="1" t="s">
        <v>2124</v>
      </c>
      <c r="D4789" s="1" t="s">
        <v>1998</v>
      </c>
      <c r="E4789" s="1"/>
      <c r="F4789" s="1" t="s">
        <v>11</v>
      </c>
      <c r="G4789">
        <v>1840</v>
      </c>
      <c r="H4789">
        <v>1840</v>
      </c>
      <c r="I4789" s="2">
        <v>45785</v>
      </c>
      <c r="J4789" s="2">
        <v>45777</v>
      </c>
      <c r="K4789" s="2">
        <v>45785</v>
      </c>
    </row>
    <row r="4790" spans="1:11" x14ac:dyDescent="0.25">
      <c r="A4790" s="1" t="s">
        <v>800</v>
      </c>
      <c r="B4790" s="1" t="s">
        <v>1902</v>
      </c>
      <c r="C4790" s="1" t="s">
        <v>2743</v>
      </c>
      <c r="D4790" s="1" t="s">
        <v>1998</v>
      </c>
      <c r="E4790" s="1"/>
      <c r="F4790" s="1" t="s">
        <v>11</v>
      </c>
      <c r="G4790">
        <v>2040</v>
      </c>
      <c r="H4790">
        <v>2040</v>
      </c>
      <c r="I4790" s="2">
        <v>45785</v>
      </c>
      <c r="J4790" s="2">
        <v>45777</v>
      </c>
      <c r="K4790" s="2">
        <v>45785</v>
      </c>
    </row>
    <row r="4791" spans="1:11" x14ac:dyDescent="0.25">
      <c r="A4791" s="1" t="s">
        <v>800</v>
      </c>
      <c r="B4791" s="1" t="s">
        <v>1902</v>
      </c>
      <c r="C4791" s="1" t="s">
        <v>2743</v>
      </c>
      <c r="D4791" s="1" t="s">
        <v>1998</v>
      </c>
      <c r="E4791" s="1"/>
      <c r="F4791" s="1" t="s">
        <v>11</v>
      </c>
      <c r="G4791">
        <v>25</v>
      </c>
      <c r="H4791">
        <v>25</v>
      </c>
      <c r="I4791" s="2">
        <v>45785</v>
      </c>
      <c r="J4791" s="2">
        <v>45777</v>
      </c>
      <c r="K4791" s="2">
        <v>45785</v>
      </c>
    </row>
    <row r="4792" spans="1:11" x14ac:dyDescent="0.25">
      <c r="A4792" s="1" t="s">
        <v>800</v>
      </c>
      <c r="B4792" s="1" t="s">
        <v>1903</v>
      </c>
      <c r="C4792" s="1" t="s">
        <v>2471</v>
      </c>
      <c r="D4792" s="1" t="s">
        <v>1998</v>
      </c>
      <c r="E4792" s="1"/>
      <c r="F4792" s="1" t="s">
        <v>11</v>
      </c>
      <c r="G4792">
        <v>1505</v>
      </c>
      <c r="H4792">
        <v>1505</v>
      </c>
      <c r="I4792" s="2">
        <v>45785</v>
      </c>
      <c r="J4792" s="2">
        <v>45777</v>
      </c>
      <c r="K4792" s="2">
        <v>45785</v>
      </c>
    </row>
    <row r="4793" spans="1:11" x14ac:dyDescent="0.25">
      <c r="A4793" s="1" t="s">
        <v>801</v>
      </c>
      <c r="B4793" s="1" t="s">
        <v>1078</v>
      </c>
      <c r="C4793" s="1" t="s">
        <v>2081</v>
      </c>
      <c r="D4793" s="1" t="s">
        <v>1998</v>
      </c>
      <c r="E4793" s="1"/>
      <c r="F4793" s="1" t="s">
        <v>11</v>
      </c>
      <c r="G4793">
        <v>360</v>
      </c>
      <c r="H4793">
        <v>360</v>
      </c>
      <c r="I4793" s="2">
        <v>45789</v>
      </c>
      <c r="J4793" s="2">
        <v>45778</v>
      </c>
      <c r="K4793" s="2">
        <v>45789</v>
      </c>
    </row>
    <row r="4794" spans="1:11" x14ac:dyDescent="0.25">
      <c r="A4794" s="1" t="s">
        <v>801</v>
      </c>
      <c r="B4794" s="1" t="s">
        <v>1544</v>
      </c>
      <c r="C4794" s="1" t="s">
        <v>2472</v>
      </c>
      <c r="D4794" s="1" t="s">
        <v>1998</v>
      </c>
      <c r="E4794" s="1"/>
      <c r="F4794" s="1" t="s">
        <v>11</v>
      </c>
      <c r="G4794">
        <v>550</v>
      </c>
      <c r="H4794">
        <v>550</v>
      </c>
      <c r="I4794" s="2">
        <v>45789</v>
      </c>
      <c r="J4794" s="2">
        <v>45778</v>
      </c>
      <c r="K4794" s="2">
        <v>45789</v>
      </c>
    </row>
    <row r="4795" spans="1:11" x14ac:dyDescent="0.25">
      <c r="A4795" s="1" t="s">
        <v>801</v>
      </c>
      <c r="B4795" s="1" t="s">
        <v>1545</v>
      </c>
      <c r="C4795" s="1" t="s">
        <v>2081</v>
      </c>
      <c r="D4795" s="1" t="s">
        <v>1998</v>
      </c>
      <c r="E4795" s="1"/>
      <c r="F4795" s="1" t="s">
        <v>11</v>
      </c>
      <c r="G4795">
        <v>445</v>
      </c>
      <c r="H4795">
        <v>445</v>
      </c>
      <c r="I4795" s="2">
        <v>45789</v>
      </c>
      <c r="J4795" s="2">
        <v>45778</v>
      </c>
      <c r="K4795" s="2">
        <v>45789</v>
      </c>
    </row>
    <row r="4796" spans="1:11" x14ac:dyDescent="0.25">
      <c r="A4796" s="1" t="s">
        <v>801</v>
      </c>
      <c r="B4796" s="1" t="s">
        <v>1546</v>
      </c>
      <c r="C4796" s="1" t="s">
        <v>2473</v>
      </c>
      <c r="D4796" s="1" t="s">
        <v>1998</v>
      </c>
      <c r="E4796" s="1"/>
      <c r="F4796" s="1" t="s">
        <v>11</v>
      </c>
      <c r="G4796">
        <v>170</v>
      </c>
      <c r="H4796">
        <v>170</v>
      </c>
      <c r="I4796" s="2">
        <v>45789</v>
      </c>
      <c r="J4796" s="2">
        <v>45778</v>
      </c>
      <c r="K4796" s="2">
        <v>45789</v>
      </c>
    </row>
    <row r="4797" spans="1:11" x14ac:dyDescent="0.25">
      <c r="A4797" s="1" t="s">
        <v>801</v>
      </c>
      <c r="B4797" s="1" t="s">
        <v>1546</v>
      </c>
      <c r="C4797" s="1" t="s">
        <v>2473</v>
      </c>
      <c r="D4797" s="1" t="s">
        <v>1998</v>
      </c>
      <c r="E4797" s="1"/>
      <c r="F4797" s="1" t="s">
        <v>11</v>
      </c>
      <c r="G4797">
        <v>1</v>
      </c>
      <c r="H4797">
        <v>1</v>
      </c>
      <c r="I4797" s="2">
        <v>45789</v>
      </c>
      <c r="J4797" s="2">
        <v>45778</v>
      </c>
      <c r="K4797" s="2">
        <v>45789</v>
      </c>
    </row>
    <row r="4798" spans="1:11" x14ac:dyDescent="0.25">
      <c r="A4798" s="1" t="s">
        <v>801</v>
      </c>
      <c r="B4798" s="1" t="s">
        <v>1547</v>
      </c>
      <c r="C4798" s="1" t="s">
        <v>2164</v>
      </c>
      <c r="D4798" s="1" t="s">
        <v>1998</v>
      </c>
      <c r="E4798" s="1"/>
      <c r="F4798" s="1" t="s">
        <v>11</v>
      </c>
      <c r="G4798">
        <v>305</v>
      </c>
      <c r="H4798">
        <v>305</v>
      </c>
      <c r="I4798" s="2">
        <v>45789</v>
      </c>
      <c r="J4798" s="2">
        <v>45778</v>
      </c>
      <c r="K4798" s="2">
        <v>45789</v>
      </c>
    </row>
    <row r="4799" spans="1:11" x14ac:dyDescent="0.25">
      <c r="A4799" s="1" t="s">
        <v>801</v>
      </c>
      <c r="B4799" s="1" t="s">
        <v>1547</v>
      </c>
      <c r="C4799" s="1" t="s">
        <v>2164</v>
      </c>
      <c r="D4799" s="1" t="s">
        <v>1998</v>
      </c>
      <c r="E4799" s="1"/>
      <c r="F4799" s="1" t="s">
        <v>11</v>
      </c>
      <c r="G4799">
        <v>5</v>
      </c>
      <c r="H4799">
        <v>5</v>
      </c>
      <c r="I4799" s="2">
        <v>45789</v>
      </c>
      <c r="J4799" s="2">
        <v>45778</v>
      </c>
      <c r="K4799" s="2">
        <v>45789</v>
      </c>
    </row>
    <row r="4800" spans="1:11" x14ac:dyDescent="0.25">
      <c r="A4800" s="1" t="s">
        <v>801</v>
      </c>
      <c r="B4800" s="1" t="s">
        <v>1548</v>
      </c>
      <c r="C4800" s="1" t="s">
        <v>2474</v>
      </c>
      <c r="D4800" s="1" t="s">
        <v>1998</v>
      </c>
      <c r="E4800" s="1"/>
      <c r="F4800" s="1" t="s">
        <v>11</v>
      </c>
      <c r="G4800">
        <v>515</v>
      </c>
      <c r="H4800">
        <v>515</v>
      </c>
      <c r="I4800" s="2">
        <v>45789</v>
      </c>
      <c r="J4800" s="2">
        <v>45778</v>
      </c>
      <c r="K4800" s="2">
        <v>45789</v>
      </c>
    </row>
    <row r="4801" spans="1:11" x14ac:dyDescent="0.25">
      <c r="A4801" s="1" t="s">
        <v>802</v>
      </c>
      <c r="B4801" s="1" t="s">
        <v>1904</v>
      </c>
      <c r="C4801" s="1" t="s">
        <v>2744</v>
      </c>
      <c r="D4801" s="1" t="s">
        <v>1998</v>
      </c>
      <c r="E4801" s="1"/>
      <c r="F4801" s="1" t="s">
        <v>11</v>
      </c>
      <c r="G4801">
        <v>3905</v>
      </c>
      <c r="H4801">
        <v>3905</v>
      </c>
      <c r="I4801" s="2"/>
      <c r="J4801" s="2">
        <v>45785</v>
      </c>
      <c r="K4801" s="2">
        <v>45789</v>
      </c>
    </row>
    <row r="4802" spans="1:11" x14ac:dyDescent="0.25">
      <c r="A4802" s="1" t="s">
        <v>802</v>
      </c>
      <c r="B4802" s="1" t="s">
        <v>1905</v>
      </c>
      <c r="C4802" s="1" t="s">
        <v>2745</v>
      </c>
      <c r="D4802" s="1" t="s">
        <v>1998</v>
      </c>
      <c r="E4802" s="1"/>
      <c r="F4802" s="1" t="s">
        <v>11</v>
      </c>
      <c r="G4802">
        <v>980</v>
      </c>
      <c r="H4802">
        <v>980</v>
      </c>
      <c r="I4802" s="2"/>
      <c r="J4802" s="2">
        <v>45785</v>
      </c>
      <c r="K4802" s="2">
        <v>45789</v>
      </c>
    </row>
    <row r="4803" spans="1:11" x14ac:dyDescent="0.25">
      <c r="A4803" s="1" t="s">
        <v>802</v>
      </c>
      <c r="B4803" s="1" t="s">
        <v>1906</v>
      </c>
      <c r="C4803" s="1" t="s">
        <v>2746</v>
      </c>
      <c r="D4803" s="1" t="s">
        <v>1998</v>
      </c>
      <c r="E4803" s="1"/>
      <c r="F4803" s="1" t="s">
        <v>11</v>
      </c>
      <c r="G4803">
        <v>105</v>
      </c>
      <c r="H4803">
        <v>105</v>
      </c>
      <c r="I4803" s="2"/>
      <c r="J4803" s="2">
        <v>45785</v>
      </c>
      <c r="K4803" s="2">
        <v>45789</v>
      </c>
    </row>
    <row r="4804" spans="1:11" x14ac:dyDescent="0.25">
      <c r="A4804" s="1" t="s">
        <v>802</v>
      </c>
      <c r="B4804" s="1" t="s">
        <v>1907</v>
      </c>
      <c r="C4804" s="1" t="s">
        <v>2747</v>
      </c>
      <c r="D4804" s="1" t="s">
        <v>1998</v>
      </c>
      <c r="E4804" s="1"/>
      <c r="F4804" s="1" t="s">
        <v>11</v>
      </c>
      <c r="G4804">
        <v>6150</v>
      </c>
      <c r="H4804">
        <v>6150</v>
      </c>
      <c r="I4804" s="2"/>
      <c r="J4804" s="2">
        <v>45785</v>
      </c>
      <c r="K4804" s="2">
        <v>45789</v>
      </c>
    </row>
    <row r="4805" spans="1:11" x14ac:dyDescent="0.25">
      <c r="A4805" s="1" t="s">
        <v>802</v>
      </c>
      <c r="B4805" s="1" t="s">
        <v>1908</v>
      </c>
      <c r="C4805" s="1" t="s">
        <v>2748</v>
      </c>
      <c r="D4805" s="1" t="s">
        <v>1998</v>
      </c>
      <c r="E4805" s="1"/>
      <c r="F4805" s="1" t="s">
        <v>11</v>
      </c>
      <c r="G4805">
        <v>725</v>
      </c>
      <c r="H4805">
        <v>725</v>
      </c>
      <c r="I4805" s="2"/>
      <c r="J4805" s="2">
        <v>45785</v>
      </c>
      <c r="K4805" s="2">
        <v>45789</v>
      </c>
    </row>
    <row r="4806" spans="1:11" x14ac:dyDescent="0.25">
      <c r="A4806" s="1" t="s">
        <v>802</v>
      </c>
      <c r="B4806" s="1" t="s">
        <v>1909</v>
      </c>
      <c r="C4806" s="1" t="s">
        <v>2749</v>
      </c>
      <c r="D4806" s="1" t="s">
        <v>1998</v>
      </c>
      <c r="E4806" s="1"/>
      <c r="F4806" s="1" t="s">
        <v>11</v>
      </c>
      <c r="G4806">
        <v>4045</v>
      </c>
      <c r="H4806">
        <v>4045</v>
      </c>
      <c r="I4806" s="2"/>
      <c r="J4806" s="2">
        <v>45785</v>
      </c>
      <c r="K4806" s="2">
        <v>45789</v>
      </c>
    </row>
    <row r="4807" spans="1:11" x14ac:dyDescent="0.25">
      <c r="A4807" s="1" t="s">
        <v>802</v>
      </c>
      <c r="B4807" s="1" t="s">
        <v>1910</v>
      </c>
      <c r="C4807" s="1" t="s">
        <v>2750</v>
      </c>
      <c r="D4807" s="1" t="s">
        <v>1998</v>
      </c>
      <c r="E4807" s="1"/>
      <c r="F4807" s="1" t="s">
        <v>11</v>
      </c>
      <c r="G4807">
        <v>975</v>
      </c>
      <c r="H4807">
        <v>975</v>
      </c>
      <c r="I4807" s="2"/>
      <c r="J4807" s="2">
        <v>45785</v>
      </c>
      <c r="K4807" s="2">
        <v>45789</v>
      </c>
    </row>
    <row r="4808" spans="1:11" x14ac:dyDescent="0.25">
      <c r="A4808" s="1" t="s">
        <v>803</v>
      </c>
      <c r="B4808" s="1" t="s">
        <v>1911</v>
      </c>
      <c r="C4808" s="1" t="s">
        <v>2751</v>
      </c>
      <c r="D4808" s="1" t="s">
        <v>1998</v>
      </c>
      <c r="E4808" s="1"/>
      <c r="F4808" s="1" t="s">
        <v>11</v>
      </c>
      <c r="G4808">
        <v>2445</v>
      </c>
      <c r="H4808">
        <v>2445</v>
      </c>
      <c r="I4808" s="2">
        <v>45789</v>
      </c>
      <c r="J4808" s="2">
        <v>45777</v>
      </c>
      <c r="K4808" s="2">
        <v>45789</v>
      </c>
    </row>
    <row r="4809" spans="1:11" x14ac:dyDescent="0.25">
      <c r="A4809" s="1" t="s">
        <v>803</v>
      </c>
      <c r="B4809" s="1" t="s">
        <v>1669</v>
      </c>
      <c r="C4809" s="1" t="s">
        <v>2578</v>
      </c>
      <c r="D4809" s="1" t="s">
        <v>1998</v>
      </c>
      <c r="E4809" s="1"/>
      <c r="F4809" s="1" t="s">
        <v>11</v>
      </c>
      <c r="G4809">
        <v>550</v>
      </c>
      <c r="H4809">
        <v>550</v>
      </c>
      <c r="I4809" s="2">
        <v>45789</v>
      </c>
      <c r="J4809" s="2">
        <v>45777</v>
      </c>
      <c r="K4809" s="2">
        <v>45789</v>
      </c>
    </row>
    <row r="4810" spans="1:11" x14ac:dyDescent="0.25">
      <c r="A4810" s="1" t="s">
        <v>803</v>
      </c>
      <c r="B4810" s="1" t="s">
        <v>1669</v>
      </c>
      <c r="C4810" s="1" t="s">
        <v>2578</v>
      </c>
      <c r="D4810" s="1" t="s">
        <v>1998</v>
      </c>
      <c r="E4810" s="1"/>
      <c r="F4810" s="1" t="s">
        <v>11</v>
      </c>
      <c r="G4810">
        <v>5</v>
      </c>
      <c r="H4810">
        <v>5</v>
      </c>
      <c r="I4810" s="2">
        <v>45789</v>
      </c>
      <c r="J4810" s="2">
        <v>45777</v>
      </c>
      <c r="K4810" s="2">
        <v>45789</v>
      </c>
    </row>
    <row r="4811" spans="1:11" x14ac:dyDescent="0.25">
      <c r="A4811" s="1" t="s">
        <v>803</v>
      </c>
      <c r="B4811" s="1" t="s">
        <v>1670</v>
      </c>
      <c r="C4811" s="1" t="s">
        <v>2579</v>
      </c>
      <c r="D4811" s="1" t="s">
        <v>1998</v>
      </c>
      <c r="E4811" s="1"/>
      <c r="F4811" s="1" t="s">
        <v>11</v>
      </c>
      <c r="G4811">
        <v>95</v>
      </c>
      <c r="H4811">
        <v>95</v>
      </c>
      <c r="I4811" s="2">
        <v>45789</v>
      </c>
      <c r="J4811" s="2">
        <v>45777</v>
      </c>
      <c r="K4811" s="2">
        <v>45789</v>
      </c>
    </row>
    <row r="4812" spans="1:11" x14ac:dyDescent="0.25">
      <c r="A4812" s="1" t="s">
        <v>803</v>
      </c>
      <c r="B4812" s="1" t="s">
        <v>1698</v>
      </c>
      <c r="C4812" s="1" t="s">
        <v>2102</v>
      </c>
      <c r="D4812" s="1" t="s">
        <v>1998</v>
      </c>
      <c r="E4812" s="1"/>
      <c r="F4812" s="1" t="s">
        <v>11</v>
      </c>
      <c r="G4812">
        <v>405</v>
      </c>
      <c r="H4812">
        <v>405</v>
      </c>
      <c r="I4812" s="2">
        <v>45789</v>
      </c>
      <c r="J4812" s="2">
        <v>45777</v>
      </c>
      <c r="K4812" s="2">
        <v>45789</v>
      </c>
    </row>
    <row r="4813" spans="1:11" x14ac:dyDescent="0.25">
      <c r="A4813" s="1" t="s">
        <v>804</v>
      </c>
      <c r="B4813" s="1" t="s">
        <v>1911</v>
      </c>
      <c r="C4813" s="1" t="s">
        <v>2751</v>
      </c>
      <c r="D4813" s="1" t="s">
        <v>1998</v>
      </c>
      <c r="E4813" s="1"/>
      <c r="F4813" s="1" t="s">
        <v>11</v>
      </c>
      <c r="G4813">
        <v>2445</v>
      </c>
      <c r="H4813">
        <v>2445</v>
      </c>
      <c r="I4813" s="2"/>
      <c r="J4813" s="2">
        <v>45784</v>
      </c>
      <c r="K4813" s="2">
        <v>45789</v>
      </c>
    </row>
    <row r="4814" spans="1:11" x14ac:dyDescent="0.25">
      <c r="A4814" s="1" t="s">
        <v>804</v>
      </c>
      <c r="B4814" s="1" t="s">
        <v>1669</v>
      </c>
      <c r="C4814" s="1" t="s">
        <v>2578</v>
      </c>
      <c r="D4814" s="1" t="s">
        <v>1998</v>
      </c>
      <c r="E4814" s="1"/>
      <c r="F4814" s="1" t="s">
        <v>11</v>
      </c>
      <c r="G4814">
        <v>550</v>
      </c>
      <c r="H4814">
        <v>550</v>
      </c>
      <c r="I4814" s="2"/>
      <c r="J4814" s="2">
        <v>45784</v>
      </c>
      <c r="K4814" s="2">
        <v>45789</v>
      </c>
    </row>
    <row r="4815" spans="1:11" x14ac:dyDescent="0.25">
      <c r="A4815" s="1" t="s">
        <v>804</v>
      </c>
      <c r="B4815" s="1" t="s">
        <v>1670</v>
      </c>
      <c r="C4815" s="1" t="s">
        <v>2579</v>
      </c>
      <c r="D4815" s="1" t="s">
        <v>1998</v>
      </c>
      <c r="E4815" s="1"/>
      <c r="F4815" s="1" t="s">
        <v>11</v>
      </c>
      <c r="G4815">
        <v>95</v>
      </c>
      <c r="H4815">
        <v>95</v>
      </c>
      <c r="I4815" s="2"/>
      <c r="J4815" s="2">
        <v>45784</v>
      </c>
      <c r="K4815" s="2">
        <v>45789</v>
      </c>
    </row>
    <row r="4816" spans="1:11" x14ac:dyDescent="0.25">
      <c r="A4816" s="1" t="s">
        <v>804</v>
      </c>
      <c r="B4816" s="1" t="s">
        <v>1698</v>
      </c>
      <c r="C4816" s="1" t="s">
        <v>2102</v>
      </c>
      <c r="D4816" s="1" t="s">
        <v>1998</v>
      </c>
      <c r="E4816" s="1"/>
      <c r="F4816" s="1" t="s">
        <v>11</v>
      </c>
      <c r="G4816">
        <v>405</v>
      </c>
      <c r="H4816">
        <v>405</v>
      </c>
      <c r="I4816" s="2"/>
      <c r="J4816" s="2">
        <v>45784</v>
      </c>
      <c r="K4816" s="2">
        <v>45789</v>
      </c>
    </row>
    <row r="4817" spans="1:11" x14ac:dyDescent="0.25">
      <c r="A4817" s="1" t="s">
        <v>805</v>
      </c>
      <c r="B4817" s="1" t="s">
        <v>1016</v>
      </c>
      <c r="C4817" s="1" t="s">
        <v>2033</v>
      </c>
      <c r="D4817" s="1" t="s">
        <v>1998</v>
      </c>
      <c r="E4817" s="1"/>
      <c r="F4817" s="1" t="s">
        <v>11</v>
      </c>
      <c r="G4817">
        <v>75</v>
      </c>
      <c r="H4817">
        <v>50</v>
      </c>
      <c r="I4817" s="2"/>
      <c r="J4817" s="2">
        <v>45778</v>
      </c>
      <c r="K4817" s="2">
        <v>45789</v>
      </c>
    </row>
    <row r="4818" spans="1:11" x14ac:dyDescent="0.25">
      <c r="A4818" s="1" t="s">
        <v>805</v>
      </c>
      <c r="B4818" s="1" t="s">
        <v>1017</v>
      </c>
      <c r="C4818" s="1" t="s">
        <v>2034</v>
      </c>
      <c r="D4818" s="1" t="s">
        <v>1998</v>
      </c>
      <c r="E4818" s="1"/>
      <c r="F4818" s="1" t="s">
        <v>11</v>
      </c>
      <c r="G4818">
        <v>200</v>
      </c>
      <c r="H4818">
        <v>200</v>
      </c>
      <c r="I4818" s="2"/>
      <c r="J4818" s="2">
        <v>45778</v>
      </c>
      <c r="K4818" s="2">
        <v>45789</v>
      </c>
    </row>
    <row r="4819" spans="1:11" x14ac:dyDescent="0.25">
      <c r="A4819" s="1" t="s">
        <v>805</v>
      </c>
      <c r="B4819" s="1" t="s">
        <v>1018</v>
      </c>
      <c r="C4819" s="1" t="s">
        <v>2035</v>
      </c>
      <c r="D4819" s="1" t="s">
        <v>1998</v>
      </c>
      <c r="E4819" s="1"/>
      <c r="F4819" s="1" t="s">
        <v>11</v>
      </c>
      <c r="G4819">
        <v>885</v>
      </c>
      <c r="H4819">
        <v>965</v>
      </c>
      <c r="I4819" s="2"/>
      <c r="J4819" s="2">
        <v>45778</v>
      </c>
      <c r="K4819" s="2">
        <v>45789</v>
      </c>
    </row>
    <row r="4820" spans="1:11" x14ac:dyDescent="0.25">
      <c r="A4820" s="1" t="s">
        <v>805</v>
      </c>
      <c r="B4820" s="1" t="s">
        <v>999</v>
      </c>
      <c r="C4820" s="1" t="s">
        <v>2017</v>
      </c>
      <c r="D4820" s="1" t="s">
        <v>1998</v>
      </c>
      <c r="E4820" s="1"/>
      <c r="F4820" s="1" t="s">
        <v>11</v>
      </c>
      <c r="G4820">
        <v>1</v>
      </c>
      <c r="H4820">
        <v>1</v>
      </c>
      <c r="I4820" s="2"/>
      <c r="J4820" s="2">
        <v>45778</v>
      </c>
      <c r="K4820" s="2">
        <v>45789</v>
      </c>
    </row>
    <row r="4821" spans="1:11" x14ac:dyDescent="0.25">
      <c r="A4821" s="1" t="s">
        <v>805</v>
      </c>
      <c r="B4821" s="1" t="s">
        <v>1000</v>
      </c>
      <c r="C4821" s="1" t="s">
        <v>2018</v>
      </c>
      <c r="D4821" s="1" t="s">
        <v>1998</v>
      </c>
      <c r="E4821" s="1"/>
      <c r="F4821" s="1" t="s">
        <v>11</v>
      </c>
      <c r="G4821">
        <v>5</v>
      </c>
      <c r="H4821">
        <v>5</v>
      </c>
      <c r="I4821" s="2"/>
      <c r="J4821" s="2">
        <v>45778</v>
      </c>
      <c r="K4821" s="2">
        <v>45789</v>
      </c>
    </row>
    <row r="4822" spans="1:11" x14ac:dyDescent="0.25">
      <c r="A4822" s="1" t="s">
        <v>805</v>
      </c>
      <c r="B4822" s="1" t="s">
        <v>1001</v>
      </c>
      <c r="C4822" s="1" t="s">
        <v>2019</v>
      </c>
      <c r="D4822" s="1" t="s">
        <v>1998</v>
      </c>
      <c r="E4822" s="1"/>
      <c r="F4822" s="1" t="s">
        <v>11</v>
      </c>
      <c r="G4822">
        <v>5</v>
      </c>
      <c r="H4822">
        <v>5</v>
      </c>
      <c r="I4822" s="2"/>
      <c r="J4822" s="2">
        <v>45778</v>
      </c>
      <c r="K4822" s="2">
        <v>45789</v>
      </c>
    </row>
    <row r="4823" spans="1:11" x14ac:dyDescent="0.25">
      <c r="A4823" s="1" t="s">
        <v>805</v>
      </c>
      <c r="B4823" s="1" t="s">
        <v>1019</v>
      </c>
      <c r="C4823" s="1" t="s">
        <v>2036</v>
      </c>
      <c r="D4823" s="1" t="s">
        <v>1998</v>
      </c>
      <c r="E4823" s="1"/>
      <c r="F4823" s="1" t="s">
        <v>11</v>
      </c>
      <c r="G4823">
        <v>3135</v>
      </c>
      <c r="H4823">
        <v>3135</v>
      </c>
      <c r="I4823" s="2"/>
      <c r="J4823" s="2">
        <v>45778</v>
      </c>
      <c r="K4823" s="2">
        <v>45789</v>
      </c>
    </row>
    <row r="4824" spans="1:11" x14ac:dyDescent="0.25">
      <c r="A4824" s="1" t="s">
        <v>805</v>
      </c>
      <c r="B4824" s="1" t="s">
        <v>1020</v>
      </c>
      <c r="C4824" s="1" t="s">
        <v>2037</v>
      </c>
      <c r="D4824" s="1" t="s">
        <v>1998</v>
      </c>
      <c r="E4824" s="1"/>
      <c r="F4824" s="1" t="s">
        <v>11</v>
      </c>
      <c r="G4824">
        <v>8375</v>
      </c>
      <c r="H4824">
        <v>8375</v>
      </c>
      <c r="I4824" s="2"/>
      <c r="J4824" s="2">
        <v>45778</v>
      </c>
      <c r="K4824" s="2">
        <v>45789</v>
      </c>
    </row>
    <row r="4825" spans="1:11" x14ac:dyDescent="0.25">
      <c r="A4825" s="1" t="s">
        <v>806</v>
      </c>
      <c r="B4825" s="1" t="s">
        <v>1016</v>
      </c>
      <c r="C4825" s="1" t="s">
        <v>2033</v>
      </c>
      <c r="D4825" s="1" t="s">
        <v>1998</v>
      </c>
      <c r="E4825" s="1"/>
      <c r="F4825" s="1" t="s">
        <v>11</v>
      </c>
      <c r="G4825">
        <v>75</v>
      </c>
      <c r="H4825">
        <v>1</v>
      </c>
      <c r="I4825" s="2"/>
      <c r="J4825" s="2">
        <v>45778</v>
      </c>
      <c r="K4825" s="2">
        <v>45789</v>
      </c>
    </row>
    <row r="4826" spans="1:11" x14ac:dyDescent="0.25">
      <c r="A4826" s="1" t="s">
        <v>806</v>
      </c>
      <c r="B4826" s="1" t="s">
        <v>1017</v>
      </c>
      <c r="C4826" s="1" t="s">
        <v>2034</v>
      </c>
      <c r="D4826" s="1" t="s">
        <v>1998</v>
      </c>
      <c r="E4826" s="1"/>
      <c r="F4826" s="1" t="s">
        <v>11</v>
      </c>
      <c r="G4826">
        <v>200</v>
      </c>
      <c r="H4826">
        <v>200</v>
      </c>
      <c r="I4826" s="2"/>
      <c r="J4826" s="2">
        <v>45778</v>
      </c>
      <c r="K4826" s="2">
        <v>45789</v>
      </c>
    </row>
    <row r="4827" spans="1:11" x14ac:dyDescent="0.25">
      <c r="A4827" s="1" t="s">
        <v>806</v>
      </c>
      <c r="B4827" s="1" t="s">
        <v>1018</v>
      </c>
      <c r="C4827" s="1" t="s">
        <v>2035</v>
      </c>
      <c r="D4827" s="1" t="s">
        <v>1998</v>
      </c>
      <c r="E4827" s="1"/>
      <c r="F4827" s="1" t="s">
        <v>11</v>
      </c>
      <c r="G4827">
        <v>885</v>
      </c>
      <c r="H4827">
        <v>1080</v>
      </c>
      <c r="I4827" s="2"/>
      <c r="J4827" s="2">
        <v>45778</v>
      </c>
      <c r="K4827" s="2">
        <v>45789</v>
      </c>
    </row>
    <row r="4828" spans="1:11" x14ac:dyDescent="0.25">
      <c r="A4828" s="1" t="s">
        <v>806</v>
      </c>
      <c r="B4828" s="1" t="s">
        <v>999</v>
      </c>
      <c r="C4828" s="1" t="s">
        <v>2017</v>
      </c>
      <c r="D4828" s="1" t="s">
        <v>1998</v>
      </c>
      <c r="E4828" s="1"/>
      <c r="F4828" s="1" t="s">
        <v>11</v>
      </c>
      <c r="G4828">
        <v>1</v>
      </c>
      <c r="H4828">
        <v>1</v>
      </c>
      <c r="I4828" s="2"/>
      <c r="J4828" s="2">
        <v>45778</v>
      </c>
      <c r="K4828" s="2">
        <v>45789</v>
      </c>
    </row>
    <row r="4829" spans="1:11" x14ac:dyDescent="0.25">
      <c r="A4829" s="1" t="s">
        <v>806</v>
      </c>
      <c r="B4829" s="1" t="s">
        <v>1000</v>
      </c>
      <c r="C4829" s="1" t="s">
        <v>2018</v>
      </c>
      <c r="D4829" s="1" t="s">
        <v>1998</v>
      </c>
      <c r="E4829" s="1"/>
      <c r="F4829" s="1" t="s">
        <v>11</v>
      </c>
      <c r="G4829">
        <v>5</v>
      </c>
      <c r="H4829">
        <v>1</v>
      </c>
      <c r="I4829" s="2"/>
      <c r="J4829" s="2">
        <v>45778</v>
      </c>
      <c r="K4829" s="2">
        <v>45789</v>
      </c>
    </row>
    <row r="4830" spans="1:11" x14ac:dyDescent="0.25">
      <c r="A4830" s="1" t="s">
        <v>806</v>
      </c>
      <c r="B4830" s="1" t="s">
        <v>1001</v>
      </c>
      <c r="C4830" s="1" t="s">
        <v>2019</v>
      </c>
      <c r="D4830" s="1" t="s">
        <v>1998</v>
      </c>
      <c r="E4830" s="1"/>
      <c r="F4830" s="1" t="s">
        <v>11</v>
      </c>
      <c r="G4830">
        <v>5</v>
      </c>
      <c r="H4830">
        <v>1</v>
      </c>
      <c r="I4830" s="2"/>
      <c r="J4830" s="2">
        <v>45778</v>
      </c>
      <c r="K4830" s="2">
        <v>45789</v>
      </c>
    </row>
    <row r="4831" spans="1:11" x14ac:dyDescent="0.25">
      <c r="A4831" s="1" t="s">
        <v>806</v>
      </c>
      <c r="B4831" s="1" t="s">
        <v>1019</v>
      </c>
      <c r="C4831" s="1" t="s">
        <v>2036</v>
      </c>
      <c r="D4831" s="1" t="s">
        <v>1998</v>
      </c>
      <c r="E4831" s="1"/>
      <c r="F4831" s="1" t="s">
        <v>11</v>
      </c>
      <c r="G4831">
        <v>3135</v>
      </c>
      <c r="H4831">
        <v>3135</v>
      </c>
      <c r="I4831" s="2"/>
      <c r="J4831" s="2">
        <v>45778</v>
      </c>
      <c r="K4831" s="2">
        <v>45789</v>
      </c>
    </row>
    <row r="4832" spans="1:11" x14ac:dyDescent="0.25">
      <c r="A4832" s="1" t="s">
        <v>806</v>
      </c>
      <c r="B4832" s="1" t="s">
        <v>1020</v>
      </c>
      <c r="C4832" s="1" t="s">
        <v>2037</v>
      </c>
      <c r="D4832" s="1" t="s">
        <v>1998</v>
      </c>
      <c r="E4832" s="1"/>
      <c r="F4832" s="1" t="s">
        <v>11</v>
      </c>
      <c r="G4832">
        <v>8375</v>
      </c>
      <c r="H4832">
        <v>8375</v>
      </c>
      <c r="I4832" s="2"/>
      <c r="J4832" s="2">
        <v>45778</v>
      </c>
      <c r="K4832" s="2">
        <v>45789</v>
      </c>
    </row>
    <row r="4833" spans="1:11" x14ac:dyDescent="0.25">
      <c r="A4833" s="1" t="s">
        <v>807</v>
      </c>
      <c r="B4833" s="1" t="s">
        <v>1277</v>
      </c>
      <c r="C4833" s="1" t="s">
        <v>2254</v>
      </c>
      <c r="D4833" s="1" t="s">
        <v>1998</v>
      </c>
      <c r="E4833" s="1"/>
      <c r="F4833" s="1" t="s">
        <v>11</v>
      </c>
      <c r="G4833">
        <v>360</v>
      </c>
      <c r="H4833">
        <v>375</v>
      </c>
      <c r="I4833" s="2"/>
      <c r="J4833" s="2">
        <v>45782</v>
      </c>
      <c r="K4833" s="2">
        <v>45784</v>
      </c>
    </row>
    <row r="4834" spans="1:11" x14ac:dyDescent="0.25">
      <c r="A4834" s="1" t="s">
        <v>807</v>
      </c>
      <c r="B4834" s="1" t="s">
        <v>1278</v>
      </c>
      <c r="C4834" s="1" t="s">
        <v>2255</v>
      </c>
      <c r="D4834" s="1" t="s">
        <v>1998</v>
      </c>
      <c r="E4834" s="1"/>
      <c r="F4834" s="1" t="s">
        <v>11</v>
      </c>
      <c r="G4834">
        <v>1190</v>
      </c>
      <c r="H4834">
        <v>1170</v>
      </c>
      <c r="I4834" s="2"/>
      <c r="J4834" s="2">
        <v>45782</v>
      </c>
      <c r="K4834" s="2">
        <v>45784</v>
      </c>
    </row>
    <row r="4835" spans="1:11" x14ac:dyDescent="0.25">
      <c r="A4835" s="1" t="s">
        <v>807</v>
      </c>
      <c r="B4835" s="1" t="s">
        <v>1206</v>
      </c>
      <c r="C4835" s="1" t="s">
        <v>2196</v>
      </c>
      <c r="D4835" s="1" t="s">
        <v>1998</v>
      </c>
      <c r="E4835" s="1"/>
      <c r="F4835" s="1" t="s">
        <v>11</v>
      </c>
      <c r="G4835">
        <v>5</v>
      </c>
      <c r="H4835">
        <v>5</v>
      </c>
      <c r="I4835" s="2"/>
      <c r="J4835" s="2">
        <v>45782</v>
      </c>
      <c r="K4835" s="2">
        <v>45784</v>
      </c>
    </row>
    <row r="4836" spans="1:11" x14ac:dyDescent="0.25">
      <c r="A4836" s="1" t="s">
        <v>807</v>
      </c>
      <c r="B4836" s="1" t="s">
        <v>1279</v>
      </c>
      <c r="C4836" s="1" t="s">
        <v>2256</v>
      </c>
      <c r="D4836" s="1" t="s">
        <v>1998</v>
      </c>
      <c r="E4836" s="1"/>
      <c r="F4836" s="1" t="s">
        <v>11</v>
      </c>
      <c r="G4836">
        <v>15</v>
      </c>
      <c r="H4836">
        <v>15</v>
      </c>
      <c r="I4836" s="2"/>
      <c r="J4836" s="2">
        <v>45782</v>
      </c>
      <c r="K4836" s="2">
        <v>45784</v>
      </c>
    </row>
    <row r="4837" spans="1:11" x14ac:dyDescent="0.25">
      <c r="A4837" s="1" t="s">
        <v>807</v>
      </c>
      <c r="B4837" s="1" t="s">
        <v>1280</v>
      </c>
      <c r="C4837" s="1" t="s">
        <v>2257</v>
      </c>
      <c r="D4837" s="1" t="s">
        <v>1998</v>
      </c>
      <c r="E4837" s="1"/>
      <c r="F4837" s="1" t="s">
        <v>11</v>
      </c>
      <c r="G4837">
        <v>5</v>
      </c>
      <c r="H4837">
        <v>5</v>
      </c>
      <c r="I4837" s="2"/>
      <c r="J4837" s="2">
        <v>45782</v>
      </c>
      <c r="K4837" s="2">
        <v>45784</v>
      </c>
    </row>
    <row r="4838" spans="1:11" x14ac:dyDescent="0.25">
      <c r="A4838" s="1" t="s">
        <v>808</v>
      </c>
      <c r="B4838" s="1" t="s">
        <v>1467</v>
      </c>
      <c r="C4838" s="1" t="s">
        <v>2404</v>
      </c>
      <c r="D4838" s="1" t="s">
        <v>1998</v>
      </c>
      <c r="E4838" s="1"/>
      <c r="F4838" s="1" t="s">
        <v>11</v>
      </c>
      <c r="G4838">
        <v>50</v>
      </c>
      <c r="H4838">
        <v>240</v>
      </c>
      <c r="I4838" s="2"/>
      <c r="J4838" s="2">
        <v>45779</v>
      </c>
      <c r="K4838" s="2">
        <v>45784</v>
      </c>
    </row>
    <row r="4839" spans="1:11" x14ac:dyDescent="0.25">
      <c r="A4839" s="1" t="s">
        <v>808</v>
      </c>
      <c r="B4839" s="1" t="s">
        <v>1350</v>
      </c>
      <c r="C4839" s="1" t="s">
        <v>2303</v>
      </c>
      <c r="D4839" s="1" t="s">
        <v>1998</v>
      </c>
      <c r="E4839" s="1"/>
      <c r="F4839" s="1" t="s">
        <v>11</v>
      </c>
      <c r="G4839">
        <v>885</v>
      </c>
      <c r="H4839">
        <v>430</v>
      </c>
      <c r="I4839" s="2"/>
      <c r="J4839" s="2">
        <v>45779</v>
      </c>
      <c r="K4839" s="2">
        <v>45784</v>
      </c>
    </row>
    <row r="4840" spans="1:11" x14ac:dyDescent="0.25">
      <c r="A4840" s="1" t="s">
        <v>808</v>
      </c>
      <c r="B4840" s="1" t="s">
        <v>1206</v>
      </c>
      <c r="C4840" s="1" t="s">
        <v>2196</v>
      </c>
      <c r="D4840" s="1" t="s">
        <v>1998</v>
      </c>
      <c r="E4840" s="1"/>
      <c r="F4840" s="1" t="s">
        <v>11</v>
      </c>
      <c r="G4840">
        <v>5</v>
      </c>
      <c r="H4840">
        <v>5</v>
      </c>
      <c r="I4840" s="2"/>
      <c r="J4840" s="2">
        <v>45779</v>
      </c>
      <c r="K4840" s="2">
        <v>45784</v>
      </c>
    </row>
    <row r="4841" spans="1:11" x14ac:dyDescent="0.25">
      <c r="A4841" s="1" t="s">
        <v>808</v>
      </c>
      <c r="B4841" s="1" t="s">
        <v>1280</v>
      </c>
      <c r="C4841" s="1" t="s">
        <v>2257</v>
      </c>
      <c r="D4841" s="1" t="s">
        <v>1998</v>
      </c>
      <c r="E4841" s="1"/>
      <c r="F4841" s="1" t="s">
        <v>11</v>
      </c>
      <c r="G4841">
        <v>20</v>
      </c>
      <c r="H4841">
        <v>20</v>
      </c>
      <c r="I4841" s="2"/>
      <c r="J4841" s="2">
        <v>45779</v>
      </c>
      <c r="K4841" s="2">
        <v>45784</v>
      </c>
    </row>
    <row r="4842" spans="1:11" x14ac:dyDescent="0.25">
      <c r="A4842" s="1" t="s">
        <v>809</v>
      </c>
      <c r="B4842" s="1" t="s">
        <v>1912</v>
      </c>
      <c r="C4842" s="1" t="s">
        <v>2752</v>
      </c>
      <c r="D4842" s="1" t="s">
        <v>1998</v>
      </c>
      <c r="E4842" s="1"/>
      <c r="F4842" s="1" t="s">
        <v>11</v>
      </c>
      <c r="G4842">
        <v>170</v>
      </c>
      <c r="H4842">
        <v>175</v>
      </c>
      <c r="I4842" s="2"/>
      <c r="J4842" s="2">
        <v>45777</v>
      </c>
      <c r="K4842" s="2">
        <v>45784</v>
      </c>
    </row>
    <row r="4843" spans="1:11" x14ac:dyDescent="0.25">
      <c r="A4843" s="1" t="s">
        <v>809</v>
      </c>
      <c r="B4843" s="1" t="s">
        <v>1223</v>
      </c>
      <c r="C4843" s="1" t="s">
        <v>2207</v>
      </c>
      <c r="D4843" s="1" t="s">
        <v>1998</v>
      </c>
      <c r="E4843" s="1"/>
      <c r="F4843" s="1" t="s">
        <v>11</v>
      </c>
      <c r="G4843">
        <v>190</v>
      </c>
      <c r="H4843">
        <v>195</v>
      </c>
      <c r="I4843" s="2"/>
      <c r="J4843" s="2">
        <v>45777</v>
      </c>
      <c r="K4843" s="2">
        <v>45784</v>
      </c>
    </row>
    <row r="4844" spans="1:11" x14ac:dyDescent="0.25">
      <c r="A4844" s="1" t="s">
        <v>809</v>
      </c>
      <c r="B4844" s="1" t="s">
        <v>1224</v>
      </c>
      <c r="C4844" s="1" t="s">
        <v>2208</v>
      </c>
      <c r="D4844" s="1" t="s">
        <v>1998</v>
      </c>
      <c r="E4844" s="1"/>
      <c r="F4844" s="1" t="s">
        <v>11</v>
      </c>
      <c r="G4844">
        <v>2745</v>
      </c>
      <c r="H4844">
        <v>2800</v>
      </c>
      <c r="I4844" s="2"/>
      <c r="J4844" s="2">
        <v>45777</v>
      </c>
      <c r="K4844" s="2">
        <v>45784</v>
      </c>
    </row>
    <row r="4845" spans="1:11" x14ac:dyDescent="0.25">
      <c r="A4845" s="1" t="s">
        <v>809</v>
      </c>
      <c r="B4845" s="1" t="s">
        <v>1225</v>
      </c>
      <c r="C4845" s="1" t="s">
        <v>2209</v>
      </c>
      <c r="D4845" s="1" t="s">
        <v>1998</v>
      </c>
      <c r="E4845" s="1"/>
      <c r="F4845" s="1" t="s">
        <v>11</v>
      </c>
      <c r="G4845">
        <v>2080</v>
      </c>
      <c r="H4845">
        <v>2125</v>
      </c>
      <c r="I4845" s="2"/>
      <c r="J4845" s="2">
        <v>45777</v>
      </c>
      <c r="K4845" s="2">
        <v>45784</v>
      </c>
    </row>
    <row r="4846" spans="1:11" x14ac:dyDescent="0.25">
      <c r="A4846" s="1" t="s">
        <v>810</v>
      </c>
      <c r="B4846" s="1" t="s">
        <v>1108</v>
      </c>
      <c r="C4846" s="1" t="s">
        <v>2108</v>
      </c>
      <c r="D4846" s="1" t="s">
        <v>1998</v>
      </c>
      <c r="E4846" s="1"/>
      <c r="F4846" s="1" t="s">
        <v>11</v>
      </c>
      <c r="G4846">
        <v>1205</v>
      </c>
      <c r="H4846">
        <v>1205</v>
      </c>
      <c r="I4846" s="2"/>
      <c r="J4846" s="2">
        <v>45782</v>
      </c>
      <c r="K4846" s="2">
        <v>45789</v>
      </c>
    </row>
    <row r="4847" spans="1:11" x14ac:dyDescent="0.25">
      <c r="A4847" s="1" t="s">
        <v>810</v>
      </c>
      <c r="B4847" s="1" t="s">
        <v>1913</v>
      </c>
      <c r="C4847" s="1" t="s">
        <v>2753</v>
      </c>
      <c r="D4847" s="1" t="s">
        <v>1998</v>
      </c>
      <c r="E4847" s="1"/>
      <c r="F4847" s="1" t="s">
        <v>11</v>
      </c>
      <c r="G4847">
        <v>435</v>
      </c>
      <c r="H4847">
        <v>435</v>
      </c>
      <c r="I4847" s="2"/>
      <c r="J4847" s="2">
        <v>45782</v>
      </c>
      <c r="K4847" s="2">
        <v>45789</v>
      </c>
    </row>
    <row r="4848" spans="1:11" x14ac:dyDescent="0.25">
      <c r="A4848" s="1" t="s">
        <v>810</v>
      </c>
      <c r="B4848" s="1" t="s">
        <v>1914</v>
      </c>
      <c r="C4848" s="1" t="s">
        <v>2107</v>
      </c>
      <c r="D4848" s="1" t="s">
        <v>1998</v>
      </c>
      <c r="E4848" s="1"/>
      <c r="F4848" s="1" t="s">
        <v>11</v>
      </c>
      <c r="G4848">
        <v>1210</v>
      </c>
      <c r="H4848">
        <v>1210</v>
      </c>
      <c r="I4848" s="2"/>
      <c r="J4848" s="2">
        <v>45782</v>
      </c>
      <c r="K4848" s="2">
        <v>45789</v>
      </c>
    </row>
    <row r="4849" spans="1:11" x14ac:dyDescent="0.25">
      <c r="A4849" s="1" t="s">
        <v>810</v>
      </c>
      <c r="B4849" s="1" t="s">
        <v>1914</v>
      </c>
      <c r="C4849" s="1" t="s">
        <v>2107</v>
      </c>
      <c r="D4849" s="1" t="s">
        <v>1998</v>
      </c>
      <c r="E4849" s="1"/>
      <c r="F4849" s="1" t="s">
        <v>11</v>
      </c>
      <c r="G4849">
        <v>20</v>
      </c>
      <c r="H4849">
        <v>20</v>
      </c>
      <c r="I4849" s="2"/>
      <c r="J4849" s="2">
        <v>45782</v>
      </c>
      <c r="K4849" s="2">
        <v>45789</v>
      </c>
    </row>
    <row r="4850" spans="1:11" x14ac:dyDescent="0.25">
      <c r="A4850" s="1" t="s">
        <v>810</v>
      </c>
      <c r="B4850" s="1" t="s">
        <v>1915</v>
      </c>
      <c r="C4850" s="1" t="s">
        <v>2002</v>
      </c>
      <c r="D4850" s="1" t="s">
        <v>1998</v>
      </c>
      <c r="E4850" s="1"/>
      <c r="F4850" s="1" t="s">
        <v>11</v>
      </c>
      <c r="G4850">
        <v>520</v>
      </c>
      <c r="H4850">
        <v>520</v>
      </c>
      <c r="I4850" s="2"/>
      <c r="J4850" s="2">
        <v>45782</v>
      </c>
      <c r="K4850" s="2">
        <v>45789</v>
      </c>
    </row>
    <row r="4851" spans="1:11" x14ac:dyDescent="0.25">
      <c r="A4851" s="1" t="s">
        <v>810</v>
      </c>
      <c r="B4851" s="1" t="s">
        <v>1107</v>
      </c>
      <c r="C4851" s="1" t="s">
        <v>2002</v>
      </c>
      <c r="D4851" s="1" t="s">
        <v>1998</v>
      </c>
      <c r="E4851" s="1"/>
      <c r="F4851" s="1" t="s">
        <v>11</v>
      </c>
      <c r="G4851">
        <v>545</v>
      </c>
      <c r="H4851">
        <v>545</v>
      </c>
      <c r="I4851" s="2"/>
      <c r="J4851" s="2">
        <v>45782</v>
      </c>
      <c r="K4851" s="2">
        <v>45789</v>
      </c>
    </row>
    <row r="4852" spans="1:11" x14ac:dyDescent="0.25">
      <c r="A4852" s="1" t="s">
        <v>810</v>
      </c>
      <c r="B4852" s="1" t="s">
        <v>1107</v>
      </c>
      <c r="C4852" s="1" t="s">
        <v>2002</v>
      </c>
      <c r="D4852" s="1" t="s">
        <v>1998</v>
      </c>
      <c r="E4852" s="1"/>
      <c r="F4852" s="1" t="s">
        <v>11</v>
      </c>
      <c r="G4852">
        <v>95</v>
      </c>
      <c r="H4852">
        <v>95</v>
      </c>
      <c r="I4852" s="2"/>
      <c r="J4852" s="2">
        <v>45782</v>
      </c>
      <c r="K4852" s="2">
        <v>45789</v>
      </c>
    </row>
    <row r="4853" spans="1:11" x14ac:dyDescent="0.25">
      <c r="A4853" s="1" t="s">
        <v>810</v>
      </c>
      <c r="B4853" s="1" t="s">
        <v>1107</v>
      </c>
      <c r="C4853" s="1" t="s">
        <v>2002</v>
      </c>
      <c r="D4853" s="1" t="s">
        <v>1998</v>
      </c>
      <c r="E4853" s="1"/>
      <c r="F4853" s="1" t="s">
        <v>11</v>
      </c>
      <c r="G4853">
        <v>1</v>
      </c>
      <c r="H4853">
        <v>1</v>
      </c>
      <c r="I4853" s="2"/>
      <c r="J4853" s="2">
        <v>45782</v>
      </c>
      <c r="K4853" s="2">
        <v>45789</v>
      </c>
    </row>
    <row r="4854" spans="1:11" x14ac:dyDescent="0.25">
      <c r="A4854" s="1" t="s">
        <v>810</v>
      </c>
      <c r="B4854" s="1" t="s">
        <v>1107</v>
      </c>
      <c r="C4854" s="1" t="s">
        <v>2002</v>
      </c>
      <c r="D4854" s="1" t="s">
        <v>1998</v>
      </c>
      <c r="E4854" s="1"/>
      <c r="F4854" s="1" t="s">
        <v>11</v>
      </c>
      <c r="G4854">
        <v>1</v>
      </c>
      <c r="H4854">
        <v>1</v>
      </c>
      <c r="I4854" s="2"/>
      <c r="J4854" s="2">
        <v>45782</v>
      </c>
      <c r="K4854" s="2">
        <v>45789</v>
      </c>
    </row>
    <row r="4855" spans="1:11" x14ac:dyDescent="0.25">
      <c r="A4855" s="1" t="s">
        <v>811</v>
      </c>
      <c r="B4855" s="1" t="s">
        <v>1123</v>
      </c>
      <c r="C4855" s="1" t="s">
        <v>2123</v>
      </c>
      <c r="D4855" s="1" t="s">
        <v>1998</v>
      </c>
      <c r="E4855" s="1"/>
      <c r="F4855" s="1" t="s">
        <v>11</v>
      </c>
      <c r="G4855">
        <v>285</v>
      </c>
      <c r="H4855">
        <v>285</v>
      </c>
      <c r="I4855" s="2"/>
      <c r="J4855" s="2">
        <v>45783</v>
      </c>
      <c r="K4855" s="2">
        <v>45789</v>
      </c>
    </row>
    <row r="4856" spans="1:11" x14ac:dyDescent="0.25">
      <c r="A4856" s="1" t="s">
        <v>811</v>
      </c>
      <c r="B4856" s="1" t="s">
        <v>1566</v>
      </c>
      <c r="C4856" s="1" t="s">
        <v>2487</v>
      </c>
      <c r="D4856" s="1" t="s">
        <v>1998</v>
      </c>
      <c r="E4856" s="1"/>
      <c r="F4856" s="1" t="s">
        <v>11</v>
      </c>
      <c r="G4856">
        <v>270</v>
      </c>
      <c r="H4856">
        <v>270</v>
      </c>
      <c r="I4856" s="2"/>
      <c r="J4856" s="2">
        <v>45783</v>
      </c>
      <c r="K4856" s="2">
        <v>45789</v>
      </c>
    </row>
    <row r="4857" spans="1:11" x14ac:dyDescent="0.25">
      <c r="A4857" s="1" t="s">
        <v>811</v>
      </c>
      <c r="B4857" s="1" t="s">
        <v>1125</v>
      </c>
      <c r="C4857" s="1" t="s">
        <v>2125</v>
      </c>
      <c r="D4857" s="1" t="s">
        <v>1998</v>
      </c>
      <c r="E4857" s="1"/>
      <c r="F4857" s="1" t="s">
        <v>11</v>
      </c>
      <c r="G4857">
        <v>430</v>
      </c>
      <c r="H4857">
        <v>430</v>
      </c>
      <c r="I4857" s="2"/>
      <c r="J4857" s="2">
        <v>45783</v>
      </c>
      <c r="K4857" s="2">
        <v>45789</v>
      </c>
    </row>
    <row r="4858" spans="1:11" x14ac:dyDescent="0.25">
      <c r="A4858" s="1" t="s">
        <v>811</v>
      </c>
      <c r="B4858" s="1" t="s">
        <v>1126</v>
      </c>
      <c r="C4858" s="1" t="s">
        <v>2126</v>
      </c>
      <c r="D4858" s="1" t="s">
        <v>1998</v>
      </c>
      <c r="E4858" s="1"/>
      <c r="F4858" s="1" t="s">
        <v>11</v>
      </c>
      <c r="G4858">
        <v>30</v>
      </c>
      <c r="H4858">
        <v>30</v>
      </c>
      <c r="I4858" s="2"/>
      <c r="J4858" s="2">
        <v>45783</v>
      </c>
      <c r="K4858" s="2">
        <v>45789</v>
      </c>
    </row>
    <row r="4859" spans="1:11" x14ac:dyDescent="0.25">
      <c r="A4859" s="1" t="s">
        <v>811</v>
      </c>
      <c r="B4859" s="1" t="s">
        <v>1916</v>
      </c>
      <c r="C4859" s="1" t="s">
        <v>2127</v>
      </c>
      <c r="D4859" s="1" t="s">
        <v>1998</v>
      </c>
      <c r="E4859" s="1"/>
      <c r="F4859" s="1" t="s">
        <v>11</v>
      </c>
      <c r="G4859">
        <v>60</v>
      </c>
      <c r="H4859">
        <v>60</v>
      </c>
      <c r="I4859" s="2"/>
      <c r="J4859" s="2">
        <v>45783</v>
      </c>
      <c r="K4859" s="2">
        <v>45789</v>
      </c>
    </row>
    <row r="4860" spans="1:11" x14ac:dyDescent="0.25">
      <c r="A4860" s="1" t="s">
        <v>811</v>
      </c>
      <c r="B4860" s="1" t="s">
        <v>1128</v>
      </c>
      <c r="C4860" s="1" t="s">
        <v>2128</v>
      </c>
      <c r="D4860" s="1" t="s">
        <v>1998</v>
      </c>
      <c r="E4860" s="1"/>
      <c r="F4860" s="1" t="s">
        <v>11</v>
      </c>
      <c r="G4860">
        <v>35</v>
      </c>
      <c r="H4860">
        <v>35</v>
      </c>
      <c r="I4860" s="2"/>
      <c r="J4860" s="2">
        <v>45783</v>
      </c>
      <c r="K4860" s="2">
        <v>45789</v>
      </c>
    </row>
    <row r="4861" spans="1:11" x14ac:dyDescent="0.25">
      <c r="A4861" s="1" t="s">
        <v>811</v>
      </c>
      <c r="B4861" s="1" t="s">
        <v>1129</v>
      </c>
      <c r="C4861" s="1" t="s">
        <v>2129</v>
      </c>
      <c r="D4861" s="1" t="s">
        <v>1998</v>
      </c>
      <c r="E4861" s="1"/>
      <c r="F4861" s="1" t="s">
        <v>11</v>
      </c>
      <c r="G4861">
        <v>35</v>
      </c>
      <c r="H4861">
        <v>35</v>
      </c>
      <c r="I4861" s="2"/>
      <c r="J4861" s="2">
        <v>45783</v>
      </c>
      <c r="K4861" s="2">
        <v>45789</v>
      </c>
    </row>
    <row r="4862" spans="1:11" x14ac:dyDescent="0.25">
      <c r="A4862" s="1" t="s">
        <v>811</v>
      </c>
      <c r="B4862" s="1" t="s">
        <v>1130</v>
      </c>
      <c r="C4862" s="1" t="s">
        <v>2130</v>
      </c>
      <c r="D4862" s="1" t="s">
        <v>1998</v>
      </c>
      <c r="E4862" s="1"/>
      <c r="F4862" s="1" t="s">
        <v>11</v>
      </c>
      <c r="G4862">
        <v>235</v>
      </c>
      <c r="H4862">
        <v>235</v>
      </c>
      <c r="I4862" s="2"/>
      <c r="J4862" s="2">
        <v>45783</v>
      </c>
      <c r="K4862" s="2">
        <v>45789</v>
      </c>
    </row>
    <row r="4863" spans="1:11" x14ac:dyDescent="0.25">
      <c r="A4863" s="1" t="s">
        <v>811</v>
      </c>
      <c r="B4863" s="1" t="s">
        <v>1917</v>
      </c>
      <c r="C4863" s="1" t="s">
        <v>2754</v>
      </c>
      <c r="D4863" s="1" t="s">
        <v>1998</v>
      </c>
      <c r="E4863" s="1"/>
      <c r="F4863" s="1" t="s">
        <v>11</v>
      </c>
      <c r="G4863">
        <v>445</v>
      </c>
      <c r="H4863">
        <v>445</v>
      </c>
      <c r="I4863" s="2"/>
      <c r="J4863" s="2">
        <v>45783</v>
      </c>
      <c r="K4863" s="2">
        <v>45789</v>
      </c>
    </row>
    <row r="4864" spans="1:11" x14ac:dyDescent="0.25">
      <c r="A4864" s="1" t="s">
        <v>811</v>
      </c>
      <c r="B4864" s="1" t="s">
        <v>1918</v>
      </c>
      <c r="C4864" s="1" t="s">
        <v>2587</v>
      </c>
      <c r="D4864" s="1" t="s">
        <v>1998</v>
      </c>
      <c r="E4864" s="1"/>
      <c r="F4864" s="1" t="s">
        <v>11</v>
      </c>
      <c r="G4864">
        <v>540</v>
      </c>
      <c r="H4864">
        <v>540</v>
      </c>
      <c r="I4864" s="2"/>
      <c r="J4864" s="2">
        <v>45783</v>
      </c>
      <c r="K4864" s="2">
        <v>45789</v>
      </c>
    </row>
    <row r="4865" spans="1:11" x14ac:dyDescent="0.25">
      <c r="A4865" s="1" t="s">
        <v>811</v>
      </c>
      <c r="B4865" s="1" t="s">
        <v>1133</v>
      </c>
      <c r="C4865" s="1" t="s">
        <v>2133</v>
      </c>
      <c r="D4865" s="1" t="s">
        <v>1998</v>
      </c>
      <c r="E4865" s="1"/>
      <c r="F4865" s="1" t="s">
        <v>11</v>
      </c>
      <c r="G4865">
        <v>80</v>
      </c>
      <c r="H4865">
        <v>80</v>
      </c>
      <c r="I4865" s="2"/>
      <c r="J4865" s="2">
        <v>45783</v>
      </c>
      <c r="K4865" s="2">
        <v>45789</v>
      </c>
    </row>
    <row r="4866" spans="1:11" x14ac:dyDescent="0.25">
      <c r="A4866" s="1" t="s">
        <v>811</v>
      </c>
      <c r="B4866" s="1" t="s">
        <v>1134</v>
      </c>
      <c r="C4866" s="1" t="s">
        <v>2134</v>
      </c>
      <c r="D4866" s="1" t="s">
        <v>1998</v>
      </c>
      <c r="E4866" s="1"/>
      <c r="F4866" s="1" t="s">
        <v>11</v>
      </c>
      <c r="G4866">
        <v>75</v>
      </c>
      <c r="H4866">
        <v>75</v>
      </c>
      <c r="I4866" s="2"/>
      <c r="J4866" s="2">
        <v>45783</v>
      </c>
      <c r="K4866" s="2">
        <v>45789</v>
      </c>
    </row>
    <row r="4867" spans="1:11" x14ac:dyDescent="0.25">
      <c r="A4867" s="1" t="s">
        <v>811</v>
      </c>
      <c r="B4867" s="1" t="s">
        <v>1919</v>
      </c>
      <c r="C4867" s="1" t="s">
        <v>2755</v>
      </c>
      <c r="D4867" s="1" t="s">
        <v>1998</v>
      </c>
      <c r="E4867" s="1"/>
      <c r="F4867" s="1" t="s">
        <v>11</v>
      </c>
      <c r="G4867">
        <v>1260</v>
      </c>
      <c r="H4867">
        <v>1260</v>
      </c>
      <c r="I4867" s="2"/>
      <c r="J4867" s="2">
        <v>45783</v>
      </c>
      <c r="K4867" s="2">
        <v>45789</v>
      </c>
    </row>
    <row r="4868" spans="1:11" x14ac:dyDescent="0.25">
      <c r="A4868" s="1" t="s">
        <v>812</v>
      </c>
      <c r="B4868" s="1" t="s">
        <v>995</v>
      </c>
      <c r="C4868" s="1" t="s">
        <v>2013</v>
      </c>
      <c r="D4868" s="1" t="s">
        <v>1998</v>
      </c>
      <c r="E4868" s="1"/>
      <c r="F4868" s="1" t="s">
        <v>11</v>
      </c>
      <c r="G4868">
        <v>145</v>
      </c>
      <c r="H4868">
        <v>10</v>
      </c>
      <c r="I4868" s="2"/>
      <c r="J4868" s="2">
        <v>45777</v>
      </c>
      <c r="K4868" s="2">
        <v>45789</v>
      </c>
    </row>
    <row r="4869" spans="1:11" x14ac:dyDescent="0.25">
      <c r="A4869" s="1" t="s">
        <v>812</v>
      </c>
      <c r="B4869" s="1" t="s">
        <v>1075</v>
      </c>
      <c r="C4869" s="1" t="s">
        <v>2078</v>
      </c>
      <c r="D4869" s="1" t="s">
        <v>1998</v>
      </c>
      <c r="E4869" s="1"/>
      <c r="F4869" s="1" t="s">
        <v>11</v>
      </c>
      <c r="G4869">
        <v>210</v>
      </c>
      <c r="H4869">
        <v>210</v>
      </c>
      <c r="I4869" s="2"/>
      <c r="J4869" s="2">
        <v>45777</v>
      </c>
      <c r="K4869" s="2">
        <v>45789</v>
      </c>
    </row>
    <row r="4870" spans="1:11" x14ac:dyDescent="0.25">
      <c r="A4870" s="1" t="s">
        <v>812</v>
      </c>
      <c r="B4870" s="1" t="s">
        <v>1052</v>
      </c>
      <c r="C4870" s="1" t="s">
        <v>2061</v>
      </c>
      <c r="D4870" s="1" t="s">
        <v>1998</v>
      </c>
      <c r="E4870" s="1"/>
      <c r="F4870" s="1" t="s">
        <v>11</v>
      </c>
      <c r="G4870">
        <v>1945</v>
      </c>
      <c r="H4870">
        <v>1945</v>
      </c>
      <c r="I4870" s="2"/>
      <c r="J4870" s="2">
        <v>45777</v>
      </c>
      <c r="K4870" s="2">
        <v>45789</v>
      </c>
    </row>
    <row r="4871" spans="1:11" x14ac:dyDescent="0.25">
      <c r="A4871" s="1" t="s">
        <v>812</v>
      </c>
      <c r="B4871" s="1" t="s">
        <v>999</v>
      </c>
      <c r="C4871" s="1" t="s">
        <v>2017</v>
      </c>
      <c r="D4871" s="1" t="s">
        <v>1998</v>
      </c>
      <c r="E4871" s="1"/>
      <c r="F4871" s="1" t="s">
        <v>11</v>
      </c>
      <c r="G4871">
        <v>1</v>
      </c>
      <c r="H4871">
        <v>1</v>
      </c>
      <c r="I4871" s="2"/>
      <c r="J4871" s="2">
        <v>45777</v>
      </c>
      <c r="K4871" s="2">
        <v>45789</v>
      </c>
    </row>
    <row r="4872" spans="1:11" x14ac:dyDescent="0.25">
      <c r="A4872" s="1" t="s">
        <v>812</v>
      </c>
      <c r="B4872" s="1" t="s">
        <v>1000</v>
      </c>
      <c r="C4872" s="1" t="s">
        <v>2018</v>
      </c>
      <c r="D4872" s="1" t="s">
        <v>1998</v>
      </c>
      <c r="E4872" s="1"/>
      <c r="F4872" s="1" t="s">
        <v>11</v>
      </c>
      <c r="G4872">
        <v>10</v>
      </c>
      <c r="H4872">
        <v>10</v>
      </c>
      <c r="I4872" s="2"/>
      <c r="J4872" s="2">
        <v>45777</v>
      </c>
      <c r="K4872" s="2">
        <v>45789</v>
      </c>
    </row>
    <row r="4873" spans="1:11" x14ac:dyDescent="0.25">
      <c r="A4873" s="1" t="s">
        <v>812</v>
      </c>
      <c r="B4873" s="1" t="s">
        <v>1001</v>
      </c>
      <c r="C4873" s="1" t="s">
        <v>2019</v>
      </c>
      <c r="D4873" s="1" t="s">
        <v>1998</v>
      </c>
      <c r="E4873" s="1"/>
      <c r="F4873" s="1" t="s">
        <v>11</v>
      </c>
      <c r="G4873">
        <v>5</v>
      </c>
      <c r="H4873">
        <v>5</v>
      </c>
      <c r="I4873" s="2"/>
      <c r="J4873" s="2">
        <v>45777</v>
      </c>
      <c r="K4873" s="2">
        <v>45789</v>
      </c>
    </row>
    <row r="4874" spans="1:11" x14ac:dyDescent="0.25">
      <c r="A4874" s="1" t="s">
        <v>812</v>
      </c>
      <c r="B4874" s="1" t="s">
        <v>1076</v>
      </c>
      <c r="C4874" s="1" t="s">
        <v>2079</v>
      </c>
      <c r="D4874" s="1" t="s">
        <v>1998</v>
      </c>
      <c r="E4874" s="1"/>
      <c r="F4874" s="1" t="s">
        <v>11</v>
      </c>
      <c r="G4874">
        <v>5520</v>
      </c>
      <c r="H4874">
        <v>5520</v>
      </c>
      <c r="I4874" s="2"/>
      <c r="J4874" s="2">
        <v>45777</v>
      </c>
      <c r="K4874" s="2">
        <v>45789</v>
      </c>
    </row>
    <row r="4875" spans="1:11" x14ac:dyDescent="0.25">
      <c r="A4875" s="1" t="s">
        <v>812</v>
      </c>
      <c r="B4875" s="1" t="s">
        <v>1077</v>
      </c>
      <c r="C4875" s="1" t="s">
        <v>2080</v>
      </c>
      <c r="D4875" s="1" t="s">
        <v>1998</v>
      </c>
      <c r="E4875" s="1"/>
      <c r="F4875" s="1" t="s">
        <v>11</v>
      </c>
      <c r="G4875">
        <v>6395</v>
      </c>
      <c r="H4875">
        <v>6395</v>
      </c>
      <c r="I4875" s="2"/>
      <c r="J4875" s="2">
        <v>45777</v>
      </c>
      <c r="K4875" s="2">
        <v>45789</v>
      </c>
    </row>
    <row r="4876" spans="1:11" x14ac:dyDescent="0.25">
      <c r="A4876" s="1" t="s">
        <v>813</v>
      </c>
      <c r="B4876" s="1" t="s">
        <v>995</v>
      </c>
      <c r="C4876" s="1" t="s">
        <v>2013</v>
      </c>
      <c r="D4876" s="1" t="s">
        <v>1998</v>
      </c>
      <c r="E4876" s="1"/>
      <c r="F4876" s="1" t="s">
        <v>11</v>
      </c>
      <c r="G4876">
        <v>145</v>
      </c>
      <c r="H4876">
        <v>1</v>
      </c>
      <c r="I4876" s="2"/>
      <c r="J4876" s="2">
        <v>45777</v>
      </c>
      <c r="K4876" s="2">
        <v>45789</v>
      </c>
    </row>
    <row r="4877" spans="1:11" x14ac:dyDescent="0.25">
      <c r="A4877" s="1" t="s">
        <v>813</v>
      </c>
      <c r="B4877" s="1" t="s">
        <v>1075</v>
      </c>
      <c r="C4877" s="1" t="s">
        <v>2078</v>
      </c>
      <c r="D4877" s="1" t="s">
        <v>1998</v>
      </c>
      <c r="E4877" s="1"/>
      <c r="F4877" s="1" t="s">
        <v>11</v>
      </c>
      <c r="G4877">
        <v>210</v>
      </c>
      <c r="H4877">
        <v>210</v>
      </c>
      <c r="I4877" s="2"/>
      <c r="J4877" s="2">
        <v>45777</v>
      </c>
      <c r="K4877" s="2">
        <v>45789</v>
      </c>
    </row>
    <row r="4878" spans="1:11" x14ac:dyDescent="0.25">
      <c r="A4878" s="1" t="s">
        <v>813</v>
      </c>
      <c r="B4878" s="1" t="s">
        <v>1052</v>
      </c>
      <c r="C4878" s="1" t="s">
        <v>2061</v>
      </c>
      <c r="D4878" s="1" t="s">
        <v>1998</v>
      </c>
      <c r="E4878" s="1"/>
      <c r="F4878" s="1" t="s">
        <v>11</v>
      </c>
      <c r="G4878">
        <v>1945</v>
      </c>
      <c r="H4878">
        <v>1945</v>
      </c>
      <c r="I4878" s="2"/>
      <c r="J4878" s="2">
        <v>45777</v>
      </c>
      <c r="K4878" s="2">
        <v>45789</v>
      </c>
    </row>
    <row r="4879" spans="1:11" x14ac:dyDescent="0.25">
      <c r="A4879" s="1" t="s">
        <v>813</v>
      </c>
      <c r="B4879" s="1" t="s">
        <v>999</v>
      </c>
      <c r="C4879" s="1" t="s">
        <v>2017</v>
      </c>
      <c r="D4879" s="1" t="s">
        <v>1998</v>
      </c>
      <c r="E4879" s="1"/>
      <c r="F4879" s="1" t="s">
        <v>11</v>
      </c>
      <c r="G4879">
        <v>1</v>
      </c>
      <c r="H4879">
        <v>1</v>
      </c>
      <c r="I4879" s="2"/>
      <c r="J4879" s="2">
        <v>45777</v>
      </c>
      <c r="K4879" s="2">
        <v>45789</v>
      </c>
    </row>
    <row r="4880" spans="1:11" x14ac:dyDescent="0.25">
      <c r="A4880" s="1" t="s">
        <v>813</v>
      </c>
      <c r="B4880" s="1" t="s">
        <v>1000</v>
      </c>
      <c r="C4880" s="1" t="s">
        <v>2018</v>
      </c>
      <c r="D4880" s="1" t="s">
        <v>1998</v>
      </c>
      <c r="E4880" s="1"/>
      <c r="F4880" s="1" t="s">
        <v>11</v>
      </c>
      <c r="G4880">
        <v>10</v>
      </c>
      <c r="H4880">
        <v>1</v>
      </c>
      <c r="I4880" s="2"/>
      <c r="J4880" s="2">
        <v>45777</v>
      </c>
      <c r="K4880" s="2">
        <v>45789</v>
      </c>
    </row>
    <row r="4881" spans="1:11" x14ac:dyDescent="0.25">
      <c r="A4881" s="1" t="s">
        <v>813</v>
      </c>
      <c r="B4881" s="1" t="s">
        <v>1001</v>
      </c>
      <c r="C4881" s="1" t="s">
        <v>2019</v>
      </c>
      <c r="D4881" s="1" t="s">
        <v>1998</v>
      </c>
      <c r="E4881" s="1"/>
      <c r="F4881" s="1" t="s">
        <v>11</v>
      </c>
      <c r="G4881">
        <v>5</v>
      </c>
      <c r="H4881">
        <v>1</v>
      </c>
      <c r="I4881" s="2"/>
      <c r="J4881" s="2">
        <v>45777</v>
      </c>
      <c r="K4881" s="2">
        <v>45789</v>
      </c>
    </row>
    <row r="4882" spans="1:11" x14ac:dyDescent="0.25">
      <c r="A4882" s="1" t="s">
        <v>813</v>
      </c>
      <c r="B4882" s="1" t="s">
        <v>1076</v>
      </c>
      <c r="C4882" s="1" t="s">
        <v>2079</v>
      </c>
      <c r="D4882" s="1" t="s">
        <v>1998</v>
      </c>
      <c r="E4882" s="1"/>
      <c r="F4882" s="1" t="s">
        <v>11</v>
      </c>
      <c r="G4882">
        <v>5520</v>
      </c>
      <c r="H4882">
        <v>5520</v>
      </c>
      <c r="I4882" s="2"/>
      <c r="J4882" s="2">
        <v>45777</v>
      </c>
      <c r="K4882" s="2">
        <v>45789</v>
      </c>
    </row>
    <row r="4883" spans="1:11" x14ac:dyDescent="0.25">
      <c r="A4883" s="1" t="s">
        <v>813</v>
      </c>
      <c r="B4883" s="1" t="s">
        <v>1077</v>
      </c>
      <c r="C4883" s="1" t="s">
        <v>2080</v>
      </c>
      <c r="D4883" s="1" t="s">
        <v>1998</v>
      </c>
      <c r="E4883" s="1"/>
      <c r="F4883" s="1" t="s">
        <v>11</v>
      </c>
      <c r="G4883">
        <v>6395</v>
      </c>
      <c r="H4883">
        <v>6395</v>
      </c>
      <c r="I4883" s="2"/>
      <c r="J4883" s="2">
        <v>45777</v>
      </c>
      <c r="K4883" s="2">
        <v>45789</v>
      </c>
    </row>
    <row r="4884" spans="1:11" x14ac:dyDescent="0.25">
      <c r="A4884" s="1" t="s">
        <v>814</v>
      </c>
      <c r="B4884" s="1" t="s">
        <v>995</v>
      </c>
      <c r="C4884" s="1" t="s">
        <v>2013</v>
      </c>
      <c r="D4884" s="1" t="s">
        <v>1998</v>
      </c>
      <c r="E4884" s="1"/>
      <c r="F4884" s="1" t="s">
        <v>11</v>
      </c>
      <c r="G4884">
        <v>145</v>
      </c>
      <c r="H4884">
        <v>1</v>
      </c>
      <c r="I4884" s="2"/>
      <c r="J4884" s="2">
        <v>45777</v>
      </c>
      <c r="K4884" s="2">
        <v>45789</v>
      </c>
    </row>
    <row r="4885" spans="1:11" x14ac:dyDescent="0.25">
      <c r="A4885" s="1" t="s">
        <v>814</v>
      </c>
      <c r="B4885" s="1" t="s">
        <v>1075</v>
      </c>
      <c r="C4885" s="1" t="s">
        <v>2078</v>
      </c>
      <c r="D4885" s="1" t="s">
        <v>1998</v>
      </c>
      <c r="E4885" s="1"/>
      <c r="F4885" s="1" t="s">
        <v>11</v>
      </c>
      <c r="G4885">
        <v>210</v>
      </c>
      <c r="H4885">
        <v>210</v>
      </c>
      <c r="I4885" s="2"/>
      <c r="J4885" s="2">
        <v>45777</v>
      </c>
      <c r="K4885" s="2">
        <v>45789</v>
      </c>
    </row>
    <row r="4886" spans="1:11" x14ac:dyDescent="0.25">
      <c r="A4886" s="1" t="s">
        <v>814</v>
      </c>
      <c r="B4886" s="1" t="s">
        <v>1052</v>
      </c>
      <c r="C4886" s="1" t="s">
        <v>2061</v>
      </c>
      <c r="D4886" s="1" t="s">
        <v>1998</v>
      </c>
      <c r="E4886" s="1"/>
      <c r="F4886" s="1" t="s">
        <v>11</v>
      </c>
      <c r="G4886">
        <v>1945</v>
      </c>
      <c r="H4886">
        <v>1945</v>
      </c>
      <c r="I4886" s="2"/>
      <c r="J4886" s="2">
        <v>45777</v>
      </c>
      <c r="K4886" s="2">
        <v>45789</v>
      </c>
    </row>
    <row r="4887" spans="1:11" x14ac:dyDescent="0.25">
      <c r="A4887" s="1" t="s">
        <v>814</v>
      </c>
      <c r="B4887" s="1" t="s">
        <v>999</v>
      </c>
      <c r="C4887" s="1" t="s">
        <v>2017</v>
      </c>
      <c r="D4887" s="1" t="s">
        <v>1998</v>
      </c>
      <c r="E4887" s="1"/>
      <c r="F4887" s="1" t="s">
        <v>11</v>
      </c>
      <c r="G4887">
        <v>1</v>
      </c>
      <c r="H4887">
        <v>1</v>
      </c>
      <c r="I4887" s="2"/>
      <c r="J4887" s="2">
        <v>45777</v>
      </c>
      <c r="K4887" s="2">
        <v>45789</v>
      </c>
    </row>
    <row r="4888" spans="1:11" x14ac:dyDescent="0.25">
      <c r="A4888" s="1" t="s">
        <v>814</v>
      </c>
      <c r="B4888" s="1" t="s">
        <v>1000</v>
      </c>
      <c r="C4888" s="1" t="s">
        <v>2018</v>
      </c>
      <c r="D4888" s="1" t="s">
        <v>1998</v>
      </c>
      <c r="E4888" s="1"/>
      <c r="F4888" s="1" t="s">
        <v>11</v>
      </c>
      <c r="G4888">
        <v>10</v>
      </c>
      <c r="H4888">
        <v>1</v>
      </c>
      <c r="I4888" s="2"/>
      <c r="J4888" s="2">
        <v>45777</v>
      </c>
      <c r="K4888" s="2">
        <v>45789</v>
      </c>
    </row>
    <row r="4889" spans="1:11" x14ac:dyDescent="0.25">
      <c r="A4889" s="1" t="s">
        <v>814</v>
      </c>
      <c r="B4889" s="1" t="s">
        <v>1001</v>
      </c>
      <c r="C4889" s="1" t="s">
        <v>2019</v>
      </c>
      <c r="D4889" s="1" t="s">
        <v>1998</v>
      </c>
      <c r="E4889" s="1"/>
      <c r="F4889" s="1" t="s">
        <v>11</v>
      </c>
      <c r="G4889">
        <v>5</v>
      </c>
      <c r="H4889">
        <v>1</v>
      </c>
      <c r="I4889" s="2"/>
      <c r="J4889" s="2">
        <v>45777</v>
      </c>
      <c r="K4889" s="2">
        <v>45789</v>
      </c>
    </row>
    <row r="4890" spans="1:11" x14ac:dyDescent="0.25">
      <c r="A4890" s="1" t="s">
        <v>814</v>
      </c>
      <c r="B4890" s="1" t="s">
        <v>1076</v>
      </c>
      <c r="C4890" s="1" t="s">
        <v>2079</v>
      </c>
      <c r="D4890" s="1" t="s">
        <v>1998</v>
      </c>
      <c r="E4890" s="1"/>
      <c r="F4890" s="1" t="s">
        <v>11</v>
      </c>
      <c r="G4890">
        <v>5520</v>
      </c>
      <c r="H4890">
        <v>5520</v>
      </c>
      <c r="I4890" s="2"/>
      <c r="J4890" s="2">
        <v>45777</v>
      </c>
      <c r="K4890" s="2">
        <v>45789</v>
      </c>
    </row>
    <row r="4891" spans="1:11" x14ac:dyDescent="0.25">
      <c r="A4891" s="1" t="s">
        <v>814</v>
      </c>
      <c r="B4891" s="1" t="s">
        <v>1077</v>
      </c>
      <c r="C4891" s="1" t="s">
        <v>2080</v>
      </c>
      <c r="D4891" s="1" t="s">
        <v>1998</v>
      </c>
      <c r="E4891" s="1"/>
      <c r="F4891" s="1" t="s">
        <v>11</v>
      </c>
      <c r="G4891">
        <v>6395</v>
      </c>
      <c r="H4891">
        <v>6395</v>
      </c>
      <c r="I4891" s="2"/>
      <c r="J4891" s="2">
        <v>45777</v>
      </c>
      <c r="K4891" s="2">
        <v>45789</v>
      </c>
    </row>
    <row r="4892" spans="1:11" x14ac:dyDescent="0.25">
      <c r="A4892" s="1" t="s">
        <v>815</v>
      </c>
      <c r="B4892" s="1" t="s">
        <v>1252</v>
      </c>
      <c r="C4892" s="1" t="s">
        <v>2039</v>
      </c>
      <c r="D4892" s="1" t="s">
        <v>1998</v>
      </c>
      <c r="E4892" s="1"/>
      <c r="F4892" s="1" t="s">
        <v>11</v>
      </c>
      <c r="G4892">
        <v>280</v>
      </c>
      <c r="H4892">
        <v>280</v>
      </c>
      <c r="I4892" s="2"/>
      <c r="J4892" s="2">
        <v>45789</v>
      </c>
      <c r="K4892" s="2">
        <v>45789</v>
      </c>
    </row>
    <row r="4893" spans="1:11" x14ac:dyDescent="0.25">
      <c r="A4893" s="1" t="s">
        <v>815</v>
      </c>
      <c r="B4893" s="1" t="s">
        <v>1253</v>
      </c>
      <c r="C4893" s="1" t="s">
        <v>2234</v>
      </c>
      <c r="D4893" s="1" t="s">
        <v>1998</v>
      </c>
      <c r="E4893" s="1"/>
      <c r="F4893" s="1" t="s">
        <v>11</v>
      </c>
      <c r="G4893">
        <v>230</v>
      </c>
      <c r="H4893">
        <v>1</v>
      </c>
      <c r="I4893" s="2"/>
      <c r="J4893" s="2">
        <v>45789</v>
      </c>
      <c r="K4893" s="2">
        <v>45789</v>
      </c>
    </row>
    <row r="4894" spans="1:11" x14ac:dyDescent="0.25">
      <c r="A4894" s="1" t="s">
        <v>815</v>
      </c>
      <c r="B4894" s="1" t="s">
        <v>1254</v>
      </c>
      <c r="C4894" s="1" t="s">
        <v>2001</v>
      </c>
      <c r="D4894" s="1" t="s">
        <v>1998</v>
      </c>
      <c r="E4894" s="1"/>
      <c r="F4894" s="1" t="s">
        <v>11</v>
      </c>
      <c r="G4894">
        <v>125</v>
      </c>
      <c r="H4894">
        <v>125</v>
      </c>
      <c r="I4894" s="2"/>
      <c r="J4894" s="2">
        <v>45789</v>
      </c>
      <c r="K4894" s="2">
        <v>45789</v>
      </c>
    </row>
    <row r="4895" spans="1:11" x14ac:dyDescent="0.25">
      <c r="A4895" s="1" t="s">
        <v>816</v>
      </c>
      <c r="B4895" s="1" t="s">
        <v>1920</v>
      </c>
      <c r="C4895" s="1" t="s">
        <v>2756</v>
      </c>
      <c r="D4895" s="1" t="s">
        <v>1998</v>
      </c>
      <c r="E4895" s="1"/>
      <c r="F4895" s="1" t="s">
        <v>11</v>
      </c>
      <c r="G4895">
        <v>11665</v>
      </c>
      <c r="H4895">
        <v>11665</v>
      </c>
      <c r="I4895" s="2"/>
      <c r="J4895" s="2">
        <v>45778</v>
      </c>
      <c r="K4895" s="2">
        <v>45789</v>
      </c>
    </row>
    <row r="4896" spans="1:11" x14ac:dyDescent="0.25">
      <c r="A4896" s="1" t="s">
        <v>816</v>
      </c>
      <c r="B4896" s="1" t="s">
        <v>1855</v>
      </c>
      <c r="C4896" s="1" t="s">
        <v>2706</v>
      </c>
      <c r="D4896" s="1" t="s">
        <v>1998</v>
      </c>
      <c r="E4896" s="1"/>
      <c r="F4896" s="1" t="s">
        <v>11</v>
      </c>
      <c r="G4896">
        <v>335</v>
      </c>
      <c r="H4896">
        <v>1</v>
      </c>
      <c r="I4896" s="2"/>
      <c r="J4896" s="2">
        <v>45778</v>
      </c>
      <c r="K4896" s="2">
        <v>45789</v>
      </c>
    </row>
    <row r="4897" spans="1:11" x14ac:dyDescent="0.25">
      <c r="A4897" s="1" t="s">
        <v>816</v>
      </c>
      <c r="B4897" s="1" t="s">
        <v>1470</v>
      </c>
      <c r="C4897" s="1" t="s">
        <v>2407</v>
      </c>
      <c r="D4897" s="1" t="s">
        <v>1998</v>
      </c>
      <c r="E4897" s="1"/>
      <c r="F4897" s="1" t="s">
        <v>11</v>
      </c>
      <c r="G4897">
        <v>45</v>
      </c>
      <c r="H4897">
        <v>1</v>
      </c>
      <c r="I4897" s="2"/>
      <c r="J4897" s="2">
        <v>45778</v>
      </c>
      <c r="K4897" s="2">
        <v>45789</v>
      </c>
    </row>
    <row r="4898" spans="1:11" x14ac:dyDescent="0.25">
      <c r="A4898" s="1" t="s">
        <v>816</v>
      </c>
      <c r="B4898" s="1" t="s">
        <v>1634</v>
      </c>
      <c r="C4898" s="1" t="s">
        <v>2549</v>
      </c>
      <c r="D4898" s="1" t="s">
        <v>1998</v>
      </c>
      <c r="E4898" s="1"/>
      <c r="F4898" s="1" t="s">
        <v>11</v>
      </c>
      <c r="G4898">
        <v>1</v>
      </c>
      <c r="H4898">
        <v>1</v>
      </c>
      <c r="I4898" s="2"/>
      <c r="J4898" s="2">
        <v>45778</v>
      </c>
      <c r="K4898" s="2">
        <v>45789</v>
      </c>
    </row>
    <row r="4899" spans="1:11" x14ac:dyDescent="0.25">
      <c r="A4899" s="1" t="s">
        <v>816</v>
      </c>
      <c r="B4899" s="1" t="s">
        <v>1634</v>
      </c>
      <c r="C4899" s="1" t="s">
        <v>2549</v>
      </c>
      <c r="D4899" s="1" t="s">
        <v>1998</v>
      </c>
      <c r="E4899" s="1"/>
      <c r="F4899" s="1" t="s">
        <v>11</v>
      </c>
      <c r="G4899">
        <v>1</v>
      </c>
      <c r="H4899">
        <v>1</v>
      </c>
      <c r="I4899" s="2"/>
      <c r="J4899" s="2">
        <v>45778</v>
      </c>
      <c r="K4899" s="2">
        <v>45789</v>
      </c>
    </row>
    <row r="4900" spans="1:11" x14ac:dyDescent="0.25">
      <c r="A4900" s="1" t="s">
        <v>816</v>
      </c>
      <c r="B4900" s="1" t="s">
        <v>1635</v>
      </c>
      <c r="C4900" s="1" t="s">
        <v>2550</v>
      </c>
      <c r="D4900" s="1" t="s">
        <v>1998</v>
      </c>
      <c r="E4900" s="1"/>
      <c r="F4900" s="1" t="s">
        <v>11</v>
      </c>
      <c r="G4900">
        <v>20</v>
      </c>
      <c r="H4900">
        <v>1</v>
      </c>
      <c r="I4900" s="2"/>
      <c r="J4900" s="2">
        <v>45778</v>
      </c>
      <c r="K4900" s="2">
        <v>45789</v>
      </c>
    </row>
    <row r="4901" spans="1:11" x14ac:dyDescent="0.25">
      <c r="A4901" s="1" t="s">
        <v>816</v>
      </c>
      <c r="B4901" s="1" t="s">
        <v>1635</v>
      </c>
      <c r="C4901" s="1" t="s">
        <v>2550</v>
      </c>
      <c r="D4901" s="1" t="s">
        <v>1998</v>
      </c>
      <c r="E4901" s="1"/>
      <c r="F4901" s="1" t="s">
        <v>11</v>
      </c>
      <c r="G4901">
        <v>20</v>
      </c>
      <c r="H4901">
        <v>1</v>
      </c>
      <c r="I4901" s="2"/>
      <c r="J4901" s="2">
        <v>45778</v>
      </c>
      <c r="K4901" s="2">
        <v>45789</v>
      </c>
    </row>
    <row r="4902" spans="1:11" x14ac:dyDescent="0.25">
      <c r="A4902" s="1" t="s">
        <v>816</v>
      </c>
      <c r="B4902" s="1" t="s">
        <v>991</v>
      </c>
      <c r="C4902" s="1" t="s">
        <v>2009</v>
      </c>
      <c r="D4902" s="1" t="s">
        <v>1998</v>
      </c>
      <c r="E4902" s="1"/>
      <c r="F4902" s="1" t="s">
        <v>11</v>
      </c>
      <c r="G4902">
        <v>5</v>
      </c>
      <c r="H4902">
        <v>1</v>
      </c>
      <c r="I4902" s="2"/>
      <c r="J4902" s="2">
        <v>45778</v>
      </c>
      <c r="K4902" s="2">
        <v>45789</v>
      </c>
    </row>
    <row r="4903" spans="1:11" x14ac:dyDescent="0.25">
      <c r="A4903" s="1" t="s">
        <v>816</v>
      </c>
      <c r="B4903" s="1" t="s">
        <v>1636</v>
      </c>
      <c r="C4903" s="1" t="s">
        <v>2551</v>
      </c>
      <c r="D4903" s="1" t="s">
        <v>1998</v>
      </c>
      <c r="E4903" s="1"/>
      <c r="F4903" s="1" t="s">
        <v>11</v>
      </c>
      <c r="G4903">
        <v>250</v>
      </c>
      <c r="H4903">
        <v>1</v>
      </c>
      <c r="I4903" s="2"/>
      <c r="J4903" s="2">
        <v>45778</v>
      </c>
      <c r="K4903" s="2">
        <v>45789</v>
      </c>
    </row>
    <row r="4904" spans="1:11" x14ac:dyDescent="0.25">
      <c r="A4904" s="1" t="s">
        <v>816</v>
      </c>
      <c r="B4904" s="1" t="s">
        <v>1637</v>
      </c>
      <c r="C4904" s="1" t="s">
        <v>2552</v>
      </c>
      <c r="D4904" s="1" t="s">
        <v>1998</v>
      </c>
      <c r="E4904" s="1"/>
      <c r="F4904" s="1" t="s">
        <v>11</v>
      </c>
      <c r="G4904">
        <v>250</v>
      </c>
      <c r="H4904">
        <v>1</v>
      </c>
      <c r="I4904" s="2"/>
      <c r="J4904" s="2">
        <v>45778</v>
      </c>
      <c r="K4904" s="2">
        <v>45789</v>
      </c>
    </row>
    <row r="4905" spans="1:11" x14ac:dyDescent="0.25">
      <c r="A4905" s="1" t="s">
        <v>816</v>
      </c>
      <c r="B4905" s="1" t="s">
        <v>992</v>
      </c>
      <c r="C4905" s="1" t="s">
        <v>2010</v>
      </c>
      <c r="D4905" s="1" t="s">
        <v>1998</v>
      </c>
      <c r="E4905" s="1"/>
      <c r="F4905" s="1" t="s">
        <v>11</v>
      </c>
      <c r="G4905">
        <v>10</v>
      </c>
      <c r="H4905">
        <v>1</v>
      </c>
      <c r="I4905" s="2"/>
      <c r="J4905" s="2">
        <v>45778</v>
      </c>
      <c r="K4905" s="2">
        <v>45789</v>
      </c>
    </row>
    <row r="4906" spans="1:11" x14ac:dyDescent="0.25">
      <c r="A4906" s="1" t="s">
        <v>816</v>
      </c>
      <c r="B4906" s="1" t="s">
        <v>993</v>
      </c>
      <c r="C4906" s="1" t="s">
        <v>2011</v>
      </c>
      <c r="D4906" s="1" t="s">
        <v>1998</v>
      </c>
      <c r="E4906" s="1"/>
      <c r="F4906" s="1" t="s">
        <v>11</v>
      </c>
      <c r="G4906">
        <v>1</v>
      </c>
      <c r="H4906">
        <v>1</v>
      </c>
      <c r="I4906" s="2"/>
      <c r="J4906" s="2">
        <v>45778</v>
      </c>
      <c r="K4906" s="2">
        <v>45789</v>
      </c>
    </row>
    <row r="4907" spans="1:11" x14ac:dyDescent="0.25">
      <c r="A4907" s="1" t="s">
        <v>816</v>
      </c>
      <c r="B4907" s="1" t="s">
        <v>993</v>
      </c>
      <c r="C4907" s="1" t="s">
        <v>2011</v>
      </c>
      <c r="D4907" s="1" t="s">
        <v>1998</v>
      </c>
      <c r="E4907" s="1"/>
      <c r="F4907" s="1" t="s">
        <v>11</v>
      </c>
      <c r="G4907">
        <v>5</v>
      </c>
      <c r="H4907">
        <v>1</v>
      </c>
      <c r="I4907" s="2"/>
      <c r="J4907" s="2">
        <v>45778</v>
      </c>
      <c r="K4907" s="2">
        <v>45789</v>
      </c>
    </row>
    <row r="4908" spans="1:11" x14ac:dyDescent="0.25">
      <c r="A4908" s="1" t="s">
        <v>816</v>
      </c>
      <c r="B4908" s="1" t="s">
        <v>1473</v>
      </c>
      <c r="C4908" s="1" t="s">
        <v>2410</v>
      </c>
      <c r="D4908" s="1" t="s">
        <v>1998</v>
      </c>
      <c r="E4908" s="1"/>
      <c r="F4908" s="1" t="s">
        <v>11</v>
      </c>
      <c r="G4908">
        <v>1</v>
      </c>
      <c r="H4908">
        <v>1</v>
      </c>
      <c r="I4908" s="2"/>
      <c r="J4908" s="2">
        <v>45778</v>
      </c>
      <c r="K4908" s="2">
        <v>45789</v>
      </c>
    </row>
    <row r="4909" spans="1:11" x14ac:dyDescent="0.25">
      <c r="A4909" s="1" t="s">
        <v>816</v>
      </c>
      <c r="B4909" s="1" t="s">
        <v>1474</v>
      </c>
      <c r="C4909" s="1" t="s">
        <v>2411</v>
      </c>
      <c r="D4909" s="1" t="s">
        <v>1998</v>
      </c>
      <c r="E4909" s="1"/>
      <c r="F4909" s="1" t="s">
        <v>11</v>
      </c>
      <c r="G4909">
        <v>1</v>
      </c>
      <c r="H4909">
        <v>1</v>
      </c>
      <c r="I4909" s="2"/>
      <c r="J4909" s="2">
        <v>45778</v>
      </c>
      <c r="K4909" s="2">
        <v>45789</v>
      </c>
    </row>
    <row r="4910" spans="1:11" x14ac:dyDescent="0.25">
      <c r="A4910" s="1" t="s">
        <v>816</v>
      </c>
      <c r="B4910" s="1" t="s">
        <v>1475</v>
      </c>
      <c r="C4910" s="1" t="s">
        <v>2412</v>
      </c>
      <c r="D4910" s="1" t="s">
        <v>1998</v>
      </c>
      <c r="E4910" s="1"/>
      <c r="F4910" s="1" t="s">
        <v>11</v>
      </c>
      <c r="G4910">
        <v>1</v>
      </c>
      <c r="H4910">
        <v>1</v>
      </c>
      <c r="I4910" s="2"/>
      <c r="J4910" s="2">
        <v>45778</v>
      </c>
      <c r="K4910" s="2">
        <v>45789</v>
      </c>
    </row>
    <row r="4911" spans="1:11" x14ac:dyDescent="0.25">
      <c r="A4911" s="1" t="s">
        <v>817</v>
      </c>
      <c r="B4911" s="1" t="s">
        <v>1584</v>
      </c>
      <c r="C4911" s="1" t="s">
        <v>2014</v>
      </c>
      <c r="D4911" s="1" t="s">
        <v>1998</v>
      </c>
      <c r="E4911" s="1"/>
      <c r="F4911" s="1" t="s">
        <v>11</v>
      </c>
      <c r="G4911">
        <v>12240</v>
      </c>
      <c r="H4911">
        <v>12240</v>
      </c>
      <c r="I4911" s="2"/>
      <c r="J4911" s="2">
        <v>45778</v>
      </c>
      <c r="K4911" s="2">
        <v>45789</v>
      </c>
    </row>
    <row r="4912" spans="1:11" x14ac:dyDescent="0.25">
      <c r="A4912" s="1" t="s">
        <v>817</v>
      </c>
      <c r="B4912" s="1" t="s">
        <v>1585</v>
      </c>
      <c r="C4912" s="1" t="s">
        <v>2504</v>
      </c>
      <c r="D4912" s="1" t="s">
        <v>1998</v>
      </c>
      <c r="E4912" s="1"/>
      <c r="F4912" s="1" t="s">
        <v>11</v>
      </c>
      <c r="G4912">
        <v>390</v>
      </c>
      <c r="H4912">
        <v>805</v>
      </c>
      <c r="I4912" s="2"/>
      <c r="J4912" s="2">
        <v>45778</v>
      </c>
      <c r="K4912" s="2">
        <v>45789</v>
      </c>
    </row>
    <row r="4913" spans="1:11" x14ac:dyDescent="0.25">
      <c r="A4913" s="1" t="s">
        <v>817</v>
      </c>
      <c r="B4913" s="1" t="s">
        <v>1027</v>
      </c>
      <c r="C4913" s="1" t="s">
        <v>2040</v>
      </c>
      <c r="D4913" s="1" t="s">
        <v>1998</v>
      </c>
      <c r="E4913" s="1"/>
      <c r="F4913" s="1" t="s">
        <v>12</v>
      </c>
      <c r="G4913">
        <v>1</v>
      </c>
      <c r="H4913">
        <v>215</v>
      </c>
      <c r="I4913" s="2"/>
      <c r="J4913" s="2">
        <v>45778</v>
      </c>
      <c r="K4913" s="2">
        <v>45789</v>
      </c>
    </row>
    <row r="4914" spans="1:11" x14ac:dyDescent="0.25">
      <c r="A4914" s="1" t="s">
        <v>817</v>
      </c>
      <c r="B4914" s="1" t="s">
        <v>1921</v>
      </c>
      <c r="C4914" s="1" t="s">
        <v>2757</v>
      </c>
      <c r="D4914" s="1" t="s">
        <v>1998</v>
      </c>
      <c r="E4914" s="1"/>
      <c r="F4914" s="1" t="s">
        <v>11</v>
      </c>
      <c r="G4914">
        <v>115</v>
      </c>
      <c r="H4914">
        <v>1</v>
      </c>
      <c r="I4914" s="2"/>
      <c r="J4914" s="2">
        <v>45778</v>
      </c>
      <c r="K4914" s="2">
        <v>45789</v>
      </c>
    </row>
    <row r="4915" spans="1:11" x14ac:dyDescent="0.25">
      <c r="A4915" s="1" t="s">
        <v>817</v>
      </c>
      <c r="B4915" s="1" t="s">
        <v>1013</v>
      </c>
      <c r="C4915" s="1" t="s">
        <v>2030</v>
      </c>
      <c r="D4915" s="1" t="s">
        <v>1998</v>
      </c>
      <c r="E4915" s="1"/>
      <c r="F4915" s="1" t="s">
        <v>12</v>
      </c>
      <c r="G4915">
        <v>1</v>
      </c>
      <c r="H4915">
        <v>90</v>
      </c>
      <c r="I4915" s="2"/>
      <c r="J4915" s="2">
        <v>45778</v>
      </c>
      <c r="K4915" s="2">
        <v>45789</v>
      </c>
    </row>
    <row r="4916" spans="1:11" x14ac:dyDescent="0.25">
      <c r="A4916" s="1" t="s">
        <v>817</v>
      </c>
      <c r="B4916" s="1" t="s">
        <v>993</v>
      </c>
      <c r="C4916" s="1" t="s">
        <v>2011</v>
      </c>
      <c r="D4916" s="1" t="s">
        <v>1998</v>
      </c>
      <c r="E4916" s="1"/>
      <c r="F4916" s="1" t="s">
        <v>12</v>
      </c>
      <c r="G4916">
        <v>1</v>
      </c>
      <c r="H4916">
        <v>490</v>
      </c>
      <c r="I4916" s="2"/>
      <c r="J4916" s="2">
        <v>45778</v>
      </c>
      <c r="K4916" s="2">
        <v>45789</v>
      </c>
    </row>
    <row r="4917" spans="1:11" x14ac:dyDescent="0.25">
      <c r="A4917" s="1" t="s">
        <v>817</v>
      </c>
      <c r="B4917" s="1" t="s">
        <v>1586</v>
      </c>
      <c r="C4917" s="1" t="s">
        <v>2505</v>
      </c>
      <c r="D4917" s="1" t="s">
        <v>1998</v>
      </c>
      <c r="E4917" s="1"/>
      <c r="F4917" s="1" t="s">
        <v>11</v>
      </c>
      <c r="G4917">
        <v>1820</v>
      </c>
      <c r="H4917">
        <v>1820</v>
      </c>
      <c r="I4917" s="2"/>
      <c r="J4917" s="2">
        <v>45778</v>
      </c>
      <c r="K4917" s="2">
        <v>45789</v>
      </c>
    </row>
    <row r="4918" spans="1:11" x14ac:dyDescent="0.25">
      <c r="A4918" s="1" t="s">
        <v>818</v>
      </c>
      <c r="B4918" s="1" t="s">
        <v>1033</v>
      </c>
      <c r="C4918" s="1" t="s">
        <v>2046</v>
      </c>
      <c r="D4918" s="1" t="s">
        <v>1998</v>
      </c>
      <c r="E4918" s="1"/>
      <c r="F4918" s="1" t="s">
        <v>11</v>
      </c>
      <c r="G4918">
        <v>110</v>
      </c>
      <c r="H4918">
        <v>1</v>
      </c>
      <c r="I4918" s="2"/>
      <c r="J4918" s="2">
        <v>45779</v>
      </c>
      <c r="K4918" s="2">
        <v>45786</v>
      </c>
    </row>
    <row r="4919" spans="1:11" x14ac:dyDescent="0.25">
      <c r="A4919" s="1" t="s">
        <v>818</v>
      </c>
      <c r="B4919" s="1" t="s">
        <v>1034</v>
      </c>
      <c r="C4919" s="1" t="s">
        <v>2047</v>
      </c>
      <c r="D4919" s="1" t="s">
        <v>1998</v>
      </c>
      <c r="E4919" s="1"/>
      <c r="F4919" s="1" t="s">
        <v>11</v>
      </c>
      <c r="G4919">
        <v>255</v>
      </c>
      <c r="H4919">
        <v>1</v>
      </c>
      <c r="I4919" s="2"/>
      <c r="J4919" s="2">
        <v>45779</v>
      </c>
      <c r="K4919" s="2">
        <v>45786</v>
      </c>
    </row>
    <row r="4920" spans="1:11" x14ac:dyDescent="0.25">
      <c r="A4920" s="1" t="s">
        <v>818</v>
      </c>
      <c r="B4920" s="1" t="s">
        <v>1549</v>
      </c>
      <c r="C4920" s="1" t="s">
        <v>2475</v>
      </c>
      <c r="D4920" s="1" t="s">
        <v>1998</v>
      </c>
      <c r="E4920" s="1"/>
      <c r="F4920" s="1" t="s">
        <v>11</v>
      </c>
      <c r="G4920">
        <v>1010</v>
      </c>
      <c r="H4920">
        <v>1010</v>
      </c>
      <c r="I4920" s="2"/>
      <c r="J4920" s="2">
        <v>45779</v>
      </c>
      <c r="K4920" s="2">
        <v>45786</v>
      </c>
    </row>
    <row r="4921" spans="1:11" x14ac:dyDescent="0.25">
      <c r="A4921" s="1" t="s">
        <v>818</v>
      </c>
      <c r="B4921" s="1" t="s">
        <v>1550</v>
      </c>
      <c r="C4921" s="1" t="s">
        <v>2476</v>
      </c>
      <c r="D4921" s="1" t="s">
        <v>1998</v>
      </c>
      <c r="E4921" s="1"/>
      <c r="F4921" s="1" t="s">
        <v>11</v>
      </c>
      <c r="G4921">
        <v>590</v>
      </c>
      <c r="H4921">
        <v>625</v>
      </c>
      <c r="I4921" s="2"/>
      <c r="J4921" s="2">
        <v>45779</v>
      </c>
      <c r="K4921" s="2">
        <v>45786</v>
      </c>
    </row>
    <row r="4922" spans="1:11" x14ac:dyDescent="0.25">
      <c r="A4922" s="1" t="s">
        <v>818</v>
      </c>
      <c r="B4922" s="1" t="s">
        <v>1551</v>
      </c>
      <c r="C4922" s="1" t="s">
        <v>2477</v>
      </c>
      <c r="D4922" s="1" t="s">
        <v>1998</v>
      </c>
      <c r="E4922" s="1"/>
      <c r="F4922" s="1" t="s">
        <v>11</v>
      </c>
      <c r="G4922">
        <v>1180</v>
      </c>
      <c r="H4922">
        <v>1180</v>
      </c>
      <c r="I4922" s="2"/>
      <c r="J4922" s="2">
        <v>45779</v>
      </c>
      <c r="K4922" s="2">
        <v>45786</v>
      </c>
    </row>
    <row r="4923" spans="1:11" x14ac:dyDescent="0.25">
      <c r="A4923" s="1" t="s">
        <v>818</v>
      </c>
      <c r="B4923" s="1" t="s">
        <v>1191</v>
      </c>
      <c r="C4923" s="1" t="s">
        <v>2182</v>
      </c>
      <c r="D4923" s="1" t="s">
        <v>1998</v>
      </c>
      <c r="E4923" s="1"/>
      <c r="F4923" s="1" t="s">
        <v>11</v>
      </c>
      <c r="G4923">
        <v>10</v>
      </c>
      <c r="H4923">
        <v>1</v>
      </c>
      <c r="I4923" s="2"/>
      <c r="J4923" s="2">
        <v>45779</v>
      </c>
      <c r="K4923" s="2">
        <v>45786</v>
      </c>
    </row>
    <row r="4924" spans="1:11" x14ac:dyDescent="0.25">
      <c r="A4924" s="1" t="s">
        <v>818</v>
      </c>
      <c r="B4924" s="1" t="s">
        <v>1192</v>
      </c>
      <c r="C4924" s="1" t="s">
        <v>2183</v>
      </c>
      <c r="D4924" s="1" t="s">
        <v>1998</v>
      </c>
      <c r="E4924" s="1"/>
      <c r="F4924" s="1" t="s">
        <v>11</v>
      </c>
      <c r="G4924">
        <v>10</v>
      </c>
      <c r="H4924">
        <v>1</v>
      </c>
      <c r="I4924" s="2"/>
      <c r="J4924" s="2">
        <v>45779</v>
      </c>
      <c r="K4924" s="2">
        <v>45786</v>
      </c>
    </row>
    <row r="4925" spans="1:11" x14ac:dyDescent="0.25">
      <c r="A4925" s="1" t="s">
        <v>818</v>
      </c>
      <c r="B4925" s="1" t="s">
        <v>1552</v>
      </c>
      <c r="C4925" s="1" t="s">
        <v>2478</v>
      </c>
      <c r="D4925" s="1" t="s">
        <v>1998</v>
      </c>
      <c r="E4925" s="1"/>
      <c r="F4925" s="1" t="s">
        <v>11</v>
      </c>
      <c r="G4925">
        <v>40</v>
      </c>
      <c r="H4925">
        <v>1</v>
      </c>
      <c r="I4925" s="2"/>
      <c r="J4925" s="2">
        <v>45779</v>
      </c>
      <c r="K4925" s="2">
        <v>45786</v>
      </c>
    </row>
    <row r="4926" spans="1:11" x14ac:dyDescent="0.25">
      <c r="A4926" s="1" t="s">
        <v>818</v>
      </c>
      <c r="B4926" s="1" t="s">
        <v>1040</v>
      </c>
      <c r="C4926" s="1" t="s">
        <v>2050</v>
      </c>
      <c r="D4926" s="1" t="s">
        <v>1998</v>
      </c>
      <c r="E4926" s="1"/>
      <c r="F4926" s="1" t="s">
        <v>11</v>
      </c>
      <c r="G4926">
        <v>40</v>
      </c>
      <c r="H4926">
        <v>1</v>
      </c>
      <c r="I4926" s="2"/>
      <c r="J4926" s="2">
        <v>45779</v>
      </c>
      <c r="K4926" s="2">
        <v>45786</v>
      </c>
    </row>
    <row r="4927" spans="1:11" x14ac:dyDescent="0.25">
      <c r="A4927" s="1" t="s">
        <v>818</v>
      </c>
      <c r="B4927" s="1" t="s">
        <v>1027</v>
      </c>
      <c r="C4927" s="1" t="s">
        <v>2040</v>
      </c>
      <c r="D4927" s="1" t="s">
        <v>1998</v>
      </c>
      <c r="E4927" s="1"/>
      <c r="F4927" s="1" t="s">
        <v>11</v>
      </c>
      <c r="G4927">
        <v>115</v>
      </c>
      <c r="H4927">
        <v>115</v>
      </c>
      <c r="I4927" s="2"/>
      <c r="J4927" s="2">
        <v>45779</v>
      </c>
      <c r="K4927" s="2">
        <v>45786</v>
      </c>
    </row>
    <row r="4928" spans="1:11" x14ac:dyDescent="0.25">
      <c r="A4928" s="1" t="s">
        <v>818</v>
      </c>
      <c r="B4928" s="1" t="s">
        <v>1013</v>
      </c>
      <c r="C4928" s="1" t="s">
        <v>2030</v>
      </c>
      <c r="D4928" s="1" t="s">
        <v>1998</v>
      </c>
      <c r="E4928" s="1"/>
      <c r="F4928" s="1" t="s">
        <v>11</v>
      </c>
      <c r="G4928">
        <v>20</v>
      </c>
      <c r="H4928">
        <v>20</v>
      </c>
      <c r="I4928" s="2"/>
      <c r="J4928" s="2">
        <v>45779</v>
      </c>
      <c r="K4928" s="2">
        <v>45786</v>
      </c>
    </row>
    <row r="4929" spans="1:11" x14ac:dyDescent="0.25">
      <c r="A4929" s="1" t="s">
        <v>818</v>
      </c>
      <c r="B4929" s="1" t="s">
        <v>993</v>
      </c>
      <c r="C4929" s="1" t="s">
        <v>2011</v>
      </c>
      <c r="D4929" s="1" t="s">
        <v>1998</v>
      </c>
      <c r="E4929" s="1"/>
      <c r="F4929" s="1" t="s">
        <v>11</v>
      </c>
      <c r="G4929">
        <v>5</v>
      </c>
      <c r="H4929">
        <v>5</v>
      </c>
      <c r="I4929" s="2"/>
      <c r="J4929" s="2">
        <v>45779</v>
      </c>
      <c r="K4929" s="2">
        <v>45786</v>
      </c>
    </row>
    <row r="4930" spans="1:11" x14ac:dyDescent="0.25">
      <c r="A4930" s="1" t="s">
        <v>818</v>
      </c>
      <c r="B4930" s="1" t="s">
        <v>993</v>
      </c>
      <c r="C4930" s="1" t="s">
        <v>2011</v>
      </c>
      <c r="D4930" s="1" t="s">
        <v>1998</v>
      </c>
      <c r="E4930" s="1"/>
      <c r="F4930" s="1" t="s">
        <v>11</v>
      </c>
      <c r="G4930">
        <v>20</v>
      </c>
      <c r="H4930">
        <v>20</v>
      </c>
      <c r="I4930" s="2"/>
      <c r="J4930" s="2">
        <v>45779</v>
      </c>
      <c r="K4930" s="2">
        <v>45786</v>
      </c>
    </row>
    <row r="4931" spans="1:11" x14ac:dyDescent="0.25">
      <c r="A4931" s="1" t="s">
        <v>819</v>
      </c>
      <c r="B4931" s="1" t="s">
        <v>1108</v>
      </c>
      <c r="C4931" s="1" t="s">
        <v>2108</v>
      </c>
      <c r="D4931" s="1" t="s">
        <v>1998</v>
      </c>
      <c r="E4931" s="1"/>
      <c r="F4931" s="1" t="s">
        <v>11</v>
      </c>
      <c r="G4931">
        <v>1205</v>
      </c>
      <c r="H4931">
        <v>1205</v>
      </c>
      <c r="I4931" s="2"/>
      <c r="J4931" s="2">
        <v>45778</v>
      </c>
      <c r="K4931" s="2">
        <v>45785</v>
      </c>
    </row>
    <row r="4932" spans="1:11" x14ac:dyDescent="0.25">
      <c r="A4932" s="1" t="s">
        <v>819</v>
      </c>
      <c r="B4932" s="1" t="s">
        <v>1108</v>
      </c>
      <c r="C4932" s="1" t="s">
        <v>2108</v>
      </c>
      <c r="D4932" s="1" t="s">
        <v>1998</v>
      </c>
      <c r="E4932" s="1"/>
      <c r="F4932" s="1" t="s">
        <v>16</v>
      </c>
      <c r="G4932">
        <v>5</v>
      </c>
      <c r="H4932">
        <v>5</v>
      </c>
      <c r="I4932" s="2"/>
      <c r="J4932" s="2">
        <v>45778</v>
      </c>
      <c r="K4932" s="2">
        <v>45785</v>
      </c>
    </row>
    <row r="4933" spans="1:11" x14ac:dyDescent="0.25">
      <c r="A4933" s="1" t="s">
        <v>819</v>
      </c>
      <c r="B4933" s="1" t="s">
        <v>1105</v>
      </c>
      <c r="C4933" s="1" t="s">
        <v>2106</v>
      </c>
      <c r="D4933" s="1" t="s">
        <v>1998</v>
      </c>
      <c r="E4933" s="1"/>
      <c r="F4933" s="1" t="s">
        <v>11</v>
      </c>
      <c r="G4933">
        <v>475</v>
      </c>
      <c r="H4933">
        <v>475</v>
      </c>
      <c r="I4933" s="2"/>
      <c r="J4933" s="2">
        <v>45778</v>
      </c>
      <c r="K4933" s="2">
        <v>45785</v>
      </c>
    </row>
    <row r="4934" spans="1:11" x14ac:dyDescent="0.25">
      <c r="A4934" s="1" t="s">
        <v>819</v>
      </c>
      <c r="B4934" s="1" t="s">
        <v>1105</v>
      </c>
      <c r="C4934" s="1" t="s">
        <v>2106</v>
      </c>
      <c r="D4934" s="1" t="s">
        <v>1998</v>
      </c>
      <c r="E4934" s="1"/>
      <c r="F4934" s="1" t="s">
        <v>16</v>
      </c>
      <c r="G4934">
        <v>1</v>
      </c>
      <c r="H4934">
        <v>1</v>
      </c>
      <c r="I4934" s="2"/>
      <c r="J4934" s="2">
        <v>45778</v>
      </c>
      <c r="K4934" s="2">
        <v>45785</v>
      </c>
    </row>
    <row r="4935" spans="1:11" x14ac:dyDescent="0.25">
      <c r="A4935" s="1" t="s">
        <v>819</v>
      </c>
      <c r="B4935" s="1" t="s">
        <v>1106</v>
      </c>
      <c r="C4935" s="1" t="s">
        <v>2107</v>
      </c>
      <c r="D4935" s="1" t="s">
        <v>1998</v>
      </c>
      <c r="E4935" s="1"/>
      <c r="F4935" s="1" t="s">
        <v>11</v>
      </c>
      <c r="G4935">
        <v>1270</v>
      </c>
      <c r="H4935">
        <v>1270</v>
      </c>
      <c r="I4935" s="2"/>
      <c r="J4935" s="2">
        <v>45778</v>
      </c>
      <c r="K4935" s="2">
        <v>45785</v>
      </c>
    </row>
    <row r="4936" spans="1:11" x14ac:dyDescent="0.25">
      <c r="A4936" s="1" t="s">
        <v>819</v>
      </c>
      <c r="B4936" s="1" t="s">
        <v>1106</v>
      </c>
      <c r="C4936" s="1" t="s">
        <v>2107</v>
      </c>
      <c r="D4936" s="1" t="s">
        <v>1998</v>
      </c>
      <c r="E4936" s="1"/>
      <c r="F4936" s="1" t="s">
        <v>16</v>
      </c>
      <c r="G4936">
        <v>65</v>
      </c>
      <c r="H4936">
        <v>65</v>
      </c>
      <c r="I4936" s="2"/>
      <c r="J4936" s="2">
        <v>45778</v>
      </c>
      <c r="K4936" s="2">
        <v>45785</v>
      </c>
    </row>
    <row r="4937" spans="1:11" x14ac:dyDescent="0.25">
      <c r="A4937" s="1" t="s">
        <v>819</v>
      </c>
      <c r="B4937" s="1" t="s">
        <v>1107</v>
      </c>
      <c r="C4937" s="1" t="s">
        <v>2002</v>
      </c>
      <c r="D4937" s="1" t="s">
        <v>1998</v>
      </c>
      <c r="E4937" s="1"/>
      <c r="F4937" s="1" t="s">
        <v>11</v>
      </c>
      <c r="G4937">
        <v>1090</v>
      </c>
      <c r="H4937">
        <v>1090</v>
      </c>
      <c r="I4937" s="2"/>
      <c r="J4937" s="2">
        <v>45778</v>
      </c>
      <c r="K4937" s="2">
        <v>45785</v>
      </c>
    </row>
    <row r="4938" spans="1:11" x14ac:dyDescent="0.25">
      <c r="A4938" s="1" t="s">
        <v>819</v>
      </c>
      <c r="B4938" s="1" t="s">
        <v>1107</v>
      </c>
      <c r="C4938" s="1" t="s">
        <v>2002</v>
      </c>
      <c r="D4938" s="1" t="s">
        <v>1998</v>
      </c>
      <c r="E4938" s="1"/>
      <c r="F4938" s="1" t="s">
        <v>16</v>
      </c>
      <c r="G4938">
        <v>75</v>
      </c>
      <c r="H4938">
        <v>75</v>
      </c>
      <c r="I4938" s="2"/>
      <c r="J4938" s="2">
        <v>45778</v>
      </c>
      <c r="K4938" s="2">
        <v>45785</v>
      </c>
    </row>
    <row r="4939" spans="1:11" x14ac:dyDescent="0.25">
      <c r="A4939" s="1" t="s">
        <v>820</v>
      </c>
      <c r="B4939" s="1" t="s">
        <v>1108</v>
      </c>
      <c r="C4939" s="1" t="s">
        <v>2108</v>
      </c>
      <c r="D4939" s="1" t="s">
        <v>1998</v>
      </c>
      <c r="E4939" s="1"/>
      <c r="F4939" s="1" t="s">
        <v>11</v>
      </c>
      <c r="G4939">
        <v>1205</v>
      </c>
      <c r="H4939">
        <v>1205</v>
      </c>
      <c r="I4939" s="2"/>
      <c r="J4939" s="2">
        <v>45779</v>
      </c>
      <c r="K4939" s="2">
        <v>45789</v>
      </c>
    </row>
    <row r="4940" spans="1:11" x14ac:dyDescent="0.25">
      <c r="A4940" s="1" t="s">
        <v>820</v>
      </c>
      <c r="B4940" s="1" t="s">
        <v>1913</v>
      </c>
      <c r="C4940" s="1" t="s">
        <v>2753</v>
      </c>
      <c r="D4940" s="1" t="s">
        <v>1998</v>
      </c>
      <c r="E4940" s="1"/>
      <c r="F4940" s="1" t="s">
        <v>11</v>
      </c>
      <c r="G4940">
        <v>435</v>
      </c>
      <c r="H4940">
        <v>435</v>
      </c>
      <c r="I4940" s="2"/>
      <c r="J4940" s="2">
        <v>45779</v>
      </c>
      <c r="K4940" s="2">
        <v>45789</v>
      </c>
    </row>
    <row r="4941" spans="1:11" x14ac:dyDescent="0.25">
      <c r="A4941" s="1" t="s">
        <v>820</v>
      </c>
      <c r="B4941" s="1" t="s">
        <v>1914</v>
      </c>
      <c r="C4941" s="1" t="s">
        <v>2107</v>
      </c>
      <c r="D4941" s="1" t="s">
        <v>1998</v>
      </c>
      <c r="E4941" s="1"/>
      <c r="F4941" s="1" t="s">
        <v>11</v>
      </c>
      <c r="G4941">
        <v>1210</v>
      </c>
      <c r="H4941">
        <v>1210</v>
      </c>
      <c r="I4941" s="2"/>
      <c r="J4941" s="2">
        <v>45779</v>
      </c>
      <c r="K4941" s="2">
        <v>45789</v>
      </c>
    </row>
    <row r="4942" spans="1:11" x14ac:dyDescent="0.25">
      <c r="A4942" s="1" t="s">
        <v>820</v>
      </c>
      <c r="B4942" s="1" t="s">
        <v>1915</v>
      </c>
      <c r="C4942" s="1" t="s">
        <v>2002</v>
      </c>
      <c r="D4942" s="1" t="s">
        <v>1998</v>
      </c>
      <c r="E4942" s="1"/>
      <c r="F4942" s="1" t="s">
        <v>11</v>
      </c>
      <c r="G4942">
        <v>520</v>
      </c>
      <c r="H4942">
        <v>520</v>
      </c>
      <c r="I4942" s="2"/>
      <c r="J4942" s="2">
        <v>45779</v>
      </c>
      <c r="K4942" s="2">
        <v>45789</v>
      </c>
    </row>
    <row r="4943" spans="1:11" x14ac:dyDescent="0.25">
      <c r="A4943" s="1" t="s">
        <v>820</v>
      </c>
      <c r="B4943" s="1" t="s">
        <v>1107</v>
      </c>
      <c r="C4943" s="1" t="s">
        <v>2002</v>
      </c>
      <c r="D4943" s="1" t="s">
        <v>1998</v>
      </c>
      <c r="E4943" s="1"/>
      <c r="F4943" s="1" t="s">
        <v>11</v>
      </c>
      <c r="G4943">
        <v>545</v>
      </c>
      <c r="H4943">
        <v>545</v>
      </c>
      <c r="I4943" s="2"/>
      <c r="J4943" s="2">
        <v>45779</v>
      </c>
      <c r="K4943" s="2">
        <v>45789</v>
      </c>
    </row>
    <row r="4944" spans="1:11" x14ac:dyDescent="0.25">
      <c r="A4944" s="1" t="s">
        <v>821</v>
      </c>
      <c r="B4944" s="1" t="s">
        <v>1108</v>
      </c>
      <c r="C4944" s="1" t="s">
        <v>2108</v>
      </c>
      <c r="D4944" s="1" t="s">
        <v>1998</v>
      </c>
      <c r="E4944" s="1"/>
      <c r="F4944" s="1" t="s">
        <v>11</v>
      </c>
      <c r="G4944">
        <v>1205</v>
      </c>
      <c r="H4944">
        <v>1205</v>
      </c>
      <c r="I4944" s="2"/>
      <c r="J4944" s="2">
        <v>45782</v>
      </c>
      <c r="K4944" s="2">
        <v>45782</v>
      </c>
    </row>
    <row r="4945" spans="1:11" x14ac:dyDescent="0.25">
      <c r="A4945" s="1" t="s">
        <v>821</v>
      </c>
      <c r="B4945" s="1" t="s">
        <v>1913</v>
      </c>
      <c r="C4945" s="1" t="s">
        <v>2753</v>
      </c>
      <c r="D4945" s="1" t="s">
        <v>1998</v>
      </c>
      <c r="E4945" s="1"/>
      <c r="F4945" s="1" t="s">
        <v>11</v>
      </c>
      <c r="G4945">
        <v>435</v>
      </c>
      <c r="H4945">
        <v>435</v>
      </c>
      <c r="I4945" s="2"/>
      <c r="J4945" s="2">
        <v>45782</v>
      </c>
      <c r="K4945" s="2">
        <v>45782</v>
      </c>
    </row>
    <row r="4946" spans="1:11" x14ac:dyDescent="0.25">
      <c r="A4946" s="1" t="s">
        <v>821</v>
      </c>
      <c r="B4946" s="1" t="s">
        <v>1914</v>
      </c>
      <c r="C4946" s="1" t="s">
        <v>2107</v>
      </c>
      <c r="D4946" s="1" t="s">
        <v>1998</v>
      </c>
      <c r="E4946" s="1"/>
      <c r="F4946" s="1" t="s">
        <v>11</v>
      </c>
      <c r="G4946">
        <v>1210</v>
      </c>
      <c r="H4946">
        <v>1210</v>
      </c>
      <c r="I4946" s="2"/>
      <c r="J4946" s="2">
        <v>45782</v>
      </c>
      <c r="K4946" s="2">
        <v>45782</v>
      </c>
    </row>
    <row r="4947" spans="1:11" x14ac:dyDescent="0.25">
      <c r="A4947" s="1" t="s">
        <v>821</v>
      </c>
      <c r="B4947" s="1" t="s">
        <v>1915</v>
      </c>
      <c r="C4947" s="1" t="s">
        <v>2002</v>
      </c>
      <c r="D4947" s="1" t="s">
        <v>1998</v>
      </c>
      <c r="E4947" s="1"/>
      <c r="F4947" s="1" t="s">
        <v>11</v>
      </c>
      <c r="G4947">
        <v>520</v>
      </c>
      <c r="H4947">
        <v>520</v>
      </c>
      <c r="I4947" s="2"/>
      <c r="J4947" s="2">
        <v>45782</v>
      </c>
      <c r="K4947" s="2">
        <v>45782</v>
      </c>
    </row>
    <row r="4948" spans="1:11" x14ac:dyDescent="0.25">
      <c r="A4948" s="1" t="s">
        <v>821</v>
      </c>
      <c r="B4948" s="1" t="s">
        <v>1107</v>
      </c>
      <c r="C4948" s="1" t="s">
        <v>2002</v>
      </c>
      <c r="D4948" s="1" t="s">
        <v>1998</v>
      </c>
      <c r="E4948" s="1"/>
      <c r="F4948" s="1" t="s">
        <v>11</v>
      </c>
      <c r="G4948">
        <v>545</v>
      </c>
      <c r="H4948">
        <v>545</v>
      </c>
      <c r="I4948" s="2"/>
      <c r="J4948" s="2">
        <v>45782</v>
      </c>
      <c r="K4948" s="2">
        <v>45782</v>
      </c>
    </row>
    <row r="4949" spans="1:11" x14ac:dyDescent="0.25">
      <c r="A4949" s="1" t="s">
        <v>822</v>
      </c>
      <c r="B4949" s="1" t="s">
        <v>1515</v>
      </c>
      <c r="C4949" s="1" t="s">
        <v>2448</v>
      </c>
      <c r="D4949" s="1" t="s">
        <v>1998</v>
      </c>
      <c r="E4949" s="1"/>
      <c r="F4949" s="1" t="s">
        <v>11</v>
      </c>
      <c r="G4949">
        <v>75</v>
      </c>
      <c r="H4949">
        <v>75</v>
      </c>
      <c r="I4949" s="2"/>
      <c r="J4949" s="2">
        <v>45782</v>
      </c>
      <c r="K4949" s="2">
        <v>45785</v>
      </c>
    </row>
    <row r="4950" spans="1:11" x14ac:dyDescent="0.25">
      <c r="A4950" s="1" t="s">
        <v>822</v>
      </c>
      <c r="B4950" s="1" t="s">
        <v>1516</v>
      </c>
      <c r="C4950" s="1" t="s">
        <v>2449</v>
      </c>
      <c r="D4950" s="1" t="s">
        <v>1998</v>
      </c>
      <c r="E4950" s="1"/>
      <c r="F4950" s="1" t="s">
        <v>11</v>
      </c>
      <c r="G4950">
        <v>105</v>
      </c>
      <c r="H4950">
        <v>105</v>
      </c>
      <c r="I4950" s="2"/>
      <c r="J4950" s="2">
        <v>45782</v>
      </c>
      <c r="K4950" s="2">
        <v>45785</v>
      </c>
    </row>
    <row r="4951" spans="1:11" x14ac:dyDescent="0.25">
      <c r="A4951" s="1" t="s">
        <v>822</v>
      </c>
      <c r="B4951" s="1" t="s">
        <v>1517</v>
      </c>
      <c r="C4951" s="1" t="s">
        <v>2450</v>
      </c>
      <c r="D4951" s="1" t="s">
        <v>1998</v>
      </c>
      <c r="E4951" s="1"/>
      <c r="F4951" s="1" t="s">
        <v>11</v>
      </c>
      <c r="G4951">
        <v>155</v>
      </c>
      <c r="H4951">
        <v>155</v>
      </c>
      <c r="I4951" s="2"/>
      <c r="J4951" s="2">
        <v>45782</v>
      </c>
      <c r="K4951" s="2">
        <v>45785</v>
      </c>
    </row>
    <row r="4952" spans="1:11" x14ac:dyDescent="0.25">
      <c r="A4952" s="1" t="s">
        <v>822</v>
      </c>
      <c r="B4952" s="1" t="s">
        <v>1518</v>
      </c>
      <c r="C4952" s="1" t="s">
        <v>2451</v>
      </c>
      <c r="D4952" s="1" t="s">
        <v>1998</v>
      </c>
      <c r="E4952" s="1"/>
      <c r="F4952" s="1" t="s">
        <v>11</v>
      </c>
      <c r="G4952">
        <v>10</v>
      </c>
      <c r="H4952">
        <v>165</v>
      </c>
      <c r="I4952" s="2"/>
      <c r="J4952" s="2">
        <v>45782</v>
      </c>
      <c r="K4952" s="2">
        <v>45785</v>
      </c>
    </row>
    <row r="4953" spans="1:11" x14ac:dyDescent="0.25">
      <c r="A4953" s="1" t="s">
        <v>822</v>
      </c>
      <c r="B4953" s="1" t="s">
        <v>1519</v>
      </c>
      <c r="C4953" s="1" t="s">
        <v>2451</v>
      </c>
      <c r="D4953" s="1" t="s">
        <v>1998</v>
      </c>
      <c r="E4953" s="1"/>
      <c r="F4953" s="1" t="s">
        <v>11</v>
      </c>
      <c r="G4953">
        <v>180</v>
      </c>
      <c r="H4953">
        <v>240</v>
      </c>
      <c r="I4953" s="2"/>
      <c r="J4953" s="2">
        <v>45782</v>
      </c>
      <c r="K4953" s="2">
        <v>45785</v>
      </c>
    </row>
    <row r="4954" spans="1:11" x14ac:dyDescent="0.25">
      <c r="A4954" s="1" t="s">
        <v>822</v>
      </c>
      <c r="B4954" s="1" t="s">
        <v>1520</v>
      </c>
      <c r="C4954" s="1" t="s">
        <v>2452</v>
      </c>
      <c r="D4954" s="1" t="s">
        <v>1998</v>
      </c>
      <c r="E4954" s="1"/>
      <c r="F4954" s="1" t="s">
        <v>11</v>
      </c>
      <c r="G4954">
        <v>120</v>
      </c>
      <c r="H4954">
        <v>120</v>
      </c>
      <c r="I4954" s="2"/>
      <c r="J4954" s="2">
        <v>45782</v>
      </c>
      <c r="K4954" s="2">
        <v>45785</v>
      </c>
    </row>
    <row r="4955" spans="1:11" x14ac:dyDescent="0.25">
      <c r="A4955" s="1" t="s">
        <v>822</v>
      </c>
      <c r="B4955" s="1" t="s">
        <v>1922</v>
      </c>
      <c r="C4955" s="1" t="s">
        <v>2758</v>
      </c>
      <c r="D4955" s="1" t="s">
        <v>1998</v>
      </c>
      <c r="E4955" s="1"/>
      <c r="F4955" s="1" t="s">
        <v>11</v>
      </c>
      <c r="G4955">
        <v>685</v>
      </c>
      <c r="H4955">
        <v>685</v>
      </c>
      <c r="I4955" s="2"/>
      <c r="J4955" s="2">
        <v>45782</v>
      </c>
      <c r="K4955" s="2">
        <v>45785</v>
      </c>
    </row>
    <row r="4956" spans="1:11" x14ac:dyDescent="0.25">
      <c r="A4956" s="1" t="s">
        <v>822</v>
      </c>
      <c r="B4956" s="1" t="s">
        <v>1922</v>
      </c>
      <c r="C4956" s="1" t="s">
        <v>2758</v>
      </c>
      <c r="D4956" s="1" t="s">
        <v>1998</v>
      </c>
      <c r="E4956" s="1"/>
      <c r="F4956" s="1" t="s">
        <v>11</v>
      </c>
      <c r="G4956">
        <v>10</v>
      </c>
      <c r="H4956">
        <v>10</v>
      </c>
      <c r="I4956" s="2"/>
      <c r="J4956" s="2">
        <v>45782</v>
      </c>
      <c r="K4956" s="2">
        <v>45785</v>
      </c>
    </row>
    <row r="4957" spans="1:11" x14ac:dyDescent="0.25">
      <c r="A4957" s="1" t="s">
        <v>823</v>
      </c>
      <c r="B4957" s="1" t="s">
        <v>1923</v>
      </c>
      <c r="C4957" s="1" t="s">
        <v>2346</v>
      </c>
      <c r="D4957" s="1" t="s">
        <v>1998</v>
      </c>
      <c r="E4957" s="1"/>
      <c r="F4957" s="1" t="s">
        <v>11</v>
      </c>
      <c r="G4957">
        <v>1490</v>
      </c>
      <c r="H4957">
        <v>1490</v>
      </c>
      <c r="I4957" s="2"/>
      <c r="J4957" s="2">
        <v>45778</v>
      </c>
      <c r="K4957" s="2">
        <v>45782</v>
      </c>
    </row>
    <row r="4958" spans="1:11" x14ac:dyDescent="0.25">
      <c r="A4958" s="1" t="s">
        <v>823</v>
      </c>
      <c r="B4958" s="1" t="s">
        <v>1886</v>
      </c>
      <c r="C4958" s="1" t="s">
        <v>2124</v>
      </c>
      <c r="D4958" s="1" t="s">
        <v>1998</v>
      </c>
      <c r="E4958" s="1"/>
      <c r="F4958" s="1" t="s">
        <v>11</v>
      </c>
      <c r="G4958">
        <v>350</v>
      </c>
      <c r="H4958">
        <v>350</v>
      </c>
      <c r="I4958" s="2"/>
      <c r="J4958" s="2">
        <v>45778</v>
      </c>
      <c r="K4958" s="2">
        <v>45782</v>
      </c>
    </row>
    <row r="4959" spans="1:11" x14ac:dyDescent="0.25">
      <c r="A4959" s="1" t="s">
        <v>823</v>
      </c>
      <c r="B4959" s="1" t="s">
        <v>1126</v>
      </c>
      <c r="C4959" s="1" t="s">
        <v>2126</v>
      </c>
      <c r="D4959" s="1" t="s">
        <v>1998</v>
      </c>
      <c r="E4959" s="1"/>
      <c r="F4959" s="1" t="s">
        <v>11</v>
      </c>
      <c r="G4959">
        <v>30</v>
      </c>
      <c r="H4959">
        <v>30</v>
      </c>
      <c r="I4959" s="2"/>
      <c r="J4959" s="2">
        <v>45778</v>
      </c>
      <c r="K4959" s="2">
        <v>45782</v>
      </c>
    </row>
    <row r="4960" spans="1:11" x14ac:dyDescent="0.25">
      <c r="A4960" s="1" t="s">
        <v>823</v>
      </c>
      <c r="B4960" s="1" t="s">
        <v>1887</v>
      </c>
      <c r="C4960" s="1" t="s">
        <v>2733</v>
      </c>
      <c r="D4960" s="1" t="s">
        <v>1998</v>
      </c>
      <c r="E4960" s="1"/>
      <c r="F4960" s="1" t="s">
        <v>11</v>
      </c>
      <c r="G4960">
        <v>160</v>
      </c>
      <c r="H4960">
        <v>160</v>
      </c>
      <c r="I4960" s="2"/>
      <c r="J4960" s="2">
        <v>45778</v>
      </c>
      <c r="K4960" s="2">
        <v>45782</v>
      </c>
    </row>
    <row r="4961" spans="1:11" x14ac:dyDescent="0.25">
      <c r="A4961" s="1" t="s">
        <v>824</v>
      </c>
      <c r="B4961" s="1" t="s">
        <v>1923</v>
      </c>
      <c r="C4961" s="1" t="s">
        <v>2346</v>
      </c>
      <c r="D4961" s="1" t="s">
        <v>1998</v>
      </c>
      <c r="E4961" s="1"/>
      <c r="F4961" s="1" t="s">
        <v>11</v>
      </c>
      <c r="G4961">
        <v>3720</v>
      </c>
      <c r="H4961">
        <v>3720</v>
      </c>
      <c r="I4961" s="2"/>
      <c r="J4961" s="2">
        <v>45778</v>
      </c>
      <c r="K4961" s="2">
        <v>45782</v>
      </c>
    </row>
    <row r="4962" spans="1:11" x14ac:dyDescent="0.25">
      <c r="A4962" s="1" t="s">
        <v>824</v>
      </c>
      <c r="B4962" s="1" t="s">
        <v>1923</v>
      </c>
      <c r="C4962" s="1" t="s">
        <v>2346</v>
      </c>
      <c r="D4962" s="1" t="s">
        <v>1998</v>
      </c>
      <c r="E4962" s="1"/>
      <c r="F4962" s="1" t="s">
        <v>16</v>
      </c>
      <c r="G4962">
        <v>15</v>
      </c>
      <c r="H4962">
        <v>15</v>
      </c>
      <c r="I4962" s="2"/>
      <c r="J4962" s="2">
        <v>45778</v>
      </c>
      <c r="K4962" s="2">
        <v>45782</v>
      </c>
    </row>
    <row r="4963" spans="1:11" x14ac:dyDescent="0.25">
      <c r="A4963" s="1" t="s">
        <v>824</v>
      </c>
      <c r="B4963" s="1" t="s">
        <v>1886</v>
      </c>
      <c r="C4963" s="1" t="s">
        <v>2124</v>
      </c>
      <c r="D4963" s="1" t="s">
        <v>1998</v>
      </c>
      <c r="E4963" s="1"/>
      <c r="F4963" s="1" t="s">
        <v>11</v>
      </c>
      <c r="G4963">
        <v>875</v>
      </c>
      <c r="H4963">
        <v>875</v>
      </c>
      <c r="I4963" s="2"/>
      <c r="J4963" s="2">
        <v>45778</v>
      </c>
      <c r="K4963" s="2">
        <v>45782</v>
      </c>
    </row>
    <row r="4964" spans="1:11" x14ac:dyDescent="0.25">
      <c r="A4964" s="1" t="s">
        <v>824</v>
      </c>
      <c r="B4964" s="1" t="s">
        <v>1886</v>
      </c>
      <c r="C4964" s="1" t="s">
        <v>2124</v>
      </c>
      <c r="D4964" s="1" t="s">
        <v>1998</v>
      </c>
      <c r="E4964" s="1"/>
      <c r="F4964" s="1" t="s">
        <v>16</v>
      </c>
      <c r="G4964">
        <v>5</v>
      </c>
      <c r="H4964">
        <v>5</v>
      </c>
      <c r="I4964" s="2"/>
      <c r="J4964" s="2">
        <v>45778</v>
      </c>
      <c r="K4964" s="2">
        <v>45782</v>
      </c>
    </row>
    <row r="4965" spans="1:11" x14ac:dyDescent="0.25">
      <c r="A4965" s="1" t="s">
        <v>824</v>
      </c>
      <c r="B4965" s="1" t="s">
        <v>1126</v>
      </c>
      <c r="C4965" s="1" t="s">
        <v>2126</v>
      </c>
      <c r="D4965" s="1" t="s">
        <v>1998</v>
      </c>
      <c r="E4965" s="1"/>
      <c r="F4965" s="1" t="s">
        <v>11</v>
      </c>
      <c r="G4965">
        <v>70</v>
      </c>
      <c r="H4965">
        <v>70</v>
      </c>
      <c r="I4965" s="2"/>
      <c r="J4965" s="2">
        <v>45778</v>
      </c>
      <c r="K4965" s="2">
        <v>45782</v>
      </c>
    </row>
    <row r="4966" spans="1:11" x14ac:dyDescent="0.25">
      <c r="A4966" s="1" t="s">
        <v>824</v>
      </c>
      <c r="B4966" s="1" t="s">
        <v>1887</v>
      </c>
      <c r="C4966" s="1" t="s">
        <v>2733</v>
      </c>
      <c r="D4966" s="1" t="s">
        <v>1998</v>
      </c>
      <c r="E4966" s="1"/>
      <c r="F4966" s="1" t="s">
        <v>11</v>
      </c>
      <c r="G4966">
        <v>400</v>
      </c>
      <c r="H4966">
        <v>400</v>
      </c>
      <c r="I4966" s="2"/>
      <c r="J4966" s="2">
        <v>45778</v>
      </c>
      <c r="K4966" s="2">
        <v>45782</v>
      </c>
    </row>
    <row r="4967" spans="1:11" x14ac:dyDescent="0.25">
      <c r="A4967" s="1" t="s">
        <v>825</v>
      </c>
      <c r="B4967" s="1" t="s">
        <v>1268</v>
      </c>
      <c r="C4967" s="1" t="s">
        <v>2245</v>
      </c>
      <c r="D4967" s="1" t="s">
        <v>1998</v>
      </c>
      <c r="E4967" s="1"/>
      <c r="F4967" s="1" t="s">
        <v>11</v>
      </c>
      <c r="G4967">
        <v>2125</v>
      </c>
      <c r="H4967">
        <v>2125</v>
      </c>
      <c r="I4967" s="2"/>
      <c r="J4967" s="2">
        <v>45779</v>
      </c>
      <c r="K4967" s="2">
        <v>45789</v>
      </c>
    </row>
    <row r="4968" spans="1:11" x14ac:dyDescent="0.25">
      <c r="A4968" s="1" t="s">
        <v>825</v>
      </c>
      <c r="B4968" s="1" t="s">
        <v>1269</v>
      </c>
      <c r="C4968" s="1" t="s">
        <v>2246</v>
      </c>
      <c r="D4968" s="1" t="s">
        <v>1998</v>
      </c>
      <c r="E4968" s="1"/>
      <c r="F4968" s="1" t="s">
        <v>11</v>
      </c>
      <c r="G4968">
        <v>11450</v>
      </c>
      <c r="H4968">
        <v>11450</v>
      </c>
      <c r="I4968" s="2"/>
      <c r="J4968" s="2">
        <v>45779</v>
      </c>
      <c r="K4968" s="2">
        <v>45789</v>
      </c>
    </row>
    <row r="4969" spans="1:11" x14ac:dyDescent="0.25">
      <c r="A4969" s="1" t="s">
        <v>825</v>
      </c>
      <c r="B4969" s="1" t="s">
        <v>1270</v>
      </c>
      <c r="C4969" s="1" t="s">
        <v>2247</v>
      </c>
      <c r="D4969" s="1" t="s">
        <v>1998</v>
      </c>
      <c r="E4969" s="1"/>
      <c r="F4969" s="1" t="s">
        <v>11</v>
      </c>
      <c r="G4969">
        <v>420</v>
      </c>
      <c r="H4969">
        <v>1</v>
      </c>
      <c r="I4969" s="2"/>
      <c r="J4969" s="2">
        <v>45779</v>
      </c>
      <c r="K4969" s="2">
        <v>45789</v>
      </c>
    </row>
    <row r="4970" spans="1:11" x14ac:dyDescent="0.25">
      <c r="A4970" s="1" t="s">
        <v>826</v>
      </c>
      <c r="B4970" s="1" t="s">
        <v>1924</v>
      </c>
      <c r="C4970" s="1" t="s">
        <v>2759</v>
      </c>
      <c r="D4970" s="1" t="s">
        <v>1998</v>
      </c>
      <c r="E4970" s="1"/>
      <c r="F4970" s="1" t="s">
        <v>11</v>
      </c>
      <c r="G4970">
        <v>735</v>
      </c>
      <c r="H4970">
        <v>760</v>
      </c>
      <c r="I4970" s="2"/>
      <c r="J4970" s="2">
        <v>45778</v>
      </c>
      <c r="K4970" s="2">
        <v>45789</v>
      </c>
    </row>
    <row r="4971" spans="1:11" x14ac:dyDescent="0.25">
      <c r="A4971" s="1" t="s">
        <v>826</v>
      </c>
      <c r="B4971" s="1" t="s">
        <v>1925</v>
      </c>
      <c r="C4971" s="1" t="s">
        <v>2760</v>
      </c>
      <c r="D4971" s="1" t="s">
        <v>1998</v>
      </c>
      <c r="E4971" s="1"/>
      <c r="F4971" s="1" t="s">
        <v>11</v>
      </c>
      <c r="G4971">
        <v>270</v>
      </c>
      <c r="H4971">
        <v>335</v>
      </c>
      <c r="I4971" s="2"/>
      <c r="J4971" s="2">
        <v>45778</v>
      </c>
      <c r="K4971" s="2">
        <v>45789</v>
      </c>
    </row>
    <row r="4972" spans="1:11" x14ac:dyDescent="0.25">
      <c r="A4972" s="1" t="s">
        <v>826</v>
      </c>
      <c r="B4972" s="1" t="s">
        <v>1926</v>
      </c>
      <c r="C4972" s="1" t="s">
        <v>2064</v>
      </c>
      <c r="D4972" s="1" t="s">
        <v>1998</v>
      </c>
      <c r="E4972" s="1"/>
      <c r="F4972" s="1" t="s">
        <v>11</v>
      </c>
      <c r="G4972">
        <v>280</v>
      </c>
      <c r="H4972">
        <v>280</v>
      </c>
      <c r="I4972" s="2"/>
      <c r="J4972" s="2">
        <v>45778</v>
      </c>
      <c r="K4972" s="2">
        <v>45789</v>
      </c>
    </row>
    <row r="4973" spans="1:11" x14ac:dyDescent="0.25">
      <c r="A4973" s="1" t="s">
        <v>826</v>
      </c>
      <c r="B4973" s="1" t="s">
        <v>991</v>
      </c>
      <c r="C4973" s="1" t="s">
        <v>2009</v>
      </c>
      <c r="D4973" s="1" t="s">
        <v>1998</v>
      </c>
      <c r="E4973" s="1"/>
      <c r="F4973" s="1" t="s">
        <v>11</v>
      </c>
      <c r="G4973">
        <v>1</v>
      </c>
      <c r="H4973">
        <v>1</v>
      </c>
      <c r="I4973" s="2"/>
      <c r="J4973" s="2">
        <v>45778</v>
      </c>
      <c r="K4973" s="2">
        <v>45789</v>
      </c>
    </row>
    <row r="4974" spans="1:11" x14ac:dyDescent="0.25">
      <c r="A4974" s="1" t="s">
        <v>826</v>
      </c>
      <c r="B4974" s="1" t="s">
        <v>992</v>
      </c>
      <c r="C4974" s="1" t="s">
        <v>2010</v>
      </c>
      <c r="D4974" s="1" t="s">
        <v>1998</v>
      </c>
      <c r="E4974" s="1"/>
      <c r="F4974" s="1" t="s">
        <v>11</v>
      </c>
      <c r="G4974">
        <v>5</v>
      </c>
      <c r="H4974">
        <v>5</v>
      </c>
      <c r="I4974" s="2"/>
      <c r="J4974" s="2">
        <v>45778</v>
      </c>
      <c r="K4974" s="2">
        <v>45789</v>
      </c>
    </row>
    <row r="4975" spans="1:11" x14ac:dyDescent="0.25">
      <c r="A4975" s="1" t="s">
        <v>826</v>
      </c>
      <c r="B4975" s="1" t="s">
        <v>993</v>
      </c>
      <c r="C4975" s="1" t="s">
        <v>2011</v>
      </c>
      <c r="D4975" s="1" t="s">
        <v>1998</v>
      </c>
      <c r="E4975" s="1"/>
      <c r="F4975" s="1" t="s">
        <v>11</v>
      </c>
      <c r="G4975">
        <v>1</v>
      </c>
      <c r="H4975">
        <v>1</v>
      </c>
      <c r="I4975" s="2"/>
      <c r="J4975" s="2">
        <v>45778</v>
      </c>
      <c r="K4975" s="2">
        <v>45789</v>
      </c>
    </row>
    <row r="4976" spans="1:11" x14ac:dyDescent="0.25">
      <c r="A4976" s="1" t="s">
        <v>826</v>
      </c>
      <c r="B4976" s="1" t="s">
        <v>993</v>
      </c>
      <c r="C4976" s="1" t="s">
        <v>2011</v>
      </c>
      <c r="D4976" s="1" t="s">
        <v>1998</v>
      </c>
      <c r="E4976" s="1"/>
      <c r="F4976" s="1" t="s">
        <v>11</v>
      </c>
      <c r="G4976">
        <v>1</v>
      </c>
      <c r="H4976">
        <v>1</v>
      </c>
      <c r="I4976" s="2"/>
      <c r="J4976" s="2">
        <v>45778</v>
      </c>
      <c r="K4976" s="2">
        <v>45789</v>
      </c>
    </row>
    <row r="4977" spans="1:11" x14ac:dyDescent="0.25">
      <c r="A4977" s="1" t="s">
        <v>827</v>
      </c>
      <c r="B4977" s="1" t="s">
        <v>1440</v>
      </c>
      <c r="C4977" s="1" t="s">
        <v>2379</v>
      </c>
      <c r="D4977" s="1" t="s">
        <v>1998</v>
      </c>
      <c r="E4977" s="1"/>
      <c r="F4977" s="1" t="s">
        <v>11</v>
      </c>
      <c r="G4977">
        <v>4610</v>
      </c>
      <c r="H4977">
        <v>4610</v>
      </c>
      <c r="I4977" s="2"/>
      <c r="J4977" s="2">
        <v>45778</v>
      </c>
      <c r="K4977" s="2">
        <v>45778</v>
      </c>
    </row>
    <row r="4978" spans="1:11" x14ac:dyDescent="0.25">
      <c r="A4978" s="1" t="s">
        <v>828</v>
      </c>
      <c r="B4978" s="1" t="s">
        <v>1927</v>
      </c>
      <c r="C4978" s="1" t="s">
        <v>2761</v>
      </c>
      <c r="D4978" s="1" t="s">
        <v>1998</v>
      </c>
      <c r="E4978" s="1"/>
      <c r="F4978" s="1" t="s">
        <v>11</v>
      </c>
      <c r="G4978">
        <v>55</v>
      </c>
      <c r="H4978">
        <v>55</v>
      </c>
      <c r="I4978" s="2">
        <v>45789</v>
      </c>
      <c r="J4978" s="2">
        <v>45784</v>
      </c>
      <c r="K4978" s="2">
        <v>45786</v>
      </c>
    </row>
    <row r="4979" spans="1:11" x14ac:dyDescent="0.25">
      <c r="A4979" s="1" t="s">
        <v>828</v>
      </c>
      <c r="B4979" s="1" t="s">
        <v>1229</v>
      </c>
      <c r="C4979" s="1" t="s">
        <v>2213</v>
      </c>
      <c r="D4979" s="1" t="s">
        <v>1998</v>
      </c>
      <c r="E4979" s="1"/>
      <c r="F4979" s="1" t="s">
        <v>11</v>
      </c>
      <c r="G4979">
        <v>5</v>
      </c>
      <c r="H4979">
        <v>5</v>
      </c>
      <c r="I4979" s="2">
        <v>45789</v>
      </c>
      <c r="J4979" s="2">
        <v>45784</v>
      </c>
      <c r="K4979" s="2">
        <v>45786</v>
      </c>
    </row>
    <row r="4980" spans="1:11" x14ac:dyDescent="0.25">
      <c r="A4980" s="1" t="s">
        <v>828</v>
      </c>
      <c r="B4980" s="1" t="s">
        <v>1928</v>
      </c>
      <c r="C4980" s="1" t="s">
        <v>2762</v>
      </c>
      <c r="D4980" s="1" t="s">
        <v>1998</v>
      </c>
      <c r="E4980" s="1"/>
      <c r="F4980" s="1" t="s">
        <v>11</v>
      </c>
      <c r="G4980">
        <v>10</v>
      </c>
      <c r="H4980">
        <v>10</v>
      </c>
      <c r="I4980" s="2">
        <v>45789</v>
      </c>
      <c r="J4980" s="2">
        <v>45784</v>
      </c>
      <c r="K4980" s="2">
        <v>45786</v>
      </c>
    </row>
    <row r="4981" spans="1:11" x14ac:dyDescent="0.25">
      <c r="A4981" s="1" t="s">
        <v>828</v>
      </c>
      <c r="B4981" s="1" t="s">
        <v>1232</v>
      </c>
      <c r="C4981" s="1" t="s">
        <v>2216</v>
      </c>
      <c r="D4981" s="1" t="s">
        <v>1998</v>
      </c>
      <c r="E4981" s="1"/>
      <c r="F4981" s="1" t="s">
        <v>11</v>
      </c>
      <c r="G4981">
        <v>1</v>
      </c>
      <c r="H4981">
        <v>1</v>
      </c>
      <c r="I4981" s="2">
        <v>45789</v>
      </c>
      <c r="J4981" s="2">
        <v>45784</v>
      </c>
      <c r="K4981" s="2">
        <v>45786</v>
      </c>
    </row>
    <row r="4982" spans="1:11" x14ac:dyDescent="0.25">
      <c r="A4982" s="1" t="s">
        <v>828</v>
      </c>
      <c r="B4982" s="1" t="s">
        <v>1234</v>
      </c>
      <c r="C4982" s="1" t="s">
        <v>2218</v>
      </c>
      <c r="D4982" s="1" t="s">
        <v>1998</v>
      </c>
      <c r="E4982" s="1"/>
      <c r="F4982" s="1" t="s">
        <v>11</v>
      </c>
      <c r="G4982">
        <v>1</v>
      </c>
      <c r="H4982">
        <v>1</v>
      </c>
      <c r="I4982" s="2">
        <v>45789</v>
      </c>
      <c r="J4982" s="2">
        <v>45784</v>
      </c>
      <c r="K4982" s="2">
        <v>45786</v>
      </c>
    </row>
    <row r="4983" spans="1:11" x14ac:dyDescent="0.25">
      <c r="A4983" s="1" t="s">
        <v>829</v>
      </c>
      <c r="B4983" s="1" t="s">
        <v>1691</v>
      </c>
      <c r="C4983" s="1" t="s">
        <v>2591</v>
      </c>
      <c r="D4983" s="1" t="s">
        <v>1998</v>
      </c>
      <c r="E4983" s="1"/>
      <c r="F4983" s="1" t="s">
        <v>11</v>
      </c>
      <c r="G4983">
        <v>2750</v>
      </c>
      <c r="H4983">
        <v>2750</v>
      </c>
      <c r="I4983" s="2">
        <v>45783</v>
      </c>
      <c r="J4983" s="2">
        <v>45779</v>
      </c>
      <c r="K4983" s="2">
        <v>45783</v>
      </c>
    </row>
    <row r="4984" spans="1:11" x14ac:dyDescent="0.25">
      <c r="A4984" s="1" t="s">
        <v>829</v>
      </c>
      <c r="B4984" s="1" t="s">
        <v>1692</v>
      </c>
      <c r="C4984" s="1" t="s">
        <v>2592</v>
      </c>
      <c r="D4984" s="1" t="s">
        <v>1998</v>
      </c>
      <c r="E4984" s="1"/>
      <c r="F4984" s="1" t="s">
        <v>11</v>
      </c>
      <c r="G4984">
        <v>2740</v>
      </c>
      <c r="H4984">
        <v>2740</v>
      </c>
      <c r="I4984" s="2">
        <v>45783</v>
      </c>
      <c r="J4984" s="2">
        <v>45779</v>
      </c>
      <c r="K4984" s="2">
        <v>45783</v>
      </c>
    </row>
    <row r="4985" spans="1:11" x14ac:dyDescent="0.25">
      <c r="A4985" s="1" t="s">
        <v>829</v>
      </c>
      <c r="B4985" s="1" t="s">
        <v>1693</v>
      </c>
      <c r="C4985" s="1" t="s">
        <v>2593</v>
      </c>
      <c r="D4985" s="1" t="s">
        <v>1998</v>
      </c>
      <c r="E4985" s="1"/>
      <c r="F4985" s="1" t="s">
        <v>11</v>
      </c>
      <c r="G4985">
        <v>2600</v>
      </c>
      <c r="H4985">
        <v>2600</v>
      </c>
      <c r="I4985" s="2">
        <v>45783</v>
      </c>
      <c r="J4985" s="2">
        <v>45779</v>
      </c>
      <c r="K4985" s="2">
        <v>45783</v>
      </c>
    </row>
    <row r="4986" spans="1:11" x14ac:dyDescent="0.25">
      <c r="A4986" s="1" t="s">
        <v>829</v>
      </c>
      <c r="B4986" s="1" t="s">
        <v>1694</v>
      </c>
      <c r="C4986" s="1" t="s">
        <v>2593</v>
      </c>
      <c r="D4986" s="1" t="s">
        <v>1998</v>
      </c>
      <c r="E4986" s="1"/>
      <c r="F4986" s="1" t="s">
        <v>11</v>
      </c>
      <c r="G4986">
        <v>2740</v>
      </c>
      <c r="H4986">
        <v>2740</v>
      </c>
      <c r="I4986" s="2">
        <v>45783</v>
      </c>
      <c r="J4986" s="2">
        <v>45779</v>
      </c>
      <c r="K4986" s="2">
        <v>45783</v>
      </c>
    </row>
    <row r="4987" spans="1:11" x14ac:dyDescent="0.25">
      <c r="A4987" s="1" t="s">
        <v>829</v>
      </c>
      <c r="B4987" s="1" t="s">
        <v>1695</v>
      </c>
      <c r="C4987" s="1" t="s">
        <v>2594</v>
      </c>
      <c r="D4987" s="1" t="s">
        <v>1998</v>
      </c>
      <c r="E4987" s="1"/>
      <c r="F4987" s="1" t="s">
        <v>11</v>
      </c>
      <c r="G4987">
        <v>9565</v>
      </c>
      <c r="H4987">
        <v>9565</v>
      </c>
      <c r="I4987" s="2">
        <v>45783</v>
      </c>
      <c r="J4987" s="2">
        <v>45779</v>
      </c>
      <c r="K4987" s="2">
        <v>45783</v>
      </c>
    </row>
    <row r="4988" spans="1:11" x14ac:dyDescent="0.25">
      <c r="A4988" s="1" t="s">
        <v>830</v>
      </c>
      <c r="B4988" s="1" t="s">
        <v>1691</v>
      </c>
      <c r="C4988" s="1" t="s">
        <v>2591</v>
      </c>
      <c r="D4988" s="1" t="s">
        <v>1998</v>
      </c>
      <c r="E4988" s="1"/>
      <c r="F4988" s="1" t="s">
        <v>11</v>
      </c>
      <c r="G4988">
        <v>2750</v>
      </c>
      <c r="H4988">
        <v>2750</v>
      </c>
      <c r="I4988" s="2">
        <v>45783</v>
      </c>
      <c r="J4988" s="2">
        <v>45779</v>
      </c>
      <c r="K4988" s="2">
        <v>45783</v>
      </c>
    </row>
    <row r="4989" spans="1:11" x14ac:dyDescent="0.25">
      <c r="A4989" s="1" t="s">
        <v>830</v>
      </c>
      <c r="B4989" s="1" t="s">
        <v>1692</v>
      </c>
      <c r="C4989" s="1" t="s">
        <v>2592</v>
      </c>
      <c r="D4989" s="1" t="s">
        <v>1998</v>
      </c>
      <c r="E4989" s="1"/>
      <c r="F4989" s="1" t="s">
        <v>11</v>
      </c>
      <c r="G4989">
        <v>2740</v>
      </c>
      <c r="H4989">
        <v>2740</v>
      </c>
      <c r="I4989" s="2">
        <v>45783</v>
      </c>
      <c r="J4989" s="2">
        <v>45779</v>
      </c>
      <c r="K4989" s="2">
        <v>45783</v>
      </c>
    </row>
    <row r="4990" spans="1:11" x14ac:dyDescent="0.25">
      <c r="A4990" s="1" t="s">
        <v>830</v>
      </c>
      <c r="B4990" s="1" t="s">
        <v>1693</v>
      </c>
      <c r="C4990" s="1" t="s">
        <v>2593</v>
      </c>
      <c r="D4990" s="1" t="s">
        <v>1998</v>
      </c>
      <c r="E4990" s="1"/>
      <c r="F4990" s="1" t="s">
        <v>11</v>
      </c>
      <c r="G4990">
        <v>2600</v>
      </c>
      <c r="H4990">
        <v>2600</v>
      </c>
      <c r="I4990" s="2">
        <v>45783</v>
      </c>
      <c r="J4990" s="2">
        <v>45779</v>
      </c>
      <c r="K4990" s="2">
        <v>45783</v>
      </c>
    </row>
    <row r="4991" spans="1:11" x14ac:dyDescent="0.25">
      <c r="A4991" s="1" t="s">
        <v>830</v>
      </c>
      <c r="B4991" s="1" t="s">
        <v>1694</v>
      </c>
      <c r="C4991" s="1" t="s">
        <v>2593</v>
      </c>
      <c r="D4991" s="1" t="s">
        <v>1998</v>
      </c>
      <c r="E4991" s="1"/>
      <c r="F4991" s="1" t="s">
        <v>11</v>
      </c>
      <c r="G4991">
        <v>2740</v>
      </c>
      <c r="H4991">
        <v>2740</v>
      </c>
      <c r="I4991" s="2">
        <v>45783</v>
      </c>
      <c r="J4991" s="2">
        <v>45779</v>
      </c>
      <c r="K4991" s="2">
        <v>45783</v>
      </c>
    </row>
    <row r="4992" spans="1:11" x14ac:dyDescent="0.25">
      <c r="A4992" s="1" t="s">
        <v>830</v>
      </c>
      <c r="B4992" s="1" t="s">
        <v>1695</v>
      </c>
      <c r="C4992" s="1" t="s">
        <v>2594</v>
      </c>
      <c r="D4992" s="1" t="s">
        <v>1998</v>
      </c>
      <c r="E4992" s="1"/>
      <c r="F4992" s="1" t="s">
        <v>11</v>
      </c>
      <c r="G4992">
        <v>9565</v>
      </c>
      <c r="H4992">
        <v>9565</v>
      </c>
      <c r="I4992" s="2">
        <v>45783</v>
      </c>
      <c r="J4992" s="2">
        <v>45779</v>
      </c>
      <c r="K4992" s="2">
        <v>45783</v>
      </c>
    </row>
    <row r="4993" spans="1:11" x14ac:dyDescent="0.25">
      <c r="A4993" s="1" t="s">
        <v>831</v>
      </c>
      <c r="B4993" s="1" t="s">
        <v>1749</v>
      </c>
      <c r="C4993" s="1" t="s">
        <v>2634</v>
      </c>
      <c r="D4993" s="1" t="s">
        <v>1998</v>
      </c>
      <c r="E4993" s="1"/>
      <c r="F4993" s="1" t="s">
        <v>11</v>
      </c>
      <c r="G4993">
        <v>15</v>
      </c>
      <c r="H4993">
        <v>15</v>
      </c>
      <c r="I4993" s="2">
        <v>45789</v>
      </c>
      <c r="J4993" s="2">
        <v>45779</v>
      </c>
      <c r="K4993" s="2">
        <v>45782</v>
      </c>
    </row>
    <row r="4994" spans="1:11" x14ac:dyDescent="0.25">
      <c r="A4994" s="1" t="s">
        <v>831</v>
      </c>
      <c r="B4994" s="1" t="s">
        <v>1473</v>
      </c>
      <c r="C4994" s="1" t="s">
        <v>2410</v>
      </c>
      <c r="D4994" s="1" t="s">
        <v>1998</v>
      </c>
      <c r="E4994" s="1"/>
      <c r="F4994" s="1" t="s">
        <v>11</v>
      </c>
      <c r="G4994">
        <v>105</v>
      </c>
      <c r="H4994">
        <v>105</v>
      </c>
      <c r="I4994" s="2">
        <v>45789</v>
      </c>
      <c r="J4994" s="2">
        <v>45779</v>
      </c>
      <c r="K4994" s="2">
        <v>45782</v>
      </c>
    </row>
    <row r="4995" spans="1:11" x14ac:dyDescent="0.25">
      <c r="A4995" s="1" t="s">
        <v>832</v>
      </c>
      <c r="B4995" s="1" t="s">
        <v>1108</v>
      </c>
      <c r="C4995" s="1" t="s">
        <v>2108</v>
      </c>
      <c r="D4995" s="1" t="s">
        <v>1998</v>
      </c>
      <c r="E4995" s="1"/>
      <c r="F4995" s="1" t="s">
        <v>11</v>
      </c>
      <c r="G4995">
        <v>1205</v>
      </c>
      <c r="H4995">
        <v>1205</v>
      </c>
      <c r="I4995" s="2">
        <v>45789</v>
      </c>
      <c r="J4995" s="2">
        <v>45779</v>
      </c>
      <c r="K4995" s="2">
        <v>45789</v>
      </c>
    </row>
    <row r="4996" spans="1:11" x14ac:dyDescent="0.25">
      <c r="A4996" s="1" t="s">
        <v>832</v>
      </c>
      <c r="B4996" s="1" t="s">
        <v>1108</v>
      </c>
      <c r="C4996" s="1" t="s">
        <v>2108</v>
      </c>
      <c r="D4996" s="1" t="s">
        <v>1998</v>
      </c>
      <c r="E4996" s="1"/>
      <c r="F4996" s="1" t="s">
        <v>11</v>
      </c>
      <c r="G4996">
        <v>125</v>
      </c>
      <c r="H4996">
        <v>125</v>
      </c>
      <c r="I4996" s="2">
        <v>45789</v>
      </c>
      <c r="J4996" s="2">
        <v>45779</v>
      </c>
      <c r="K4996" s="2">
        <v>45789</v>
      </c>
    </row>
    <row r="4997" spans="1:11" x14ac:dyDescent="0.25">
      <c r="A4997" s="1" t="s">
        <v>832</v>
      </c>
      <c r="B4997" s="1" t="s">
        <v>1913</v>
      </c>
      <c r="C4997" s="1" t="s">
        <v>2753</v>
      </c>
      <c r="D4997" s="1" t="s">
        <v>1998</v>
      </c>
      <c r="E4997" s="1"/>
      <c r="F4997" s="1" t="s">
        <v>11</v>
      </c>
      <c r="G4997">
        <v>435</v>
      </c>
      <c r="H4997">
        <v>435</v>
      </c>
      <c r="I4997" s="2">
        <v>45789</v>
      </c>
      <c r="J4997" s="2">
        <v>45779</v>
      </c>
      <c r="K4997" s="2">
        <v>45789</v>
      </c>
    </row>
    <row r="4998" spans="1:11" x14ac:dyDescent="0.25">
      <c r="A4998" s="1" t="s">
        <v>832</v>
      </c>
      <c r="B4998" s="1" t="s">
        <v>1913</v>
      </c>
      <c r="C4998" s="1" t="s">
        <v>2753</v>
      </c>
      <c r="D4998" s="1" t="s">
        <v>1998</v>
      </c>
      <c r="E4998" s="1"/>
      <c r="F4998" s="1" t="s">
        <v>11</v>
      </c>
      <c r="G4998">
        <v>1</v>
      </c>
      <c r="H4998">
        <v>1</v>
      </c>
      <c r="I4998" s="2">
        <v>45789</v>
      </c>
      <c r="J4998" s="2">
        <v>45779</v>
      </c>
      <c r="K4998" s="2">
        <v>45789</v>
      </c>
    </row>
    <row r="4999" spans="1:11" x14ac:dyDescent="0.25">
      <c r="A4999" s="1" t="s">
        <v>832</v>
      </c>
      <c r="B4999" s="1" t="s">
        <v>1914</v>
      </c>
      <c r="C4999" s="1" t="s">
        <v>2107</v>
      </c>
      <c r="D4999" s="1" t="s">
        <v>1998</v>
      </c>
      <c r="E4999" s="1"/>
      <c r="F4999" s="1" t="s">
        <v>11</v>
      </c>
      <c r="G4999">
        <v>1210</v>
      </c>
      <c r="H4999">
        <v>1210</v>
      </c>
      <c r="I4999" s="2">
        <v>45789</v>
      </c>
      <c r="J4999" s="2">
        <v>45779</v>
      </c>
      <c r="K4999" s="2">
        <v>45789</v>
      </c>
    </row>
    <row r="5000" spans="1:11" x14ac:dyDescent="0.25">
      <c r="A5000" s="1" t="s">
        <v>832</v>
      </c>
      <c r="B5000" s="1" t="s">
        <v>1915</v>
      </c>
      <c r="C5000" s="1" t="s">
        <v>2002</v>
      </c>
      <c r="D5000" s="1" t="s">
        <v>1998</v>
      </c>
      <c r="E5000" s="1"/>
      <c r="F5000" s="1" t="s">
        <v>11</v>
      </c>
      <c r="G5000">
        <v>520</v>
      </c>
      <c r="H5000">
        <v>520</v>
      </c>
      <c r="I5000" s="2">
        <v>45789</v>
      </c>
      <c r="J5000" s="2">
        <v>45779</v>
      </c>
      <c r="K5000" s="2">
        <v>45789</v>
      </c>
    </row>
    <row r="5001" spans="1:11" x14ac:dyDescent="0.25">
      <c r="A5001" s="1" t="s">
        <v>832</v>
      </c>
      <c r="B5001" s="1" t="s">
        <v>1107</v>
      </c>
      <c r="C5001" s="1" t="s">
        <v>2002</v>
      </c>
      <c r="D5001" s="1" t="s">
        <v>1998</v>
      </c>
      <c r="E5001" s="1"/>
      <c r="F5001" s="1" t="s">
        <v>11</v>
      </c>
      <c r="G5001">
        <v>545</v>
      </c>
      <c r="H5001">
        <v>545</v>
      </c>
      <c r="I5001" s="2">
        <v>45789</v>
      </c>
      <c r="J5001" s="2">
        <v>45779</v>
      </c>
      <c r="K5001" s="2">
        <v>45789</v>
      </c>
    </row>
    <row r="5002" spans="1:11" x14ac:dyDescent="0.25">
      <c r="A5002" s="1" t="s">
        <v>832</v>
      </c>
      <c r="B5002" s="1" t="s">
        <v>1107</v>
      </c>
      <c r="C5002" s="1" t="s">
        <v>2002</v>
      </c>
      <c r="D5002" s="1" t="s">
        <v>1998</v>
      </c>
      <c r="E5002" s="1"/>
      <c r="F5002" s="1" t="s">
        <v>11</v>
      </c>
      <c r="G5002">
        <v>10</v>
      </c>
      <c r="H5002">
        <v>10</v>
      </c>
      <c r="I5002" s="2">
        <v>45789</v>
      </c>
      <c r="J5002" s="2">
        <v>45779</v>
      </c>
      <c r="K5002" s="2">
        <v>45789</v>
      </c>
    </row>
    <row r="5003" spans="1:11" x14ac:dyDescent="0.25">
      <c r="A5003" s="1" t="s">
        <v>833</v>
      </c>
      <c r="B5003" s="1" t="s">
        <v>1108</v>
      </c>
      <c r="C5003" s="1" t="s">
        <v>2108</v>
      </c>
      <c r="D5003" s="1" t="s">
        <v>1998</v>
      </c>
      <c r="E5003" s="1"/>
      <c r="F5003" s="1" t="s">
        <v>11</v>
      </c>
      <c r="G5003">
        <v>605</v>
      </c>
      <c r="H5003">
        <v>605</v>
      </c>
      <c r="I5003" s="2"/>
      <c r="J5003" s="2">
        <v>45779</v>
      </c>
      <c r="K5003" s="2">
        <v>45785</v>
      </c>
    </row>
    <row r="5004" spans="1:11" x14ac:dyDescent="0.25">
      <c r="A5004" s="1" t="s">
        <v>833</v>
      </c>
      <c r="B5004" s="1" t="s">
        <v>1913</v>
      </c>
      <c r="C5004" s="1" t="s">
        <v>2753</v>
      </c>
      <c r="D5004" s="1" t="s">
        <v>1998</v>
      </c>
      <c r="E5004" s="1"/>
      <c r="F5004" s="1" t="s">
        <v>11</v>
      </c>
      <c r="G5004">
        <v>220</v>
      </c>
      <c r="H5004">
        <v>220</v>
      </c>
      <c r="I5004" s="2"/>
      <c r="J5004" s="2">
        <v>45779</v>
      </c>
      <c r="K5004" s="2">
        <v>45785</v>
      </c>
    </row>
    <row r="5005" spans="1:11" x14ac:dyDescent="0.25">
      <c r="A5005" s="1" t="s">
        <v>833</v>
      </c>
      <c r="B5005" s="1" t="s">
        <v>1913</v>
      </c>
      <c r="C5005" s="1" t="s">
        <v>2753</v>
      </c>
      <c r="D5005" s="1" t="s">
        <v>1998</v>
      </c>
      <c r="E5005" s="1"/>
      <c r="F5005" s="1" t="s">
        <v>11</v>
      </c>
      <c r="G5005">
        <v>1</v>
      </c>
      <c r="H5005">
        <v>1</v>
      </c>
      <c r="I5005" s="2"/>
      <c r="J5005" s="2">
        <v>45779</v>
      </c>
      <c r="K5005" s="2">
        <v>45785</v>
      </c>
    </row>
    <row r="5006" spans="1:11" x14ac:dyDescent="0.25">
      <c r="A5006" s="1" t="s">
        <v>833</v>
      </c>
      <c r="B5006" s="1" t="s">
        <v>1929</v>
      </c>
      <c r="C5006" s="1" t="s">
        <v>2763</v>
      </c>
      <c r="D5006" s="1" t="s">
        <v>1998</v>
      </c>
      <c r="E5006" s="1"/>
      <c r="F5006" s="1" t="s">
        <v>11</v>
      </c>
      <c r="G5006">
        <v>605</v>
      </c>
      <c r="H5006">
        <v>605</v>
      </c>
      <c r="I5006" s="2"/>
      <c r="J5006" s="2">
        <v>45779</v>
      </c>
      <c r="K5006" s="2">
        <v>45785</v>
      </c>
    </row>
    <row r="5007" spans="1:11" x14ac:dyDescent="0.25">
      <c r="A5007" s="1" t="s">
        <v>833</v>
      </c>
      <c r="B5007" s="1" t="s">
        <v>1929</v>
      </c>
      <c r="C5007" s="1" t="s">
        <v>2763</v>
      </c>
      <c r="D5007" s="1" t="s">
        <v>1998</v>
      </c>
      <c r="E5007" s="1"/>
      <c r="F5007" s="1" t="s">
        <v>11</v>
      </c>
      <c r="G5007">
        <v>10</v>
      </c>
      <c r="H5007">
        <v>10</v>
      </c>
      <c r="I5007" s="2"/>
      <c r="J5007" s="2">
        <v>45779</v>
      </c>
      <c r="K5007" s="2">
        <v>45785</v>
      </c>
    </row>
    <row r="5008" spans="1:11" x14ac:dyDescent="0.25">
      <c r="A5008" s="1" t="s">
        <v>833</v>
      </c>
      <c r="B5008" s="1" t="s">
        <v>1915</v>
      </c>
      <c r="C5008" s="1" t="s">
        <v>2002</v>
      </c>
      <c r="D5008" s="1" t="s">
        <v>1998</v>
      </c>
      <c r="E5008" s="1"/>
      <c r="F5008" s="1" t="s">
        <v>11</v>
      </c>
      <c r="G5008">
        <v>260</v>
      </c>
      <c r="H5008">
        <v>260</v>
      </c>
      <c r="I5008" s="2"/>
      <c r="J5008" s="2">
        <v>45779</v>
      </c>
      <c r="K5008" s="2">
        <v>45785</v>
      </c>
    </row>
    <row r="5009" spans="1:11" x14ac:dyDescent="0.25">
      <c r="A5009" s="1" t="s">
        <v>833</v>
      </c>
      <c r="B5009" s="1" t="s">
        <v>1107</v>
      </c>
      <c r="C5009" s="1" t="s">
        <v>2002</v>
      </c>
      <c r="D5009" s="1" t="s">
        <v>1998</v>
      </c>
      <c r="E5009" s="1"/>
      <c r="F5009" s="1" t="s">
        <v>11</v>
      </c>
      <c r="G5009">
        <v>270</v>
      </c>
      <c r="H5009">
        <v>270</v>
      </c>
      <c r="I5009" s="2"/>
      <c r="J5009" s="2">
        <v>45779</v>
      </c>
      <c r="K5009" s="2">
        <v>45785</v>
      </c>
    </row>
    <row r="5010" spans="1:11" x14ac:dyDescent="0.25">
      <c r="A5010" s="1" t="s">
        <v>833</v>
      </c>
      <c r="B5010" s="1" t="s">
        <v>1107</v>
      </c>
      <c r="C5010" s="1" t="s">
        <v>2002</v>
      </c>
      <c r="D5010" s="1" t="s">
        <v>1998</v>
      </c>
      <c r="E5010" s="1"/>
      <c r="F5010" s="1" t="s">
        <v>16</v>
      </c>
      <c r="G5010">
        <v>40</v>
      </c>
      <c r="H5010">
        <v>40</v>
      </c>
      <c r="I5010" s="2"/>
      <c r="J5010" s="2">
        <v>45779</v>
      </c>
      <c r="K5010" s="2">
        <v>45785</v>
      </c>
    </row>
    <row r="5011" spans="1:11" x14ac:dyDescent="0.25">
      <c r="A5011" s="1" t="s">
        <v>834</v>
      </c>
      <c r="B5011" s="1" t="s">
        <v>1281</v>
      </c>
      <c r="C5011" s="1" t="s">
        <v>2258</v>
      </c>
      <c r="D5011" s="1" t="s">
        <v>1998</v>
      </c>
      <c r="E5011" s="1"/>
      <c r="F5011" s="1" t="s">
        <v>11</v>
      </c>
      <c r="G5011">
        <v>10</v>
      </c>
      <c r="H5011">
        <v>10</v>
      </c>
      <c r="I5011" s="2"/>
      <c r="J5011" s="2">
        <v>45779</v>
      </c>
      <c r="K5011" s="2">
        <v>45782</v>
      </c>
    </row>
    <row r="5012" spans="1:11" x14ac:dyDescent="0.25">
      <c r="A5012" s="1" t="s">
        <v>834</v>
      </c>
      <c r="B5012" s="1" t="s">
        <v>1282</v>
      </c>
      <c r="C5012" s="1" t="s">
        <v>2259</v>
      </c>
      <c r="D5012" s="1" t="s">
        <v>1998</v>
      </c>
      <c r="E5012" s="1"/>
      <c r="F5012" s="1" t="s">
        <v>11</v>
      </c>
      <c r="G5012">
        <v>45</v>
      </c>
      <c r="H5012">
        <v>45</v>
      </c>
      <c r="I5012" s="2"/>
      <c r="J5012" s="2">
        <v>45779</v>
      </c>
      <c r="K5012" s="2">
        <v>45782</v>
      </c>
    </row>
    <row r="5013" spans="1:11" x14ac:dyDescent="0.25">
      <c r="A5013" s="1" t="s">
        <v>834</v>
      </c>
      <c r="B5013" s="1" t="s">
        <v>1283</v>
      </c>
      <c r="C5013" s="1" t="s">
        <v>2260</v>
      </c>
      <c r="D5013" s="1" t="s">
        <v>1998</v>
      </c>
      <c r="E5013" s="1"/>
      <c r="F5013" s="1" t="s">
        <v>11</v>
      </c>
      <c r="G5013">
        <v>9075</v>
      </c>
      <c r="H5013">
        <v>9075</v>
      </c>
      <c r="I5013" s="2"/>
      <c r="J5013" s="2">
        <v>45779</v>
      </c>
      <c r="K5013" s="2">
        <v>45782</v>
      </c>
    </row>
    <row r="5014" spans="1:11" x14ac:dyDescent="0.25">
      <c r="A5014" s="1" t="s">
        <v>834</v>
      </c>
      <c r="B5014" s="1" t="s">
        <v>1047</v>
      </c>
      <c r="C5014" s="1" t="s">
        <v>2056</v>
      </c>
      <c r="D5014" s="1" t="s">
        <v>1998</v>
      </c>
      <c r="E5014" s="1"/>
      <c r="F5014" s="1" t="s">
        <v>11</v>
      </c>
      <c r="G5014">
        <v>15</v>
      </c>
      <c r="H5014">
        <v>15</v>
      </c>
      <c r="I5014" s="2"/>
      <c r="J5014" s="2">
        <v>45779</v>
      </c>
      <c r="K5014" s="2">
        <v>45782</v>
      </c>
    </row>
    <row r="5015" spans="1:11" x14ac:dyDescent="0.25">
      <c r="A5015" s="1" t="s">
        <v>834</v>
      </c>
      <c r="B5015" s="1" t="s">
        <v>1284</v>
      </c>
      <c r="C5015" s="1" t="s">
        <v>2261</v>
      </c>
      <c r="D5015" s="1" t="s">
        <v>1998</v>
      </c>
      <c r="E5015" s="1"/>
      <c r="F5015" s="1" t="s">
        <v>11</v>
      </c>
      <c r="G5015">
        <v>130</v>
      </c>
      <c r="H5015">
        <v>130</v>
      </c>
      <c r="I5015" s="2"/>
      <c r="J5015" s="2">
        <v>45779</v>
      </c>
      <c r="K5015" s="2">
        <v>45782</v>
      </c>
    </row>
    <row r="5016" spans="1:11" x14ac:dyDescent="0.25">
      <c r="A5016" s="1" t="s">
        <v>834</v>
      </c>
      <c r="B5016" s="1" t="s">
        <v>1285</v>
      </c>
      <c r="C5016" s="1" t="s">
        <v>2262</v>
      </c>
      <c r="D5016" s="1" t="s">
        <v>1998</v>
      </c>
      <c r="E5016" s="1"/>
      <c r="F5016" s="1" t="s">
        <v>11</v>
      </c>
      <c r="G5016">
        <v>55</v>
      </c>
      <c r="H5016">
        <v>55</v>
      </c>
      <c r="I5016" s="2"/>
      <c r="J5016" s="2">
        <v>45779</v>
      </c>
      <c r="K5016" s="2">
        <v>45782</v>
      </c>
    </row>
    <row r="5017" spans="1:11" x14ac:dyDescent="0.25">
      <c r="A5017" s="1" t="s">
        <v>834</v>
      </c>
      <c r="B5017" s="1" t="s">
        <v>1286</v>
      </c>
      <c r="C5017" s="1" t="s">
        <v>2263</v>
      </c>
      <c r="D5017" s="1" t="s">
        <v>1998</v>
      </c>
      <c r="E5017" s="1"/>
      <c r="F5017" s="1" t="s">
        <v>11</v>
      </c>
      <c r="G5017">
        <v>25</v>
      </c>
      <c r="H5017">
        <v>1</v>
      </c>
      <c r="I5017" s="2"/>
      <c r="J5017" s="2">
        <v>45779</v>
      </c>
      <c r="K5017" s="2">
        <v>45782</v>
      </c>
    </row>
    <row r="5018" spans="1:11" x14ac:dyDescent="0.25">
      <c r="A5018" s="1" t="s">
        <v>834</v>
      </c>
      <c r="B5018" s="1" t="s">
        <v>1287</v>
      </c>
      <c r="C5018" s="1" t="s">
        <v>2264</v>
      </c>
      <c r="D5018" s="1" t="s">
        <v>1998</v>
      </c>
      <c r="E5018" s="1"/>
      <c r="F5018" s="1" t="s">
        <v>11</v>
      </c>
      <c r="G5018">
        <v>1</v>
      </c>
      <c r="H5018">
        <v>1</v>
      </c>
      <c r="I5018" s="2"/>
      <c r="J5018" s="2">
        <v>45779</v>
      </c>
      <c r="K5018" s="2">
        <v>45782</v>
      </c>
    </row>
    <row r="5019" spans="1:11" x14ac:dyDescent="0.25">
      <c r="A5019" s="1" t="s">
        <v>834</v>
      </c>
      <c r="B5019" s="1" t="s">
        <v>1096</v>
      </c>
      <c r="C5019" s="1" t="s">
        <v>2067</v>
      </c>
      <c r="D5019" s="1" t="s">
        <v>1998</v>
      </c>
      <c r="E5019" s="1"/>
      <c r="F5019" s="1" t="s">
        <v>11</v>
      </c>
      <c r="G5019">
        <v>3090</v>
      </c>
      <c r="H5019">
        <v>3090</v>
      </c>
      <c r="I5019" s="2"/>
      <c r="J5019" s="2">
        <v>45779</v>
      </c>
      <c r="K5019" s="2">
        <v>45782</v>
      </c>
    </row>
    <row r="5020" spans="1:11" x14ac:dyDescent="0.25">
      <c r="A5020" s="1" t="s">
        <v>835</v>
      </c>
      <c r="B5020" s="1" t="s">
        <v>1281</v>
      </c>
      <c r="C5020" s="1" t="s">
        <v>2258</v>
      </c>
      <c r="D5020" s="1" t="s">
        <v>1998</v>
      </c>
      <c r="E5020" s="1"/>
      <c r="F5020" s="1" t="s">
        <v>11</v>
      </c>
      <c r="G5020">
        <v>10</v>
      </c>
      <c r="H5020">
        <v>10</v>
      </c>
      <c r="I5020" s="2"/>
      <c r="J5020" s="2">
        <v>45779</v>
      </c>
      <c r="K5020" s="2">
        <v>45782</v>
      </c>
    </row>
    <row r="5021" spans="1:11" x14ac:dyDescent="0.25">
      <c r="A5021" s="1" t="s">
        <v>835</v>
      </c>
      <c r="B5021" s="1" t="s">
        <v>1282</v>
      </c>
      <c r="C5021" s="1" t="s">
        <v>2259</v>
      </c>
      <c r="D5021" s="1" t="s">
        <v>1998</v>
      </c>
      <c r="E5021" s="1"/>
      <c r="F5021" s="1" t="s">
        <v>11</v>
      </c>
      <c r="G5021">
        <v>45</v>
      </c>
      <c r="H5021">
        <v>45</v>
      </c>
      <c r="I5021" s="2"/>
      <c r="J5021" s="2">
        <v>45779</v>
      </c>
      <c r="K5021" s="2">
        <v>45782</v>
      </c>
    </row>
    <row r="5022" spans="1:11" x14ac:dyDescent="0.25">
      <c r="A5022" s="1" t="s">
        <v>835</v>
      </c>
      <c r="B5022" s="1" t="s">
        <v>1283</v>
      </c>
      <c r="C5022" s="1" t="s">
        <v>2260</v>
      </c>
      <c r="D5022" s="1" t="s">
        <v>1998</v>
      </c>
      <c r="E5022" s="1"/>
      <c r="F5022" s="1" t="s">
        <v>11</v>
      </c>
      <c r="G5022">
        <v>9075</v>
      </c>
      <c r="H5022">
        <v>9075</v>
      </c>
      <c r="I5022" s="2"/>
      <c r="J5022" s="2">
        <v>45779</v>
      </c>
      <c r="K5022" s="2">
        <v>45782</v>
      </c>
    </row>
    <row r="5023" spans="1:11" x14ac:dyDescent="0.25">
      <c r="A5023" s="1" t="s">
        <v>835</v>
      </c>
      <c r="B5023" s="1" t="s">
        <v>1047</v>
      </c>
      <c r="C5023" s="1" t="s">
        <v>2056</v>
      </c>
      <c r="D5023" s="1" t="s">
        <v>1998</v>
      </c>
      <c r="E5023" s="1"/>
      <c r="F5023" s="1" t="s">
        <v>11</v>
      </c>
      <c r="G5023">
        <v>15</v>
      </c>
      <c r="H5023">
        <v>15</v>
      </c>
      <c r="I5023" s="2"/>
      <c r="J5023" s="2">
        <v>45779</v>
      </c>
      <c r="K5023" s="2">
        <v>45782</v>
      </c>
    </row>
    <row r="5024" spans="1:11" x14ac:dyDescent="0.25">
      <c r="A5024" s="1" t="s">
        <v>835</v>
      </c>
      <c r="B5024" s="1" t="s">
        <v>1284</v>
      </c>
      <c r="C5024" s="1" t="s">
        <v>2261</v>
      </c>
      <c r="D5024" s="1" t="s">
        <v>1998</v>
      </c>
      <c r="E5024" s="1"/>
      <c r="F5024" s="1" t="s">
        <v>11</v>
      </c>
      <c r="G5024">
        <v>130</v>
      </c>
      <c r="H5024">
        <v>1</v>
      </c>
      <c r="I5024" s="2"/>
      <c r="J5024" s="2">
        <v>45779</v>
      </c>
      <c r="K5024" s="2">
        <v>45782</v>
      </c>
    </row>
    <row r="5025" spans="1:11" x14ac:dyDescent="0.25">
      <c r="A5025" s="1" t="s">
        <v>835</v>
      </c>
      <c r="B5025" s="1" t="s">
        <v>1285</v>
      </c>
      <c r="C5025" s="1" t="s">
        <v>2262</v>
      </c>
      <c r="D5025" s="1" t="s">
        <v>1998</v>
      </c>
      <c r="E5025" s="1"/>
      <c r="F5025" s="1" t="s">
        <v>11</v>
      </c>
      <c r="G5025">
        <v>55</v>
      </c>
      <c r="H5025">
        <v>1</v>
      </c>
      <c r="I5025" s="2"/>
      <c r="J5025" s="2">
        <v>45779</v>
      </c>
      <c r="K5025" s="2">
        <v>45782</v>
      </c>
    </row>
    <row r="5026" spans="1:11" x14ac:dyDescent="0.25">
      <c r="A5026" s="1" t="s">
        <v>835</v>
      </c>
      <c r="B5026" s="1" t="s">
        <v>1286</v>
      </c>
      <c r="C5026" s="1" t="s">
        <v>2263</v>
      </c>
      <c r="D5026" s="1" t="s">
        <v>1998</v>
      </c>
      <c r="E5026" s="1"/>
      <c r="F5026" s="1" t="s">
        <v>11</v>
      </c>
      <c r="G5026">
        <v>25</v>
      </c>
      <c r="H5026">
        <v>1</v>
      </c>
      <c r="I5026" s="2"/>
      <c r="J5026" s="2">
        <v>45779</v>
      </c>
      <c r="K5026" s="2">
        <v>45782</v>
      </c>
    </row>
    <row r="5027" spans="1:11" x14ac:dyDescent="0.25">
      <c r="A5027" s="1" t="s">
        <v>835</v>
      </c>
      <c r="B5027" s="1" t="s">
        <v>1287</v>
      </c>
      <c r="C5027" s="1" t="s">
        <v>2264</v>
      </c>
      <c r="D5027" s="1" t="s">
        <v>1998</v>
      </c>
      <c r="E5027" s="1"/>
      <c r="F5027" s="1" t="s">
        <v>11</v>
      </c>
      <c r="G5027">
        <v>1</v>
      </c>
      <c r="H5027">
        <v>1</v>
      </c>
      <c r="I5027" s="2"/>
      <c r="J5027" s="2">
        <v>45779</v>
      </c>
      <c r="K5027" s="2">
        <v>45782</v>
      </c>
    </row>
    <row r="5028" spans="1:11" x14ac:dyDescent="0.25">
      <c r="A5028" s="1" t="s">
        <v>835</v>
      </c>
      <c r="B5028" s="1" t="s">
        <v>1096</v>
      </c>
      <c r="C5028" s="1" t="s">
        <v>2067</v>
      </c>
      <c r="D5028" s="1" t="s">
        <v>1998</v>
      </c>
      <c r="E5028" s="1"/>
      <c r="F5028" s="1" t="s">
        <v>11</v>
      </c>
      <c r="G5028">
        <v>3090</v>
      </c>
      <c r="H5028">
        <v>3090</v>
      </c>
      <c r="I5028" s="2"/>
      <c r="J5028" s="2">
        <v>45779</v>
      </c>
      <c r="K5028" s="2">
        <v>45782</v>
      </c>
    </row>
    <row r="5029" spans="1:11" x14ac:dyDescent="0.25">
      <c r="A5029" s="1" t="s">
        <v>836</v>
      </c>
      <c r="B5029" s="1" t="s">
        <v>1281</v>
      </c>
      <c r="C5029" s="1" t="s">
        <v>2258</v>
      </c>
      <c r="D5029" s="1" t="s">
        <v>1998</v>
      </c>
      <c r="E5029" s="1"/>
      <c r="F5029" s="1" t="s">
        <v>11</v>
      </c>
      <c r="G5029">
        <v>10</v>
      </c>
      <c r="H5029">
        <v>10</v>
      </c>
      <c r="I5029" s="2"/>
      <c r="J5029" s="2">
        <v>45779</v>
      </c>
      <c r="K5029" s="2">
        <v>45785</v>
      </c>
    </row>
    <row r="5030" spans="1:11" x14ac:dyDescent="0.25">
      <c r="A5030" s="1" t="s">
        <v>836</v>
      </c>
      <c r="B5030" s="1" t="s">
        <v>1282</v>
      </c>
      <c r="C5030" s="1" t="s">
        <v>2259</v>
      </c>
      <c r="D5030" s="1" t="s">
        <v>1998</v>
      </c>
      <c r="E5030" s="1"/>
      <c r="F5030" s="1" t="s">
        <v>11</v>
      </c>
      <c r="G5030">
        <v>45</v>
      </c>
      <c r="H5030">
        <v>45</v>
      </c>
      <c r="I5030" s="2"/>
      <c r="J5030" s="2">
        <v>45779</v>
      </c>
      <c r="K5030" s="2">
        <v>45785</v>
      </c>
    </row>
    <row r="5031" spans="1:11" x14ac:dyDescent="0.25">
      <c r="A5031" s="1" t="s">
        <v>836</v>
      </c>
      <c r="B5031" s="1" t="s">
        <v>1283</v>
      </c>
      <c r="C5031" s="1" t="s">
        <v>2260</v>
      </c>
      <c r="D5031" s="1" t="s">
        <v>1998</v>
      </c>
      <c r="E5031" s="1"/>
      <c r="F5031" s="1" t="s">
        <v>11</v>
      </c>
      <c r="G5031">
        <v>9075</v>
      </c>
      <c r="H5031">
        <v>9075</v>
      </c>
      <c r="I5031" s="2"/>
      <c r="J5031" s="2">
        <v>45779</v>
      </c>
      <c r="K5031" s="2">
        <v>45785</v>
      </c>
    </row>
    <row r="5032" spans="1:11" x14ac:dyDescent="0.25">
      <c r="A5032" s="1" t="s">
        <v>836</v>
      </c>
      <c r="B5032" s="1" t="s">
        <v>1047</v>
      </c>
      <c r="C5032" s="1" t="s">
        <v>2056</v>
      </c>
      <c r="D5032" s="1" t="s">
        <v>1998</v>
      </c>
      <c r="E5032" s="1"/>
      <c r="F5032" s="1" t="s">
        <v>11</v>
      </c>
      <c r="G5032">
        <v>15</v>
      </c>
      <c r="H5032">
        <v>15</v>
      </c>
      <c r="I5032" s="2"/>
      <c r="J5032" s="2">
        <v>45779</v>
      </c>
      <c r="K5032" s="2">
        <v>45785</v>
      </c>
    </row>
    <row r="5033" spans="1:11" x14ac:dyDescent="0.25">
      <c r="A5033" s="1" t="s">
        <v>836</v>
      </c>
      <c r="B5033" s="1" t="s">
        <v>1284</v>
      </c>
      <c r="C5033" s="1" t="s">
        <v>2261</v>
      </c>
      <c r="D5033" s="1" t="s">
        <v>1998</v>
      </c>
      <c r="E5033" s="1"/>
      <c r="F5033" s="1" t="s">
        <v>11</v>
      </c>
      <c r="G5033">
        <v>130</v>
      </c>
      <c r="H5033">
        <v>130</v>
      </c>
      <c r="I5033" s="2"/>
      <c r="J5033" s="2">
        <v>45779</v>
      </c>
      <c r="K5033" s="2">
        <v>45785</v>
      </c>
    </row>
    <row r="5034" spans="1:11" x14ac:dyDescent="0.25">
      <c r="A5034" s="1" t="s">
        <v>836</v>
      </c>
      <c r="B5034" s="1" t="s">
        <v>1285</v>
      </c>
      <c r="C5034" s="1" t="s">
        <v>2262</v>
      </c>
      <c r="D5034" s="1" t="s">
        <v>1998</v>
      </c>
      <c r="E5034" s="1"/>
      <c r="F5034" s="1" t="s">
        <v>11</v>
      </c>
      <c r="G5034">
        <v>55</v>
      </c>
      <c r="H5034">
        <v>55</v>
      </c>
      <c r="I5034" s="2"/>
      <c r="J5034" s="2">
        <v>45779</v>
      </c>
      <c r="K5034" s="2">
        <v>45785</v>
      </c>
    </row>
    <row r="5035" spans="1:11" x14ac:dyDescent="0.25">
      <c r="A5035" s="1" t="s">
        <v>836</v>
      </c>
      <c r="B5035" s="1" t="s">
        <v>1286</v>
      </c>
      <c r="C5035" s="1" t="s">
        <v>2263</v>
      </c>
      <c r="D5035" s="1" t="s">
        <v>1998</v>
      </c>
      <c r="E5035" s="1"/>
      <c r="F5035" s="1" t="s">
        <v>11</v>
      </c>
      <c r="G5035">
        <v>25</v>
      </c>
      <c r="H5035">
        <v>25</v>
      </c>
      <c r="I5035" s="2"/>
      <c r="J5035" s="2">
        <v>45779</v>
      </c>
      <c r="K5035" s="2">
        <v>45785</v>
      </c>
    </row>
    <row r="5036" spans="1:11" x14ac:dyDescent="0.25">
      <c r="A5036" s="1" t="s">
        <v>836</v>
      </c>
      <c r="B5036" s="1" t="s">
        <v>1287</v>
      </c>
      <c r="C5036" s="1" t="s">
        <v>2264</v>
      </c>
      <c r="D5036" s="1" t="s">
        <v>1998</v>
      </c>
      <c r="E5036" s="1"/>
      <c r="F5036" s="1" t="s">
        <v>11</v>
      </c>
      <c r="G5036">
        <v>1</v>
      </c>
      <c r="H5036">
        <v>1</v>
      </c>
      <c r="I5036" s="2"/>
      <c r="J5036" s="2">
        <v>45779</v>
      </c>
      <c r="K5036" s="2">
        <v>45785</v>
      </c>
    </row>
    <row r="5037" spans="1:11" x14ac:dyDescent="0.25">
      <c r="A5037" s="1" t="s">
        <v>836</v>
      </c>
      <c r="B5037" s="1" t="s">
        <v>1096</v>
      </c>
      <c r="C5037" s="1" t="s">
        <v>2067</v>
      </c>
      <c r="D5037" s="1" t="s">
        <v>1998</v>
      </c>
      <c r="E5037" s="1"/>
      <c r="F5037" s="1" t="s">
        <v>11</v>
      </c>
      <c r="G5037">
        <v>3090</v>
      </c>
      <c r="H5037">
        <v>3090</v>
      </c>
      <c r="I5037" s="2"/>
      <c r="J5037" s="2">
        <v>45779</v>
      </c>
      <c r="K5037" s="2">
        <v>45785</v>
      </c>
    </row>
    <row r="5038" spans="1:11" x14ac:dyDescent="0.25">
      <c r="A5038" s="1" t="s">
        <v>837</v>
      </c>
      <c r="B5038" s="1" t="s">
        <v>1281</v>
      </c>
      <c r="C5038" s="1" t="s">
        <v>2258</v>
      </c>
      <c r="D5038" s="1" t="s">
        <v>1998</v>
      </c>
      <c r="E5038" s="1"/>
      <c r="F5038" s="1" t="s">
        <v>11</v>
      </c>
      <c r="G5038">
        <v>10</v>
      </c>
      <c r="H5038">
        <v>10</v>
      </c>
      <c r="I5038" s="2"/>
      <c r="J5038" s="2">
        <v>45779</v>
      </c>
      <c r="K5038" s="2">
        <v>45789</v>
      </c>
    </row>
    <row r="5039" spans="1:11" x14ac:dyDescent="0.25">
      <c r="A5039" s="1" t="s">
        <v>837</v>
      </c>
      <c r="B5039" s="1" t="s">
        <v>1282</v>
      </c>
      <c r="C5039" s="1" t="s">
        <v>2259</v>
      </c>
      <c r="D5039" s="1" t="s">
        <v>1998</v>
      </c>
      <c r="E5039" s="1"/>
      <c r="F5039" s="1" t="s">
        <v>11</v>
      </c>
      <c r="G5039">
        <v>45</v>
      </c>
      <c r="H5039">
        <v>45</v>
      </c>
      <c r="I5039" s="2"/>
      <c r="J5039" s="2">
        <v>45779</v>
      </c>
      <c r="K5039" s="2">
        <v>45789</v>
      </c>
    </row>
    <row r="5040" spans="1:11" x14ac:dyDescent="0.25">
      <c r="A5040" s="1" t="s">
        <v>837</v>
      </c>
      <c r="B5040" s="1" t="s">
        <v>1283</v>
      </c>
      <c r="C5040" s="1" t="s">
        <v>2260</v>
      </c>
      <c r="D5040" s="1" t="s">
        <v>1998</v>
      </c>
      <c r="E5040" s="1"/>
      <c r="F5040" s="1" t="s">
        <v>11</v>
      </c>
      <c r="G5040">
        <v>9075</v>
      </c>
      <c r="H5040">
        <v>9075</v>
      </c>
      <c r="I5040" s="2"/>
      <c r="J5040" s="2">
        <v>45779</v>
      </c>
      <c r="K5040" s="2">
        <v>45789</v>
      </c>
    </row>
    <row r="5041" spans="1:11" x14ac:dyDescent="0.25">
      <c r="A5041" s="1" t="s">
        <v>837</v>
      </c>
      <c r="B5041" s="1" t="s">
        <v>1047</v>
      </c>
      <c r="C5041" s="1" t="s">
        <v>2056</v>
      </c>
      <c r="D5041" s="1" t="s">
        <v>1998</v>
      </c>
      <c r="E5041" s="1"/>
      <c r="F5041" s="1" t="s">
        <v>11</v>
      </c>
      <c r="G5041">
        <v>15</v>
      </c>
      <c r="H5041">
        <v>15</v>
      </c>
      <c r="I5041" s="2"/>
      <c r="J5041" s="2">
        <v>45779</v>
      </c>
      <c r="K5041" s="2">
        <v>45789</v>
      </c>
    </row>
    <row r="5042" spans="1:11" x14ac:dyDescent="0.25">
      <c r="A5042" s="1" t="s">
        <v>837</v>
      </c>
      <c r="B5042" s="1" t="s">
        <v>1284</v>
      </c>
      <c r="C5042" s="1" t="s">
        <v>2261</v>
      </c>
      <c r="D5042" s="1" t="s">
        <v>1998</v>
      </c>
      <c r="E5042" s="1"/>
      <c r="F5042" s="1" t="s">
        <v>11</v>
      </c>
      <c r="G5042">
        <v>130</v>
      </c>
      <c r="H5042">
        <v>130</v>
      </c>
      <c r="I5042" s="2"/>
      <c r="J5042" s="2">
        <v>45779</v>
      </c>
      <c r="K5042" s="2">
        <v>45789</v>
      </c>
    </row>
    <row r="5043" spans="1:11" x14ac:dyDescent="0.25">
      <c r="A5043" s="1" t="s">
        <v>837</v>
      </c>
      <c r="B5043" s="1" t="s">
        <v>1285</v>
      </c>
      <c r="C5043" s="1" t="s">
        <v>2262</v>
      </c>
      <c r="D5043" s="1" t="s">
        <v>1998</v>
      </c>
      <c r="E5043" s="1"/>
      <c r="F5043" s="1" t="s">
        <v>11</v>
      </c>
      <c r="G5043">
        <v>55</v>
      </c>
      <c r="H5043">
        <v>55</v>
      </c>
      <c r="I5043" s="2"/>
      <c r="J5043" s="2">
        <v>45779</v>
      </c>
      <c r="K5043" s="2">
        <v>45789</v>
      </c>
    </row>
    <row r="5044" spans="1:11" x14ac:dyDescent="0.25">
      <c r="A5044" s="1" t="s">
        <v>837</v>
      </c>
      <c r="B5044" s="1" t="s">
        <v>1286</v>
      </c>
      <c r="C5044" s="1" t="s">
        <v>2263</v>
      </c>
      <c r="D5044" s="1" t="s">
        <v>1998</v>
      </c>
      <c r="E5044" s="1"/>
      <c r="F5044" s="1" t="s">
        <v>11</v>
      </c>
      <c r="G5044">
        <v>25</v>
      </c>
      <c r="H5044">
        <v>25</v>
      </c>
      <c r="I5044" s="2"/>
      <c r="J5044" s="2">
        <v>45779</v>
      </c>
      <c r="K5044" s="2">
        <v>45789</v>
      </c>
    </row>
    <row r="5045" spans="1:11" x14ac:dyDescent="0.25">
      <c r="A5045" s="1" t="s">
        <v>837</v>
      </c>
      <c r="B5045" s="1" t="s">
        <v>1287</v>
      </c>
      <c r="C5045" s="1" t="s">
        <v>2264</v>
      </c>
      <c r="D5045" s="1" t="s">
        <v>1998</v>
      </c>
      <c r="E5045" s="1"/>
      <c r="F5045" s="1" t="s">
        <v>11</v>
      </c>
      <c r="G5045">
        <v>1</v>
      </c>
      <c r="H5045">
        <v>1</v>
      </c>
      <c r="I5045" s="2"/>
      <c r="J5045" s="2">
        <v>45779</v>
      </c>
      <c r="K5045" s="2">
        <v>45789</v>
      </c>
    </row>
    <row r="5046" spans="1:11" x14ac:dyDescent="0.25">
      <c r="A5046" s="1" t="s">
        <v>837</v>
      </c>
      <c r="B5046" s="1" t="s">
        <v>1096</v>
      </c>
      <c r="C5046" s="1" t="s">
        <v>2067</v>
      </c>
      <c r="D5046" s="1" t="s">
        <v>1998</v>
      </c>
      <c r="E5046" s="1"/>
      <c r="F5046" s="1" t="s">
        <v>11</v>
      </c>
      <c r="G5046">
        <v>3090</v>
      </c>
      <c r="H5046">
        <v>3090</v>
      </c>
      <c r="I5046" s="2"/>
      <c r="J5046" s="2">
        <v>45779</v>
      </c>
      <c r="K5046" s="2">
        <v>45789</v>
      </c>
    </row>
    <row r="5047" spans="1:11" x14ac:dyDescent="0.25">
      <c r="A5047" s="1" t="s">
        <v>838</v>
      </c>
      <c r="B5047" s="1" t="s">
        <v>1281</v>
      </c>
      <c r="C5047" s="1" t="s">
        <v>2258</v>
      </c>
      <c r="D5047" s="1" t="s">
        <v>1998</v>
      </c>
      <c r="E5047" s="1"/>
      <c r="F5047" s="1" t="s">
        <v>11</v>
      </c>
      <c r="G5047">
        <v>10</v>
      </c>
      <c r="H5047">
        <v>10</v>
      </c>
      <c r="I5047" s="2"/>
      <c r="J5047" s="2">
        <v>45779</v>
      </c>
      <c r="K5047" s="2">
        <v>45785</v>
      </c>
    </row>
    <row r="5048" spans="1:11" x14ac:dyDescent="0.25">
      <c r="A5048" s="1" t="s">
        <v>838</v>
      </c>
      <c r="B5048" s="1" t="s">
        <v>1282</v>
      </c>
      <c r="C5048" s="1" t="s">
        <v>2259</v>
      </c>
      <c r="D5048" s="1" t="s">
        <v>1998</v>
      </c>
      <c r="E5048" s="1"/>
      <c r="F5048" s="1" t="s">
        <v>11</v>
      </c>
      <c r="G5048">
        <v>45</v>
      </c>
      <c r="H5048">
        <v>45</v>
      </c>
      <c r="I5048" s="2"/>
      <c r="J5048" s="2">
        <v>45779</v>
      </c>
      <c r="K5048" s="2">
        <v>45785</v>
      </c>
    </row>
    <row r="5049" spans="1:11" x14ac:dyDescent="0.25">
      <c r="A5049" s="1" t="s">
        <v>838</v>
      </c>
      <c r="B5049" s="1" t="s">
        <v>1283</v>
      </c>
      <c r="C5049" s="1" t="s">
        <v>2260</v>
      </c>
      <c r="D5049" s="1" t="s">
        <v>1998</v>
      </c>
      <c r="E5049" s="1"/>
      <c r="F5049" s="1" t="s">
        <v>11</v>
      </c>
      <c r="G5049">
        <v>9075</v>
      </c>
      <c r="H5049">
        <v>9075</v>
      </c>
      <c r="I5049" s="2"/>
      <c r="J5049" s="2">
        <v>45779</v>
      </c>
      <c r="K5049" s="2">
        <v>45785</v>
      </c>
    </row>
    <row r="5050" spans="1:11" x14ac:dyDescent="0.25">
      <c r="A5050" s="1" t="s">
        <v>838</v>
      </c>
      <c r="B5050" s="1" t="s">
        <v>1047</v>
      </c>
      <c r="C5050" s="1" t="s">
        <v>2056</v>
      </c>
      <c r="D5050" s="1" t="s">
        <v>1998</v>
      </c>
      <c r="E5050" s="1"/>
      <c r="F5050" s="1" t="s">
        <v>11</v>
      </c>
      <c r="G5050">
        <v>15</v>
      </c>
      <c r="H5050">
        <v>15</v>
      </c>
      <c r="I5050" s="2"/>
      <c r="J5050" s="2">
        <v>45779</v>
      </c>
      <c r="K5050" s="2">
        <v>45785</v>
      </c>
    </row>
    <row r="5051" spans="1:11" x14ac:dyDescent="0.25">
      <c r="A5051" s="1" t="s">
        <v>838</v>
      </c>
      <c r="B5051" s="1" t="s">
        <v>1284</v>
      </c>
      <c r="C5051" s="1" t="s">
        <v>2261</v>
      </c>
      <c r="D5051" s="1" t="s">
        <v>1998</v>
      </c>
      <c r="E5051" s="1"/>
      <c r="F5051" s="1" t="s">
        <v>11</v>
      </c>
      <c r="G5051">
        <v>130</v>
      </c>
      <c r="H5051">
        <v>130</v>
      </c>
      <c r="I5051" s="2"/>
      <c r="J5051" s="2">
        <v>45779</v>
      </c>
      <c r="K5051" s="2">
        <v>45785</v>
      </c>
    </row>
    <row r="5052" spans="1:11" x14ac:dyDescent="0.25">
      <c r="A5052" s="1" t="s">
        <v>838</v>
      </c>
      <c r="B5052" s="1" t="s">
        <v>1285</v>
      </c>
      <c r="C5052" s="1" t="s">
        <v>2262</v>
      </c>
      <c r="D5052" s="1" t="s">
        <v>1998</v>
      </c>
      <c r="E5052" s="1"/>
      <c r="F5052" s="1" t="s">
        <v>11</v>
      </c>
      <c r="G5052">
        <v>55</v>
      </c>
      <c r="H5052">
        <v>55</v>
      </c>
      <c r="I5052" s="2"/>
      <c r="J5052" s="2">
        <v>45779</v>
      </c>
      <c r="K5052" s="2">
        <v>45785</v>
      </c>
    </row>
    <row r="5053" spans="1:11" x14ac:dyDescent="0.25">
      <c r="A5053" s="1" t="s">
        <v>838</v>
      </c>
      <c r="B5053" s="1" t="s">
        <v>1286</v>
      </c>
      <c r="C5053" s="1" t="s">
        <v>2263</v>
      </c>
      <c r="D5053" s="1" t="s">
        <v>1998</v>
      </c>
      <c r="E5053" s="1"/>
      <c r="F5053" s="1" t="s">
        <v>11</v>
      </c>
      <c r="G5053">
        <v>25</v>
      </c>
      <c r="H5053">
        <v>25</v>
      </c>
      <c r="I5053" s="2"/>
      <c r="J5053" s="2">
        <v>45779</v>
      </c>
      <c r="K5053" s="2">
        <v>45785</v>
      </c>
    </row>
    <row r="5054" spans="1:11" x14ac:dyDescent="0.25">
      <c r="A5054" s="1" t="s">
        <v>838</v>
      </c>
      <c r="B5054" s="1" t="s">
        <v>1287</v>
      </c>
      <c r="C5054" s="1" t="s">
        <v>2264</v>
      </c>
      <c r="D5054" s="1" t="s">
        <v>1998</v>
      </c>
      <c r="E5054" s="1"/>
      <c r="F5054" s="1" t="s">
        <v>11</v>
      </c>
      <c r="G5054">
        <v>1</v>
      </c>
      <c r="H5054">
        <v>1</v>
      </c>
      <c r="I5054" s="2"/>
      <c r="J5054" s="2">
        <v>45779</v>
      </c>
      <c r="K5054" s="2">
        <v>45785</v>
      </c>
    </row>
    <row r="5055" spans="1:11" x14ac:dyDescent="0.25">
      <c r="A5055" s="1" t="s">
        <v>838</v>
      </c>
      <c r="B5055" s="1" t="s">
        <v>1096</v>
      </c>
      <c r="C5055" s="1" t="s">
        <v>2067</v>
      </c>
      <c r="D5055" s="1" t="s">
        <v>1998</v>
      </c>
      <c r="E5055" s="1"/>
      <c r="F5055" s="1" t="s">
        <v>11</v>
      </c>
      <c r="G5055">
        <v>3090</v>
      </c>
      <c r="H5055">
        <v>3090</v>
      </c>
      <c r="I5055" s="2"/>
      <c r="J5055" s="2">
        <v>45779</v>
      </c>
      <c r="K5055" s="2">
        <v>45785</v>
      </c>
    </row>
    <row r="5056" spans="1:11" x14ac:dyDescent="0.25">
      <c r="A5056" s="1" t="s">
        <v>839</v>
      </c>
      <c r="B5056" s="1" t="s">
        <v>1281</v>
      </c>
      <c r="C5056" s="1" t="s">
        <v>2258</v>
      </c>
      <c r="D5056" s="1" t="s">
        <v>1998</v>
      </c>
      <c r="E5056" s="1"/>
      <c r="F5056" s="1" t="s">
        <v>11</v>
      </c>
      <c r="G5056">
        <v>10</v>
      </c>
      <c r="H5056">
        <v>10</v>
      </c>
      <c r="I5056" s="2"/>
      <c r="J5056" s="2">
        <v>45779</v>
      </c>
      <c r="K5056" s="2">
        <v>45785</v>
      </c>
    </row>
    <row r="5057" spans="1:11" x14ac:dyDescent="0.25">
      <c r="A5057" s="1" t="s">
        <v>839</v>
      </c>
      <c r="B5057" s="1" t="s">
        <v>1282</v>
      </c>
      <c r="C5057" s="1" t="s">
        <v>2259</v>
      </c>
      <c r="D5057" s="1" t="s">
        <v>1998</v>
      </c>
      <c r="E5057" s="1"/>
      <c r="F5057" s="1" t="s">
        <v>11</v>
      </c>
      <c r="G5057">
        <v>45</v>
      </c>
      <c r="H5057">
        <v>45</v>
      </c>
      <c r="I5057" s="2"/>
      <c r="J5057" s="2">
        <v>45779</v>
      </c>
      <c r="K5057" s="2">
        <v>45785</v>
      </c>
    </row>
    <row r="5058" spans="1:11" x14ac:dyDescent="0.25">
      <c r="A5058" s="1" t="s">
        <v>839</v>
      </c>
      <c r="B5058" s="1" t="s">
        <v>1283</v>
      </c>
      <c r="C5058" s="1" t="s">
        <v>2260</v>
      </c>
      <c r="D5058" s="1" t="s">
        <v>1998</v>
      </c>
      <c r="E5058" s="1"/>
      <c r="F5058" s="1" t="s">
        <v>11</v>
      </c>
      <c r="G5058">
        <v>9075</v>
      </c>
      <c r="H5058">
        <v>9075</v>
      </c>
      <c r="I5058" s="2"/>
      <c r="J5058" s="2">
        <v>45779</v>
      </c>
      <c r="K5058" s="2">
        <v>45785</v>
      </c>
    </row>
    <row r="5059" spans="1:11" x14ac:dyDescent="0.25">
      <c r="A5059" s="1" t="s">
        <v>839</v>
      </c>
      <c r="B5059" s="1" t="s">
        <v>1047</v>
      </c>
      <c r="C5059" s="1" t="s">
        <v>2056</v>
      </c>
      <c r="D5059" s="1" t="s">
        <v>1998</v>
      </c>
      <c r="E5059" s="1"/>
      <c r="F5059" s="1" t="s">
        <v>11</v>
      </c>
      <c r="G5059">
        <v>15</v>
      </c>
      <c r="H5059">
        <v>15</v>
      </c>
      <c r="I5059" s="2"/>
      <c r="J5059" s="2">
        <v>45779</v>
      </c>
      <c r="K5059" s="2">
        <v>45785</v>
      </c>
    </row>
    <row r="5060" spans="1:11" x14ac:dyDescent="0.25">
      <c r="A5060" s="1" t="s">
        <v>839</v>
      </c>
      <c r="B5060" s="1" t="s">
        <v>1284</v>
      </c>
      <c r="C5060" s="1" t="s">
        <v>2261</v>
      </c>
      <c r="D5060" s="1" t="s">
        <v>1998</v>
      </c>
      <c r="E5060" s="1"/>
      <c r="F5060" s="1" t="s">
        <v>11</v>
      </c>
      <c r="G5060">
        <v>130</v>
      </c>
      <c r="H5060">
        <v>130</v>
      </c>
      <c r="I5060" s="2"/>
      <c r="J5060" s="2">
        <v>45779</v>
      </c>
      <c r="K5060" s="2">
        <v>45785</v>
      </c>
    </row>
    <row r="5061" spans="1:11" x14ac:dyDescent="0.25">
      <c r="A5061" s="1" t="s">
        <v>839</v>
      </c>
      <c r="B5061" s="1" t="s">
        <v>1285</v>
      </c>
      <c r="C5061" s="1" t="s">
        <v>2262</v>
      </c>
      <c r="D5061" s="1" t="s">
        <v>1998</v>
      </c>
      <c r="E5061" s="1"/>
      <c r="F5061" s="1" t="s">
        <v>11</v>
      </c>
      <c r="G5061">
        <v>55</v>
      </c>
      <c r="H5061">
        <v>55</v>
      </c>
      <c r="I5061" s="2"/>
      <c r="J5061" s="2">
        <v>45779</v>
      </c>
      <c r="K5061" s="2">
        <v>45785</v>
      </c>
    </row>
    <row r="5062" spans="1:11" x14ac:dyDescent="0.25">
      <c r="A5062" s="1" t="s">
        <v>839</v>
      </c>
      <c r="B5062" s="1" t="s">
        <v>1286</v>
      </c>
      <c r="C5062" s="1" t="s">
        <v>2263</v>
      </c>
      <c r="D5062" s="1" t="s">
        <v>1998</v>
      </c>
      <c r="E5062" s="1"/>
      <c r="F5062" s="1" t="s">
        <v>11</v>
      </c>
      <c r="G5062">
        <v>25</v>
      </c>
      <c r="H5062">
        <v>25</v>
      </c>
      <c r="I5062" s="2"/>
      <c r="J5062" s="2">
        <v>45779</v>
      </c>
      <c r="K5062" s="2">
        <v>45785</v>
      </c>
    </row>
    <row r="5063" spans="1:11" x14ac:dyDescent="0.25">
      <c r="A5063" s="1" t="s">
        <v>839</v>
      </c>
      <c r="B5063" s="1" t="s">
        <v>1287</v>
      </c>
      <c r="C5063" s="1" t="s">
        <v>2264</v>
      </c>
      <c r="D5063" s="1" t="s">
        <v>1998</v>
      </c>
      <c r="E5063" s="1"/>
      <c r="F5063" s="1" t="s">
        <v>11</v>
      </c>
      <c r="G5063">
        <v>1</v>
      </c>
      <c r="H5063">
        <v>1</v>
      </c>
      <c r="I5063" s="2"/>
      <c r="J5063" s="2">
        <v>45779</v>
      </c>
      <c r="K5063" s="2">
        <v>45785</v>
      </c>
    </row>
    <row r="5064" spans="1:11" x14ac:dyDescent="0.25">
      <c r="A5064" s="1" t="s">
        <v>839</v>
      </c>
      <c r="B5064" s="1" t="s">
        <v>1096</v>
      </c>
      <c r="C5064" s="1" t="s">
        <v>2067</v>
      </c>
      <c r="D5064" s="1" t="s">
        <v>1998</v>
      </c>
      <c r="E5064" s="1"/>
      <c r="F5064" s="1" t="s">
        <v>11</v>
      </c>
      <c r="G5064">
        <v>3090</v>
      </c>
      <c r="H5064">
        <v>3090</v>
      </c>
      <c r="I5064" s="2"/>
      <c r="J5064" s="2">
        <v>45779</v>
      </c>
      <c r="K5064" s="2">
        <v>45785</v>
      </c>
    </row>
    <row r="5065" spans="1:11" x14ac:dyDescent="0.25">
      <c r="A5065" s="1" t="s">
        <v>840</v>
      </c>
      <c r="B5065" s="1" t="s">
        <v>1281</v>
      </c>
      <c r="C5065" s="1" t="s">
        <v>2258</v>
      </c>
      <c r="D5065" s="1" t="s">
        <v>1998</v>
      </c>
      <c r="E5065" s="1"/>
      <c r="F5065" s="1" t="s">
        <v>11</v>
      </c>
      <c r="G5065">
        <v>10</v>
      </c>
      <c r="H5065">
        <v>10</v>
      </c>
      <c r="I5065" s="2"/>
      <c r="J5065" s="2">
        <v>45779</v>
      </c>
      <c r="K5065" s="2">
        <v>45782</v>
      </c>
    </row>
    <row r="5066" spans="1:11" x14ac:dyDescent="0.25">
      <c r="A5066" s="1" t="s">
        <v>840</v>
      </c>
      <c r="B5066" s="1" t="s">
        <v>1282</v>
      </c>
      <c r="C5066" s="1" t="s">
        <v>2259</v>
      </c>
      <c r="D5066" s="1" t="s">
        <v>1998</v>
      </c>
      <c r="E5066" s="1"/>
      <c r="F5066" s="1" t="s">
        <v>11</v>
      </c>
      <c r="G5066">
        <v>45</v>
      </c>
      <c r="H5066">
        <v>45</v>
      </c>
      <c r="I5066" s="2"/>
      <c r="J5066" s="2">
        <v>45779</v>
      </c>
      <c r="K5066" s="2">
        <v>45782</v>
      </c>
    </row>
    <row r="5067" spans="1:11" x14ac:dyDescent="0.25">
      <c r="A5067" s="1" t="s">
        <v>840</v>
      </c>
      <c r="B5067" s="1" t="s">
        <v>1283</v>
      </c>
      <c r="C5067" s="1" t="s">
        <v>2260</v>
      </c>
      <c r="D5067" s="1" t="s">
        <v>1998</v>
      </c>
      <c r="E5067" s="1"/>
      <c r="F5067" s="1" t="s">
        <v>11</v>
      </c>
      <c r="G5067">
        <v>9075</v>
      </c>
      <c r="H5067">
        <v>9075</v>
      </c>
      <c r="I5067" s="2"/>
      <c r="J5067" s="2">
        <v>45779</v>
      </c>
      <c r="K5067" s="2">
        <v>45782</v>
      </c>
    </row>
    <row r="5068" spans="1:11" x14ac:dyDescent="0.25">
      <c r="A5068" s="1" t="s">
        <v>840</v>
      </c>
      <c r="B5068" s="1" t="s">
        <v>1047</v>
      </c>
      <c r="C5068" s="1" t="s">
        <v>2056</v>
      </c>
      <c r="D5068" s="1" t="s">
        <v>1998</v>
      </c>
      <c r="E5068" s="1"/>
      <c r="F5068" s="1" t="s">
        <v>11</v>
      </c>
      <c r="G5068">
        <v>15</v>
      </c>
      <c r="H5068">
        <v>15</v>
      </c>
      <c r="I5068" s="2"/>
      <c r="J5068" s="2">
        <v>45779</v>
      </c>
      <c r="K5068" s="2">
        <v>45782</v>
      </c>
    </row>
    <row r="5069" spans="1:11" x14ac:dyDescent="0.25">
      <c r="A5069" s="1" t="s">
        <v>840</v>
      </c>
      <c r="B5069" s="1" t="s">
        <v>1284</v>
      </c>
      <c r="C5069" s="1" t="s">
        <v>2261</v>
      </c>
      <c r="D5069" s="1" t="s">
        <v>1998</v>
      </c>
      <c r="E5069" s="1"/>
      <c r="F5069" s="1" t="s">
        <v>11</v>
      </c>
      <c r="G5069">
        <v>130</v>
      </c>
      <c r="H5069">
        <v>130</v>
      </c>
      <c r="I5069" s="2"/>
      <c r="J5069" s="2">
        <v>45779</v>
      </c>
      <c r="K5069" s="2">
        <v>45782</v>
      </c>
    </row>
    <row r="5070" spans="1:11" x14ac:dyDescent="0.25">
      <c r="A5070" s="1" t="s">
        <v>840</v>
      </c>
      <c r="B5070" s="1" t="s">
        <v>1285</v>
      </c>
      <c r="C5070" s="1" t="s">
        <v>2262</v>
      </c>
      <c r="D5070" s="1" t="s">
        <v>1998</v>
      </c>
      <c r="E5070" s="1"/>
      <c r="F5070" s="1" t="s">
        <v>11</v>
      </c>
      <c r="G5070">
        <v>55</v>
      </c>
      <c r="H5070">
        <v>55</v>
      </c>
      <c r="I5070" s="2"/>
      <c r="J5070" s="2">
        <v>45779</v>
      </c>
      <c r="K5070" s="2">
        <v>45782</v>
      </c>
    </row>
    <row r="5071" spans="1:11" x14ac:dyDescent="0.25">
      <c r="A5071" s="1" t="s">
        <v>840</v>
      </c>
      <c r="B5071" s="1" t="s">
        <v>1286</v>
      </c>
      <c r="C5071" s="1" t="s">
        <v>2263</v>
      </c>
      <c r="D5071" s="1" t="s">
        <v>1998</v>
      </c>
      <c r="E5071" s="1"/>
      <c r="F5071" s="1" t="s">
        <v>11</v>
      </c>
      <c r="G5071">
        <v>25</v>
      </c>
      <c r="H5071">
        <v>1</v>
      </c>
      <c r="I5071" s="2"/>
      <c r="J5071" s="2">
        <v>45779</v>
      </c>
      <c r="K5071" s="2">
        <v>45782</v>
      </c>
    </row>
    <row r="5072" spans="1:11" x14ac:dyDescent="0.25">
      <c r="A5072" s="1" t="s">
        <v>840</v>
      </c>
      <c r="B5072" s="1" t="s">
        <v>1287</v>
      </c>
      <c r="C5072" s="1" t="s">
        <v>2264</v>
      </c>
      <c r="D5072" s="1" t="s">
        <v>1998</v>
      </c>
      <c r="E5072" s="1"/>
      <c r="F5072" s="1" t="s">
        <v>11</v>
      </c>
      <c r="G5072">
        <v>1</v>
      </c>
      <c r="H5072">
        <v>1</v>
      </c>
      <c r="I5072" s="2"/>
      <c r="J5072" s="2">
        <v>45779</v>
      </c>
      <c r="K5072" s="2">
        <v>45782</v>
      </c>
    </row>
    <row r="5073" spans="1:11" x14ac:dyDescent="0.25">
      <c r="A5073" s="1" t="s">
        <v>840</v>
      </c>
      <c r="B5073" s="1" t="s">
        <v>1096</v>
      </c>
      <c r="C5073" s="1" t="s">
        <v>2067</v>
      </c>
      <c r="D5073" s="1" t="s">
        <v>1998</v>
      </c>
      <c r="E5073" s="1"/>
      <c r="F5073" s="1" t="s">
        <v>11</v>
      </c>
      <c r="G5073">
        <v>3090</v>
      </c>
      <c r="H5073">
        <v>3090</v>
      </c>
      <c r="I5073" s="2"/>
      <c r="J5073" s="2">
        <v>45779</v>
      </c>
      <c r="K5073" s="2">
        <v>45782</v>
      </c>
    </row>
    <row r="5074" spans="1:11" x14ac:dyDescent="0.25">
      <c r="A5074" s="1" t="s">
        <v>841</v>
      </c>
      <c r="B5074" s="1" t="s">
        <v>1281</v>
      </c>
      <c r="C5074" s="1" t="s">
        <v>2258</v>
      </c>
      <c r="D5074" s="1" t="s">
        <v>1998</v>
      </c>
      <c r="E5074" s="1"/>
      <c r="F5074" s="1" t="s">
        <v>11</v>
      </c>
      <c r="G5074">
        <v>10</v>
      </c>
      <c r="H5074">
        <v>1</v>
      </c>
      <c r="I5074" s="2"/>
      <c r="J5074" s="2">
        <v>45779</v>
      </c>
      <c r="K5074" s="2">
        <v>45782</v>
      </c>
    </row>
    <row r="5075" spans="1:11" x14ac:dyDescent="0.25">
      <c r="A5075" s="1" t="s">
        <v>841</v>
      </c>
      <c r="B5075" s="1" t="s">
        <v>1282</v>
      </c>
      <c r="C5075" s="1" t="s">
        <v>2259</v>
      </c>
      <c r="D5075" s="1" t="s">
        <v>1998</v>
      </c>
      <c r="E5075" s="1"/>
      <c r="F5075" s="1" t="s">
        <v>11</v>
      </c>
      <c r="G5075">
        <v>45</v>
      </c>
      <c r="H5075">
        <v>1</v>
      </c>
      <c r="I5075" s="2"/>
      <c r="J5075" s="2">
        <v>45779</v>
      </c>
      <c r="K5075" s="2">
        <v>45782</v>
      </c>
    </row>
    <row r="5076" spans="1:11" x14ac:dyDescent="0.25">
      <c r="A5076" s="1" t="s">
        <v>841</v>
      </c>
      <c r="B5076" s="1" t="s">
        <v>1283</v>
      </c>
      <c r="C5076" s="1" t="s">
        <v>2260</v>
      </c>
      <c r="D5076" s="1" t="s">
        <v>1998</v>
      </c>
      <c r="E5076" s="1"/>
      <c r="F5076" s="1" t="s">
        <v>11</v>
      </c>
      <c r="G5076">
        <v>9075</v>
      </c>
      <c r="H5076">
        <v>1</v>
      </c>
      <c r="I5076" s="2"/>
      <c r="J5076" s="2">
        <v>45779</v>
      </c>
      <c r="K5076" s="2">
        <v>45782</v>
      </c>
    </row>
    <row r="5077" spans="1:11" x14ac:dyDescent="0.25">
      <c r="A5077" s="1" t="s">
        <v>841</v>
      </c>
      <c r="B5077" s="1" t="s">
        <v>1047</v>
      </c>
      <c r="C5077" s="1" t="s">
        <v>2056</v>
      </c>
      <c r="D5077" s="1" t="s">
        <v>1998</v>
      </c>
      <c r="E5077" s="1"/>
      <c r="F5077" s="1" t="s">
        <v>11</v>
      </c>
      <c r="G5077">
        <v>15</v>
      </c>
      <c r="H5077">
        <v>1</v>
      </c>
      <c r="I5077" s="2"/>
      <c r="J5077" s="2">
        <v>45779</v>
      </c>
      <c r="K5077" s="2">
        <v>45782</v>
      </c>
    </row>
    <row r="5078" spans="1:11" x14ac:dyDescent="0.25">
      <c r="A5078" s="1" t="s">
        <v>841</v>
      </c>
      <c r="B5078" s="1" t="s">
        <v>1284</v>
      </c>
      <c r="C5078" s="1" t="s">
        <v>2261</v>
      </c>
      <c r="D5078" s="1" t="s">
        <v>1998</v>
      </c>
      <c r="E5078" s="1"/>
      <c r="F5078" s="1" t="s">
        <v>11</v>
      </c>
      <c r="G5078">
        <v>130</v>
      </c>
      <c r="H5078">
        <v>130</v>
      </c>
      <c r="I5078" s="2"/>
      <c r="J5078" s="2">
        <v>45779</v>
      </c>
      <c r="K5078" s="2">
        <v>45782</v>
      </c>
    </row>
    <row r="5079" spans="1:11" x14ac:dyDescent="0.25">
      <c r="A5079" s="1" t="s">
        <v>841</v>
      </c>
      <c r="B5079" s="1" t="s">
        <v>1285</v>
      </c>
      <c r="C5079" s="1" t="s">
        <v>2262</v>
      </c>
      <c r="D5079" s="1" t="s">
        <v>1998</v>
      </c>
      <c r="E5079" s="1"/>
      <c r="F5079" s="1" t="s">
        <v>11</v>
      </c>
      <c r="G5079">
        <v>55</v>
      </c>
      <c r="H5079">
        <v>55</v>
      </c>
      <c r="I5079" s="2"/>
      <c r="J5079" s="2">
        <v>45779</v>
      </c>
      <c r="K5079" s="2">
        <v>45782</v>
      </c>
    </row>
    <row r="5080" spans="1:11" x14ac:dyDescent="0.25">
      <c r="A5080" s="1" t="s">
        <v>841</v>
      </c>
      <c r="B5080" s="1" t="s">
        <v>1286</v>
      </c>
      <c r="C5080" s="1" t="s">
        <v>2263</v>
      </c>
      <c r="D5080" s="1" t="s">
        <v>1998</v>
      </c>
      <c r="E5080" s="1"/>
      <c r="F5080" s="1" t="s">
        <v>11</v>
      </c>
      <c r="G5080">
        <v>25</v>
      </c>
      <c r="H5080">
        <v>1</v>
      </c>
      <c r="I5080" s="2"/>
      <c r="J5080" s="2">
        <v>45779</v>
      </c>
      <c r="K5080" s="2">
        <v>45782</v>
      </c>
    </row>
    <row r="5081" spans="1:11" x14ac:dyDescent="0.25">
      <c r="A5081" s="1" t="s">
        <v>841</v>
      </c>
      <c r="B5081" s="1" t="s">
        <v>1287</v>
      </c>
      <c r="C5081" s="1" t="s">
        <v>2264</v>
      </c>
      <c r="D5081" s="1" t="s">
        <v>1998</v>
      </c>
      <c r="E5081" s="1"/>
      <c r="F5081" s="1" t="s">
        <v>11</v>
      </c>
      <c r="G5081">
        <v>1</v>
      </c>
      <c r="H5081">
        <v>1</v>
      </c>
      <c r="I5081" s="2"/>
      <c r="J5081" s="2">
        <v>45779</v>
      </c>
      <c r="K5081" s="2">
        <v>45782</v>
      </c>
    </row>
    <row r="5082" spans="1:11" x14ac:dyDescent="0.25">
      <c r="A5082" s="1" t="s">
        <v>841</v>
      </c>
      <c r="B5082" s="1" t="s">
        <v>1096</v>
      </c>
      <c r="C5082" s="1" t="s">
        <v>2067</v>
      </c>
      <c r="D5082" s="1" t="s">
        <v>1998</v>
      </c>
      <c r="E5082" s="1"/>
      <c r="F5082" s="1" t="s">
        <v>11</v>
      </c>
      <c r="G5082">
        <v>3090</v>
      </c>
      <c r="H5082">
        <v>1</v>
      </c>
      <c r="I5082" s="2"/>
      <c r="J5082" s="2">
        <v>45779</v>
      </c>
      <c r="K5082" s="2">
        <v>45782</v>
      </c>
    </row>
    <row r="5083" spans="1:11" x14ac:dyDescent="0.25">
      <c r="A5083" s="1" t="s">
        <v>842</v>
      </c>
      <c r="B5083" s="1" t="s">
        <v>1444</v>
      </c>
      <c r="C5083" s="1" t="s">
        <v>2383</v>
      </c>
      <c r="D5083" s="1" t="s">
        <v>1998</v>
      </c>
      <c r="E5083" s="1"/>
      <c r="F5083" s="1" t="s">
        <v>11</v>
      </c>
      <c r="G5083">
        <v>15</v>
      </c>
      <c r="H5083">
        <v>15</v>
      </c>
      <c r="I5083" s="2"/>
      <c r="J5083" s="2">
        <v>45779</v>
      </c>
      <c r="K5083" s="2">
        <v>45786</v>
      </c>
    </row>
    <row r="5084" spans="1:11" x14ac:dyDescent="0.25">
      <c r="A5084" s="1" t="s">
        <v>842</v>
      </c>
      <c r="B5084" s="1" t="s">
        <v>1445</v>
      </c>
      <c r="C5084" s="1" t="s">
        <v>2384</v>
      </c>
      <c r="D5084" s="1" t="s">
        <v>1998</v>
      </c>
      <c r="E5084" s="1"/>
      <c r="F5084" s="1" t="s">
        <v>11</v>
      </c>
      <c r="G5084">
        <v>45</v>
      </c>
      <c r="H5084">
        <v>45</v>
      </c>
      <c r="I5084" s="2"/>
      <c r="J5084" s="2">
        <v>45779</v>
      </c>
      <c r="K5084" s="2">
        <v>45786</v>
      </c>
    </row>
    <row r="5085" spans="1:11" x14ac:dyDescent="0.25">
      <c r="A5085" s="1" t="s">
        <v>842</v>
      </c>
      <c r="B5085" s="1" t="s">
        <v>1446</v>
      </c>
      <c r="C5085" s="1" t="s">
        <v>2385</v>
      </c>
      <c r="D5085" s="1" t="s">
        <v>1998</v>
      </c>
      <c r="E5085" s="1"/>
      <c r="F5085" s="1" t="s">
        <v>11</v>
      </c>
      <c r="G5085">
        <v>65</v>
      </c>
      <c r="H5085">
        <v>65</v>
      </c>
      <c r="I5085" s="2"/>
      <c r="J5085" s="2">
        <v>45779</v>
      </c>
      <c r="K5085" s="2">
        <v>45786</v>
      </c>
    </row>
    <row r="5086" spans="1:11" x14ac:dyDescent="0.25">
      <c r="A5086" s="1" t="s">
        <v>842</v>
      </c>
      <c r="B5086" s="1" t="s">
        <v>1447</v>
      </c>
      <c r="C5086" s="1" t="s">
        <v>2161</v>
      </c>
      <c r="D5086" s="1" t="s">
        <v>1998</v>
      </c>
      <c r="E5086" s="1"/>
      <c r="F5086" s="1" t="s">
        <v>11</v>
      </c>
      <c r="G5086">
        <v>7880</v>
      </c>
      <c r="H5086">
        <v>7880</v>
      </c>
      <c r="I5086" s="2"/>
      <c r="J5086" s="2">
        <v>45779</v>
      </c>
      <c r="K5086" s="2">
        <v>45786</v>
      </c>
    </row>
    <row r="5087" spans="1:11" x14ac:dyDescent="0.25">
      <c r="A5087" s="1" t="s">
        <v>842</v>
      </c>
      <c r="B5087" s="1" t="s">
        <v>1448</v>
      </c>
      <c r="C5087" s="1" t="s">
        <v>2386</v>
      </c>
      <c r="D5087" s="1" t="s">
        <v>1998</v>
      </c>
      <c r="E5087" s="1"/>
      <c r="F5087" s="1" t="s">
        <v>11</v>
      </c>
      <c r="G5087">
        <v>10130</v>
      </c>
      <c r="H5087">
        <v>10130</v>
      </c>
      <c r="I5087" s="2"/>
      <c r="J5087" s="2">
        <v>45779</v>
      </c>
      <c r="K5087" s="2">
        <v>45786</v>
      </c>
    </row>
    <row r="5088" spans="1:11" x14ac:dyDescent="0.25">
      <c r="A5088" s="1" t="s">
        <v>842</v>
      </c>
      <c r="B5088" s="1" t="s">
        <v>1449</v>
      </c>
      <c r="C5088" s="1" t="s">
        <v>2387</v>
      </c>
      <c r="D5088" s="1" t="s">
        <v>1998</v>
      </c>
      <c r="E5088" s="1"/>
      <c r="F5088" s="1" t="s">
        <v>11</v>
      </c>
      <c r="G5088">
        <v>90</v>
      </c>
      <c r="H5088">
        <v>105</v>
      </c>
      <c r="I5088" s="2"/>
      <c r="J5088" s="2">
        <v>45779</v>
      </c>
      <c r="K5088" s="2">
        <v>45786</v>
      </c>
    </row>
    <row r="5089" spans="1:11" x14ac:dyDescent="0.25">
      <c r="A5089" s="1" t="s">
        <v>842</v>
      </c>
      <c r="B5089" s="1" t="s">
        <v>1450</v>
      </c>
      <c r="C5089" s="1" t="s">
        <v>2388</v>
      </c>
      <c r="D5089" s="1" t="s">
        <v>1998</v>
      </c>
      <c r="E5089" s="1"/>
      <c r="F5089" s="1" t="s">
        <v>11</v>
      </c>
      <c r="G5089">
        <v>5</v>
      </c>
      <c r="H5089">
        <v>1</v>
      </c>
      <c r="I5089" s="2"/>
      <c r="J5089" s="2">
        <v>45779</v>
      </c>
      <c r="K5089" s="2">
        <v>45786</v>
      </c>
    </row>
    <row r="5090" spans="1:11" x14ac:dyDescent="0.25">
      <c r="A5090" s="1" t="s">
        <v>843</v>
      </c>
      <c r="B5090" s="1" t="s">
        <v>1444</v>
      </c>
      <c r="C5090" s="1" t="s">
        <v>2383</v>
      </c>
      <c r="D5090" s="1" t="s">
        <v>1998</v>
      </c>
      <c r="E5090" s="1"/>
      <c r="F5090" s="1" t="s">
        <v>11</v>
      </c>
      <c r="G5090">
        <v>10</v>
      </c>
      <c r="H5090">
        <v>10</v>
      </c>
      <c r="I5090" s="2"/>
      <c r="J5090" s="2">
        <v>45779</v>
      </c>
      <c r="K5090" s="2">
        <v>45785</v>
      </c>
    </row>
    <row r="5091" spans="1:11" x14ac:dyDescent="0.25">
      <c r="A5091" s="1" t="s">
        <v>843</v>
      </c>
      <c r="B5091" s="1" t="s">
        <v>1445</v>
      </c>
      <c r="C5091" s="1" t="s">
        <v>2384</v>
      </c>
      <c r="D5091" s="1" t="s">
        <v>1998</v>
      </c>
      <c r="E5091" s="1"/>
      <c r="F5091" s="1" t="s">
        <v>11</v>
      </c>
      <c r="G5091">
        <v>20</v>
      </c>
      <c r="H5091">
        <v>25</v>
      </c>
      <c r="I5091" s="2"/>
      <c r="J5091" s="2">
        <v>45779</v>
      </c>
      <c r="K5091" s="2">
        <v>45785</v>
      </c>
    </row>
    <row r="5092" spans="1:11" x14ac:dyDescent="0.25">
      <c r="A5092" s="1" t="s">
        <v>843</v>
      </c>
      <c r="B5092" s="1" t="s">
        <v>1446</v>
      </c>
      <c r="C5092" s="1" t="s">
        <v>2385</v>
      </c>
      <c r="D5092" s="1" t="s">
        <v>1998</v>
      </c>
      <c r="E5092" s="1"/>
      <c r="F5092" s="1" t="s">
        <v>11</v>
      </c>
      <c r="G5092">
        <v>30</v>
      </c>
      <c r="H5092">
        <v>35</v>
      </c>
      <c r="I5092" s="2"/>
      <c r="J5092" s="2">
        <v>45779</v>
      </c>
      <c r="K5092" s="2">
        <v>45785</v>
      </c>
    </row>
    <row r="5093" spans="1:11" x14ac:dyDescent="0.25">
      <c r="A5093" s="1" t="s">
        <v>843</v>
      </c>
      <c r="B5093" s="1" t="s">
        <v>1447</v>
      </c>
      <c r="C5093" s="1" t="s">
        <v>2161</v>
      </c>
      <c r="D5093" s="1" t="s">
        <v>1998</v>
      </c>
      <c r="E5093" s="1"/>
      <c r="F5093" s="1" t="s">
        <v>11</v>
      </c>
      <c r="G5093">
        <v>3835</v>
      </c>
      <c r="H5093">
        <v>4260</v>
      </c>
      <c r="I5093" s="2"/>
      <c r="J5093" s="2">
        <v>45779</v>
      </c>
      <c r="K5093" s="2">
        <v>45785</v>
      </c>
    </row>
    <row r="5094" spans="1:11" x14ac:dyDescent="0.25">
      <c r="A5094" s="1" t="s">
        <v>843</v>
      </c>
      <c r="B5094" s="1" t="s">
        <v>1448</v>
      </c>
      <c r="C5094" s="1" t="s">
        <v>2386</v>
      </c>
      <c r="D5094" s="1" t="s">
        <v>1998</v>
      </c>
      <c r="E5094" s="1"/>
      <c r="F5094" s="1" t="s">
        <v>11</v>
      </c>
      <c r="G5094">
        <v>4930</v>
      </c>
      <c r="H5094">
        <v>5475</v>
      </c>
      <c r="I5094" s="2"/>
      <c r="J5094" s="2">
        <v>45779</v>
      </c>
      <c r="K5094" s="2">
        <v>45785</v>
      </c>
    </row>
    <row r="5095" spans="1:11" x14ac:dyDescent="0.25">
      <c r="A5095" s="1" t="s">
        <v>843</v>
      </c>
      <c r="B5095" s="1" t="s">
        <v>1449</v>
      </c>
      <c r="C5095" s="1" t="s">
        <v>2387</v>
      </c>
      <c r="D5095" s="1" t="s">
        <v>1998</v>
      </c>
      <c r="E5095" s="1"/>
      <c r="F5095" s="1" t="s">
        <v>11</v>
      </c>
      <c r="G5095">
        <v>45</v>
      </c>
      <c r="H5095">
        <v>45</v>
      </c>
      <c r="I5095" s="2"/>
      <c r="J5095" s="2">
        <v>45779</v>
      </c>
      <c r="K5095" s="2">
        <v>45785</v>
      </c>
    </row>
    <row r="5096" spans="1:11" x14ac:dyDescent="0.25">
      <c r="A5096" s="1" t="s">
        <v>843</v>
      </c>
      <c r="B5096" s="1" t="s">
        <v>1449</v>
      </c>
      <c r="C5096" s="1" t="s">
        <v>2387</v>
      </c>
      <c r="D5096" s="1" t="s">
        <v>1998</v>
      </c>
      <c r="E5096" s="1"/>
      <c r="F5096" s="1" t="s">
        <v>11</v>
      </c>
      <c r="G5096">
        <v>10</v>
      </c>
      <c r="H5096">
        <v>10</v>
      </c>
      <c r="I5096" s="2"/>
      <c r="J5096" s="2">
        <v>45779</v>
      </c>
      <c r="K5096" s="2">
        <v>45785</v>
      </c>
    </row>
    <row r="5097" spans="1:11" x14ac:dyDescent="0.25">
      <c r="A5097" s="1" t="s">
        <v>843</v>
      </c>
      <c r="B5097" s="1" t="s">
        <v>1450</v>
      </c>
      <c r="C5097" s="1" t="s">
        <v>2388</v>
      </c>
      <c r="D5097" s="1" t="s">
        <v>1998</v>
      </c>
      <c r="E5097" s="1"/>
      <c r="F5097" s="1" t="s">
        <v>11</v>
      </c>
      <c r="G5097">
        <v>1</v>
      </c>
      <c r="H5097">
        <v>1</v>
      </c>
      <c r="I5097" s="2"/>
      <c r="J5097" s="2">
        <v>45779</v>
      </c>
      <c r="K5097" s="2">
        <v>45785</v>
      </c>
    </row>
    <row r="5098" spans="1:11" x14ac:dyDescent="0.25">
      <c r="A5098" s="1" t="s">
        <v>844</v>
      </c>
      <c r="B5098" s="1" t="s">
        <v>1930</v>
      </c>
      <c r="C5098" s="1" t="s">
        <v>2764</v>
      </c>
      <c r="D5098" s="1" t="s">
        <v>1998</v>
      </c>
      <c r="E5098" s="1"/>
      <c r="F5098" s="1" t="s">
        <v>11</v>
      </c>
      <c r="G5098">
        <v>1</v>
      </c>
      <c r="H5098">
        <v>1</v>
      </c>
      <c r="I5098" s="2"/>
      <c r="J5098" s="2">
        <v>45782</v>
      </c>
      <c r="K5098" s="2">
        <v>45783</v>
      </c>
    </row>
    <row r="5099" spans="1:11" x14ac:dyDescent="0.25">
      <c r="A5099" s="1" t="s">
        <v>844</v>
      </c>
      <c r="B5099" s="1" t="s">
        <v>1931</v>
      </c>
      <c r="C5099" s="1" t="s">
        <v>2765</v>
      </c>
      <c r="D5099" s="1" t="s">
        <v>1998</v>
      </c>
      <c r="E5099" s="1"/>
      <c r="F5099" s="1" t="s">
        <v>11</v>
      </c>
      <c r="G5099">
        <v>335</v>
      </c>
      <c r="H5099">
        <v>1</v>
      </c>
      <c r="I5099" s="2"/>
      <c r="J5099" s="2">
        <v>45782</v>
      </c>
      <c r="K5099" s="2">
        <v>45783</v>
      </c>
    </row>
    <row r="5100" spans="1:11" x14ac:dyDescent="0.25">
      <c r="A5100" s="1" t="s">
        <v>845</v>
      </c>
      <c r="B5100" s="1" t="s">
        <v>1932</v>
      </c>
      <c r="C5100" s="1" t="s">
        <v>2346</v>
      </c>
      <c r="D5100" s="1" t="s">
        <v>1998</v>
      </c>
      <c r="E5100" s="1"/>
      <c r="F5100" s="1" t="s">
        <v>11</v>
      </c>
      <c r="G5100">
        <v>7970</v>
      </c>
      <c r="H5100">
        <v>7970</v>
      </c>
      <c r="I5100" s="2"/>
      <c r="J5100" s="2">
        <v>45779</v>
      </c>
      <c r="K5100" s="2">
        <v>45783</v>
      </c>
    </row>
    <row r="5101" spans="1:11" x14ac:dyDescent="0.25">
      <c r="A5101" s="1" t="s">
        <v>845</v>
      </c>
      <c r="B5101" s="1" t="s">
        <v>1932</v>
      </c>
      <c r="C5101" s="1" t="s">
        <v>2346</v>
      </c>
      <c r="D5101" s="1" t="s">
        <v>1998</v>
      </c>
      <c r="E5101" s="1"/>
      <c r="F5101" s="1" t="s">
        <v>11</v>
      </c>
      <c r="G5101">
        <v>110</v>
      </c>
      <c r="H5101">
        <v>110</v>
      </c>
      <c r="I5101" s="2"/>
      <c r="J5101" s="2">
        <v>45779</v>
      </c>
      <c r="K5101" s="2">
        <v>45783</v>
      </c>
    </row>
    <row r="5102" spans="1:11" x14ac:dyDescent="0.25">
      <c r="A5102" s="1" t="s">
        <v>845</v>
      </c>
      <c r="B5102" s="1" t="s">
        <v>1886</v>
      </c>
      <c r="C5102" s="1" t="s">
        <v>2124</v>
      </c>
      <c r="D5102" s="1" t="s">
        <v>1998</v>
      </c>
      <c r="E5102" s="1"/>
      <c r="F5102" s="1" t="s">
        <v>11</v>
      </c>
      <c r="G5102">
        <v>1750</v>
      </c>
      <c r="H5102">
        <v>1750</v>
      </c>
      <c r="I5102" s="2"/>
      <c r="J5102" s="2">
        <v>45779</v>
      </c>
      <c r="K5102" s="2">
        <v>45783</v>
      </c>
    </row>
    <row r="5103" spans="1:11" x14ac:dyDescent="0.25">
      <c r="A5103" s="1" t="s">
        <v>845</v>
      </c>
      <c r="B5103" s="1" t="s">
        <v>1886</v>
      </c>
      <c r="C5103" s="1" t="s">
        <v>2124</v>
      </c>
      <c r="D5103" s="1" t="s">
        <v>1998</v>
      </c>
      <c r="E5103" s="1"/>
      <c r="F5103" s="1" t="s">
        <v>11</v>
      </c>
      <c r="G5103">
        <v>20</v>
      </c>
      <c r="H5103">
        <v>20</v>
      </c>
      <c r="I5103" s="2"/>
      <c r="J5103" s="2">
        <v>45779</v>
      </c>
      <c r="K5103" s="2">
        <v>45783</v>
      </c>
    </row>
    <row r="5104" spans="1:11" x14ac:dyDescent="0.25">
      <c r="A5104" s="1" t="s">
        <v>845</v>
      </c>
      <c r="B5104" s="1" t="s">
        <v>1126</v>
      </c>
      <c r="C5104" s="1" t="s">
        <v>2126</v>
      </c>
      <c r="D5104" s="1" t="s">
        <v>1998</v>
      </c>
      <c r="E5104" s="1"/>
      <c r="F5104" s="1" t="s">
        <v>11</v>
      </c>
      <c r="G5104">
        <v>145</v>
      </c>
      <c r="H5104">
        <v>145</v>
      </c>
      <c r="I5104" s="2"/>
      <c r="J5104" s="2">
        <v>45779</v>
      </c>
      <c r="K5104" s="2">
        <v>45783</v>
      </c>
    </row>
    <row r="5105" spans="1:11" x14ac:dyDescent="0.25">
      <c r="A5105" s="1" t="s">
        <v>845</v>
      </c>
      <c r="B5105" s="1" t="s">
        <v>1887</v>
      </c>
      <c r="C5105" s="1" t="s">
        <v>2733</v>
      </c>
      <c r="D5105" s="1" t="s">
        <v>1998</v>
      </c>
      <c r="E5105" s="1"/>
      <c r="F5105" s="1" t="s">
        <v>11</v>
      </c>
      <c r="G5105">
        <v>800</v>
      </c>
      <c r="H5105">
        <v>800</v>
      </c>
      <c r="I5105" s="2"/>
      <c r="J5105" s="2">
        <v>45779</v>
      </c>
      <c r="K5105" s="2">
        <v>45783</v>
      </c>
    </row>
    <row r="5106" spans="1:11" x14ac:dyDescent="0.25">
      <c r="A5106" s="1" t="s">
        <v>845</v>
      </c>
      <c r="B5106" s="1" t="s">
        <v>1887</v>
      </c>
      <c r="C5106" s="1" t="s">
        <v>2733</v>
      </c>
      <c r="D5106" s="1" t="s">
        <v>1998</v>
      </c>
      <c r="E5106" s="1"/>
      <c r="F5106" s="1" t="s">
        <v>11</v>
      </c>
      <c r="G5106">
        <v>10</v>
      </c>
      <c r="H5106">
        <v>10</v>
      </c>
      <c r="I5106" s="2"/>
      <c r="J5106" s="2">
        <v>45779</v>
      </c>
      <c r="K5106" s="2">
        <v>45783</v>
      </c>
    </row>
    <row r="5107" spans="1:11" x14ac:dyDescent="0.25">
      <c r="A5107" s="1" t="s">
        <v>846</v>
      </c>
      <c r="B5107" s="1" t="s">
        <v>1932</v>
      </c>
      <c r="C5107" s="1" t="s">
        <v>2346</v>
      </c>
      <c r="D5107" s="1" t="s">
        <v>1998</v>
      </c>
      <c r="E5107" s="1"/>
      <c r="F5107" s="1" t="s">
        <v>11</v>
      </c>
      <c r="G5107">
        <v>7970</v>
      </c>
      <c r="H5107">
        <v>7970</v>
      </c>
      <c r="I5107" s="2"/>
      <c r="J5107" s="2">
        <v>45779</v>
      </c>
      <c r="K5107" s="2">
        <v>45783</v>
      </c>
    </row>
    <row r="5108" spans="1:11" x14ac:dyDescent="0.25">
      <c r="A5108" s="1" t="s">
        <v>846</v>
      </c>
      <c r="B5108" s="1" t="s">
        <v>1932</v>
      </c>
      <c r="C5108" s="1" t="s">
        <v>2346</v>
      </c>
      <c r="D5108" s="1" t="s">
        <v>1998</v>
      </c>
      <c r="E5108" s="1"/>
      <c r="F5108" s="1" t="s">
        <v>11</v>
      </c>
      <c r="G5108">
        <v>255</v>
      </c>
      <c r="H5108">
        <v>255</v>
      </c>
      <c r="I5108" s="2"/>
      <c r="J5108" s="2">
        <v>45779</v>
      </c>
      <c r="K5108" s="2">
        <v>45783</v>
      </c>
    </row>
    <row r="5109" spans="1:11" x14ac:dyDescent="0.25">
      <c r="A5109" s="1" t="s">
        <v>846</v>
      </c>
      <c r="B5109" s="1" t="s">
        <v>1886</v>
      </c>
      <c r="C5109" s="1" t="s">
        <v>2124</v>
      </c>
      <c r="D5109" s="1" t="s">
        <v>1998</v>
      </c>
      <c r="E5109" s="1"/>
      <c r="F5109" s="1" t="s">
        <v>11</v>
      </c>
      <c r="G5109">
        <v>1750</v>
      </c>
      <c r="H5109">
        <v>1750</v>
      </c>
      <c r="I5109" s="2"/>
      <c r="J5109" s="2">
        <v>45779</v>
      </c>
      <c r="K5109" s="2">
        <v>45783</v>
      </c>
    </row>
    <row r="5110" spans="1:11" x14ac:dyDescent="0.25">
      <c r="A5110" s="1" t="s">
        <v>846</v>
      </c>
      <c r="B5110" s="1" t="s">
        <v>1126</v>
      </c>
      <c r="C5110" s="1" t="s">
        <v>2126</v>
      </c>
      <c r="D5110" s="1" t="s">
        <v>1998</v>
      </c>
      <c r="E5110" s="1"/>
      <c r="F5110" s="1" t="s">
        <v>11</v>
      </c>
      <c r="G5110">
        <v>145</v>
      </c>
      <c r="H5110">
        <v>145</v>
      </c>
      <c r="I5110" s="2"/>
      <c r="J5110" s="2">
        <v>45779</v>
      </c>
      <c r="K5110" s="2">
        <v>45783</v>
      </c>
    </row>
    <row r="5111" spans="1:11" x14ac:dyDescent="0.25">
      <c r="A5111" s="1" t="s">
        <v>846</v>
      </c>
      <c r="B5111" s="1" t="s">
        <v>1887</v>
      </c>
      <c r="C5111" s="1" t="s">
        <v>2733</v>
      </c>
      <c r="D5111" s="1" t="s">
        <v>1998</v>
      </c>
      <c r="E5111" s="1"/>
      <c r="F5111" s="1" t="s">
        <v>11</v>
      </c>
      <c r="G5111">
        <v>800</v>
      </c>
      <c r="H5111">
        <v>800</v>
      </c>
      <c r="I5111" s="2"/>
      <c r="J5111" s="2">
        <v>45779</v>
      </c>
      <c r="K5111" s="2">
        <v>45783</v>
      </c>
    </row>
    <row r="5112" spans="1:11" x14ac:dyDescent="0.25">
      <c r="A5112" s="1" t="s">
        <v>847</v>
      </c>
      <c r="B5112" s="1" t="s">
        <v>1932</v>
      </c>
      <c r="C5112" s="1" t="s">
        <v>2346</v>
      </c>
      <c r="D5112" s="1" t="s">
        <v>1998</v>
      </c>
      <c r="E5112" s="1"/>
      <c r="F5112" s="1" t="s">
        <v>11</v>
      </c>
      <c r="G5112">
        <v>7970</v>
      </c>
      <c r="H5112">
        <v>7970</v>
      </c>
      <c r="I5112" s="2"/>
      <c r="J5112" s="2">
        <v>45779</v>
      </c>
      <c r="K5112" s="2">
        <v>45783</v>
      </c>
    </row>
    <row r="5113" spans="1:11" x14ac:dyDescent="0.25">
      <c r="A5113" s="1" t="s">
        <v>847</v>
      </c>
      <c r="B5113" s="1" t="s">
        <v>1932</v>
      </c>
      <c r="C5113" s="1" t="s">
        <v>2346</v>
      </c>
      <c r="D5113" s="1" t="s">
        <v>1998</v>
      </c>
      <c r="E5113" s="1"/>
      <c r="F5113" s="1" t="s">
        <v>11</v>
      </c>
      <c r="G5113">
        <v>160</v>
      </c>
      <c r="H5113">
        <v>160</v>
      </c>
      <c r="I5113" s="2"/>
      <c r="J5113" s="2">
        <v>45779</v>
      </c>
      <c r="K5113" s="2">
        <v>45783</v>
      </c>
    </row>
    <row r="5114" spans="1:11" x14ac:dyDescent="0.25">
      <c r="A5114" s="1" t="s">
        <v>847</v>
      </c>
      <c r="B5114" s="1" t="s">
        <v>1886</v>
      </c>
      <c r="C5114" s="1" t="s">
        <v>2124</v>
      </c>
      <c r="D5114" s="1" t="s">
        <v>1998</v>
      </c>
      <c r="E5114" s="1"/>
      <c r="F5114" s="1" t="s">
        <v>11</v>
      </c>
      <c r="G5114">
        <v>1750</v>
      </c>
      <c r="H5114">
        <v>1750</v>
      </c>
      <c r="I5114" s="2"/>
      <c r="J5114" s="2">
        <v>45779</v>
      </c>
      <c r="K5114" s="2">
        <v>45783</v>
      </c>
    </row>
    <row r="5115" spans="1:11" x14ac:dyDescent="0.25">
      <c r="A5115" s="1" t="s">
        <v>847</v>
      </c>
      <c r="B5115" s="1" t="s">
        <v>1886</v>
      </c>
      <c r="C5115" s="1" t="s">
        <v>2124</v>
      </c>
      <c r="D5115" s="1" t="s">
        <v>1998</v>
      </c>
      <c r="E5115" s="1"/>
      <c r="F5115" s="1" t="s">
        <v>11</v>
      </c>
      <c r="G5115">
        <v>5</v>
      </c>
      <c r="H5115">
        <v>5</v>
      </c>
      <c r="I5115" s="2"/>
      <c r="J5115" s="2">
        <v>45779</v>
      </c>
      <c r="K5115" s="2">
        <v>45783</v>
      </c>
    </row>
    <row r="5116" spans="1:11" x14ac:dyDescent="0.25">
      <c r="A5116" s="1" t="s">
        <v>847</v>
      </c>
      <c r="B5116" s="1" t="s">
        <v>1126</v>
      </c>
      <c r="C5116" s="1" t="s">
        <v>2126</v>
      </c>
      <c r="D5116" s="1" t="s">
        <v>1998</v>
      </c>
      <c r="E5116" s="1"/>
      <c r="F5116" s="1" t="s">
        <v>11</v>
      </c>
      <c r="G5116">
        <v>145</v>
      </c>
      <c r="H5116">
        <v>145</v>
      </c>
      <c r="I5116" s="2"/>
      <c r="J5116" s="2">
        <v>45779</v>
      </c>
      <c r="K5116" s="2">
        <v>45783</v>
      </c>
    </row>
    <row r="5117" spans="1:11" x14ac:dyDescent="0.25">
      <c r="A5117" s="1" t="s">
        <v>847</v>
      </c>
      <c r="B5117" s="1" t="s">
        <v>1887</v>
      </c>
      <c r="C5117" s="1" t="s">
        <v>2733</v>
      </c>
      <c r="D5117" s="1" t="s">
        <v>1998</v>
      </c>
      <c r="E5117" s="1"/>
      <c r="F5117" s="1" t="s">
        <v>11</v>
      </c>
      <c r="G5117">
        <v>800</v>
      </c>
      <c r="H5117">
        <v>800</v>
      </c>
      <c r="I5117" s="2"/>
      <c r="J5117" s="2">
        <v>45779</v>
      </c>
      <c r="K5117" s="2">
        <v>45783</v>
      </c>
    </row>
    <row r="5118" spans="1:11" x14ac:dyDescent="0.25">
      <c r="A5118" s="1" t="s">
        <v>847</v>
      </c>
      <c r="B5118" s="1" t="s">
        <v>1887</v>
      </c>
      <c r="C5118" s="1" t="s">
        <v>2733</v>
      </c>
      <c r="D5118" s="1" t="s">
        <v>1998</v>
      </c>
      <c r="E5118" s="1"/>
      <c r="F5118" s="1" t="s">
        <v>11</v>
      </c>
      <c r="G5118">
        <v>1</v>
      </c>
      <c r="H5118">
        <v>1</v>
      </c>
      <c r="I5118" s="2"/>
      <c r="J5118" s="2">
        <v>45779</v>
      </c>
      <c r="K5118" s="2">
        <v>45783</v>
      </c>
    </row>
    <row r="5119" spans="1:11" x14ac:dyDescent="0.25">
      <c r="A5119" s="1" t="s">
        <v>848</v>
      </c>
      <c r="B5119" s="1" t="s">
        <v>1932</v>
      </c>
      <c r="C5119" s="1" t="s">
        <v>2346</v>
      </c>
      <c r="D5119" s="1" t="s">
        <v>1998</v>
      </c>
      <c r="E5119" s="1"/>
      <c r="F5119" s="1" t="s">
        <v>11</v>
      </c>
      <c r="G5119">
        <v>7970</v>
      </c>
      <c r="H5119">
        <v>7970</v>
      </c>
      <c r="I5119" s="2"/>
      <c r="J5119" s="2">
        <v>45779</v>
      </c>
      <c r="K5119" s="2">
        <v>45783</v>
      </c>
    </row>
    <row r="5120" spans="1:11" x14ac:dyDescent="0.25">
      <c r="A5120" s="1" t="s">
        <v>848</v>
      </c>
      <c r="B5120" s="1" t="s">
        <v>1932</v>
      </c>
      <c r="C5120" s="1" t="s">
        <v>2346</v>
      </c>
      <c r="D5120" s="1" t="s">
        <v>1998</v>
      </c>
      <c r="E5120" s="1"/>
      <c r="F5120" s="1" t="s">
        <v>11</v>
      </c>
      <c r="G5120">
        <v>65</v>
      </c>
      <c r="H5120">
        <v>65</v>
      </c>
      <c r="I5120" s="2"/>
      <c r="J5120" s="2">
        <v>45779</v>
      </c>
      <c r="K5120" s="2">
        <v>45783</v>
      </c>
    </row>
    <row r="5121" spans="1:11" x14ac:dyDescent="0.25">
      <c r="A5121" s="1" t="s">
        <v>848</v>
      </c>
      <c r="B5121" s="1" t="s">
        <v>1886</v>
      </c>
      <c r="C5121" s="1" t="s">
        <v>2124</v>
      </c>
      <c r="D5121" s="1" t="s">
        <v>1998</v>
      </c>
      <c r="E5121" s="1"/>
      <c r="F5121" s="1" t="s">
        <v>11</v>
      </c>
      <c r="G5121">
        <v>1750</v>
      </c>
      <c r="H5121">
        <v>1750</v>
      </c>
      <c r="I5121" s="2"/>
      <c r="J5121" s="2">
        <v>45779</v>
      </c>
      <c r="K5121" s="2">
        <v>45783</v>
      </c>
    </row>
    <row r="5122" spans="1:11" x14ac:dyDescent="0.25">
      <c r="A5122" s="1" t="s">
        <v>848</v>
      </c>
      <c r="B5122" s="1" t="s">
        <v>1886</v>
      </c>
      <c r="C5122" s="1" t="s">
        <v>2124</v>
      </c>
      <c r="D5122" s="1" t="s">
        <v>1998</v>
      </c>
      <c r="E5122" s="1"/>
      <c r="F5122" s="1" t="s">
        <v>11</v>
      </c>
      <c r="G5122">
        <v>5</v>
      </c>
      <c r="H5122">
        <v>5</v>
      </c>
      <c r="I5122" s="2"/>
      <c r="J5122" s="2">
        <v>45779</v>
      </c>
      <c r="K5122" s="2">
        <v>45783</v>
      </c>
    </row>
    <row r="5123" spans="1:11" x14ac:dyDescent="0.25">
      <c r="A5123" s="1" t="s">
        <v>848</v>
      </c>
      <c r="B5123" s="1" t="s">
        <v>1126</v>
      </c>
      <c r="C5123" s="1" t="s">
        <v>2126</v>
      </c>
      <c r="D5123" s="1" t="s">
        <v>1998</v>
      </c>
      <c r="E5123" s="1"/>
      <c r="F5123" s="1" t="s">
        <v>11</v>
      </c>
      <c r="G5123">
        <v>145</v>
      </c>
      <c r="H5123">
        <v>145</v>
      </c>
      <c r="I5123" s="2"/>
      <c r="J5123" s="2">
        <v>45779</v>
      </c>
      <c r="K5123" s="2">
        <v>45783</v>
      </c>
    </row>
    <row r="5124" spans="1:11" x14ac:dyDescent="0.25">
      <c r="A5124" s="1" t="s">
        <v>848</v>
      </c>
      <c r="B5124" s="1" t="s">
        <v>1887</v>
      </c>
      <c r="C5124" s="1" t="s">
        <v>2733</v>
      </c>
      <c r="D5124" s="1" t="s">
        <v>1998</v>
      </c>
      <c r="E5124" s="1"/>
      <c r="F5124" s="1" t="s">
        <v>11</v>
      </c>
      <c r="G5124">
        <v>800</v>
      </c>
      <c r="H5124">
        <v>800</v>
      </c>
      <c r="I5124" s="2"/>
      <c r="J5124" s="2">
        <v>45779</v>
      </c>
      <c r="K5124" s="2">
        <v>45783</v>
      </c>
    </row>
    <row r="5125" spans="1:11" x14ac:dyDescent="0.25">
      <c r="A5125" s="1" t="s">
        <v>848</v>
      </c>
      <c r="B5125" s="1" t="s">
        <v>1887</v>
      </c>
      <c r="C5125" s="1" t="s">
        <v>2733</v>
      </c>
      <c r="D5125" s="1" t="s">
        <v>1998</v>
      </c>
      <c r="E5125" s="1"/>
      <c r="F5125" s="1" t="s">
        <v>11</v>
      </c>
      <c r="G5125">
        <v>15</v>
      </c>
      <c r="H5125">
        <v>15</v>
      </c>
      <c r="I5125" s="2"/>
      <c r="J5125" s="2">
        <v>45779</v>
      </c>
      <c r="K5125" s="2">
        <v>45783</v>
      </c>
    </row>
    <row r="5126" spans="1:11" x14ac:dyDescent="0.25">
      <c r="A5126" s="1" t="s">
        <v>849</v>
      </c>
      <c r="B5126" s="1" t="s">
        <v>1226</v>
      </c>
      <c r="C5126" s="1" t="s">
        <v>2210</v>
      </c>
      <c r="D5126" s="1" t="s">
        <v>1998</v>
      </c>
      <c r="E5126" s="1"/>
      <c r="F5126" s="1" t="s">
        <v>11</v>
      </c>
      <c r="G5126">
        <v>20</v>
      </c>
      <c r="H5126">
        <v>20</v>
      </c>
      <c r="I5126" s="2">
        <v>45789</v>
      </c>
      <c r="J5126" s="2">
        <v>45755</v>
      </c>
      <c r="K5126" s="2">
        <v>45786</v>
      </c>
    </row>
    <row r="5127" spans="1:11" x14ac:dyDescent="0.25">
      <c r="A5127" s="1" t="s">
        <v>849</v>
      </c>
      <c r="B5127" s="1" t="s">
        <v>1227</v>
      </c>
      <c r="C5127" s="1" t="s">
        <v>2211</v>
      </c>
      <c r="D5127" s="1" t="s">
        <v>1998</v>
      </c>
      <c r="E5127" s="1"/>
      <c r="F5127" s="1" t="s">
        <v>11</v>
      </c>
      <c r="G5127">
        <v>1</v>
      </c>
      <c r="H5127">
        <v>1</v>
      </c>
      <c r="I5127" s="2">
        <v>45789</v>
      </c>
      <c r="J5127" s="2">
        <v>45755</v>
      </c>
      <c r="K5127" s="2">
        <v>45786</v>
      </c>
    </row>
    <row r="5128" spans="1:11" x14ac:dyDescent="0.25">
      <c r="A5128" s="1" t="s">
        <v>849</v>
      </c>
      <c r="B5128" s="1" t="s">
        <v>1228</v>
      </c>
      <c r="C5128" s="1" t="s">
        <v>2212</v>
      </c>
      <c r="D5128" s="1" t="s">
        <v>1998</v>
      </c>
      <c r="E5128" s="1"/>
      <c r="F5128" s="1" t="s">
        <v>11</v>
      </c>
      <c r="G5128">
        <v>1</v>
      </c>
      <c r="H5128">
        <v>1</v>
      </c>
      <c r="I5128" s="2">
        <v>45789</v>
      </c>
      <c r="J5128" s="2">
        <v>45755</v>
      </c>
      <c r="K5128" s="2">
        <v>45786</v>
      </c>
    </row>
    <row r="5129" spans="1:11" x14ac:dyDescent="0.25">
      <c r="A5129" s="1" t="s">
        <v>849</v>
      </c>
      <c r="B5129" s="1" t="s">
        <v>1229</v>
      </c>
      <c r="C5129" s="1" t="s">
        <v>2213</v>
      </c>
      <c r="D5129" s="1" t="s">
        <v>1998</v>
      </c>
      <c r="E5129" s="1"/>
      <c r="F5129" s="1" t="s">
        <v>11</v>
      </c>
      <c r="G5129">
        <v>15</v>
      </c>
      <c r="H5129">
        <v>15</v>
      </c>
      <c r="I5129" s="2">
        <v>45789</v>
      </c>
      <c r="J5129" s="2">
        <v>45755</v>
      </c>
      <c r="K5129" s="2">
        <v>45786</v>
      </c>
    </row>
    <row r="5130" spans="1:11" x14ac:dyDescent="0.25">
      <c r="A5130" s="1" t="s">
        <v>849</v>
      </c>
      <c r="B5130" s="1" t="s">
        <v>1230</v>
      </c>
      <c r="C5130" s="1" t="s">
        <v>2214</v>
      </c>
      <c r="D5130" s="1" t="s">
        <v>1998</v>
      </c>
      <c r="E5130" s="1"/>
      <c r="F5130" s="1" t="s">
        <v>11</v>
      </c>
      <c r="G5130">
        <v>1</v>
      </c>
      <c r="H5130">
        <v>1</v>
      </c>
      <c r="I5130" s="2">
        <v>45789</v>
      </c>
      <c r="J5130" s="2">
        <v>45755</v>
      </c>
      <c r="K5130" s="2">
        <v>45786</v>
      </c>
    </row>
    <row r="5131" spans="1:11" x14ac:dyDescent="0.25">
      <c r="A5131" s="1" t="s">
        <v>849</v>
      </c>
      <c r="B5131" s="1" t="s">
        <v>1597</v>
      </c>
      <c r="C5131" s="1" t="s">
        <v>2515</v>
      </c>
      <c r="D5131" s="1" t="s">
        <v>1998</v>
      </c>
      <c r="E5131" s="1"/>
      <c r="F5131" s="1" t="s">
        <v>11</v>
      </c>
      <c r="G5131">
        <v>1</v>
      </c>
      <c r="H5131">
        <v>1</v>
      </c>
      <c r="I5131" s="2">
        <v>45789</v>
      </c>
      <c r="J5131" s="2">
        <v>45755</v>
      </c>
      <c r="K5131" s="2">
        <v>45786</v>
      </c>
    </row>
    <row r="5132" spans="1:11" x14ac:dyDescent="0.25">
      <c r="A5132" s="1" t="s">
        <v>849</v>
      </c>
      <c r="B5132" s="1" t="s">
        <v>1367</v>
      </c>
      <c r="C5132" s="1" t="s">
        <v>2317</v>
      </c>
      <c r="D5132" s="1" t="s">
        <v>1998</v>
      </c>
      <c r="E5132" s="1"/>
      <c r="F5132" s="1" t="s">
        <v>11</v>
      </c>
      <c r="G5132">
        <v>1</v>
      </c>
      <c r="H5132">
        <v>1</v>
      </c>
      <c r="I5132" s="2">
        <v>45789</v>
      </c>
      <c r="J5132" s="2">
        <v>45755</v>
      </c>
      <c r="K5132" s="2">
        <v>45786</v>
      </c>
    </row>
    <row r="5133" spans="1:11" x14ac:dyDescent="0.25">
      <c r="A5133" s="1" t="s">
        <v>849</v>
      </c>
      <c r="B5133" s="1" t="s">
        <v>1232</v>
      </c>
      <c r="C5133" s="1" t="s">
        <v>2216</v>
      </c>
      <c r="D5133" s="1" t="s">
        <v>1998</v>
      </c>
      <c r="E5133" s="1"/>
      <c r="F5133" s="1" t="s">
        <v>11</v>
      </c>
      <c r="G5133">
        <v>1</v>
      </c>
      <c r="H5133">
        <v>1</v>
      </c>
      <c r="I5133" s="2">
        <v>45789</v>
      </c>
      <c r="J5133" s="2">
        <v>45755</v>
      </c>
      <c r="K5133" s="2">
        <v>45786</v>
      </c>
    </row>
    <row r="5134" spans="1:11" x14ac:dyDescent="0.25">
      <c r="A5134" s="1" t="s">
        <v>849</v>
      </c>
      <c r="B5134" s="1" t="s">
        <v>1538</v>
      </c>
      <c r="C5134" s="1" t="s">
        <v>2466</v>
      </c>
      <c r="D5134" s="1" t="s">
        <v>1998</v>
      </c>
      <c r="E5134" s="1"/>
      <c r="F5134" s="1" t="s">
        <v>11</v>
      </c>
      <c r="G5134">
        <v>30</v>
      </c>
      <c r="H5134">
        <v>30</v>
      </c>
      <c r="I5134" s="2">
        <v>45789</v>
      </c>
      <c r="J5134" s="2">
        <v>45755</v>
      </c>
      <c r="K5134" s="2">
        <v>45786</v>
      </c>
    </row>
    <row r="5135" spans="1:11" x14ac:dyDescent="0.25">
      <c r="A5135" s="1" t="s">
        <v>849</v>
      </c>
      <c r="B5135" s="1" t="s">
        <v>1234</v>
      </c>
      <c r="C5135" s="1" t="s">
        <v>2218</v>
      </c>
      <c r="D5135" s="1" t="s">
        <v>1998</v>
      </c>
      <c r="E5135" s="1"/>
      <c r="F5135" s="1" t="s">
        <v>11</v>
      </c>
      <c r="G5135">
        <v>1</v>
      </c>
      <c r="H5135">
        <v>1</v>
      </c>
      <c r="I5135" s="2">
        <v>45789</v>
      </c>
      <c r="J5135" s="2">
        <v>45755</v>
      </c>
      <c r="K5135" s="2">
        <v>45786</v>
      </c>
    </row>
    <row r="5136" spans="1:11" x14ac:dyDescent="0.25">
      <c r="A5136" s="1" t="s">
        <v>849</v>
      </c>
      <c r="B5136" s="1" t="s">
        <v>1570</v>
      </c>
      <c r="C5136" s="1" t="s">
        <v>2491</v>
      </c>
      <c r="D5136" s="1" t="s">
        <v>1998</v>
      </c>
      <c r="E5136" s="1"/>
      <c r="F5136" s="1" t="s">
        <v>11</v>
      </c>
      <c r="G5136">
        <v>5</v>
      </c>
      <c r="H5136">
        <v>5</v>
      </c>
      <c r="I5136" s="2">
        <v>45789</v>
      </c>
      <c r="J5136" s="2">
        <v>45755</v>
      </c>
      <c r="K5136" s="2">
        <v>45786</v>
      </c>
    </row>
    <row r="5137" spans="1:11" x14ac:dyDescent="0.25">
      <c r="A5137" s="1" t="s">
        <v>849</v>
      </c>
      <c r="B5137" s="1" t="s">
        <v>1364</v>
      </c>
      <c r="C5137" s="1" t="s">
        <v>2314</v>
      </c>
      <c r="D5137" s="1" t="s">
        <v>1998</v>
      </c>
      <c r="E5137" s="1"/>
      <c r="F5137" s="1" t="s">
        <v>11</v>
      </c>
      <c r="G5137">
        <v>1</v>
      </c>
      <c r="H5137">
        <v>1</v>
      </c>
      <c r="I5137" s="2">
        <v>45789</v>
      </c>
      <c r="J5137" s="2">
        <v>45755</v>
      </c>
      <c r="K5137" s="2">
        <v>45786</v>
      </c>
    </row>
    <row r="5138" spans="1:11" x14ac:dyDescent="0.25">
      <c r="A5138" s="1" t="s">
        <v>849</v>
      </c>
      <c r="B5138" s="1" t="s">
        <v>1236</v>
      </c>
      <c r="C5138" s="1" t="s">
        <v>2220</v>
      </c>
      <c r="D5138" s="1" t="s">
        <v>1998</v>
      </c>
      <c r="E5138" s="1"/>
      <c r="F5138" s="1" t="s">
        <v>11</v>
      </c>
      <c r="G5138">
        <v>1</v>
      </c>
      <c r="H5138">
        <v>1</v>
      </c>
      <c r="I5138" s="2">
        <v>45789</v>
      </c>
      <c r="J5138" s="2">
        <v>45755</v>
      </c>
      <c r="K5138" s="2">
        <v>45786</v>
      </c>
    </row>
    <row r="5139" spans="1:11" x14ac:dyDescent="0.25">
      <c r="A5139" s="1" t="s">
        <v>850</v>
      </c>
      <c r="B5139" s="1" t="s">
        <v>1226</v>
      </c>
      <c r="C5139" s="1" t="s">
        <v>2210</v>
      </c>
      <c r="D5139" s="1" t="s">
        <v>1998</v>
      </c>
      <c r="E5139" s="1"/>
      <c r="F5139" s="1" t="s">
        <v>11</v>
      </c>
      <c r="G5139">
        <v>15</v>
      </c>
      <c r="H5139">
        <v>15</v>
      </c>
      <c r="I5139" s="2"/>
      <c r="J5139" s="2">
        <v>45756</v>
      </c>
      <c r="K5139" s="2">
        <v>45787</v>
      </c>
    </row>
    <row r="5140" spans="1:11" x14ac:dyDescent="0.25">
      <c r="A5140" s="1" t="s">
        <v>850</v>
      </c>
      <c r="B5140" s="1" t="s">
        <v>1227</v>
      </c>
      <c r="C5140" s="1" t="s">
        <v>2211</v>
      </c>
      <c r="D5140" s="1" t="s">
        <v>1998</v>
      </c>
      <c r="E5140" s="1"/>
      <c r="F5140" s="1" t="s">
        <v>11</v>
      </c>
      <c r="G5140">
        <v>1</v>
      </c>
      <c r="H5140">
        <v>1</v>
      </c>
      <c r="I5140" s="2"/>
      <c r="J5140" s="2">
        <v>45756</v>
      </c>
      <c r="K5140" s="2">
        <v>45787</v>
      </c>
    </row>
    <row r="5141" spans="1:11" x14ac:dyDescent="0.25">
      <c r="A5141" s="1" t="s">
        <v>850</v>
      </c>
      <c r="B5141" s="1" t="s">
        <v>1228</v>
      </c>
      <c r="C5141" s="1" t="s">
        <v>2212</v>
      </c>
      <c r="D5141" s="1" t="s">
        <v>1998</v>
      </c>
      <c r="E5141" s="1"/>
      <c r="F5141" s="1" t="s">
        <v>11</v>
      </c>
      <c r="G5141">
        <v>1</v>
      </c>
      <c r="H5141">
        <v>1</v>
      </c>
      <c r="I5141" s="2"/>
      <c r="J5141" s="2">
        <v>45756</v>
      </c>
      <c r="K5141" s="2">
        <v>45787</v>
      </c>
    </row>
    <row r="5142" spans="1:11" x14ac:dyDescent="0.25">
      <c r="A5142" s="1" t="s">
        <v>850</v>
      </c>
      <c r="B5142" s="1" t="s">
        <v>1229</v>
      </c>
      <c r="C5142" s="1" t="s">
        <v>2213</v>
      </c>
      <c r="D5142" s="1" t="s">
        <v>1998</v>
      </c>
      <c r="E5142" s="1"/>
      <c r="F5142" s="1" t="s">
        <v>11</v>
      </c>
      <c r="G5142">
        <v>10</v>
      </c>
      <c r="H5142">
        <v>10</v>
      </c>
      <c r="I5142" s="2"/>
      <c r="J5142" s="2">
        <v>45756</v>
      </c>
      <c r="K5142" s="2">
        <v>45787</v>
      </c>
    </row>
    <row r="5143" spans="1:11" x14ac:dyDescent="0.25">
      <c r="A5143" s="1" t="s">
        <v>850</v>
      </c>
      <c r="B5143" s="1" t="s">
        <v>1230</v>
      </c>
      <c r="C5143" s="1" t="s">
        <v>2214</v>
      </c>
      <c r="D5143" s="1" t="s">
        <v>1998</v>
      </c>
      <c r="E5143" s="1"/>
      <c r="F5143" s="1" t="s">
        <v>11</v>
      </c>
      <c r="G5143">
        <v>1</v>
      </c>
      <c r="H5143">
        <v>1</v>
      </c>
      <c r="I5143" s="2"/>
      <c r="J5143" s="2">
        <v>45756</v>
      </c>
      <c r="K5143" s="2">
        <v>45787</v>
      </c>
    </row>
    <row r="5144" spans="1:11" x14ac:dyDescent="0.25">
      <c r="A5144" s="1" t="s">
        <v>850</v>
      </c>
      <c r="B5144" s="1" t="s">
        <v>1597</v>
      </c>
      <c r="C5144" s="1" t="s">
        <v>2515</v>
      </c>
      <c r="D5144" s="1" t="s">
        <v>1998</v>
      </c>
      <c r="E5144" s="1"/>
      <c r="F5144" s="1" t="s">
        <v>11</v>
      </c>
      <c r="G5144">
        <v>1</v>
      </c>
      <c r="H5144">
        <v>1</v>
      </c>
      <c r="I5144" s="2"/>
      <c r="J5144" s="2">
        <v>45756</v>
      </c>
      <c r="K5144" s="2">
        <v>45787</v>
      </c>
    </row>
    <row r="5145" spans="1:11" x14ac:dyDescent="0.25">
      <c r="A5145" s="1" t="s">
        <v>850</v>
      </c>
      <c r="B5145" s="1" t="s">
        <v>1367</v>
      </c>
      <c r="C5145" s="1" t="s">
        <v>2317</v>
      </c>
      <c r="D5145" s="1" t="s">
        <v>1998</v>
      </c>
      <c r="E5145" s="1"/>
      <c r="F5145" s="1" t="s">
        <v>11</v>
      </c>
      <c r="G5145">
        <v>1</v>
      </c>
      <c r="H5145">
        <v>1</v>
      </c>
      <c r="I5145" s="2"/>
      <c r="J5145" s="2">
        <v>45756</v>
      </c>
      <c r="K5145" s="2">
        <v>45787</v>
      </c>
    </row>
    <row r="5146" spans="1:11" x14ac:dyDescent="0.25">
      <c r="A5146" s="1" t="s">
        <v>850</v>
      </c>
      <c r="B5146" s="1" t="s">
        <v>1232</v>
      </c>
      <c r="C5146" s="1" t="s">
        <v>2216</v>
      </c>
      <c r="D5146" s="1" t="s">
        <v>1998</v>
      </c>
      <c r="E5146" s="1"/>
      <c r="F5146" s="1" t="s">
        <v>11</v>
      </c>
      <c r="G5146">
        <v>1</v>
      </c>
      <c r="H5146">
        <v>1</v>
      </c>
      <c r="I5146" s="2"/>
      <c r="J5146" s="2">
        <v>45756</v>
      </c>
      <c r="K5146" s="2">
        <v>45787</v>
      </c>
    </row>
    <row r="5147" spans="1:11" x14ac:dyDescent="0.25">
      <c r="A5147" s="1" t="s">
        <v>850</v>
      </c>
      <c r="B5147" s="1" t="s">
        <v>1538</v>
      </c>
      <c r="C5147" s="1" t="s">
        <v>2466</v>
      </c>
      <c r="D5147" s="1" t="s">
        <v>1998</v>
      </c>
      <c r="E5147" s="1"/>
      <c r="F5147" s="1" t="s">
        <v>11</v>
      </c>
      <c r="G5147">
        <v>20</v>
      </c>
      <c r="H5147">
        <v>20</v>
      </c>
      <c r="I5147" s="2"/>
      <c r="J5147" s="2">
        <v>45756</v>
      </c>
      <c r="K5147" s="2">
        <v>45787</v>
      </c>
    </row>
    <row r="5148" spans="1:11" x14ac:dyDescent="0.25">
      <c r="A5148" s="1" t="s">
        <v>850</v>
      </c>
      <c r="B5148" s="1" t="s">
        <v>1234</v>
      </c>
      <c r="C5148" s="1" t="s">
        <v>2218</v>
      </c>
      <c r="D5148" s="1" t="s">
        <v>1998</v>
      </c>
      <c r="E5148" s="1"/>
      <c r="F5148" s="1" t="s">
        <v>11</v>
      </c>
      <c r="G5148">
        <v>1</v>
      </c>
      <c r="H5148">
        <v>1</v>
      </c>
      <c r="I5148" s="2"/>
      <c r="J5148" s="2">
        <v>45756</v>
      </c>
      <c r="K5148" s="2">
        <v>45787</v>
      </c>
    </row>
    <row r="5149" spans="1:11" x14ac:dyDescent="0.25">
      <c r="A5149" s="1" t="s">
        <v>850</v>
      </c>
      <c r="B5149" s="1" t="s">
        <v>1570</v>
      </c>
      <c r="C5149" s="1" t="s">
        <v>2491</v>
      </c>
      <c r="D5149" s="1" t="s">
        <v>1998</v>
      </c>
      <c r="E5149" s="1"/>
      <c r="F5149" s="1" t="s">
        <v>11</v>
      </c>
      <c r="G5149">
        <v>10</v>
      </c>
      <c r="H5149">
        <v>10</v>
      </c>
      <c r="I5149" s="2"/>
      <c r="J5149" s="2">
        <v>45756</v>
      </c>
      <c r="K5149" s="2">
        <v>45787</v>
      </c>
    </row>
    <row r="5150" spans="1:11" x14ac:dyDescent="0.25">
      <c r="A5150" s="1" t="s">
        <v>850</v>
      </c>
      <c r="B5150" s="1" t="s">
        <v>1364</v>
      </c>
      <c r="C5150" s="1" t="s">
        <v>2314</v>
      </c>
      <c r="D5150" s="1" t="s">
        <v>1998</v>
      </c>
      <c r="E5150" s="1"/>
      <c r="F5150" s="1" t="s">
        <v>11</v>
      </c>
      <c r="G5150">
        <v>1</v>
      </c>
      <c r="H5150">
        <v>1</v>
      </c>
      <c r="I5150" s="2"/>
      <c r="J5150" s="2">
        <v>45756</v>
      </c>
      <c r="K5150" s="2">
        <v>45787</v>
      </c>
    </row>
    <row r="5151" spans="1:11" x14ac:dyDescent="0.25">
      <c r="A5151" s="1" t="s">
        <v>851</v>
      </c>
      <c r="B5151" s="1" t="s">
        <v>1226</v>
      </c>
      <c r="C5151" s="1" t="s">
        <v>2210</v>
      </c>
      <c r="D5151" s="1" t="s">
        <v>1998</v>
      </c>
      <c r="E5151" s="1"/>
      <c r="F5151" s="1" t="s">
        <v>11</v>
      </c>
      <c r="G5151">
        <v>10</v>
      </c>
      <c r="H5151">
        <v>10</v>
      </c>
      <c r="I5151" s="2"/>
      <c r="J5151" s="2">
        <v>45779</v>
      </c>
      <c r="K5151" s="2">
        <v>45783</v>
      </c>
    </row>
    <row r="5152" spans="1:11" x14ac:dyDescent="0.25">
      <c r="A5152" s="1" t="s">
        <v>851</v>
      </c>
      <c r="B5152" s="1" t="s">
        <v>1227</v>
      </c>
      <c r="C5152" s="1" t="s">
        <v>2211</v>
      </c>
      <c r="D5152" s="1" t="s">
        <v>1998</v>
      </c>
      <c r="E5152" s="1"/>
      <c r="F5152" s="1" t="s">
        <v>11</v>
      </c>
      <c r="G5152">
        <v>1</v>
      </c>
      <c r="H5152">
        <v>1</v>
      </c>
      <c r="I5152" s="2"/>
      <c r="J5152" s="2">
        <v>45779</v>
      </c>
      <c r="K5152" s="2">
        <v>45783</v>
      </c>
    </row>
    <row r="5153" spans="1:11" x14ac:dyDescent="0.25">
      <c r="A5153" s="1" t="s">
        <v>851</v>
      </c>
      <c r="B5153" s="1" t="s">
        <v>1228</v>
      </c>
      <c r="C5153" s="1" t="s">
        <v>2212</v>
      </c>
      <c r="D5153" s="1" t="s">
        <v>1998</v>
      </c>
      <c r="E5153" s="1"/>
      <c r="F5153" s="1" t="s">
        <v>11</v>
      </c>
      <c r="G5153">
        <v>1</v>
      </c>
      <c r="H5153">
        <v>1</v>
      </c>
      <c r="I5153" s="2"/>
      <c r="J5153" s="2">
        <v>45779</v>
      </c>
      <c r="K5153" s="2">
        <v>45783</v>
      </c>
    </row>
    <row r="5154" spans="1:11" x14ac:dyDescent="0.25">
      <c r="A5154" s="1" t="s">
        <v>851</v>
      </c>
      <c r="B5154" s="1" t="s">
        <v>1229</v>
      </c>
      <c r="C5154" s="1" t="s">
        <v>2213</v>
      </c>
      <c r="D5154" s="1" t="s">
        <v>1998</v>
      </c>
      <c r="E5154" s="1"/>
      <c r="F5154" s="1" t="s">
        <v>11</v>
      </c>
      <c r="G5154">
        <v>5</v>
      </c>
      <c r="H5154">
        <v>5</v>
      </c>
      <c r="I5154" s="2"/>
      <c r="J5154" s="2">
        <v>45779</v>
      </c>
      <c r="K5154" s="2">
        <v>45783</v>
      </c>
    </row>
    <row r="5155" spans="1:11" x14ac:dyDescent="0.25">
      <c r="A5155" s="1" t="s">
        <v>851</v>
      </c>
      <c r="B5155" s="1" t="s">
        <v>1230</v>
      </c>
      <c r="C5155" s="1" t="s">
        <v>2214</v>
      </c>
      <c r="D5155" s="1" t="s">
        <v>1998</v>
      </c>
      <c r="E5155" s="1"/>
      <c r="F5155" s="1" t="s">
        <v>11</v>
      </c>
      <c r="G5155">
        <v>1</v>
      </c>
      <c r="H5155">
        <v>1</v>
      </c>
      <c r="I5155" s="2"/>
      <c r="J5155" s="2">
        <v>45779</v>
      </c>
      <c r="K5155" s="2">
        <v>45783</v>
      </c>
    </row>
    <row r="5156" spans="1:11" x14ac:dyDescent="0.25">
      <c r="A5156" s="1" t="s">
        <v>851</v>
      </c>
      <c r="B5156" s="1" t="s">
        <v>1231</v>
      </c>
      <c r="C5156" s="1" t="s">
        <v>2215</v>
      </c>
      <c r="D5156" s="1" t="s">
        <v>1998</v>
      </c>
      <c r="E5156" s="1"/>
      <c r="F5156" s="1" t="s">
        <v>11</v>
      </c>
      <c r="G5156">
        <v>1</v>
      </c>
      <c r="H5156">
        <v>1</v>
      </c>
      <c r="I5156" s="2"/>
      <c r="J5156" s="2">
        <v>45779</v>
      </c>
      <c r="K5156" s="2">
        <v>45783</v>
      </c>
    </row>
    <row r="5157" spans="1:11" x14ac:dyDescent="0.25">
      <c r="A5157" s="1" t="s">
        <v>851</v>
      </c>
      <c r="B5157" s="1" t="s">
        <v>1367</v>
      </c>
      <c r="C5157" s="1" t="s">
        <v>2317</v>
      </c>
      <c r="D5157" s="1" t="s">
        <v>1998</v>
      </c>
      <c r="E5157" s="1"/>
      <c r="F5157" s="1" t="s">
        <v>11</v>
      </c>
      <c r="G5157">
        <v>1</v>
      </c>
      <c r="H5157">
        <v>1</v>
      </c>
      <c r="I5157" s="2"/>
      <c r="J5157" s="2">
        <v>45779</v>
      </c>
      <c r="K5157" s="2">
        <v>45783</v>
      </c>
    </row>
    <row r="5158" spans="1:11" x14ac:dyDescent="0.25">
      <c r="A5158" s="1" t="s">
        <v>851</v>
      </c>
      <c r="B5158" s="1" t="s">
        <v>1232</v>
      </c>
      <c r="C5158" s="1" t="s">
        <v>2216</v>
      </c>
      <c r="D5158" s="1" t="s">
        <v>1998</v>
      </c>
      <c r="E5158" s="1"/>
      <c r="F5158" s="1" t="s">
        <v>11</v>
      </c>
      <c r="G5158">
        <v>1</v>
      </c>
      <c r="H5158">
        <v>1</v>
      </c>
      <c r="I5158" s="2"/>
      <c r="J5158" s="2">
        <v>45779</v>
      </c>
      <c r="K5158" s="2">
        <v>45783</v>
      </c>
    </row>
    <row r="5159" spans="1:11" x14ac:dyDescent="0.25">
      <c r="A5159" s="1" t="s">
        <v>851</v>
      </c>
      <c r="B5159" s="1" t="s">
        <v>1538</v>
      </c>
      <c r="C5159" s="1" t="s">
        <v>2466</v>
      </c>
      <c r="D5159" s="1" t="s">
        <v>1998</v>
      </c>
      <c r="E5159" s="1"/>
      <c r="F5159" s="1" t="s">
        <v>11</v>
      </c>
      <c r="G5159">
        <v>10</v>
      </c>
      <c r="H5159">
        <v>10</v>
      </c>
      <c r="I5159" s="2"/>
      <c r="J5159" s="2">
        <v>45779</v>
      </c>
      <c r="K5159" s="2">
        <v>45783</v>
      </c>
    </row>
    <row r="5160" spans="1:11" x14ac:dyDescent="0.25">
      <c r="A5160" s="1" t="s">
        <v>851</v>
      </c>
      <c r="B5160" s="1" t="s">
        <v>1234</v>
      </c>
      <c r="C5160" s="1" t="s">
        <v>2218</v>
      </c>
      <c r="D5160" s="1" t="s">
        <v>1998</v>
      </c>
      <c r="E5160" s="1"/>
      <c r="F5160" s="1" t="s">
        <v>11</v>
      </c>
      <c r="G5160">
        <v>1</v>
      </c>
      <c r="H5160">
        <v>1</v>
      </c>
      <c r="I5160" s="2"/>
      <c r="J5160" s="2">
        <v>45779</v>
      </c>
      <c r="K5160" s="2">
        <v>45783</v>
      </c>
    </row>
    <row r="5161" spans="1:11" x14ac:dyDescent="0.25">
      <c r="A5161" s="1" t="s">
        <v>851</v>
      </c>
      <c r="B5161" s="1" t="s">
        <v>1570</v>
      </c>
      <c r="C5161" s="1" t="s">
        <v>2491</v>
      </c>
      <c r="D5161" s="1" t="s">
        <v>1998</v>
      </c>
      <c r="E5161" s="1"/>
      <c r="F5161" s="1" t="s">
        <v>11</v>
      </c>
      <c r="G5161">
        <v>1</v>
      </c>
      <c r="H5161">
        <v>1</v>
      </c>
      <c r="I5161" s="2"/>
      <c r="J5161" s="2">
        <v>45779</v>
      </c>
      <c r="K5161" s="2">
        <v>45783</v>
      </c>
    </row>
    <row r="5162" spans="1:11" x14ac:dyDescent="0.25">
      <c r="A5162" s="1" t="s">
        <v>851</v>
      </c>
      <c r="B5162" s="1" t="s">
        <v>1364</v>
      </c>
      <c r="C5162" s="1" t="s">
        <v>2314</v>
      </c>
      <c r="D5162" s="1" t="s">
        <v>1998</v>
      </c>
      <c r="E5162" s="1"/>
      <c r="F5162" s="1" t="s">
        <v>11</v>
      </c>
      <c r="G5162">
        <v>1</v>
      </c>
      <c r="H5162">
        <v>1</v>
      </c>
      <c r="I5162" s="2"/>
      <c r="J5162" s="2">
        <v>45779</v>
      </c>
      <c r="K5162" s="2">
        <v>45783</v>
      </c>
    </row>
    <row r="5163" spans="1:11" x14ac:dyDescent="0.25">
      <c r="A5163" s="1" t="s">
        <v>851</v>
      </c>
      <c r="B5163" s="1" t="s">
        <v>1236</v>
      </c>
      <c r="C5163" s="1" t="s">
        <v>2220</v>
      </c>
      <c r="D5163" s="1" t="s">
        <v>1998</v>
      </c>
      <c r="E5163" s="1"/>
      <c r="F5163" s="1" t="s">
        <v>11</v>
      </c>
      <c r="G5163">
        <v>1</v>
      </c>
      <c r="H5163">
        <v>1</v>
      </c>
      <c r="I5163" s="2"/>
      <c r="J5163" s="2">
        <v>45779</v>
      </c>
      <c r="K5163" s="2">
        <v>45783</v>
      </c>
    </row>
    <row r="5164" spans="1:11" x14ac:dyDescent="0.25">
      <c r="A5164" s="1" t="s">
        <v>852</v>
      </c>
      <c r="B5164" s="1" t="s">
        <v>1933</v>
      </c>
      <c r="C5164" s="1" t="s">
        <v>2766</v>
      </c>
      <c r="D5164" s="1" t="s">
        <v>1998</v>
      </c>
      <c r="E5164" s="1"/>
      <c r="F5164" s="1" t="s">
        <v>11</v>
      </c>
      <c r="G5164">
        <v>5420</v>
      </c>
      <c r="H5164">
        <v>5420</v>
      </c>
      <c r="I5164" s="2"/>
      <c r="J5164" s="2">
        <v>45779</v>
      </c>
      <c r="K5164" s="2">
        <v>45786</v>
      </c>
    </row>
    <row r="5165" spans="1:11" x14ac:dyDescent="0.25">
      <c r="A5165" s="1" t="s">
        <v>852</v>
      </c>
      <c r="B5165" s="1" t="s">
        <v>1492</v>
      </c>
      <c r="C5165" s="1" t="s">
        <v>2429</v>
      </c>
      <c r="D5165" s="1" t="s">
        <v>1998</v>
      </c>
      <c r="E5165" s="1"/>
      <c r="F5165" s="1" t="s">
        <v>11</v>
      </c>
      <c r="G5165">
        <v>30</v>
      </c>
      <c r="H5165">
        <v>30</v>
      </c>
      <c r="I5165" s="2"/>
      <c r="J5165" s="2">
        <v>45779</v>
      </c>
      <c r="K5165" s="2">
        <v>45786</v>
      </c>
    </row>
    <row r="5166" spans="1:11" x14ac:dyDescent="0.25">
      <c r="A5166" s="1" t="s">
        <v>852</v>
      </c>
      <c r="B5166" s="1" t="s">
        <v>1493</v>
      </c>
      <c r="C5166" s="1" t="s">
        <v>2429</v>
      </c>
      <c r="D5166" s="1" t="s">
        <v>1998</v>
      </c>
      <c r="E5166" s="1"/>
      <c r="F5166" s="1" t="s">
        <v>11</v>
      </c>
      <c r="G5166">
        <v>35</v>
      </c>
      <c r="H5166">
        <v>35</v>
      </c>
      <c r="I5166" s="2"/>
      <c r="J5166" s="2">
        <v>45779</v>
      </c>
      <c r="K5166" s="2">
        <v>45786</v>
      </c>
    </row>
    <row r="5167" spans="1:11" x14ac:dyDescent="0.25">
      <c r="A5167" s="1" t="s">
        <v>852</v>
      </c>
      <c r="B5167" s="1" t="s">
        <v>1494</v>
      </c>
      <c r="C5167" s="1" t="s">
        <v>2430</v>
      </c>
      <c r="D5167" s="1" t="s">
        <v>1998</v>
      </c>
      <c r="E5167" s="1"/>
      <c r="F5167" s="1" t="s">
        <v>11</v>
      </c>
      <c r="G5167">
        <v>1</v>
      </c>
      <c r="H5167">
        <v>1</v>
      </c>
      <c r="I5167" s="2"/>
      <c r="J5167" s="2">
        <v>45779</v>
      </c>
      <c r="K5167" s="2">
        <v>45786</v>
      </c>
    </row>
    <row r="5168" spans="1:11" x14ac:dyDescent="0.25">
      <c r="A5168" s="1" t="s">
        <v>852</v>
      </c>
      <c r="B5168" s="1" t="s">
        <v>1495</v>
      </c>
      <c r="C5168" s="1" t="s">
        <v>2431</v>
      </c>
      <c r="D5168" s="1" t="s">
        <v>1998</v>
      </c>
      <c r="E5168" s="1"/>
      <c r="F5168" s="1" t="s">
        <v>11</v>
      </c>
      <c r="G5168">
        <v>1</v>
      </c>
      <c r="H5168">
        <v>1</v>
      </c>
      <c r="I5168" s="2"/>
      <c r="J5168" s="2">
        <v>45779</v>
      </c>
      <c r="K5168" s="2">
        <v>45786</v>
      </c>
    </row>
    <row r="5169" spans="1:11" x14ac:dyDescent="0.25">
      <c r="A5169" s="1" t="s">
        <v>852</v>
      </c>
      <c r="B5169" s="1" t="s">
        <v>1496</v>
      </c>
      <c r="C5169" s="1" t="s">
        <v>2432</v>
      </c>
      <c r="D5169" s="1" t="s">
        <v>1998</v>
      </c>
      <c r="E5169" s="1"/>
      <c r="F5169" s="1" t="s">
        <v>11</v>
      </c>
      <c r="G5169">
        <v>1</v>
      </c>
      <c r="H5169">
        <v>1</v>
      </c>
      <c r="I5169" s="2"/>
      <c r="J5169" s="2">
        <v>45779</v>
      </c>
      <c r="K5169" s="2">
        <v>45786</v>
      </c>
    </row>
    <row r="5170" spans="1:11" x14ac:dyDescent="0.25">
      <c r="A5170" s="1" t="s">
        <v>852</v>
      </c>
      <c r="B5170" s="1" t="s">
        <v>1497</v>
      </c>
      <c r="C5170" s="1" t="s">
        <v>2432</v>
      </c>
      <c r="D5170" s="1" t="s">
        <v>1998</v>
      </c>
      <c r="E5170" s="1"/>
      <c r="F5170" s="1" t="s">
        <v>11</v>
      </c>
      <c r="G5170">
        <v>1</v>
      </c>
      <c r="H5170">
        <v>1</v>
      </c>
      <c r="I5170" s="2"/>
      <c r="J5170" s="2">
        <v>45779</v>
      </c>
      <c r="K5170" s="2">
        <v>45786</v>
      </c>
    </row>
    <row r="5171" spans="1:11" x14ac:dyDescent="0.25">
      <c r="A5171" s="1" t="s">
        <v>852</v>
      </c>
      <c r="B5171" s="1" t="s">
        <v>1498</v>
      </c>
      <c r="C5171" s="1" t="s">
        <v>2433</v>
      </c>
      <c r="D5171" s="1" t="s">
        <v>1998</v>
      </c>
      <c r="E5171" s="1"/>
      <c r="F5171" s="1" t="s">
        <v>11</v>
      </c>
      <c r="G5171">
        <v>25</v>
      </c>
      <c r="H5171">
        <v>25</v>
      </c>
      <c r="I5171" s="2"/>
      <c r="J5171" s="2">
        <v>45779</v>
      </c>
      <c r="K5171" s="2">
        <v>45786</v>
      </c>
    </row>
    <row r="5172" spans="1:11" x14ac:dyDescent="0.25">
      <c r="A5172" s="1" t="s">
        <v>852</v>
      </c>
      <c r="B5172" s="1" t="s">
        <v>1499</v>
      </c>
      <c r="C5172" s="1" t="s">
        <v>2433</v>
      </c>
      <c r="D5172" s="1" t="s">
        <v>1998</v>
      </c>
      <c r="E5172" s="1"/>
      <c r="F5172" s="1" t="s">
        <v>11</v>
      </c>
      <c r="G5172">
        <v>20</v>
      </c>
      <c r="H5172">
        <v>25</v>
      </c>
      <c r="I5172" s="2"/>
      <c r="J5172" s="2">
        <v>45779</v>
      </c>
      <c r="K5172" s="2">
        <v>45786</v>
      </c>
    </row>
    <row r="5173" spans="1:11" x14ac:dyDescent="0.25">
      <c r="A5173" s="1" t="s">
        <v>852</v>
      </c>
      <c r="B5173" s="1" t="s">
        <v>993</v>
      </c>
      <c r="C5173" s="1" t="s">
        <v>2011</v>
      </c>
      <c r="D5173" s="1" t="s">
        <v>1998</v>
      </c>
      <c r="E5173" s="1"/>
      <c r="F5173" s="1" t="s">
        <v>11</v>
      </c>
      <c r="G5173">
        <v>1</v>
      </c>
      <c r="H5173">
        <v>1</v>
      </c>
      <c r="I5173" s="2"/>
      <c r="J5173" s="2">
        <v>45779</v>
      </c>
      <c r="K5173" s="2">
        <v>45786</v>
      </c>
    </row>
    <row r="5174" spans="1:11" x14ac:dyDescent="0.25">
      <c r="A5174" s="1" t="s">
        <v>853</v>
      </c>
      <c r="B5174" s="1" t="s">
        <v>1934</v>
      </c>
      <c r="C5174" s="1" t="s">
        <v>2767</v>
      </c>
      <c r="D5174" s="1" t="s">
        <v>1998</v>
      </c>
      <c r="E5174" s="1"/>
      <c r="F5174" s="1" t="s">
        <v>11</v>
      </c>
      <c r="G5174">
        <v>1405</v>
      </c>
      <c r="H5174">
        <v>1405</v>
      </c>
      <c r="I5174" s="2">
        <v>45787</v>
      </c>
      <c r="J5174" s="2">
        <v>45782</v>
      </c>
      <c r="K5174" s="2">
        <v>45787</v>
      </c>
    </row>
    <row r="5175" spans="1:11" x14ac:dyDescent="0.25">
      <c r="A5175" s="1" t="s">
        <v>853</v>
      </c>
      <c r="B5175" s="1" t="s">
        <v>1935</v>
      </c>
      <c r="C5175" s="1" t="s">
        <v>2768</v>
      </c>
      <c r="D5175" s="1" t="s">
        <v>1998</v>
      </c>
      <c r="E5175" s="1"/>
      <c r="F5175" s="1" t="s">
        <v>11</v>
      </c>
      <c r="G5175">
        <v>1405</v>
      </c>
      <c r="H5175">
        <v>1405</v>
      </c>
      <c r="I5175" s="2">
        <v>45787</v>
      </c>
      <c r="J5175" s="2">
        <v>45782</v>
      </c>
      <c r="K5175" s="2">
        <v>45787</v>
      </c>
    </row>
    <row r="5176" spans="1:11" x14ac:dyDescent="0.25">
      <c r="A5176" s="1" t="s">
        <v>853</v>
      </c>
      <c r="B5176" s="1" t="s">
        <v>1936</v>
      </c>
      <c r="C5176" s="1" t="s">
        <v>2769</v>
      </c>
      <c r="D5176" s="1" t="s">
        <v>1998</v>
      </c>
      <c r="E5176" s="1"/>
      <c r="F5176" s="1" t="s">
        <v>11</v>
      </c>
      <c r="G5176">
        <v>35</v>
      </c>
      <c r="H5176">
        <v>35</v>
      </c>
      <c r="I5176" s="2">
        <v>45787</v>
      </c>
      <c r="J5176" s="2">
        <v>45782</v>
      </c>
      <c r="K5176" s="2">
        <v>45787</v>
      </c>
    </row>
    <row r="5177" spans="1:11" x14ac:dyDescent="0.25">
      <c r="A5177" s="1" t="s">
        <v>853</v>
      </c>
      <c r="B5177" s="1" t="s">
        <v>1937</v>
      </c>
      <c r="C5177" s="1" t="s">
        <v>2766</v>
      </c>
      <c r="D5177" s="1" t="s">
        <v>1998</v>
      </c>
      <c r="E5177" s="1"/>
      <c r="F5177" s="1" t="s">
        <v>11</v>
      </c>
      <c r="G5177">
        <v>830</v>
      </c>
      <c r="H5177">
        <v>830</v>
      </c>
      <c r="I5177" s="2">
        <v>45787</v>
      </c>
      <c r="J5177" s="2">
        <v>45782</v>
      </c>
      <c r="K5177" s="2">
        <v>45787</v>
      </c>
    </row>
    <row r="5178" spans="1:11" x14ac:dyDescent="0.25">
      <c r="A5178" s="1" t="s">
        <v>853</v>
      </c>
      <c r="B5178" s="1" t="s">
        <v>1938</v>
      </c>
      <c r="C5178" s="1" t="s">
        <v>2770</v>
      </c>
      <c r="D5178" s="1" t="s">
        <v>1998</v>
      </c>
      <c r="E5178" s="1"/>
      <c r="F5178" s="1" t="s">
        <v>11</v>
      </c>
      <c r="G5178">
        <v>290</v>
      </c>
      <c r="H5178">
        <v>290</v>
      </c>
      <c r="I5178" s="2">
        <v>45787</v>
      </c>
      <c r="J5178" s="2">
        <v>45782</v>
      </c>
      <c r="K5178" s="2">
        <v>45787</v>
      </c>
    </row>
    <row r="5179" spans="1:11" x14ac:dyDescent="0.25">
      <c r="A5179" s="1" t="s">
        <v>854</v>
      </c>
      <c r="B5179" s="1" t="s">
        <v>1934</v>
      </c>
      <c r="C5179" s="1" t="s">
        <v>2767</v>
      </c>
      <c r="D5179" s="1" t="s">
        <v>1998</v>
      </c>
      <c r="E5179" s="1"/>
      <c r="F5179" s="1" t="s">
        <v>11</v>
      </c>
      <c r="G5179">
        <v>1405</v>
      </c>
      <c r="H5179">
        <v>1405</v>
      </c>
      <c r="I5179" s="2">
        <v>45787</v>
      </c>
      <c r="J5179" s="2">
        <v>45782</v>
      </c>
      <c r="K5179" s="2">
        <v>45787</v>
      </c>
    </row>
    <row r="5180" spans="1:11" x14ac:dyDescent="0.25">
      <c r="A5180" s="1" t="s">
        <v>854</v>
      </c>
      <c r="B5180" s="1" t="s">
        <v>1935</v>
      </c>
      <c r="C5180" s="1" t="s">
        <v>2768</v>
      </c>
      <c r="D5180" s="1" t="s">
        <v>1998</v>
      </c>
      <c r="E5180" s="1"/>
      <c r="F5180" s="1" t="s">
        <v>11</v>
      </c>
      <c r="G5180">
        <v>1405</v>
      </c>
      <c r="H5180">
        <v>1405</v>
      </c>
      <c r="I5180" s="2">
        <v>45787</v>
      </c>
      <c r="J5180" s="2">
        <v>45782</v>
      </c>
      <c r="K5180" s="2">
        <v>45787</v>
      </c>
    </row>
    <row r="5181" spans="1:11" x14ac:dyDescent="0.25">
      <c r="A5181" s="1" t="s">
        <v>854</v>
      </c>
      <c r="B5181" s="1" t="s">
        <v>1936</v>
      </c>
      <c r="C5181" s="1" t="s">
        <v>2769</v>
      </c>
      <c r="D5181" s="1" t="s">
        <v>1998</v>
      </c>
      <c r="E5181" s="1"/>
      <c r="F5181" s="1" t="s">
        <v>11</v>
      </c>
      <c r="G5181">
        <v>35</v>
      </c>
      <c r="H5181">
        <v>35</v>
      </c>
      <c r="I5181" s="2">
        <v>45787</v>
      </c>
      <c r="J5181" s="2">
        <v>45782</v>
      </c>
      <c r="K5181" s="2">
        <v>45787</v>
      </c>
    </row>
    <row r="5182" spans="1:11" x14ac:dyDescent="0.25">
      <c r="A5182" s="1" t="s">
        <v>854</v>
      </c>
      <c r="B5182" s="1" t="s">
        <v>1937</v>
      </c>
      <c r="C5182" s="1" t="s">
        <v>2766</v>
      </c>
      <c r="D5182" s="1" t="s">
        <v>1998</v>
      </c>
      <c r="E5182" s="1"/>
      <c r="F5182" s="1" t="s">
        <v>11</v>
      </c>
      <c r="G5182">
        <v>830</v>
      </c>
      <c r="H5182">
        <v>830</v>
      </c>
      <c r="I5182" s="2">
        <v>45787</v>
      </c>
      <c r="J5182" s="2">
        <v>45782</v>
      </c>
      <c r="K5182" s="2">
        <v>45787</v>
      </c>
    </row>
    <row r="5183" spans="1:11" x14ac:dyDescent="0.25">
      <c r="A5183" s="1" t="s">
        <v>854</v>
      </c>
      <c r="B5183" s="1" t="s">
        <v>1938</v>
      </c>
      <c r="C5183" s="1" t="s">
        <v>2770</v>
      </c>
      <c r="D5183" s="1" t="s">
        <v>1998</v>
      </c>
      <c r="E5183" s="1"/>
      <c r="F5183" s="1" t="s">
        <v>11</v>
      </c>
      <c r="G5183">
        <v>290</v>
      </c>
      <c r="H5183">
        <v>290</v>
      </c>
      <c r="I5183" s="2">
        <v>45787</v>
      </c>
      <c r="J5183" s="2">
        <v>45782</v>
      </c>
      <c r="K5183" s="2">
        <v>45787</v>
      </c>
    </row>
    <row r="5184" spans="1:11" x14ac:dyDescent="0.25">
      <c r="A5184" s="1" t="s">
        <v>855</v>
      </c>
      <c r="B5184" s="1" t="s">
        <v>1934</v>
      </c>
      <c r="C5184" s="1" t="s">
        <v>2767</v>
      </c>
      <c r="D5184" s="1" t="s">
        <v>1998</v>
      </c>
      <c r="E5184" s="1"/>
      <c r="F5184" s="1" t="s">
        <v>11</v>
      </c>
      <c r="G5184">
        <v>1405</v>
      </c>
      <c r="H5184">
        <v>1405</v>
      </c>
      <c r="I5184" s="2">
        <v>45780</v>
      </c>
      <c r="J5184" s="2">
        <v>45779</v>
      </c>
      <c r="K5184" s="2">
        <v>45780</v>
      </c>
    </row>
    <row r="5185" spans="1:11" x14ac:dyDescent="0.25">
      <c r="A5185" s="1" t="s">
        <v>855</v>
      </c>
      <c r="B5185" s="1" t="s">
        <v>1935</v>
      </c>
      <c r="C5185" s="1" t="s">
        <v>2768</v>
      </c>
      <c r="D5185" s="1" t="s">
        <v>1998</v>
      </c>
      <c r="E5185" s="1"/>
      <c r="F5185" s="1" t="s">
        <v>11</v>
      </c>
      <c r="G5185">
        <v>1405</v>
      </c>
      <c r="H5185">
        <v>1405</v>
      </c>
      <c r="I5185" s="2">
        <v>45780</v>
      </c>
      <c r="J5185" s="2">
        <v>45779</v>
      </c>
      <c r="K5185" s="2">
        <v>45780</v>
      </c>
    </row>
    <row r="5186" spans="1:11" x14ac:dyDescent="0.25">
      <c r="A5186" s="1" t="s">
        <v>855</v>
      </c>
      <c r="B5186" s="1" t="s">
        <v>1936</v>
      </c>
      <c r="C5186" s="1" t="s">
        <v>2769</v>
      </c>
      <c r="D5186" s="1" t="s">
        <v>1998</v>
      </c>
      <c r="E5186" s="1"/>
      <c r="F5186" s="1" t="s">
        <v>11</v>
      </c>
      <c r="G5186">
        <v>35</v>
      </c>
      <c r="H5186">
        <v>35</v>
      </c>
      <c r="I5186" s="2">
        <v>45780</v>
      </c>
      <c r="J5186" s="2">
        <v>45779</v>
      </c>
      <c r="K5186" s="2">
        <v>45780</v>
      </c>
    </row>
    <row r="5187" spans="1:11" x14ac:dyDescent="0.25">
      <c r="A5187" s="1" t="s">
        <v>855</v>
      </c>
      <c r="B5187" s="1" t="s">
        <v>1937</v>
      </c>
      <c r="C5187" s="1" t="s">
        <v>2766</v>
      </c>
      <c r="D5187" s="1" t="s">
        <v>1998</v>
      </c>
      <c r="E5187" s="1"/>
      <c r="F5187" s="1" t="s">
        <v>11</v>
      </c>
      <c r="G5187">
        <v>830</v>
      </c>
      <c r="H5187">
        <v>830</v>
      </c>
      <c r="I5187" s="2">
        <v>45780</v>
      </c>
      <c r="J5187" s="2">
        <v>45779</v>
      </c>
      <c r="K5187" s="2">
        <v>45780</v>
      </c>
    </row>
    <row r="5188" spans="1:11" x14ac:dyDescent="0.25">
      <c r="A5188" s="1" t="s">
        <v>855</v>
      </c>
      <c r="B5188" s="1" t="s">
        <v>1938</v>
      </c>
      <c r="C5188" s="1" t="s">
        <v>2770</v>
      </c>
      <c r="D5188" s="1" t="s">
        <v>1998</v>
      </c>
      <c r="E5188" s="1"/>
      <c r="F5188" s="1" t="s">
        <v>11</v>
      </c>
      <c r="G5188">
        <v>290</v>
      </c>
      <c r="H5188">
        <v>290</v>
      </c>
      <c r="I5188" s="2">
        <v>45780</v>
      </c>
      <c r="J5188" s="2">
        <v>45779</v>
      </c>
      <c r="K5188" s="2">
        <v>45780</v>
      </c>
    </row>
    <row r="5189" spans="1:11" x14ac:dyDescent="0.25">
      <c r="A5189" s="1" t="s">
        <v>856</v>
      </c>
      <c r="B5189" s="1" t="s">
        <v>1934</v>
      </c>
      <c r="C5189" s="1" t="s">
        <v>2767</v>
      </c>
      <c r="D5189" s="1" t="s">
        <v>1998</v>
      </c>
      <c r="E5189" s="1"/>
      <c r="F5189" s="1" t="s">
        <v>11</v>
      </c>
      <c r="G5189">
        <v>1405</v>
      </c>
      <c r="H5189">
        <v>1405</v>
      </c>
      <c r="I5189" s="2">
        <v>45787</v>
      </c>
      <c r="J5189" s="2">
        <v>45782</v>
      </c>
      <c r="K5189" s="2">
        <v>45787</v>
      </c>
    </row>
    <row r="5190" spans="1:11" x14ac:dyDescent="0.25">
      <c r="A5190" s="1" t="s">
        <v>856</v>
      </c>
      <c r="B5190" s="1" t="s">
        <v>1935</v>
      </c>
      <c r="C5190" s="1" t="s">
        <v>2768</v>
      </c>
      <c r="D5190" s="1" t="s">
        <v>1998</v>
      </c>
      <c r="E5190" s="1"/>
      <c r="F5190" s="1" t="s">
        <v>11</v>
      </c>
      <c r="G5190">
        <v>1405</v>
      </c>
      <c r="H5190">
        <v>1405</v>
      </c>
      <c r="I5190" s="2">
        <v>45787</v>
      </c>
      <c r="J5190" s="2">
        <v>45782</v>
      </c>
      <c r="K5190" s="2">
        <v>45787</v>
      </c>
    </row>
    <row r="5191" spans="1:11" x14ac:dyDescent="0.25">
      <c r="A5191" s="1" t="s">
        <v>856</v>
      </c>
      <c r="B5191" s="1" t="s">
        <v>1936</v>
      </c>
      <c r="C5191" s="1" t="s">
        <v>2769</v>
      </c>
      <c r="D5191" s="1" t="s">
        <v>1998</v>
      </c>
      <c r="E5191" s="1"/>
      <c r="F5191" s="1" t="s">
        <v>11</v>
      </c>
      <c r="G5191">
        <v>35</v>
      </c>
      <c r="H5191">
        <v>35</v>
      </c>
      <c r="I5191" s="2">
        <v>45787</v>
      </c>
      <c r="J5191" s="2">
        <v>45782</v>
      </c>
      <c r="K5191" s="2">
        <v>45787</v>
      </c>
    </row>
    <row r="5192" spans="1:11" x14ac:dyDescent="0.25">
      <c r="A5192" s="1" t="s">
        <v>856</v>
      </c>
      <c r="B5192" s="1" t="s">
        <v>1937</v>
      </c>
      <c r="C5192" s="1" t="s">
        <v>2766</v>
      </c>
      <c r="D5192" s="1" t="s">
        <v>1998</v>
      </c>
      <c r="E5192" s="1"/>
      <c r="F5192" s="1" t="s">
        <v>11</v>
      </c>
      <c r="G5192">
        <v>830</v>
      </c>
      <c r="H5192">
        <v>830</v>
      </c>
      <c r="I5192" s="2">
        <v>45787</v>
      </c>
      <c r="J5192" s="2">
        <v>45782</v>
      </c>
      <c r="K5192" s="2">
        <v>45787</v>
      </c>
    </row>
    <row r="5193" spans="1:11" x14ac:dyDescent="0.25">
      <c r="A5193" s="1" t="s">
        <v>856</v>
      </c>
      <c r="B5193" s="1" t="s">
        <v>1938</v>
      </c>
      <c r="C5193" s="1" t="s">
        <v>2770</v>
      </c>
      <c r="D5193" s="1" t="s">
        <v>1998</v>
      </c>
      <c r="E5193" s="1"/>
      <c r="F5193" s="1" t="s">
        <v>11</v>
      </c>
      <c r="G5193">
        <v>290</v>
      </c>
      <c r="H5193">
        <v>290</v>
      </c>
      <c r="I5193" s="2">
        <v>45787</v>
      </c>
      <c r="J5193" s="2">
        <v>45782</v>
      </c>
      <c r="K5193" s="2">
        <v>45787</v>
      </c>
    </row>
    <row r="5194" spans="1:11" x14ac:dyDescent="0.25">
      <c r="A5194" s="1" t="s">
        <v>857</v>
      </c>
      <c r="B5194" s="1" t="s">
        <v>1934</v>
      </c>
      <c r="C5194" s="1" t="s">
        <v>2767</v>
      </c>
      <c r="D5194" s="1" t="s">
        <v>1998</v>
      </c>
      <c r="E5194" s="1"/>
      <c r="F5194" s="1" t="s">
        <v>11</v>
      </c>
      <c r="G5194">
        <v>1405</v>
      </c>
      <c r="H5194">
        <v>1405</v>
      </c>
      <c r="I5194" s="2">
        <v>45780</v>
      </c>
      <c r="J5194" s="2">
        <v>45779</v>
      </c>
      <c r="K5194" s="2">
        <v>45780</v>
      </c>
    </row>
    <row r="5195" spans="1:11" x14ac:dyDescent="0.25">
      <c r="A5195" s="1" t="s">
        <v>857</v>
      </c>
      <c r="B5195" s="1" t="s">
        <v>1935</v>
      </c>
      <c r="C5195" s="1" t="s">
        <v>2768</v>
      </c>
      <c r="D5195" s="1" t="s">
        <v>1998</v>
      </c>
      <c r="E5195" s="1"/>
      <c r="F5195" s="1" t="s">
        <v>11</v>
      </c>
      <c r="G5195">
        <v>1405</v>
      </c>
      <c r="H5195">
        <v>1405</v>
      </c>
      <c r="I5195" s="2">
        <v>45780</v>
      </c>
      <c r="J5195" s="2">
        <v>45779</v>
      </c>
      <c r="K5195" s="2">
        <v>45780</v>
      </c>
    </row>
    <row r="5196" spans="1:11" x14ac:dyDescent="0.25">
      <c r="A5196" s="1" t="s">
        <v>857</v>
      </c>
      <c r="B5196" s="1" t="s">
        <v>1936</v>
      </c>
      <c r="C5196" s="1" t="s">
        <v>2769</v>
      </c>
      <c r="D5196" s="1" t="s">
        <v>1998</v>
      </c>
      <c r="E5196" s="1"/>
      <c r="F5196" s="1" t="s">
        <v>11</v>
      </c>
      <c r="G5196">
        <v>35</v>
      </c>
      <c r="H5196">
        <v>35</v>
      </c>
      <c r="I5196" s="2">
        <v>45780</v>
      </c>
      <c r="J5196" s="2">
        <v>45779</v>
      </c>
      <c r="K5196" s="2">
        <v>45780</v>
      </c>
    </row>
    <row r="5197" spans="1:11" x14ac:dyDescent="0.25">
      <c r="A5197" s="1" t="s">
        <v>857</v>
      </c>
      <c r="B5197" s="1" t="s">
        <v>1937</v>
      </c>
      <c r="C5197" s="1" t="s">
        <v>2766</v>
      </c>
      <c r="D5197" s="1" t="s">
        <v>1998</v>
      </c>
      <c r="E5197" s="1"/>
      <c r="F5197" s="1" t="s">
        <v>11</v>
      </c>
      <c r="G5197">
        <v>830</v>
      </c>
      <c r="H5197">
        <v>830</v>
      </c>
      <c r="I5197" s="2">
        <v>45780</v>
      </c>
      <c r="J5197" s="2">
        <v>45779</v>
      </c>
      <c r="K5197" s="2">
        <v>45780</v>
      </c>
    </row>
    <row r="5198" spans="1:11" x14ac:dyDescent="0.25">
      <c r="A5198" s="1" t="s">
        <v>857</v>
      </c>
      <c r="B5198" s="1" t="s">
        <v>1938</v>
      </c>
      <c r="C5198" s="1" t="s">
        <v>2770</v>
      </c>
      <c r="D5198" s="1" t="s">
        <v>1998</v>
      </c>
      <c r="E5198" s="1"/>
      <c r="F5198" s="1" t="s">
        <v>11</v>
      </c>
      <c r="G5198">
        <v>290</v>
      </c>
      <c r="H5198">
        <v>290</v>
      </c>
      <c r="I5198" s="2">
        <v>45780</v>
      </c>
      <c r="J5198" s="2">
        <v>45779</v>
      </c>
      <c r="K5198" s="2">
        <v>45780</v>
      </c>
    </row>
    <row r="5199" spans="1:11" x14ac:dyDescent="0.25">
      <c r="A5199" s="1" t="s">
        <v>858</v>
      </c>
      <c r="B5199" s="1" t="s">
        <v>1934</v>
      </c>
      <c r="C5199" s="1" t="s">
        <v>2767</v>
      </c>
      <c r="D5199" s="1" t="s">
        <v>1998</v>
      </c>
      <c r="E5199" s="1"/>
      <c r="F5199" s="1" t="s">
        <v>11</v>
      </c>
      <c r="G5199">
        <v>1405</v>
      </c>
      <c r="H5199">
        <v>1405</v>
      </c>
      <c r="I5199" s="2">
        <v>45780</v>
      </c>
      <c r="J5199" s="2">
        <v>45779</v>
      </c>
      <c r="K5199" s="2">
        <v>45780</v>
      </c>
    </row>
    <row r="5200" spans="1:11" x14ac:dyDescent="0.25">
      <c r="A5200" s="1" t="s">
        <v>858</v>
      </c>
      <c r="B5200" s="1" t="s">
        <v>1935</v>
      </c>
      <c r="C5200" s="1" t="s">
        <v>2768</v>
      </c>
      <c r="D5200" s="1" t="s">
        <v>1998</v>
      </c>
      <c r="E5200" s="1"/>
      <c r="F5200" s="1" t="s">
        <v>11</v>
      </c>
      <c r="G5200">
        <v>1405</v>
      </c>
      <c r="H5200">
        <v>1405</v>
      </c>
      <c r="I5200" s="2">
        <v>45780</v>
      </c>
      <c r="J5200" s="2">
        <v>45779</v>
      </c>
      <c r="K5200" s="2">
        <v>45780</v>
      </c>
    </row>
    <row r="5201" spans="1:11" x14ac:dyDescent="0.25">
      <c r="A5201" s="1" t="s">
        <v>858</v>
      </c>
      <c r="B5201" s="1" t="s">
        <v>1936</v>
      </c>
      <c r="C5201" s="1" t="s">
        <v>2769</v>
      </c>
      <c r="D5201" s="1" t="s">
        <v>1998</v>
      </c>
      <c r="E5201" s="1"/>
      <c r="F5201" s="1" t="s">
        <v>11</v>
      </c>
      <c r="G5201">
        <v>35</v>
      </c>
      <c r="H5201">
        <v>35</v>
      </c>
      <c r="I5201" s="2">
        <v>45780</v>
      </c>
      <c r="J5201" s="2">
        <v>45779</v>
      </c>
      <c r="K5201" s="2">
        <v>45780</v>
      </c>
    </row>
    <row r="5202" spans="1:11" x14ac:dyDescent="0.25">
      <c r="A5202" s="1" t="s">
        <v>858</v>
      </c>
      <c r="B5202" s="1" t="s">
        <v>1937</v>
      </c>
      <c r="C5202" s="1" t="s">
        <v>2766</v>
      </c>
      <c r="D5202" s="1" t="s">
        <v>1998</v>
      </c>
      <c r="E5202" s="1"/>
      <c r="F5202" s="1" t="s">
        <v>11</v>
      </c>
      <c r="G5202">
        <v>830</v>
      </c>
      <c r="H5202">
        <v>830</v>
      </c>
      <c r="I5202" s="2">
        <v>45780</v>
      </c>
      <c r="J5202" s="2">
        <v>45779</v>
      </c>
      <c r="K5202" s="2">
        <v>45780</v>
      </c>
    </row>
    <row r="5203" spans="1:11" x14ac:dyDescent="0.25">
      <c r="A5203" s="1" t="s">
        <v>858</v>
      </c>
      <c r="B5203" s="1" t="s">
        <v>1938</v>
      </c>
      <c r="C5203" s="1" t="s">
        <v>2770</v>
      </c>
      <c r="D5203" s="1" t="s">
        <v>1998</v>
      </c>
      <c r="E5203" s="1"/>
      <c r="F5203" s="1" t="s">
        <v>11</v>
      </c>
      <c r="G5203">
        <v>290</v>
      </c>
      <c r="H5203">
        <v>290</v>
      </c>
      <c r="I5203" s="2">
        <v>45780</v>
      </c>
      <c r="J5203" s="2">
        <v>45779</v>
      </c>
      <c r="K5203" s="2">
        <v>45780</v>
      </c>
    </row>
    <row r="5204" spans="1:11" x14ac:dyDescent="0.25">
      <c r="A5204" s="1" t="s">
        <v>859</v>
      </c>
      <c r="B5204" s="1" t="s">
        <v>1934</v>
      </c>
      <c r="C5204" s="1" t="s">
        <v>2767</v>
      </c>
      <c r="D5204" s="1" t="s">
        <v>1998</v>
      </c>
      <c r="E5204" s="1"/>
      <c r="F5204" s="1" t="s">
        <v>11</v>
      </c>
      <c r="G5204">
        <v>1405</v>
      </c>
      <c r="H5204">
        <v>1405</v>
      </c>
      <c r="I5204" s="2">
        <v>45780</v>
      </c>
      <c r="J5204" s="2">
        <v>45779</v>
      </c>
      <c r="K5204" s="2">
        <v>45780</v>
      </c>
    </row>
    <row r="5205" spans="1:11" x14ac:dyDescent="0.25">
      <c r="A5205" s="1" t="s">
        <v>859</v>
      </c>
      <c r="B5205" s="1" t="s">
        <v>1935</v>
      </c>
      <c r="C5205" s="1" t="s">
        <v>2768</v>
      </c>
      <c r="D5205" s="1" t="s">
        <v>1998</v>
      </c>
      <c r="E5205" s="1"/>
      <c r="F5205" s="1" t="s">
        <v>11</v>
      </c>
      <c r="G5205">
        <v>1405</v>
      </c>
      <c r="H5205">
        <v>1405</v>
      </c>
      <c r="I5205" s="2">
        <v>45780</v>
      </c>
      <c r="J5205" s="2">
        <v>45779</v>
      </c>
      <c r="K5205" s="2">
        <v>45780</v>
      </c>
    </row>
    <row r="5206" spans="1:11" x14ac:dyDescent="0.25">
      <c r="A5206" s="1" t="s">
        <v>859</v>
      </c>
      <c r="B5206" s="1" t="s">
        <v>1936</v>
      </c>
      <c r="C5206" s="1" t="s">
        <v>2769</v>
      </c>
      <c r="D5206" s="1" t="s">
        <v>1998</v>
      </c>
      <c r="E5206" s="1"/>
      <c r="F5206" s="1" t="s">
        <v>11</v>
      </c>
      <c r="G5206">
        <v>35</v>
      </c>
      <c r="H5206">
        <v>35</v>
      </c>
      <c r="I5206" s="2">
        <v>45780</v>
      </c>
      <c r="J5206" s="2">
        <v>45779</v>
      </c>
      <c r="K5206" s="2">
        <v>45780</v>
      </c>
    </row>
    <row r="5207" spans="1:11" x14ac:dyDescent="0.25">
      <c r="A5207" s="1" t="s">
        <v>859</v>
      </c>
      <c r="B5207" s="1" t="s">
        <v>1937</v>
      </c>
      <c r="C5207" s="1" t="s">
        <v>2766</v>
      </c>
      <c r="D5207" s="1" t="s">
        <v>1998</v>
      </c>
      <c r="E5207" s="1"/>
      <c r="F5207" s="1" t="s">
        <v>11</v>
      </c>
      <c r="G5207">
        <v>830</v>
      </c>
      <c r="H5207">
        <v>830</v>
      </c>
      <c r="I5207" s="2">
        <v>45780</v>
      </c>
      <c r="J5207" s="2">
        <v>45779</v>
      </c>
      <c r="K5207" s="2">
        <v>45780</v>
      </c>
    </row>
    <row r="5208" spans="1:11" x14ac:dyDescent="0.25">
      <c r="A5208" s="1" t="s">
        <v>859</v>
      </c>
      <c r="B5208" s="1" t="s">
        <v>1938</v>
      </c>
      <c r="C5208" s="1" t="s">
        <v>2770</v>
      </c>
      <c r="D5208" s="1" t="s">
        <v>1998</v>
      </c>
      <c r="E5208" s="1"/>
      <c r="F5208" s="1" t="s">
        <v>11</v>
      </c>
      <c r="G5208">
        <v>290</v>
      </c>
      <c r="H5208">
        <v>290</v>
      </c>
      <c r="I5208" s="2">
        <v>45780</v>
      </c>
      <c r="J5208" s="2">
        <v>45779</v>
      </c>
      <c r="K5208" s="2">
        <v>45780</v>
      </c>
    </row>
    <row r="5209" spans="1:11" x14ac:dyDescent="0.25">
      <c r="A5209" s="1" t="s">
        <v>860</v>
      </c>
      <c r="B5209" s="1" t="s">
        <v>1934</v>
      </c>
      <c r="C5209" s="1" t="s">
        <v>2767</v>
      </c>
      <c r="D5209" s="1" t="s">
        <v>1998</v>
      </c>
      <c r="E5209" s="1"/>
      <c r="F5209" s="1" t="s">
        <v>11</v>
      </c>
      <c r="G5209">
        <v>1405</v>
      </c>
      <c r="H5209">
        <v>1405</v>
      </c>
      <c r="I5209" s="2">
        <v>45787</v>
      </c>
      <c r="J5209" s="2">
        <v>45782</v>
      </c>
      <c r="K5209" s="2">
        <v>45787</v>
      </c>
    </row>
    <row r="5210" spans="1:11" x14ac:dyDescent="0.25">
      <c r="A5210" s="1" t="s">
        <v>860</v>
      </c>
      <c r="B5210" s="1" t="s">
        <v>1935</v>
      </c>
      <c r="C5210" s="1" t="s">
        <v>2768</v>
      </c>
      <c r="D5210" s="1" t="s">
        <v>1998</v>
      </c>
      <c r="E5210" s="1"/>
      <c r="F5210" s="1" t="s">
        <v>11</v>
      </c>
      <c r="G5210">
        <v>1405</v>
      </c>
      <c r="H5210">
        <v>1405</v>
      </c>
      <c r="I5210" s="2">
        <v>45787</v>
      </c>
      <c r="J5210" s="2">
        <v>45782</v>
      </c>
      <c r="K5210" s="2">
        <v>45787</v>
      </c>
    </row>
    <row r="5211" spans="1:11" x14ac:dyDescent="0.25">
      <c r="A5211" s="1" t="s">
        <v>860</v>
      </c>
      <c r="B5211" s="1" t="s">
        <v>1936</v>
      </c>
      <c r="C5211" s="1" t="s">
        <v>2769</v>
      </c>
      <c r="D5211" s="1" t="s">
        <v>1998</v>
      </c>
      <c r="E5211" s="1"/>
      <c r="F5211" s="1" t="s">
        <v>11</v>
      </c>
      <c r="G5211">
        <v>35</v>
      </c>
      <c r="H5211">
        <v>35</v>
      </c>
      <c r="I5211" s="2">
        <v>45787</v>
      </c>
      <c r="J5211" s="2">
        <v>45782</v>
      </c>
      <c r="K5211" s="2">
        <v>45787</v>
      </c>
    </row>
    <row r="5212" spans="1:11" x14ac:dyDescent="0.25">
      <c r="A5212" s="1" t="s">
        <v>860</v>
      </c>
      <c r="B5212" s="1" t="s">
        <v>1937</v>
      </c>
      <c r="C5212" s="1" t="s">
        <v>2766</v>
      </c>
      <c r="D5212" s="1" t="s">
        <v>1998</v>
      </c>
      <c r="E5212" s="1"/>
      <c r="F5212" s="1" t="s">
        <v>11</v>
      </c>
      <c r="G5212">
        <v>830</v>
      </c>
      <c r="H5212">
        <v>830</v>
      </c>
      <c r="I5212" s="2">
        <v>45787</v>
      </c>
      <c r="J5212" s="2">
        <v>45782</v>
      </c>
      <c r="K5212" s="2">
        <v>45787</v>
      </c>
    </row>
    <row r="5213" spans="1:11" x14ac:dyDescent="0.25">
      <c r="A5213" s="1" t="s">
        <v>860</v>
      </c>
      <c r="B5213" s="1" t="s">
        <v>1938</v>
      </c>
      <c r="C5213" s="1" t="s">
        <v>2770</v>
      </c>
      <c r="D5213" s="1" t="s">
        <v>1998</v>
      </c>
      <c r="E5213" s="1"/>
      <c r="F5213" s="1" t="s">
        <v>11</v>
      </c>
      <c r="G5213">
        <v>290</v>
      </c>
      <c r="H5213">
        <v>290</v>
      </c>
      <c r="I5213" s="2">
        <v>45787</v>
      </c>
      <c r="J5213" s="2">
        <v>45782</v>
      </c>
      <c r="K5213" s="2">
        <v>45787</v>
      </c>
    </row>
    <row r="5214" spans="1:11" x14ac:dyDescent="0.25">
      <c r="A5214" s="1" t="s">
        <v>861</v>
      </c>
      <c r="B5214" s="1" t="s">
        <v>1264</v>
      </c>
      <c r="C5214" s="1" t="s">
        <v>2241</v>
      </c>
      <c r="D5214" s="1" t="s">
        <v>1998</v>
      </c>
      <c r="E5214" s="1"/>
      <c r="F5214" s="1" t="s">
        <v>11</v>
      </c>
      <c r="G5214">
        <v>25</v>
      </c>
      <c r="H5214">
        <v>25</v>
      </c>
      <c r="I5214" s="2"/>
      <c r="J5214" s="2">
        <v>45785</v>
      </c>
      <c r="K5214" s="2">
        <v>45786</v>
      </c>
    </row>
    <row r="5215" spans="1:11" x14ac:dyDescent="0.25">
      <c r="A5215" s="1" t="s">
        <v>861</v>
      </c>
      <c r="B5215" s="1" t="s">
        <v>1265</v>
      </c>
      <c r="C5215" s="1" t="s">
        <v>2242</v>
      </c>
      <c r="D5215" s="1" t="s">
        <v>1998</v>
      </c>
      <c r="E5215" s="1"/>
      <c r="F5215" s="1" t="s">
        <v>11</v>
      </c>
      <c r="G5215">
        <v>5</v>
      </c>
      <c r="H5215">
        <v>1</v>
      </c>
      <c r="I5215" s="2"/>
      <c r="J5215" s="2">
        <v>45785</v>
      </c>
      <c r="K5215" s="2">
        <v>45786</v>
      </c>
    </row>
    <row r="5216" spans="1:11" x14ac:dyDescent="0.25">
      <c r="A5216" s="1" t="s">
        <v>861</v>
      </c>
      <c r="B5216" s="1" t="s">
        <v>1246</v>
      </c>
      <c r="C5216" s="1" t="s">
        <v>2228</v>
      </c>
      <c r="D5216" s="1" t="s">
        <v>1998</v>
      </c>
      <c r="E5216" s="1"/>
      <c r="F5216" s="1" t="s">
        <v>12</v>
      </c>
      <c r="G5216">
        <v>1</v>
      </c>
      <c r="H5216">
        <v>1</v>
      </c>
      <c r="I5216" s="2"/>
      <c r="J5216" s="2">
        <v>45785</v>
      </c>
      <c r="K5216" s="2">
        <v>45786</v>
      </c>
    </row>
    <row r="5217" spans="1:11" x14ac:dyDescent="0.25">
      <c r="A5217" s="1" t="s">
        <v>861</v>
      </c>
      <c r="B5217" s="1" t="s">
        <v>1206</v>
      </c>
      <c r="C5217" s="1" t="s">
        <v>2196</v>
      </c>
      <c r="D5217" s="1" t="s">
        <v>1998</v>
      </c>
      <c r="E5217" s="1"/>
      <c r="F5217" s="1" t="s">
        <v>11</v>
      </c>
      <c r="G5217">
        <v>1</v>
      </c>
      <c r="H5217">
        <v>1</v>
      </c>
      <c r="I5217" s="2"/>
      <c r="J5217" s="2">
        <v>45785</v>
      </c>
      <c r="K5217" s="2">
        <v>45786</v>
      </c>
    </row>
    <row r="5218" spans="1:11" x14ac:dyDescent="0.25">
      <c r="A5218" s="1" t="s">
        <v>861</v>
      </c>
      <c r="B5218" s="1" t="s">
        <v>1939</v>
      </c>
      <c r="C5218" s="1" t="s">
        <v>2771</v>
      </c>
      <c r="D5218" s="1" t="s">
        <v>1998</v>
      </c>
      <c r="E5218" s="1"/>
      <c r="F5218" s="1" t="s">
        <v>11</v>
      </c>
      <c r="G5218">
        <v>1</v>
      </c>
      <c r="H5218">
        <v>1</v>
      </c>
      <c r="I5218" s="2"/>
      <c r="J5218" s="2">
        <v>45785</v>
      </c>
      <c r="K5218" s="2">
        <v>45786</v>
      </c>
    </row>
    <row r="5219" spans="1:11" x14ac:dyDescent="0.25">
      <c r="A5219" s="1" t="s">
        <v>862</v>
      </c>
      <c r="B5219" s="1" t="s">
        <v>1940</v>
      </c>
      <c r="C5219" s="1" t="s">
        <v>2772</v>
      </c>
      <c r="D5219" s="1" t="s">
        <v>1998</v>
      </c>
      <c r="E5219" s="1"/>
      <c r="F5219" s="1" t="s">
        <v>11</v>
      </c>
      <c r="G5219">
        <v>175</v>
      </c>
      <c r="H5219">
        <v>175</v>
      </c>
      <c r="I5219" s="2"/>
      <c r="J5219" s="2">
        <v>45783</v>
      </c>
      <c r="K5219" s="2">
        <v>45783</v>
      </c>
    </row>
    <row r="5220" spans="1:11" x14ac:dyDescent="0.25">
      <c r="A5220" s="1" t="s">
        <v>862</v>
      </c>
      <c r="B5220" s="1" t="s">
        <v>1229</v>
      </c>
      <c r="C5220" s="1" t="s">
        <v>2213</v>
      </c>
      <c r="D5220" s="1" t="s">
        <v>1998</v>
      </c>
      <c r="E5220" s="1"/>
      <c r="F5220" s="1" t="s">
        <v>11</v>
      </c>
      <c r="G5220">
        <v>5</v>
      </c>
      <c r="H5220">
        <v>5</v>
      </c>
      <c r="I5220" s="2"/>
      <c r="J5220" s="2">
        <v>45783</v>
      </c>
      <c r="K5220" s="2">
        <v>45783</v>
      </c>
    </row>
    <row r="5221" spans="1:11" x14ac:dyDescent="0.25">
      <c r="A5221" s="1" t="s">
        <v>862</v>
      </c>
      <c r="B5221" s="1" t="s">
        <v>1231</v>
      </c>
      <c r="C5221" s="1" t="s">
        <v>2215</v>
      </c>
      <c r="D5221" s="1" t="s">
        <v>1998</v>
      </c>
      <c r="E5221" s="1"/>
      <c r="F5221" s="1" t="s">
        <v>11</v>
      </c>
      <c r="G5221">
        <v>1</v>
      </c>
      <c r="H5221">
        <v>1</v>
      </c>
      <c r="I5221" s="2"/>
      <c r="J5221" s="2">
        <v>45783</v>
      </c>
      <c r="K5221" s="2">
        <v>45783</v>
      </c>
    </row>
    <row r="5222" spans="1:11" x14ac:dyDescent="0.25">
      <c r="A5222" s="1" t="s">
        <v>862</v>
      </c>
      <c r="B5222" s="1" t="s">
        <v>1234</v>
      </c>
      <c r="C5222" s="1" t="s">
        <v>2218</v>
      </c>
      <c r="D5222" s="1" t="s">
        <v>1998</v>
      </c>
      <c r="E5222" s="1"/>
      <c r="F5222" s="1" t="s">
        <v>11</v>
      </c>
      <c r="G5222">
        <v>1</v>
      </c>
      <c r="H5222">
        <v>1</v>
      </c>
      <c r="I5222" s="2"/>
      <c r="J5222" s="2">
        <v>45783</v>
      </c>
      <c r="K5222" s="2">
        <v>45783</v>
      </c>
    </row>
    <row r="5223" spans="1:11" x14ac:dyDescent="0.25">
      <c r="A5223" s="1" t="s">
        <v>862</v>
      </c>
      <c r="B5223" s="1" t="s">
        <v>1571</v>
      </c>
      <c r="C5223" s="1" t="s">
        <v>2492</v>
      </c>
      <c r="D5223" s="1" t="s">
        <v>1998</v>
      </c>
      <c r="E5223" s="1"/>
      <c r="F5223" s="1" t="s">
        <v>11</v>
      </c>
      <c r="G5223">
        <v>1</v>
      </c>
      <c r="H5223">
        <v>1</v>
      </c>
      <c r="I5223" s="2"/>
      <c r="J5223" s="2">
        <v>45783</v>
      </c>
      <c r="K5223" s="2">
        <v>45783</v>
      </c>
    </row>
    <row r="5224" spans="1:11" x14ac:dyDescent="0.25">
      <c r="A5224" s="1" t="s">
        <v>863</v>
      </c>
      <c r="B5224" s="1" t="s">
        <v>1940</v>
      </c>
      <c r="C5224" s="1" t="s">
        <v>2772</v>
      </c>
      <c r="D5224" s="1" t="s">
        <v>1998</v>
      </c>
      <c r="E5224" s="1"/>
      <c r="F5224" s="1" t="s">
        <v>11</v>
      </c>
      <c r="G5224">
        <v>175</v>
      </c>
      <c r="H5224">
        <v>175</v>
      </c>
      <c r="I5224" s="2"/>
      <c r="J5224" s="2">
        <v>45784</v>
      </c>
      <c r="K5224" s="2">
        <v>45789</v>
      </c>
    </row>
    <row r="5225" spans="1:11" x14ac:dyDescent="0.25">
      <c r="A5225" s="1" t="s">
        <v>863</v>
      </c>
      <c r="B5225" s="1" t="s">
        <v>1229</v>
      </c>
      <c r="C5225" s="1" t="s">
        <v>2213</v>
      </c>
      <c r="D5225" s="1" t="s">
        <v>1998</v>
      </c>
      <c r="E5225" s="1"/>
      <c r="F5225" s="1" t="s">
        <v>11</v>
      </c>
      <c r="G5225">
        <v>5</v>
      </c>
      <c r="H5225">
        <v>5</v>
      </c>
      <c r="I5225" s="2"/>
      <c r="J5225" s="2">
        <v>45784</v>
      </c>
      <c r="K5225" s="2">
        <v>45789</v>
      </c>
    </row>
    <row r="5226" spans="1:11" x14ac:dyDescent="0.25">
      <c r="A5226" s="1" t="s">
        <v>863</v>
      </c>
      <c r="B5226" s="1" t="s">
        <v>1231</v>
      </c>
      <c r="C5226" s="1" t="s">
        <v>2215</v>
      </c>
      <c r="D5226" s="1" t="s">
        <v>1998</v>
      </c>
      <c r="E5226" s="1"/>
      <c r="F5226" s="1" t="s">
        <v>11</v>
      </c>
      <c r="G5226">
        <v>1</v>
      </c>
      <c r="H5226">
        <v>1</v>
      </c>
      <c r="I5226" s="2"/>
      <c r="J5226" s="2">
        <v>45784</v>
      </c>
      <c r="K5226" s="2">
        <v>45789</v>
      </c>
    </row>
    <row r="5227" spans="1:11" x14ac:dyDescent="0.25">
      <c r="A5227" s="1" t="s">
        <v>863</v>
      </c>
      <c r="B5227" s="1" t="s">
        <v>1234</v>
      </c>
      <c r="C5227" s="1" t="s">
        <v>2218</v>
      </c>
      <c r="D5227" s="1" t="s">
        <v>1998</v>
      </c>
      <c r="E5227" s="1"/>
      <c r="F5227" s="1" t="s">
        <v>11</v>
      </c>
      <c r="G5227">
        <v>1</v>
      </c>
      <c r="H5227">
        <v>1</v>
      </c>
      <c r="I5227" s="2"/>
      <c r="J5227" s="2">
        <v>45784</v>
      </c>
      <c r="K5227" s="2">
        <v>45789</v>
      </c>
    </row>
    <row r="5228" spans="1:11" x14ac:dyDescent="0.25">
      <c r="A5228" s="1" t="s">
        <v>863</v>
      </c>
      <c r="B5228" s="1" t="s">
        <v>1571</v>
      </c>
      <c r="C5228" s="1" t="s">
        <v>2492</v>
      </c>
      <c r="D5228" s="1" t="s">
        <v>1998</v>
      </c>
      <c r="E5228" s="1"/>
      <c r="F5228" s="1" t="s">
        <v>11</v>
      </c>
      <c r="G5228">
        <v>1</v>
      </c>
      <c r="H5228">
        <v>1</v>
      </c>
      <c r="I5228" s="2"/>
      <c r="J5228" s="2">
        <v>45784</v>
      </c>
      <c r="K5228" s="2">
        <v>45789</v>
      </c>
    </row>
    <row r="5229" spans="1:11" x14ac:dyDescent="0.25">
      <c r="A5229" s="1" t="s">
        <v>864</v>
      </c>
      <c r="B5229" s="1" t="s">
        <v>981</v>
      </c>
      <c r="C5229" s="1" t="s">
        <v>1999</v>
      </c>
      <c r="D5229" s="1" t="s">
        <v>1998</v>
      </c>
      <c r="E5229" s="1"/>
      <c r="F5229" s="1" t="s">
        <v>11</v>
      </c>
      <c r="G5229">
        <v>1785</v>
      </c>
      <c r="H5229">
        <v>1790</v>
      </c>
      <c r="I5229" s="2"/>
      <c r="J5229" s="2">
        <v>45779</v>
      </c>
      <c r="K5229" s="2">
        <v>45785</v>
      </c>
    </row>
    <row r="5230" spans="1:11" x14ac:dyDescent="0.25">
      <c r="A5230" s="1" t="s">
        <v>864</v>
      </c>
      <c r="B5230" s="1" t="s">
        <v>982</v>
      </c>
      <c r="C5230" s="1" t="s">
        <v>2000</v>
      </c>
      <c r="D5230" s="1" t="s">
        <v>1998</v>
      </c>
      <c r="E5230" s="1"/>
      <c r="F5230" s="1" t="s">
        <v>11</v>
      </c>
      <c r="G5230">
        <v>1870</v>
      </c>
      <c r="H5230">
        <v>1885</v>
      </c>
      <c r="I5230" s="2"/>
      <c r="J5230" s="2">
        <v>45779</v>
      </c>
      <c r="K5230" s="2">
        <v>45785</v>
      </c>
    </row>
    <row r="5231" spans="1:11" x14ac:dyDescent="0.25">
      <c r="A5231" s="1" t="s">
        <v>864</v>
      </c>
      <c r="B5231" s="1" t="s">
        <v>983</v>
      </c>
      <c r="C5231" s="1" t="s">
        <v>2001</v>
      </c>
      <c r="D5231" s="1" t="s">
        <v>1998</v>
      </c>
      <c r="E5231" s="1"/>
      <c r="F5231" s="1" t="s">
        <v>11</v>
      </c>
      <c r="G5231">
        <v>1990</v>
      </c>
      <c r="H5231">
        <v>1990</v>
      </c>
      <c r="I5231" s="2"/>
      <c r="J5231" s="2">
        <v>45779</v>
      </c>
      <c r="K5231" s="2">
        <v>45785</v>
      </c>
    </row>
    <row r="5232" spans="1:11" x14ac:dyDescent="0.25">
      <c r="A5232" s="1" t="s">
        <v>864</v>
      </c>
      <c r="B5232" s="1" t="s">
        <v>983</v>
      </c>
      <c r="C5232" s="1" t="s">
        <v>2001</v>
      </c>
      <c r="D5232" s="1" t="s">
        <v>1998</v>
      </c>
      <c r="E5232" s="1"/>
      <c r="F5232" s="1" t="s">
        <v>16</v>
      </c>
      <c r="G5232">
        <v>40</v>
      </c>
      <c r="H5232">
        <v>40</v>
      </c>
      <c r="I5232" s="2"/>
      <c r="J5232" s="2">
        <v>45779</v>
      </c>
      <c r="K5232" s="2">
        <v>45785</v>
      </c>
    </row>
    <row r="5233" spans="1:11" x14ac:dyDescent="0.25">
      <c r="A5233" s="1" t="s">
        <v>864</v>
      </c>
      <c r="B5233" s="1" t="s">
        <v>984</v>
      </c>
      <c r="C5233" s="1" t="s">
        <v>2002</v>
      </c>
      <c r="D5233" s="1" t="s">
        <v>1998</v>
      </c>
      <c r="E5233" s="1"/>
      <c r="F5233" s="1" t="s">
        <v>11</v>
      </c>
      <c r="G5233">
        <v>1115</v>
      </c>
      <c r="H5233">
        <v>1125</v>
      </c>
      <c r="I5233" s="2"/>
      <c r="J5233" s="2">
        <v>45779</v>
      </c>
      <c r="K5233" s="2">
        <v>45785</v>
      </c>
    </row>
    <row r="5234" spans="1:11" x14ac:dyDescent="0.25">
      <c r="A5234" s="1" t="s">
        <v>865</v>
      </c>
      <c r="B5234" s="1" t="s">
        <v>1592</v>
      </c>
      <c r="C5234" s="1" t="s">
        <v>2510</v>
      </c>
      <c r="D5234" s="1" t="s">
        <v>1998</v>
      </c>
      <c r="E5234" s="1"/>
      <c r="F5234" s="1" t="s">
        <v>11</v>
      </c>
      <c r="G5234">
        <v>620</v>
      </c>
      <c r="H5234">
        <v>620</v>
      </c>
      <c r="I5234" s="2"/>
      <c r="J5234" s="2">
        <v>45783</v>
      </c>
      <c r="K5234" s="2">
        <v>45785</v>
      </c>
    </row>
    <row r="5235" spans="1:11" x14ac:dyDescent="0.25">
      <c r="A5235" s="1" t="s">
        <v>865</v>
      </c>
      <c r="B5235" s="1" t="s">
        <v>1592</v>
      </c>
      <c r="C5235" s="1" t="s">
        <v>2510</v>
      </c>
      <c r="D5235" s="1" t="s">
        <v>1998</v>
      </c>
      <c r="E5235" s="1"/>
      <c r="F5235" s="1" t="s">
        <v>11</v>
      </c>
      <c r="G5235">
        <v>1</v>
      </c>
      <c r="H5235">
        <v>1</v>
      </c>
      <c r="I5235" s="2"/>
      <c r="J5235" s="2">
        <v>45783</v>
      </c>
      <c r="K5235" s="2">
        <v>45785</v>
      </c>
    </row>
    <row r="5236" spans="1:11" x14ac:dyDescent="0.25">
      <c r="A5236" s="1" t="s">
        <v>865</v>
      </c>
      <c r="B5236" s="1" t="s">
        <v>1593</v>
      </c>
      <c r="C5236" s="1" t="s">
        <v>2511</v>
      </c>
      <c r="D5236" s="1" t="s">
        <v>1998</v>
      </c>
      <c r="E5236" s="1"/>
      <c r="F5236" s="1" t="s">
        <v>11</v>
      </c>
      <c r="G5236">
        <v>250</v>
      </c>
      <c r="H5236">
        <v>250</v>
      </c>
      <c r="I5236" s="2"/>
      <c r="J5236" s="2">
        <v>45783</v>
      </c>
      <c r="K5236" s="2">
        <v>45785</v>
      </c>
    </row>
    <row r="5237" spans="1:11" x14ac:dyDescent="0.25">
      <c r="A5237" s="1" t="s">
        <v>865</v>
      </c>
      <c r="B5237" s="1" t="s">
        <v>1593</v>
      </c>
      <c r="C5237" s="1" t="s">
        <v>2511</v>
      </c>
      <c r="D5237" s="1" t="s">
        <v>1998</v>
      </c>
      <c r="E5237" s="1"/>
      <c r="F5237" s="1" t="s">
        <v>11</v>
      </c>
      <c r="G5237">
        <v>10</v>
      </c>
      <c r="H5237">
        <v>10</v>
      </c>
      <c r="I5237" s="2"/>
      <c r="J5237" s="2">
        <v>45783</v>
      </c>
      <c r="K5237" s="2">
        <v>45785</v>
      </c>
    </row>
    <row r="5238" spans="1:11" x14ac:dyDescent="0.25">
      <c r="A5238" s="1" t="s">
        <v>865</v>
      </c>
      <c r="B5238" s="1" t="s">
        <v>1594</v>
      </c>
      <c r="C5238" s="1" t="s">
        <v>2512</v>
      </c>
      <c r="D5238" s="1" t="s">
        <v>1998</v>
      </c>
      <c r="E5238" s="1"/>
      <c r="F5238" s="1" t="s">
        <v>11</v>
      </c>
      <c r="G5238">
        <v>280</v>
      </c>
      <c r="H5238">
        <v>280</v>
      </c>
      <c r="I5238" s="2"/>
      <c r="J5238" s="2">
        <v>45783</v>
      </c>
      <c r="K5238" s="2">
        <v>45785</v>
      </c>
    </row>
    <row r="5239" spans="1:11" x14ac:dyDescent="0.25">
      <c r="A5239" s="1" t="s">
        <v>865</v>
      </c>
      <c r="B5239" s="1" t="s">
        <v>1594</v>
      </c>
      <c r="C5239" s="1" t="s">
        <v>2512</v>
      </c>
      <c r="D5239" s="1" t="s">
        <v>1998</v>
      </c>
      <c r="E5239" s="1"/>
      <c r="F5239" s="1" t="s">
        <v>11</v>
      </c>
      <c r="G5239">
        <v>20</v>
      </c>
      <c r="H5239">
        <v>20</v>
      </c>
      <c r="I5239" s="2"/>
      <c r="J5239" s="2">
        <v>45783</v>
      </c>
      <c r="K5239" s="2">
        <v>45785</v>
      </c>
    </row>
    <row r="5240" spans="1:11" x14ac:dyDescent="0.25">
      <c r="A5240" s="1" t="s">
        <v>865</v>
      </c>
      <c r="B5240" s="1" t="s">
        <v>1595</v>
      </c>
      <c r="C5240" s="1" t="s">
        <v>2513</v>
      </c>
      <c r="D5240" s="1" t="s">
        <v>1998</v>
      </c>
      <c r="E5240" s="1"/>
      <c r="F5240" s="1" t="s">
        <v>11</v>
      </c>
      <c r="G5240">
        <v>635</v>
      </c>
      <c r="H5240">
        <v>635</v>
      </c>
      <c r="I5240" s="2"/>
      <c r="J5240" s="2">
        <v>45783</v>
      </c>
      <c r="K5240" s="2">
        <v>45785</v>
      </c>
    </row>
    <row r="5241" spans="1:11" x14ac:dyDescent="0.25">
      <c r="A5241" s="1" t="s">
        <v>865</v>
      </c>
      <c r="B5241" s="1" t="s">
        <v>1596</v>
      </c>
      <c r="C5241" s="1" t="s">
        <v>2514</v>
      </c>
      <c r="D5241" s="1" t="s">
        <v>1998</v>
      </c>
      <c r="E5241" s="1"/>
      <c r="F5241" s="1" t="s">
        <v>11</v>
      </c>
      <c r="G5241">
        <v>505</v>
      </c>
      <c r="H5241">
        <v>505</v>
      </c>
      <c r="I5241" s="2"/>
      <c r="J5241" s="2">
        <v>45783</v>
      </c>
      <c r="K5241" s="2">
        <v>45785</v>
      </c>
    </row>
    <row r="5242" spans="1:11" x14ac:dyDescent="0.25">
      <c r="A5242" s="1" t="s">
        <v>865</v>
      </c>
      <c r="B5242" s="1" t="s">
        <v>1596</v>
      </c>
      <c r="C5242" s="1" t="s">
        <v>2514</v>
      </c>
      <c r="D5242" s="1" t="s">
        <v>1998</v>
      </c>
      <c r="E5242" s="1"/>
      <c r="F5242" s="1" t="s">
        <v>11</v>
      </c>
      <c r="G5242">
        <v>1</v>
      </c>
      <c r="H5242">
        <v>1</v>
      </c>
      <c r="I5242" s="2"/>
      <c r="J5242" s="2">
        <v>45783</v>
      </c>
      <c r="K5242" s="2">
        <v>45785</v>
      </c>
    </row>
    <row r="5243" spans="1:11" x14ac:dyDescent="0.25">
      <c r="A5243" s="1" t="s">
        <v>866</v>
      </c>
      <c r="B5243" s="1" t="s">
        <v>1515</v>
      </c>
      <c r="C5243" s="1" t="s">
        <v>2448</v>
      </c>
      <c r="D5243" s="1" t="s">
        <v>1998</v>
      </c>
      <c r="E5243" s="1"/>
      <c r="F5243" s="1" t="s">
        <v>11</v>
      </c>
      <c r="G5243">
        <v>265</v>
      </c>
      <c r="H5243">
        <v>265</v>
      </c>
      <c r="I5243" s="2"/>
      <c r="J5243" s="2">
        <v>45782</v>
      </c>
      <c r="K5243" s="2">
        <v>45782</v>
      </c>
    </row>
    <row r="5244" spans="1:11" x14ac:dyDescent="0.25">
      <c r="A5244" s="1" t="s">
        <v>866</v>
      </c>
      <c r="B5244" s="1" t="s">
        <v>1518</v>
      </c>
      <c r="C5244" s="1" t="s">
        <v>2451</v>
      </c>
      <c r="D5244" s="1" t="s">
        <v>1998</v>
      </c>
      <c r="E5244" s="1"/>
      <c r="F5244" s="1" t="s">
        <v>11</v>
      </c>
      <c r="G5244">
        <v>65</v>
      </c>
      <c r="H5244">
        <v>165</v>
      </c>
      <c r="I5244" s="2"/>
      <c r="J5244" s="2">
        <v>45782</v>
      </c>
      <c r="K5244" s="2">
        <v>45782</v>
      </c>
    </row>
    <row r="5245" spans="1:11" x14ac:dyDescent="0.25">
      <c r="A5245" s="1" t="s">
        <v>866</v>
      </c>
      <c r="B5245" s="1" t="s">
        <v>1519</v>
      </c>
      <c r="C5245" s="1" t="s">
        <v>2451</v>
      </c>
      <c r="D5245" s="1" t="s">
        <v>1998</v>
      </c>
      <c r="E5245" s="1"/>
      <c r="F5245" s="1" t="s">
        <v>11</v>
      </c>
      <c r="G5245">
        <v>820</v>
      </c>
      <c r="H5245">
        <v>870</v>
      </c>
      <c r="I5245" s="2"/>
      <c r="J5245" s="2">
        <v>45782</v>
      </c>
      <c r="K5245" s="2">
        <v>45782</v>
      </c>
    </row>
    <row r="5246" spans="1:11" x14ac:dyDescent="0.25">
      <c r="A5246" s="1" t="s">
        <v>866</v>
      </c>
      <c r="B5246" s="1" t="s">
        <v>1941</v>
      </c>
      <c r="C5246" s="1" t="s">
        <v>2773</v>
      </c>
      <c r="D5246" s="1" t="s">
        <v>1998</v>
      </c>
      <c r="E5246" s="1"/>
      <c r="F5246" s="1" t="s">
        <v>11</v>
      </c>
      <c r="G5246">
        <v>1100</v>
      </c>
      <c r="H5246">
        <v>1100</v>
      </c>
      <c r="I5246" s="2"/>
      <c r="J5246" s="2">
        <v>45782</v>
      </c>
      <c r="K5246" s="2">
        <v>45782</v>
      </c>
    </row>
    <row r="5247" spans="1:11" x14ac:dyDescent="0.25">
      <c r="A5247" s="1" t="s">
        <v>866</v>
      </c>
      <c r="B5247" s="1" t="s">
        <v>1520</v>
      </c>
      <c r="C5247" s="1" t="s">
        <v>2452</v>
      </c>
      <c r="D5247" s="1" t="s">
        <v>1998</v>
      </c>
      <c r="E5247" s="1"/>
      <c r="F5247" s="1" t="s">
        <v>11</v>
      </c>
      <c r="G5247">
        <v>405</v>
      </c>
      <c r="H5247">
        <v>405</v>
      </c>
      <c r="I5247" s="2"/>
      <c r="J5247" s="2">
        <v>45782</v>
      </c>
      <c r="K5247" s="2">
        <v>45782</v>
      </c>
    </row>
    <row r="5248" spans="1:11" x14ac:dyDescent="0.25">
      <c r="A5248" s="1" t="s">
        <v>866</v>
      </c>
      <c r="B5248" s="1" t="s">
        <v>1942</v>
      </c>
      <c r="C5248" s="1" t="s">
        <v>2774</v>
      </c>
      <c r="D5248" s="1" t="s">
        <v>1998</v>
      </c>
      <c r="E5248" s="1"/>
      <c r="F5248" s="1" t="s">
        <v>11</v>
      </c>
      <c r="G5248">
        <v>1570</v>
      </c>
      <c r="H5248">
        <v>1570</v>
      </c>
      <c r="I5248" s="2"/>
      <c r="J5248" s="2">
        <v>45782</v>
      </c>
      <c r="K5248" s="2">
        <v>45782</v>
      </c>
    </row>
    <row r="5249" spans="1:11" x14ac:dyDescent="0.25">
      <c r="A5249" s="1" t="s">
        <v>866</v>
      </c>
      <c r="B5249" s="1" t="s">
        <v>1521</v>
      </c>
      <c r="C5249" s="1" t="s">
        <v>2453</v>
      </c>
      <c r="D5249" s="1" t="s">
        <v>1998</v>
      </c>
      <c r="E5249" s="1"/>
      <c r="F5249" s="1" t="s">
        <v>11</v>
      </c>
      <c r="G5249">
        <v>615</v>
      </c>
      <c r="H5249">
        <v>615</v>
      </c>
      <c r="I5249" s="2"/>
      <c r="J5249" s="2">
        <v>45782</v>
      </c>
      <c r="K5249" s="2">
        <v>45782</v>
      </c>
    </row>
    <row r="5250" spans="1:11" x14ac:dyDescent="0.25">
      <c r="A5250" s="1" t="s">
        <v>867</v>
      </c>
      <c r="B5250" s="1" t="s">
        <v>1003</v>
      </c>
      <c r="C5250" s="1" t="s">
        <v>2021</v>
      </c>
      <c r="D5250" s="1" t="s">
        <v>1998</v>
      </c>
      <c r="E5250" s="1"/>
      <c r="F5250" s="1" t="s">
        <v>11</v>
      </c>
      <c r="G5250">
        <v>5575</v>
      </c>
      <c r="H5250">
        <v>5635</v>
      </c>
      <c r="I5250" s="2"/>
      <c r="J5250" s="2">
        <v>45783</v>
      </c>
      <c r="K5250" s="2">
        <v>45789</v>
      </c>
    </row>
    <row r="5251" spans="1:11" x14ac:dyDescent="0.25">
      <c r="A5251" s="1" t="s">
        <v>868</v>
      </c>
      <c r="B5251" s="1" t="s">
        <v>1003</v>
      </c>
      <c r="C5251" s="1" t="s">
        <v>2021</v>
      </c>
      <c r="D5251" s="1" t="s">
        <v>1998</v>
      </c>
      <c r="E5251" s="1"/>
      <c r="F5251" s="1" t="s">
        <v>11</v>
      </c>
      <c r="G5251">
        <v>4335</v>
      </c>
      <c r="H5251">
        <v>4335</v>
      </c>
      <c r="I5251" s="2"/>
      <c r="J5251" s="2">
        <v>45783</v>
      </c>
      <c r="K5251" s="2">
        <v>45789</v>
      </c>
    </row>
    <row r="5252" spans="1:11" x14ac:dyDescent="0.25">
      <c r="A5252" s="1" t="s">
        <v>869</v>
      </c>
      <c r="B5252" s="1" t="s">
        <v>1943</v>
      </c>
      <c r="C5252" s="1" t="s">
        <v>2124</v>
      </c>
      <c r="D5252" s="1" t="s">
        <v>1998</v>
      </c>
      <c r="E5252" s="1"/>
      <c r="F5252" s="1" t="s">
        <v>11</v>
      </c>
      <c r="G5252">
        <v>2355</v>
      </c>
      <c r="H5252">
        <v>2355</v>
      </c>
      <c r="I5252" s="2"/>
      <c r="J5252" s="2">
        <v>45779</v>
      </c>
      <c r="K5252" s="2">
        <v>45785</v>
      </c>
    </row>
    <row r="5253" spans="1:11" x14ac:dyDescent="0.25">
      <c r="A5253" s="1" t="s">
        <v>869</v>
      </c>
      <c r="B5253" s="1" t="s">
        <v>1943</v>
      </c>
      <c r="C5253" s="1" t="s">
        <v>2124</v>
      </c>
      <c r="D5253" s="1" t="s">
        <v>1998</v>
      </c>
      <c r="E5253" s="1"/>
      <c r="F5253" s="1" t="s">
        <v>11</v>
      </c>
      <c r="G5253">
        <v>55</v>
      </c>
      <c r="H5253">
        <v>55</v>
      </c>
      <c r="I5253" s="2"/>
      <c r="J5253" s="2">
        <v>45779</v>
      </c>
      <c r="K5253" s="2">
        <v>45785</v>
      </c>
    </row>
    <row r="5254" spans="1:11" x14ac:dyDescent="0.25">
      <c r="A5254" s="1" t="s">
        <v>869</v>
      </c>
      <c r="B5254" s="1" t="s">
        <v>1944</v>
      </c>
      <c r="C5254" s="1" t="s">
        <v>2745</v>
      </c>
      <c r="D5254" s="1" t="s">
        <v>1998</v>
      </c>
      <c r="E5254" s="1"/>
      <c r="F5254" s="1" t="s">
        <v>11</v>
      </c>
      <c r="G5254">
        <v>2410</v>
      </c>
      <c r="H5254">
        <v>2410</v>
      </c>
      <c r="I5254" s="2"/>
      <c r="J5254" s="2">
        <v>45779</v>
      </c>
      <c r="K5254" s="2">
        <v>45785</v>
      </c>
    </row>
    <row r="5255" spans="1:11" x14ac:dyDescent="0.25">
      <c r="A5255" s="1" t="s">
        <v>869</v>
      </c>
      <c r="B5255" s="1" t="s">
        <v>1945</v>
      </c>
      <c r="C5255" s="1" t="s">
        <v>2775</v>
      </c>
      <c r="D5255" s="1" t="s">
        <v>1998</v>
      </c>
      <c r="E5255" s="1"/>
      <c r="F5255" s="1" t="s">
        <v>11</v>
      </c>
      <c r="G5255">
        <v>1475</v>
      </c>
      <c r="H5255">
        <v>1475</v>
      </c>
      <c r="I5255" s="2"/>
      <c r="J5255" s="2">
        <v>45779</v>
      </c>
      <c r="K5255" s="2">
        <v>45785</v>
      </c>
    </row>
    <row r="5256" spans="1:11" x14ac:dyDescent="0.25">
      <c r="A5256" s="1" t="s">
        <v>869</v>
      </c>
      <c r="B5256" s="1" t="s">
        <v>1945</v>
      </c>
      <c r="C5256" s="1" t="s">
        <v>2775</v>
      </c>
      <c r="D5256" s="1" t="s">
        <v>1998</v>
      </c>
      <c r="E5256" s="1"/>
      <c r="F5256" s="1" t="s">
        <v>11</v>
      </c>
      <c r="G5256">
        <v>5</v>
      </c>
      <c r="H5256">
        <v>5</v>
      </c>
      <c r="I5256" s="2"/>
      <c r="J5256" s="2">
        <v>45779</v>
      </c>
      <c r="K5256" s="2">
        <v>45785</v>
      </c>
    </row>
    <row r="5257" spans="1:11" x14ac:dyDescent="0.25">
      <c r="A5257" s="1" t="s">
        <v>869</v>
      </c>
      <c r="B5257" s="1" t="s">
        <v>1126</v>
      </c>
      <c r="C5257" s="1" t="s">
        <v>2126</v>
      </c>
      <c r="D5257" s="1" t="s">
        <v>1998</v>
      </c>
      <c r="E5257" s="1"/>
      <c r="F5257" s="1" t="s">
        <v>11</v>
      </c>
      <c r="G5257">
        <v>115</v>
      </c>
      <c r="H5257">
        <v>115</v>
      </c>
      <c r="I5257" s="2"/>
      <c r="J5257" s="2">
        <v>45779</v>
      </c>
      <c r="K5257" s="2">
        <v>45785</v>
      </c>
    </row>
    <row r="5258" spans="1:11" x14ac:dyDescent="0.25">
      <c r="A5258" s="1" t="s">
        <v>869</v>
      </c>
      <c r="B5258" s="1" t="s">
        <v>1946</v>
      </c>
      <c r="C5258" s="1" t="s">
        <v>2127</v>
      </c>
      <c r="D5258" s="1" t="s">
        <v>1998</v>
      </c>
      <c r="E5258" s="1"/>
      <c r="F5258" s="1" t="s">
        <v>11</v>
      </c>
      <c r="G5258">
        <v>505</v>
      </c>
      <c r="H5258">
        <v>505</v>
      </c>
      <c r="I5258" s="2"/>
      <c r="J5258" s="2">
        <v>45779</v>
      </c>
      <c r="K5258" s="2">
        <v>45785</v>
      </c>
    </row>
    <row r="5259" spans="1:11" x14ac:dyDescent="0.25">
      <c r="A5259" s="1" t="s">
        <v>869</v>
      </c>
      <c r="B5259" s="1" t="s">
        <v>1946</v>
      </c>
      <c r="C5259" s="1" t="s">
        <v>2127</v>
      </c>
      <c r="D5259" s="1" t="s">
        <v>1998</v>
      </c>
      <c r="E5259" s="1"/>
      <c r="F5259" s="1" t="s">
        <v>11</v>
      </c>
      <c r="G5259">
        <v>5</v>
      </c>
      <c r="H5259">
        <v>5</v>
      </c>
      <c r="I5259" s="2"/>
      <c r="J5259" s="2">
        <v>45779</v>
      </c>
      <c r="K5259" s="2">
        <v>45785</v>
      </c>
    </row>
    <row r="5260" spans="1:11" x14ac:dyDescent="0.25">
      <c r="A5260" s="1" t="s">
        <v>869</v>
      </c>
      <c r="B5260" s="1" t="s">
        <v>1947</v>
      </c>
      <c r="C5260" s="1" t="s">
        <v>2064</v>
      </c>
      <c r="D5260" s="1" t="s">
        <v>1998</v>
      </c>
      <c r="E5260" s="1"/>
      <c r="F5260" s="1" t="s">
        <v>11</v>
      </c>
      <c r="G5260">
        <v>625</v>
      </c>
      <c r="H5260">
        <v>625</v>
      </c>
      <c r="I5260" s="2"/>
      <c r="J5260" s="2">
        <v>45779</v>
      </c>
      <c r="K5260" s="2">
        <v>45785</v>
      </c>
    </row>
    <row r="5261" spans="1:11" x14ac:dyDescent="0.25">
      <c r="A5261" s="1" t="s">
        <v>869</v>
      </c>
      <c r="B5261" s="1" t="s">
        <v>1948</v>
      </c>
      <c r="C5261" s="1" t="s">
        <v>2776</v>
      </c>
      <c r="D5261" s="1" t="s">
        <v>1998</v>
      </c>
      <c r="E5261" s="1"/>
      <c r="F5261" s="1" t="s">
        <v>11</v>
      </c>
      <c r="G5261">
        <v>420</v>
      </c>
      <c r="H5261">
        <v>420</v>
      </c>
      <c r="I5261" s="2"/>
      <c r="J5261" s="2">
        <v>45779</v>
      </c>
      <c r="K5261" s="2">
        <v>45785</v>
      </c>
    </row>
    <row r="5262" spans="1:11" x14ac:dyDescent="0.25">
      <c r="A5262" s="1" t="s">
        <v>869</v>
      </c>
      <c r="B5262" s="1" t="s">
        <v>1948</v>
      </c>
      <c r="C5262" s="1" t="s">
        <v>2776</v>
      </c>
      <c r="D5262" s="1" t="s">
        <v>1998</v>
      </c>
      <c r="E5262" s="1"/>
      <c r="F5262" s="1" t="s">
        <v>11</v>
      </c>
      <c r="G5262">
        <v>1</v>
      </c>
      <c r="H5262">
        <v>1</v>
      </c>
      <c r="I5262" s="2"/>
      <c r="J5262" s="2">
        <v>45779</v>
      </c>
      <c r="K5262" s="2">
        <v>45785</v>
      </c>
    </row>
    <row r="5263" spans="1:11" x14ac:dyDescent="0.25">
      <c r="A5263" s="1" t="s">
        <v>870</v>
      </c>
      <c r="B5263" s="1" t="s">
        <v>1277</v>
      </c>
      <c r="C5263" s="1" t="s">
        <v>2254</v>
      </c>
      <c r="D5263" s="1" t="s">
        <v>1998</v>
      </c>
      <c r="E5263" s="1"/>
      <c r="F5263" s="1" t="s">
        <v>11</v>
      </c>
      <c r="G5263">
        <v>360</v>
      </c>
      <c r="H5263">
        <v>385</v>
      </c>
      <c r="I5263" s="2"/>
      <c r="J5263" s="2">
        <v>45782</v>
      </c>
      <c r="K5263" s="2">
        <v>45784</v>
      </c>
    </row>
    <row r="5264" spans="1:11" x14ac:dyDescent="0.25">
      <c r="A5264" s="1" t="s">
        <v>870</v>
      </c>
      <c r="B5264" s="1" t="s">
        <v>1278</v>
      </c>
      <c r="C5264" s="1" t="s">
        <v>2255</v>
      </c>
      <c r="D5264" s="1" t="s">
        <v>1998</v>
      </c>
      <c r="E5264" s="1"/>
      <c r="F5264" s="1" t="s">
        <v>11</v>
      </c>
      <c r="G5264">
        <v>1190</v>
      </c>
      <c r="H5264">
        <v>1170</v>
      </c>
      <c r="I5264" s="2"/>
      <c r="J5264" s="2">
        <v>45782</v>
      </c>
      <c r="K5264" s="2">
        <v>45784</v>
      </c>
    </row>
    <row r="5265" spans="1:11" x14ac:dyDescent="0.25">
      <c r="A5265" s="1" t="s">
        <v>870</v>
      </c>
      <c r="B5265" s="1" t="s">
        <v>1206</v>
      </c>
      <c r="C5265" s="1" t="s">
        <v>2196</v>
      </c>
      <c r="D5265" s="1" t="s">
        <v>1998</v>
      </c>
      <c r="E5265" s="1"/>
      <c r="F5265" s="1" t="s">
        <v>11</v>
      </c>
      <c r="G5265">
        <v>5</v>
      </c>
      <c r="H5265">
        <v>5</v>
      </c>
      <c r="I5265" s="2"/>
      <c r="J5265" s="2">
        <v>45782</v>
      </c>
      <c r="K5265" s="2">
        <v>45784</v>
      </c>
    </row>
    <row r="5266" spans="1:11" x14ac:dyDescent="0.25">
      <c r="A5266" s="1" t="s">
        <v>870</v>
      </c>
      <c r="B5266" s="1" t="s">
        <v>1279</v>
      </c>
      <c r="C5266" s="1" t="s">
        <v>2256</v>
      </c>
      <c r="D5266" s="1" t="s">
        <v>1998</v>
      </c>
      <c r="E5266" s="1"/>
      <c r="F5266" s="1" t="s">
        <v>11</v>
      </c>
      <c r="G5266">
        <v>15</v>
      </c>
      <c r="H5266">
        <v>15</v>
      </c>
      <c r="I5266" s="2"/>
      <c r="J5266" s="2">
        <v>45782</v>
      </c>
      <c r="K5266" s="2">
        <v>45784</v>
      </c>
    </row>
    <row r="5267" spans="1:11" x14ac:dyDescent="0.25">
      <c r="A5267" s="1" t="s">
        <v>870</v>
      </c>
      <c r="B5267" s="1" t="s">
        <v>1280</v>
      </c>
      <c r="C5267" s="1" t="s">
        <v>2257</v>
      </c>
      <c r="D5267" s="1" t="s">
        <v>1998</v>
      </c>
      <c r="E5267" s="1"/>
      <c r="F5267" s="1" t="s">
        <v>11</v>
      </c>
      <c r="G5267">
        <v>5</v>
      </c>
      <c r="H5267">
        <v>5</v>
      </c>
      <c r="I5267" s="2"/>
      <c r="J5267" s="2">
        <v>45782</v>
      </c>
      <c r="K5267" s="2">
        <v>45784</v>
      </c>
    </row>
    <row r="5268" spans="1:11" x14ac:dyDescent="0.25">
      <c r="A5268" s="1" t="s">
        <v>871</v>
      </c>
      <c r="B5268" s="1" t="s">
        <v>1264</v>
      </c>
      <c r="C5268" s="1" t="s">
        <v>2241</v>
      </c>
      <c r="D5268" s="1" t="s">
        <v>1998</v>
      </c>
      <c r="E5268" s="1"/>
      <c r="F5268" s="1" t="s">
        <v>11</v>
      </c>
      <c r="G5268">
        <v>60</v>
      </c>
      <c r="H5268">
        <v>175</v>
      </c>
      <c r="I5268" s="2"/>
      <c r="J5268" s="2">
        <v>45784</v>
      </c>
      <c r="K5268" s="2">
        <v>45784</v>
      </c>
    </row>
    <row r="5269" spans="1:11" x14ac:dyDescent="0.25">
      <c r="A5269" s="1" t="s">
        <v>871</v>
      </c>
      <c r="B5269" s="1" t="s">
        <v>1265</v>
      </c>
      <c r="C5269" s="1" t="s">
        <v>2242</v>
      </c>
      <c r="D5269" s="1" t="s">
        <v>1998</v>
      </c>
      <c r="E5269" s="1"/>
      <c r="F5269" s="1" t="s">
        <v>11</v>
      </c>
      <c r="G5269">
        <v>1085</v>
      </c>
      <c r="H5269">
        <v>1</v>
      </c>
      <c r="I5269" s="2"/>
      <c r="J5269" s="2">
        <v>45784</v>
      </c>
      <c r="K5269" s="2">
        <v>45784</v>
      </c>
    </row>
    <row r="5270" spans="1:11" x14ac:dyDescent="0.25">
      <c r="A5270" s="1" t="s">
        <v>871</v>
      </c>
      <c r="B5270" s="1" t="s">
        <v>1265</v>
      </c>
      <c r="C5270" s="1" t="s">
        <v>2242</v>
      </c>
      <c r="D5270" s="1" t="s">
        <v>1998</v>
      </c>
      <c r="E5270" s="1"/>
      <c r="F5270" s="1" t="s">
        <v>12</v>
      </c>
      <c r="G5270">
        <v>1</v>
      </c>
      <c r="H5270">
        <v>935</v>
      </c>
      <c r="I5270" s="2"/>
      <c r="J5270" s="2">
        <v>45784</v>
      </c>
      <c r="K5270" s="2">
        <v>45784</v>
      </c>
    </row>
    <row r="5271" spans="1:11" x14ac:dyDescent="0.25">
      <c r="A5271" s="1" t="s">
        <v>871</v>
      </c>
      <c r="B5271" s="1" t="s">
        <v>1206</v>
      </c>
      <c r="C5271" s="1" t="s">
        <v>2196</v>
      </c>
      <c r="D5271" s="1" t="s">
        <v>1998</v>
      </c>
      <c r="E5271" s="1"/>
      <c r="F5271" s="1" t="s">
        <v>11</v>
      </c>
      <c r="G5271">
        <v>5</v>
      </c>
      <c r="H5271">
        <v>5</v>
      </c>
      <c r="I5271" s="2"/>
      <c r="J5271" s="2">
        <v>45784</v>
      </c>
      <c r="K5271" s="2">
        <v>45784</v>
      </c>
    </row>
    <row r="5272" spans="1:11" x14ac:dyDescent="0.25">
      <c r="A5272" s="1" t="s">
        <v>871</v>
      </c>
      <c r="B5272" s="1" t="s">
        <v>1207</v>
      </c>
      <c r="C5272" s="1" t="s">
        <v>2197</v>
      </c>
      <c r="D5272" s="1" t="s">
        <v>1998</v>
      </c>
      <c r="E5272" s="1"/>
      <c r="F5272" s="1" t="s">
        <v>11</v>
      </c>
      <c r="G5272">
        <v>20</v>
      </c>
      <c r="H5272">
        <v>20</v>
      </c>
      <c r="I5272" s="2"/>
      <c r="J5272" s="2">
        <v>45784</v>
      </c>
      <c r="K5272" s="2">
        <v>45784</v>
      </c>
    </row>
    <row r="5273" spans="1:11" x14ac:dyDescent="0.25">
      <c r="A5273" s="1" t="s">
        <v>871</v>
      </c>
      <c r="B5273" s="1" t="s">
        <v>1208</v>
      </c>
      <c r="C5273" s="1" t="s">
        <v>2198</v>
      </c>
      <c r="D5273" s="1" t="s">
        <v>1998</v>
      </c>
      <c r="E5273" s="1"/>
      <c r="F5273" s="1" t="s">
        <v>11</v>
      </c>
      <c r="G5273">
        <v>1</v>
      </c>
      <c r="H5273">
        <v>1</v>
      </c>
      <c r="I5273" s="2"/>
      <c r="J5273" s="2">
        <v>45784</v>
      </c>
      <c r="K5273" s="2">
        <v>45784</v>
      </c>
    </row>
    <row r="5274" spans="1:11" x14ac:dyDescent="0.25">
      <c r="A5274" s="1" t="s">
        <v>872</v>
      </c>
      <c r="B5274" s="1" t="s">
        <v>1949</v>
      </c>
      <c r="C5274" s="1" t="s">
        <v>2014</v>
      </c>
      <c r="D5274" s="1" t="s">
        <v>1998</v>
      </c>
      <c r="E5274" s="1"/>
      <c r="F5274" s="1" t="s">
        <v>11</v>
      </c>
      <c r="G5274">
        <v>515</v>
      </c>
      <c r="H5274">
        <v>515</v>
      </c>
      <c r="I5274" s="2"/>
      <c r="J5274" s="2">
        <v>45779</v>
      </c>
      <c r="K5274" s="2">
        <v>45789</v>
      </c>
    </row>
    <row r="5275" spans="1:11" x14ac:dyDescent="0.25">
      <c r="A5275" s="1" t="s">
        <v>872</v>
      </c>
      <c r="B5275" s="1" t="s">
        <v>1950</v>
      </c>
      <c r="C5275" s="1" t="s">
        <v>2777</v>
      </c>
      <c r="D5275" s="1" t="s">
        <v>1998</v>
      </c>
      <c r="E5275" s="1"/>
      <c r="F5275" s="1" t="s">
        <v>11</v>
      </c>
      <c r="G5275">
        <v>35</v>
      </c>
      <c r="H5275">
        <v>35</v>
      </c>
      <c r="I5275" s="2"/>
      <c r="J5275" s="2">
        <v>45779</v>
      </c>
      <c r="K5275" s="2">
        <v>45789</v>
      </c>
    </row>
    <row r="5276" spans="1:11" x14ac:dyDescent="0.25">
      <c r="A5276" s="1" t="s">
        <v>872</v>
      </c>
      <c r="B5276" s="1" t="s">
        <v>1055</v>
      </c>
      <c r="C5276" s="1" t="s">
        <v>2064</v>
      </c>
      <c r="D5276" s="1" t="s">
        <v>1998</v>
      </c>
      <c r="E5276" s="1"/>
      <c r="F5276" s="1" t="s">
        <v>11</v>
      </c>
      <c r="G5276">
        <v>1075</v>
      </c>
      <c r="H5276">
        <v>1075</v>
      </c>
      <c r="I5276" s="2"/>
      <c r="J5276" s="2">
        <v>45779</v>
      </c>
      <c r="K5276" s="2">
        <v>45789</v>
      </c>
    </row>
    <row r="5277" spans="1:11" x14ac:dyDescent="0.25">
      <c r="A5277" s="1" t="s">
        <v>873</v>
      </c>
      <c r="B5277" s="1" t="s">
        <v>1264</v>
      </c>
      <c r="C5277" s="1" t="s">
        <v>2241</v>
      </c>
      <c r="D5277" s="1" t="s">
        <v>1998</v>
      </c>
      <c r="E5277" s="1"/>
      <c r="F5277" s="1" t="s">
        <v>11</v>
      </c>
      <c r="G5277">
        <v>995</v>
      </c>
      <c r="H5277">
        <v>840</v>
      </c>
      <c r="I5277" s="2"/>
      <c r="J5277" s="2">
        <v>45784</v>
      </c>
      <c r="K5277" s="2">
        <v>45784</v>
      </c>
    </row>
    <row r="5278" spans="1:11" x14ac:dyDescent="0.25">
      <c r="A5278" s="1" t="s">
        <v>873</v>
      </c>
      <c r="B5278" s="1" t="s">
        <v>1265</v>
      </c>
      <c r="C5278" s="1" t="s">
        <v>2242</v>
      </c>
      <c r="D5278" s="1" t="s">
        <v>1998</v>
      </c>
      <c r="E5278" s="1"/>
      <c r="F5278" s="1" t="s">
        <v>11</v>
      </c>
      <c r="G5278">
        <v>85</v>
      </c>
      <c r="H5278">
        <v>1</v>
      </c>
      <c r="I5278" s="2"/>
      <c r="J5278" s="2">
        <v>45784</v>
      </c>
      <c r="K5278" s="2">
        <v>45784</v>
      </c>
    </row>
    <row r="5279" spans="1:11" x14ac:dyDescent="0.25">
      <c r="A5279" s="1" t="s">
        <v>873</v>
      </c>
      <c r="B5279" s="1" t="s">
        <v>1246</v>
      </c>
      <c r="C5279" s="1" t="s">
        <v>2228</v>
      </c>
      <c r="D5279" s="1" t="s">
        <v>1998</v>
      </c>
      <c r="E5279" s="1"/>
      <c r="F5279" s="1" t="s">
        <v>12</v>
      </c>
      <c r="G5279">
        <v>1</v>
      </c>
      <c r="H5279">
        <v>365</v>
      </c>
      <c r="I5279" s="2"/>
      <c r="J5279" s="2">
        <v>45784</v>
      </c>
      <c r="K5279" s="2">
        <v>45784</v>
      </c>
    </row>
    <row r="5280" spans="1:11" x14ac:dyDescent="0.25">
      <c r="A5280" s="1" t="s">
        <v>873</v>
      </c>
      <c r="B5280" s="1" t="s">
        <v>1206</v>
      </c>
      <c r="C5280" s="1" t="s">
        <v>2196</v>
      </c>
      <c r="D5280" s="1" t="s">
        <v>1998</v>
      </c>
      <c r="E5280" s="1"/>
      <c r="F5280" s="1" t="s">
        <v>11</v>
      </c>
      <c r="G5280">
        <v>5</v>
      </c>
      <c r="H5280">
        <v>5</v>
      </c>
      <c r="I5280" s="2"/>
      <c r="J5280" s="2">
        <v>45784</v>
      </c>
      <c r="K5280" s="2">
        <v>45784</v>
      </c>
    </row>
    <row r="5281" spans="1:11" x14ac:dyDescent="0.25">
      <c r="A5281" s="1" t="s">
        <v>873</v>
      </c>
      <c r="B5281" s="1" t="s">
        <v>1266</v>
      </c>
      <c r="C5281" s="1" t="s">
        <v>2243</v>
      </c>
      <c r="D5281" s="1" t="s">
        <v>1998</v>
      </c>
      <c r="E5281" s="1"/>
      <c r="F5281" s="1" t="s">
        <v>11</v>
      </c>
      <c r="G5281">
        <v>10</v>
      </c>
      <c r="H5281">
        <v>10</v>
      </c>
      <c r="I5281" s="2"/>
      <c r="J5281" s="2">
        <v>45784</v>
      </c>
      <c r="K5281" s="2">
        <v>45784</v>
      </c>
    </row>
    <row r="5282" spans="1:11" x14ac:dyDescent="0.25">
      <c r="A5282" s="1" t="s">
        <v>874</v>
      </c>
      <c r="B5282" s="1" t="s">
        <v>1264</v>
      </c>
      <c r="C5282" s="1" t="s">
        <v>2241</v>
      </c>
      <c r="D5282" s="1" t="s">
        <v>1998</v>
      </c>
      <c r="E5282" s="1"/>
      <c r="F5282" s="1" t="s">
        <v>11</v>
      </c>
      <c r="G5282">
        <v>995</v>
      </c>
      <c r="H5282">
        <v>840</v>
      </c>
      <c r="I5282" s="2"/>
      <c r="J5282" s="2">
        <v>45784</v>
      </c>
      <c r="K5282" s="2">
        <v>45784</v>
      </c>
    </row>
    <row r="5283" spans="1:11" x14ac:dyDescent="0.25">
      <c r="A5283" s="1" t="s">
        <v>874</v>
      </c>
      <c r="B5283" s="1" t="s">
        <v>1265</v>
      </c>
      <c r="C5283" s="1" t="s">
        <v>2242</v>
      </c>
      <c r="D5283" s="1" t="s">
        <v>1998</v>
      </c>
      <c r="E5283" s="1"/>
      <c r="F5283" s="1" t="s">
        <v>11</v>
      </c>
      <c r="G5283">
        <v>85</v>
      </c>
      <c r="H5283">
        <v>1</v>
      </c>
      <c r="I5283" s="2"/>
      <c r="J5283" s="2">
        <v>45784</v>
      </c>
      <c r="K5283" s="2">
        <v>45784</v>
      </c>
    </row>
    <row r="5284" spans="1:11" x14ac:dyDescent="0.25">
      <c r="A5284" s="1" t="s">
        <v>874</v>
      </c>
      <c r="B5284" s="1" t="s">
        <v>1246</v>
      </c>
      <c r="C5284" s="1" t="s">
        <v>2228</v>
      </c>
      <c r="D5284" s="1" t="s">
        <v>1998</v>
      </c>
      <c r="E5284" s="1"/>
      <c r="F5284" s="1" t="s">
        <v>12</v>
      </c>
      <c r="G5284">
        <v>1</v>
      </c>
      <c r="H5284">
        <v>365</v>
      </c>
      <c r="I5284" s="2"/>
      <c r="J5284" s="2">
        <v>45784</v>
      </c>
      <c r="K5284" s="2">
        <v>45784</v>
      </c>
    </row>
    <row r="5285" spans="1:11" x14ac:dyDescent="0.25">
      <c r="A5285" s="1" t="s">
        <v>874</v>
      </c>
      <c r="B5285" s="1" t="s">
        <v>1206</v>
      </c>
      <c r="C5285" s="1" t="s">
        <v>2196</v>
      </c>
      <c r="D5285" s="1" t="s">
        <v>1998</v>
      </c>
      <c r="E5285" s="1"/>
      <c r="F5285" s="1" t="s">
        <v>11</v>
      </c>
      <c r="G5285">
        <v>5</v>
      </c>
      <c r="H5285">
        <v>5</v>
      </c>
      <c r="I5285" s="2"/>
      <c r="J5285" s="2">
        <v>45784</v>
      </c>
      <c r="K5285" s="2">
        <v>45784</v>
      </c>
    </row>
    <row r="5286" spans="1:11" x14ac:dyDescent="0.25">
      <c r="A5286" s="1" t="s">
        <v>874</v>
      </c>
      <c r="B5286" s="1" t="s">
        <v>1266</v>
      </c>
      <c r="C5286" s="1" t="s">
        <v>2243</v>
      </c>
      <c r="D5286" s="1" t="s">
        <v>1998</v>
      </c>
      <c r="E5286" s="1"/>
      <c r="F5286" s="1" t="s">
        <v>11</v>
      </c>
      <c r="G5286">
        <v>10</v>
      </c>
      <c r="H5286">
        <v>10</v>
      </c>
      <c r="I5286" s="2"/>
      <c r="J5286" s="2">
        <v>45784</v>
      </c>
      <c r="K5286" s="2">
        <v>45784</v>
      </c>
    </row>
    <row r="5287" spans="1:11" x14ac:dyDescent="0.25">
      <c r="A5287" s="1" t="s">
        <v>875</v>
      </c>
      <c r="B5287" s="1" t="s">
        <v>1246</v>
      </c>
      <c r="C5287" s="1" t="s">
        <v>2228</v>
      </c>
      <c r="D5287" s="1" t="s">
        <v>1998</v>
      </c>
      <c r="E5287" s="1"/>
      <c r="F5287" s="1" t="s">
        <v>11</v>
      </c>
      <c r="G5287">
        <v>1540</v>
      </c>
      <c r="H5287">
        <v>1365</v>
      </c>
      <c r="I5287" s="2"/>
      <c r="J5287" s="2">
        <v>45786</v>
      </c>
      <c r="K5287" s="2">
        <v>45786</v>
      </c>
    </row>
    <row r="5288" spans="1:11" x14ac:dyDescent="0.25">
      <c r="A5288" s="1" t="s">
        <v>875</v>
      </c>
      <c r="B5288" s="1" t="s">
        <v>1247</v>
      </c>
      <c r="C5288" s="1" t="s">
        <v>2229</v>
      </c>
      <c r="D5288" s="1" t="s">
        <v>1998</v>
      </c>
      <c r="E5288" s="1"/>
      <c r="F5288" s="1" t="s">
        <v>11</v>
      </c>
      <c r="G5288">
        <v>195</v>
      </c>
      <c r="H5288">
        <v>510</v>
      </c>
      <c r="I5288" s="2"/>
      <c r="J5288" s="2">
        <v>45786</v>
      </c>
      <c r="K5288" s="2">
        <v>45786</v>
      </c>
    </row>
    <row r="5289" spans="1:11" x14ac:dyDescent="0.25">
      <c r="A5289" s="1" t="s">
        <v>875</v>
      </c>
      <c r="B5289" s="1" t="s">
        <v>1206</v>
      </c>
      <c r="C5289" s="1" t="s">
        <v>2196</v>
      </c>
      <c r="D5289" s="1" t="s">
        <v>1998</v>
      </c>
      <c r="E5289" s="1"/>
      <c r="F5289" s="1" t="s">
        <v>11</v>
      </c>
      <c r="G5289">
        <v>5</v>
      </c>
      <c r="H5289">
        <v>5</v>
      </c>
      <c r="I5289" s="2"/>
      <c r="J5289" s="2">
        <v>45786</v>
      </c>
      <c r="K5289" s="2">
        <v>45786</v>
      </c>
    </row>
    <row r="5290" spans="1:11" x14ac:dyDescent="0.25">
      <c r="A5290" s="1" t="s">
        <v>875</v>
      </c>
      <c r="B5290" s="1" t="s">
        <v>1248</v>
      </c>
      <c r="C5290" s="1" t="s">
        <v>2230</v>
      </c>
      <c r="D5290" s="1" t="s">
        <v>1998</v>
      </c>
      <c r="E5290" s="1"/>
      <c r="F5290" s="1" t="s">
        <v>11</v>
      </c>
      <c r="G5290">
        <v>40</v>
      </c>
      <c r="H5290">
        <v>40</v>
      </c>
      <c r="I5290" s="2"/>
      <c r="J5290" s="2">
        <v>45786</v>
      </c>
      <c r="K5290" s="2">
        <v>45786</v>
      </c>
    </row>
    <row r="5291" spans="1:11" x14ac:dyDescent="0.25">
      <c r="A5291" s="1" t="s">
        <v>876</v>
      </c>
      <c r="B5291" s="1" t="s">
        <v>1246</v>
      </c>
      <c r="C5291" s="1" t="s">
        <v>2228</v>
      </c>
      <c r="D5291" s="1" t="s">
        <v>1998</v>
      </c>
      <c r="E5291" s="1"/>
      <c r="F5291" s="1" t="s">
        <v>11</v>
      </c>
      <c r="G5291">
        <v>1540</v>
      </c>
      <c r="H5291">
        <v>1365</v>
      </c>
      <c r="I5291" s="2"/>
      <c r="J5291" s="2">
        <v>45786</v>
      </c>
      <c r="K5291" s="2">
        <v>45786</v>
      </c>
    </row>
    <row r="5292" spans="1:11" x14ac:dyDescent="0.25">
      <c r="A5292" s="1" t="s">
        <v>876</v>
      </c>
      <c r="B5292" s="1" t="s">
        <v>1247</v>
      </c>
      <c r="C5292" s="1" t="s">
        <v>2229</v>
      </c>
      <c r="D5292" s="1" t="s">
        <v>1998</v>
      </c>
      <c r="E5292" s="1"/>
      <c r="F5292" s="1" t="s">
        <v>11</v>
      </c>
      <c r="G5292">
        <v>195</v>
      </c>
      <c r="H5292">
        <v>510</v>
      </c>
      <c r="I5292" s="2"/>
      <c r="J5292" s="2">
        <v>45786</v>
      </c>
      <c r="K5292" s="2">
        <v>45786</v>
      </c>
    </row>
    <row r="5293" spans="1:11" x14ac:dyDescent="0.25">
      <c r="A5293" s="1" t="s">
        <v>876</v>
      </c>
      <c r="B5293" s="1" t="s">
        <v>1206</v>
      </c>
      <c r="C5293" s="1" t="s">
        <v>2196</v>
      </c>
      <c r="D5293" s="1" t="s">
        <v>1998</v>
      </c>
      <c r="E5293" s="1"/>
      <c r="F5293" s="1" t="s">
        <v>11</v>
      </c>
      <c r="G5293">
        <v>5</v>
      </c>
      <c r="H5293">
        <v>5</v>
      </c>
      <c r="I5293" s="2"/>
      <c r="J5293" s="2">
        <v>45786</v>
      </c>
      <c r="K5293" s="2">
        <v>45786</v>
      </c>
    </row>
    <row r="5294" spans="1:11" x14ac:dyDescent="0.25">
      <c r="A5294" s="1" t="s">
        <v>876</v>
      </c>
      <c r="B5294" s="1" t="s">
        <v>1248</v>
      </c>
      <c r="C5294" s="1" t="s">
        <v>2230</v>
      </c>
      <c r="D5294" s="1" t="s">
        <v>1998</v>
      </c>
      <c r="E5294" s="1"/>
      <c r="F5294" s="1" t="s">
        <v>11</v>
      </c>
      <c r="G5294">
        <v>40</v>
      </c>
      <c r="H5294">
        <v>40</v>
      </c>
      <c r="I5294" s="2"/>
      <c r="J5294" s="2">
        <v>45786</v>
      </c>
      <c r="K5294" s="2">
        <v>45786</v>
      </c>
    </row>
    <row r="5295" spans="1:11" x14ac:dyDescent="0.25">
      <c r="A5295" s="1" t="s">
        <v>877</v>
      </c>
      <c r="B5295" s="1" t="s">
        <v>1246</v>
      </c>
      <c r="C5295" s="1" t="s">
        <v>2228</v>
      </c>
      <c r="D5295" s="1" t="s">
        <v>1998</v>
      </c>
      <c r="E5295" s="1"/>
      <c r="F5295" s="1" t="s">
        <v>11</v>
      </c>
      <c r="G5295">
        <v>1540</v>
      </c>
      <c r="H5295">
        <v>1365</v>
      </c>
      <c r="I5295" s="2"/>
      <c r="J5295" s="2">
        <v>45789</v>
      </c>
      <c r="K5295" s="2">
        <v>45789</v>
      </c>
    </row>
    <row r="5296" spans="1:11" x14ac:dyDescent="0.25">
      <c r="A5296" s="1" t="s">
        <v>877</v>
      </c>
      <c r="B5296" s="1" t="s">
        <v>1247</v>
      </c>
      <c r="C5296" s="1" t="s">
        <v>2229</v>
      </c>
      <c r="D5296" s="1" t="s">
        <v>1998</v>
      </c>
      <c r="E5296" s="1"/>
      <c r="F5296" s="1" t="s">
        <v>11</v>
      </c>
      <c r="G5296">
        <v>195</v>
      </c>
      <c r="H5296">
        <v>510</v>
      </c>
      <c r="I5296" s="2"/>
      <c r="J5296" s="2">
        <v>45789</v>
      </c>
      <c r="K5296" s="2">
        <v>45789</v>
      </c>
    </row>
    <row r="5297" spans="1:11" x14ac:dyDescent="0.25">
      <c r="A5297" s="1" t="s">
        <v>877</v>
      </c>
      <c r="B5297" s="1" t="s">
        <v>1206</v>
      </c>
      <c r="C5297" s="1" t="s">
        <v>2196</v>
      </c>
      <c r="D5297" s="1" t="s">
        <v>1998</v>
      </c>
      <c r="E5297" s="1"/>
      <c r="F5297" s="1" t="s">
        <v>11</v>
      </c>
      <c r="G5297">
        <v>5</v>
      </c>
      <c r="H5297">
        <v>5</v>
      </c>
      <c r="I5297" s="2"/>
      <c r="J5297" s="2">
        <v>45789</v>
      </c>
      <c r="K5297" s="2">
        <v>45789</v>
      </c>
    </row>
    <row r="5298" spans="1:11" x14ac:dyDescent="0.25">
      <c r="A5298" s="1" t="s">
        <v>877</v>
      </c>
      <c r="B5298" s="1" t="s">
        <v>1248</v>
      </c>
      <c r="C5298" s="1" t="s">
        <v>2230</v>
      </c>
      <c r="D5298" s="1" t="s">
        <v>1998</v>
      </c>
      <c r="E5298" s="1"/>
      <c r="F5298" s="1" t="s">
        <v>11</v>
      </c>
      <c r="G5298">
        <v>40</v>
      </c>
      <c r="H5298">
        <v>40</v>
      </c>
      <c r="I5298" s="2"/>
      <c r="J5298" s="2">
        <v>45789</v>
      </c>
      <c r="K5298" s="2">
        <v>45789</v>
      </c>
    </row>
    <row r="5299" spans="1:11" x14ac:dyDescent="0.25">
      <c r="A5299" s="1" t="s">
        <v>878</v>
      </c>
      <c r="B5299" s="1" t="s">
        <v>1246</v>
      </c>
      <c r="C5299" s="1" t="s">
        <v>2228</v>
      </c>
      <c r="D5299" s="1" t="s">
        <v>1998</v>
      </c>
      <c r="E5299" s="1"/>
      <c r="F5299" s="1" t="s">
        <v>11</v>
      </c>
      <c r="G5299">
        <v>1540</v>
      </c>
      <c r="H5299">
        <v>1365</v>
      </c>
      <c r="I5299" s="2"/>
      <c r="J5299" s="2">
        <v>45789</v>
      </c>
      <c r="K5299" s="2">
        <v>45789</v>
      </c>
    </row>
    <row r="5300" spans="1:11" x14ac:dyDescent="0.25">
      <c r="A5300" s="1" t="s">
        <v>878</v>
      </c>
      <c r="B5300" s="1" t="s">
        <v>1247</v>
      </c>
      <c r="C5300" s="1" t="s">
        <v>2229</v>
      </c>
      <c r="D5300" s="1" t="s">
        <v>1998</v>
      </c>
      <c r="E5300" s="1"/>
      <c r="F5300" s="1" t="s">
        <v>11</v>
      </c>
      <c r="G5300">
        <v>195</v>
      </c>
      <c r="H5300">
        <v>510</v>
      </c>
      <c r="I5300" s="2"/>
      <c r="J5300" s="2">
        <v>45789</v>
      </c>
      <c r="K5300" s="2">
        <v>45789</v>
      </c>
    </row>
    <row r="5301" spans="1:11" x14ac:dyDescent="0.25">
      <c r="A5301" s="1" t="s">
        <v>878</v>
      </c>
      <c r="B5301" s="1" t="s">
        <v>1206</v>
      </c>
      <c r="C5301" s="1" t="s">
        <v>2196</v>
      </c>
      <c r="D5301" s="1" t="s">
        <v>1998</v>
      </c>
      <c r="E5301" s="1"/>
      <c r="F5301" s="1" t="s">
        <v>11</v>
      </c>
      <c r="G5301">
        <v>5</v>
      </c>
      <c r="H5301">
        <v>5</v>
      </c>
      <c r="I5301" s="2"/>
      <c r="J5301" s="2">
        <v>45789</v>
      </c>
      <c r="K5301" s="2">
        <v>45789</v>
      </c>
    </row>
    <row r="5302" spans="1:11" x14ac:dyDescent="0.25">
      <c r="A5302" s="1" t="s">
        <v>878</v>
      </c>
      <c r="B5302" s="1" t="s">
        <v>1248</v>
      </c>
      <c r="C5302" s="1" t="s">
        <v>2230</v>
      </c>
      <c r="D5302" s="1" t="s">
        <v>1998</v>
      </c>
      <c r="E5302" s="1"/>
      <c r="F5302" s="1" t="s">
        <v>11</v>
      </c>
      <c r="G5302">
        <v>40</v>
      </c>
      <c r="H5302">
        <v>40</v>
      </c>
      <c r="I5302" s="2"/>
      <c r="J5302" s="2">
        <v>45789</v>
      </c>
      <c r="K5302" s="2">
        <v>45789</v>
      </c>
    </row>
    <row r="5303" spans="1:11" x14ac:dyDescent="0.25">
      <c r="A5303" s="1" t="s">
        <v>879</v>
      </c>
      <c r="B5303" s="1" t="s">
        <v>1349</v>
      </c>
      <c r="C5303" s="1" t="s">
        <v>2302</v>
      </c>
      <c r="D5303" s="1" t="s">
        <v>1998</v>
      </c>
      <c r="E5303" s="1"/>
      <c r="F5303" s="1" t="s">
        <v>11</v>
      </c>
      <c r="G5303">
        <v>100</v>
      </c>
      <c r="H5303">
        <v>55</v>
      </c>
      <c r="I5303" s="2"/>
      <c r="J5303" s="2">
        <v>45779</v>
      </c>
      <c r="K5303" s="2">
        <v>45783</v>
      </c>
    </row>
    <row r="5304" spans="1:11" x14ac:dyDescent="0.25">
      <c r="A5304" s="1" t="s">
        <v>879</v>
      </c>
      <c r="B5304" s="1" t="s">
        <v>1350</v>
      </c>
      <c r="C5304" s="1" t="s">
        <v>2303</v>
      </c>
      <c r="D5304" s="1" t="s">
        <v>1998</v>
      </c>
      <c r="E5304" s="1"/>
      <c r="F5304" s="1" t="s">
        <v>11</v>
      </c>
      <c r="G5304">
        <v>730</v>
      </c>
      <c r="H5304">
        <v>765</v>
      </c>
      <c r="I5304" s="2"/>
      <c r="J5304" s="2">
        <v>45779</v>
      </c>
      <c r="K5304" s="2">
        <v>45783</v>
      </c>
    </row>
    <row r="5305" spans="1:11" x14ac:dyDescent="0.25">
      <c r="A5305" s="1" t="s">
        <v>879</v>
      </c>
      <c r="B5305" s="1" t="s">
        <v>1206</v>
      </c>
      <c r="C5305" s="1" t="s">
        <v>2196</v>
      </c>
      <c r="D5305" s="1" t="s">
        <v>1998</v>
      </c>
      <c r="E5305" s="1"/>
      <c r="F5305" s="1" t="s">
        <v>11</v>
      </c>
      <c r="G5305">
        <v>1</v>
      </c>
      <c r="H5305">
        <v>1</v>
      </c>
      <c r="I5305" s="2"/>
      <c r="J5305" s="2">
        <v>45779</v>
      </c>
      <c r="K5305" s="2">
        <v>45783</v>
      </c>
    </row>
    <row r="5306" spans="1:11" x14ac:dyDescent="0.25">
      <c r="A5306" s="1" t="s">
        <v>879</v>
      </c>
      <c r="B5306" s="1" t="s">
        <v>1351</v>
      </c>
      <c r="C5306" s="1" t="s">
        <v>2304</v>
      </c>
      <c r="D5306" s="1" t="s">
        <v>1998</v>
      </c>
      <c r="E5306" s="1"/>
      <c r="F5306" s="1" t="s">
        <v>11</v>
      </c>
      <c r="G5306">
        <v>15</v>
      </c>
      <c r="H5306">
        <v>15</v>
      </c>
      <c r="I5306" s="2"/>
      <c r="J5306" s="2">
        <v>45779</v>
      </c>
      <c r="K5306" s="2">
        <v>45783</v>
      </c>
    </row>
    <row r="5307" spans="1:11" x14ac:dyDescent="0.25">
      <c r="A5307" s="1" t="s">
        <v>880</v>
      </c>
      <c r="B5307" s="1" t="s">
        <v>1349</v>
      </c>
      <c r="C5307" s="1" t="s">
        <v>2302</v>
      </c>
      <c r="D5307" s="1" t="s">
        <v>1998</v>
      </c>
      <c r="E5307" s="1"/>
      <c r="F5307" s="1" t="s">
        <v>11</v>
      </c>
      <c r="G5307">
        <v>100</v>
      </c>
      <c r="H5307">
        <v>55</v>
      </c>
      <c r="I5307" s="2"/>
      <c r="J5307" s="2">
        <v>45784</v>
      </c>
      <c r="K5307" s="2">
        <v>45784</v>
      </c>
    </row>
    <row r="5308" spans="1:11" x14ac:dyDescent="0.25">
      <c r="A5308" s="1" t="s">
        <v>880</v>
      </c>
      <c r="B5308" s="1" t="s">
        <v>1350</v>
      </c>
      <c r="C5308" s="1" t="s">
        <v>2303</v>
      </c>
      <c r="D5308" s="1" t="s">
        <v>1998</v>
      </c>
      <c r="E5308" s="1"/>
      <c r="F5308" s="1" t="s">
        <v>11</v>
      </c>
      <c r="G5308">
        <v>730</v>
      </c>
      <c r="H5308">
        <v>765</v>
      </c>
      <c r="I5308" s="2"/>
      <c r="J5308" s="2">
        <v>45784</v>
      </c>
      <c r="K5308" s="2">
        <v>45784</v>
      </c>
    </row>
    <row r="5309" spans="1:11" x14ac:dyDescent="0.25">
      <c r="A5309" s="1" t="s">
        <v>880</v>
      </c>
      <c r="B5309" s="1" t="s">
        <v>1206</v>
      </c>
      <c r="C5309" s="1" t="s">
        <v>2196</v>
      </c>
      <c r="D5309" s="1" t="s">
        <v>1998</v>
      </c>
      <c r="E5309" s="1"/>
      <c r="F5309" s="1" t="s">
        <v>11</v>
      </c>
      <c r="G5309">
        <v>1</v>
      </c>
      <c r="H5309">
        <v>1</v>
      </c>
      <c r="I5309" s="2"/>
      <c r="J5309" s="2">
        <v>45784</v>
      </c>
      <c r="K5309" s="2">
        <v>45784</v>
      </c>
    </row>
    <row r="5310" spans="1:11" x14ac:dyDescent="0.25">
      <c r="A5310" s="1" t="s">
        <v>880</v>
      </c>
      <c r="B5310" s="1" t="s">
        <v>1351</v>
      </c>
      <c r="C5310" s="1" t="s">
        <v>2304</v>
      </c>
      <c r="D5310" s="1" t="s">
        <v>1998</v>
      </c>
      <c r="E5310" s="1"/>
      <c r="F5310" s="1" t="s">
        <v>11</v>
      </c>
      <c r="G5310">
        <v>15</v>
      </c>
      <c r="H5310">
        <v>15</v>
      </c>
      <c r="I5310" s="2"/>
      <c r="J5310" s="2">
        <v>45784</v>
      </c>
      <c r="K5310" s="2">
        <v>45784</v>
      </c>
    </row>
    <row r="5311" spans="1:11" x14ac:dyDescent="0.25">
      <c r="A5311" s="1" t="s">
        <v>881</v>
      </c>
      <c r="B5311" s="1" t="s">
        <v>1349</v>
      </c>
      <c r="C5311" s="1" t="s">
        <v>2302</v>
      </c>
      <c r="D5311" s="1" t="s">
        <v>1998</v>
      </c>
      <c r="E5311" s="1"/>
      <c r="F5311" s="1" t="s">
        <v>11</v>
      </c>
      <c r="G5311">
        <v>100</v>
      </c>
      <c r="H5311">
        <v>55</v>
      </c>
      <c r="I5311" s="2"/>
      <c r="J5311" s="2">
        <v>45784</v>
      </c>
      <c r="K5311" s="2">
        <v>45784</v>
      </c>
    </row>
    <row r="5312" spans="1:11" x14ac:dyDescent="0.25">
      <c r="A5312" s="1" t="s">
        <v>881</v>
      </c>
      <c r="B5312" s="1" t="s">
        <v>1350</v>
      </c>
      <c r="C5312" s="1" t="s">
        <v>2303</v>
      </c>
      <c r="D5312" s="1" t="s">
        <v>1998</v>
      </c>
      <c r="E5312" s="1"/>
      <c r="F5312" s="1" t="s">
        <v>11</v>
      </c>
      <c r="G5312">
        <v>730</v>
      </c>
      <c r="H5312">
        <v>765</v>
      </c>
      <c r="I5312" s="2"/>
      <c r="J5312" s="2">
        <v>45784</v>
      </c>
      <c r="K5312" s="2">
        <v>45784</v>
      </c>
    </row>
    <row r="5313" spans="1:11" x14ac:dyDescent="0.25">
      <c r="A5313" s="1" t="s">
        <v>881</v>
      </c>
      <c r="B5313" s="1" t="s">
        <v>1206</v>
      </c>
      <c r="C5313" s="1" t="s">
        <v>2196</v>
      </c>
      <c r="D5313" s="1" t="s">
        <v>1998</v>
      </c>
      <c r="E5313" s="1"/>
      <c r="F5313" s="1" t="s">
        <v>11</v>
      </c>
      <c r="G5313">
        <v>1</v>
      </c>
      <c r="H5313">
        <v>1</v>
      </c>
      <c r="I5313" s="2"/>
      <c r="J5313" s="2">
        <v>45784</v>
      </c>
      <c r="K5313" s="2">
        <v>45784</v>
      </c>
    </row>
    <row r="5314" spans="1:11" x14ac:dyDescent="0.25">
      <c r="A5314" s="1" t="s">
        <v>881</v>
      </c>
      <c r="B5314" s="1" t="s">
        <v>1351</v>
      </c>
      <c r="C5314" s="1" t="s">
        <v>2304</v>
      </c>
      <c r="D5314" s="1" t="s">
        <v>1998</v>
      </c>
      <c r="E5314" s="1"/>
      <c r="F5314" s="1" t="s">
        <v>11</v>
      </c>
      <c r="G5314">
        <v>15</v>
      </c>
      <c r="H5314">
        <v>15</v>
      </c>
      <c r="I5314" s="2"/>
      <c r="J5314" s="2">
        <v>45784</v>
      </c>
      <c r="K5314" s="2">
        <v>45784</v>
      </c>
    </row>
    <row r="5315" spans="1:11" x14ac:dyDescent="0.25">
      <c r="A5315" s="1" t="s">
        <v>882</v>
      </c>
      <c r="B5315" s="1" t="s">
        <v>1951</v>
      </c>
      <c r="C5315" s="1" t="s">
        <v>2778</v>
      </c>
      <c r="D5315" s="1" t="s">
        <v>1998</v>
      </c>
      <c r="E5315" s="1"/>
      <c r="F5315" s="1" t="s">
        <v>11</v>
      </c>
      <c r="G5315">
        <v>395</v>
      </c>
      <c r="H5315">
        <v>420</v>
      </c>
      <c r="I5315" s="2"/>
      <c r="J5315" s="2">
        <v>45783</v>
      </c>
      <c r="K5315" s="2">
        <v>45789</v>
      </c>
    </row>
    <row r="5316" spans="1:11" x14ac:dyDescent="0.25">
      <c r="A5316" s="1" t="s">
        <v>883</v>
      </c>
      <c r="B5316" s="1" t="s">
        <v>1952</v>
      </c>
      <c r="C5316" s="1" t="s">
        <v>2779</v>
      </c>
      <c r="D5316" s="1" t="s">
        <v>1998</v>
      </c>
      <c r="E5316" s="1"/>
      <c r="F5316" s="1" t="s">
        <v>11</v>
      </c>
      <c r="G5316">
        <v>10</v>
      </c>
      <c r="H5316">
        <v>10</v>
      </c>
      <c r="I5316" s="2"/>
      <c r="J5316" s="2">
        <v>45783</v>
      </c>
      <c r="K5316" s="2">
        <v>45789</v>
      </c>
    </row>
    <row r="5317" spans="1:11" x14ac:dyDescent="0.25">
      <c r="A5317" s="1" t="s">
        <v>883</v>
      </c>
      <c r="B5317" s="1" t="s">
        <v>1952</v>
      </c>
      <c r="C5317" s="1" t="s">
        <v>2779</v>
      </c>
      <c r="D5317" s="1" t="s">
        <v>1998</v>
      </c>
      <c r="E5317" s="1"/>
      <c r="F5317" s="1" t="s">
        <v>101</v>
      </c>
      <c r="G5317">
        <v>5</v>
      </c>
      <c r="H5317">
        <v>5</v>
      </c>
      <c r="I5317" s="2"/>
      <c r="J5317" s="2">
        <v>45783</v>
      </c>
      <c r="K5317" s="2">
        <v>45789</v>
      </c>
    </row>
    <row r="5318" spans="1:11" x14ac:dyDescent="0.25">
      <c r="A5318" s="1" t="s">
        <v>884</v>
      </c>
      <c r="B5318" s="1" t="s">
        <v>1592</v>
      </c>
      <c r="C5318" s="1" t="s">
        <v>2510</v>
      </c>
      <c r="D5318" s="1" t="s">
        <v>1998</v>
      </c>
      <c r="E5318" s="1"/>
      <c r="F5318" s="1" t="s">
        <v>11</v>
      </c>
      <c r="G5318">
        <v>620</v>
      </c>
      <c r="H5318">
        <v>620</v>
      </c>
      <c r="I5318" s="2"/>
      <c r="J5318" s="2">
        <v>45783</v>
      </c>
      <c r="K5318" s="2">
        <v>45785</v>
      </c>
    </row>
    <row r="5319" spans="1:11" x14ac:dyDescent="0.25">
      <c r="A5319" s="1" t="s">
        <v>884</v>
      </c>
      <c r="B5319" s="1" t="s">
        <v>1592</v>
      </c>
      <c r="C5319" s="1" t="s">
        <v>2510</v>
      </c>
      <c r="D5319" s="1" t="s">
        <v>1998</v>
      </c>
      <c r="E5319" s="1"/>
      <c r="F5319" s="1" t="s">
        <v>11</v>
      </c>
      <c r="G5319">
        <v>5</v>
      </c>
      <c r="H5319">
        <v>5</v>
      </c>
      <c r="I5319" s="2"/>
      <c r="J5319" s="2">
        <v>45783</v>
      </c>
      <c r="K5319" s="2">
        <v>45785</v>
      </c>
    </row>
    <row r="5320" spans="1:11" x14ac:dyDescent="0.25">
      <c r="A5320" s="1" t="s">
        <v>884</v>
      </c>
      <c r="B5320" s="1" t="s">
        <v>1593</v>
      </c>
      <c r="C5320" s="1" t="s">
        <v>2511</v>
      </c>
      <c r="D5320" s="1" t="s">
        <v>1998</v>
      </c>
      <c r="E5320" s="1"/>
      <c r="F5320" s="1" t="s">
        <v>11</v>
      </c>
      <c r="G5320">
        <v>250</v>
      </c>
      <c r="H5320">
        <v>250</v>
      </c>
      <c r="I5320" s="2"/>
      <c r="J5320" s="2">
        <v>45783</v>
      </c>
      <c r="K5320" s="2">
        <v>45785</v>
      </c>
    </row>
    <row r="5321" spans="1:11" x14ac:dyDescent="0.25">
      <c r="A5321" s="1" t="s">
        <v>884</v>
      </c>
      <c r="B5321" s="1" t="s">
        <v>1593</v>
      </c>
      <c r="C5321" s="1" t="s">
        <v>2511</v>
      </c>
      <c r="D5321" s="1" t="s">
        <v>1998</v>
      </c>
      <c r="E5321" s="1"/>
      <c r="F5321" s="1" t="s">
        <v>11</v>
      </c>
      <c r="G5321">
        <v>15</v>
      </c>
      <c r="H5321">
        <v>15</v>
      </c>
      <c r="I5321" s="2"/>
      <c r="J5321" s="2">
        <v>45783</v>
      </c>
      <c r="K5321" s="2">
        <v>45785</v>
      </c>
    </row>
    <row r="5322" spans="1:11" x14ac:dyDescent="0.25">
      <c r="A5322" s="1" t="s">
        <v>884</v>
      </c>
      <c r="B5322" s="1" t="s">
        <v>1594</v>
      </c>
      <c r="C5322" s="1" t="s">
        <v>2512</v>
      </c>
      <c r="D5322" s="1" t="s">
        <v>1998</v>
      </c>
      <c r="E5322" s="1"/>
      <c r="F5322" s="1" t="s">
        <v>11</v>
      </c>
      <c r="G5322">
        <v>280</v>
      </c>
      <c r="H5322">
        <v>280</v>
      </c>
      <c r="I5322" s="2"/>
      <c r="J5322" s="2">
        <v>45783</v>
      </c>
      <c r="K5322" s="2">
        <v>45785</v>
      </c>
    </row>
    <row r="5323" spans="1:11" x14ac:dyDescent="0.25">
      <c r="A5323" s="1" t="s">
        <v>884</v>
      </c>
      <c r="B5323" s="1" t="s">
        <v>1594</v>
      </c>
      <c r="C5323" s="1" t="s">
        <v>2512</v>
      </c>
      <c r="D5323" s="1" t="s">
        <v>1998</v>
      </c>
      <c r="E5323" s="1"/>
      <c r="F5323" s="1" t="s">
        <v>11</v>
      </c>
      <c r="G5323">
        <v>15</v>
      </c>
      <c r="H5323">
        <v>15</v>
      </c>
      <c r="I5323" s="2"/>
      <c r="J5323" s="2">
        <v>45783</v>
      </c>
      <c r="K5323" s="2">
        <v>45785</v>
      </c>
    </row>
    <row r="5324" spans="1:11" x14ac:dyDescent="0.25">
      <c r="A5324" s="1" t="s">
        <v>884</v>
      </c>
      <c r="B5324" s="1" t="s">
        <v>1953</v>
      </c>
      <c r="C5324" s="1" t="s">
        <v>2780</v>
      </c>
      <c r="D5324" s="1" t="s">
        <v>1998</v>
      </c>
      <c r="E5324" s="1"/>
      <c r="F5324" s="1" t="s">
        <v>11</v>
      </c>
      <c r="G5324">
        <v>690</v>
      </c>
      <c r="H5324">
        <v>690</v>
      </c>
      <c r="I5324" s="2"/>
      <c r="J5324" s="2">
        <v>45783</v>
      </c>
      <c r="K5324" s="2">
        <v>45785</v>
      </c>
    </row>
    <row r="5325" spans="1:11" x14ac:dyDescent="0.25">
      <c r="A5325" s="1" t="s">
        <v>884</v>
      </c>
      <c r="B5325" s="1" t="s">
        <v>1953</v>
      </c>
      <c r="C5325" s="1" t="s">
        <v>2780</v>
      </c>
      <c r="D5325" s="1" t="s">
        <v>1998</v>
      </c>
      <c r="E5325" s="1"/>
      <c r="F5325" s="1" t="s">
        <v>11</v>
      </c>
      <c r="G5325">
        <v>5</v>
      </c>
      <c r="H5325">
        <v>5</v>
      </c>
      <c r="I5325" s="2"/>
      <c r="J5325" s="2">
        <v>45783</v>
      </c>
      <c r="K5325" s="2">
        <v>45785</v>
      </c>
    </row>
    <row r="5326" spans="1:11" x14ac:dyDescent="0.25">
      <c r="A5326" s="1" t="s">
        <v>884</v>
      </c>
      <c r="B5326" s="1" t="s">
        <v>1954</v>
      </c>
      <c r="C5326" s="1" t="s">
        <v>2650</v>
      </c>
      <c r="D5326" s="1" t="s">
        <v>1998</v>
      </c>
      <c r="E5326" s="1"/>
      <c r="F5326" s="1" t="s">
        <v>11</v>
      </c>
      <c r="G5326">
        <v>730</v>
      </c>
      <c r="H5326">
        <v>730</v>
      </c>
      <c r="I5326" s="2"/>
      <c r="J5326" s="2">
        <v>45783</v>
      </c>
      <c r="K5326" s="2">
        <v>45785</v>
      </c>
    </row>
    <row r="5327" spans="1:11" x14ac:dyDescent="0.25">
      <c r="A5327" s="1" t="s">
        <v>884</v>
      </c>
      <c r="B5327" s="1" t="s">
        <v>1954</v>
      </c>
      <c r="C5327" s="1" t="s">
        <v>2650</v>
      </c>
      <c r="D5327" s="1" t="s">
        <v>1998</v>
      </c>
      <c r="E5327" s="1"/>
      <c r="F5327" s="1" t="s">
        <v>11</v>
      </c>
      <c r="G5327">
        <v>25</v>
      </c>
      <c r="H5327">
        <v>25</v>
      </c>
      <c r="I5327" s="2"/>
      <c r="J5327" s="2">
        <v>45783</v>
      </c>
      <c r="K5327" s="2">
        <v>45785</v>
      </c>
    </row>
    <row r="5328" spans="1:11" x14ac:dyDescent="0.25">
      <c r="A5328" s="1" t="s">
        <v>885</v>
      </c>
      <c r="B5328" s="1" t="s">
        <v>1592</v>
      </c>
      <c r="C5328" s="1" t="s">
        <v>2510</v>
      </c>
      <c r="D5328" s="1" t="s">
        <v>1998</v>
      </c>
      <c r="E5328" s="1"/>
      <c r="F5328" s="1" t="s">
        <v>11</v>
      </c>
      <c r="G5328">
        <v>620</v>
      </c>
      <c r="H5328">
        <v>620</v>
      </c>
      <c r="I5328" s="2"/>
      <c r="J5328" s="2">
        <v>45783</v>
      </c>
      <c r="K5328" s="2">
        <v>45785</v>
      </c>
    </row>
    <row r="5329" spans="1:11" x14ac:dyDescent="0.25">
      <c r="A5329" s="1" t="s">
        <v>885</v>
      </c>
      <c r="B5329" s="1" t="s">
        <v>1593</v>
      </c>
      <c r="C5329" s="1" t="s">
        <v>2511</v>
      </c>
      <c r="D5329" s="1" t="s">
        <v>1998</v>
      </c>
      <c r="E5329" s="1"/>
      <c r="F5329" s="1" t="s">
        <v>11</v>
      </c>
      <c r="G5329">
        <v>250</v>
      </c>
      <c r="H5329">
        <v>250</v>
      </c>
      <c r="I5329" s="2"/>
      <c r="J5329" s="2">
        <v>45783</v>
      </c>
      <c r="K5329" s="2">
        <v>45785</v>
      </c>
    </row>
    <row r="5330" spans="1:11" x14ac:dyDescent="0.25">
      <c r="A5330" s="1" t="s">
        <v>885</v>
      </c>
      <c r="B5330" s="1" t="s">
        <v>1594</v>
      </c>
      <c r="C5330" s="1" t="s">
        <v>2512</v>
      </c>
      <c r="D5330" s="1" t="s">
        <v>1998</v>
      </c>
      <c r="E5330" s="1"/>
      <c r="F5330" s="1" t="s">
        <v>11</v>
      </c>
      <c r="G5330">
        <v>280</v>
      </c>
      <c r="H5330">
        <v>280</v>
      </c>
      <c r="I5330" s="2"/>
      <c r="J5330" s="2">
        <v>45783</v>
      </c>
      <c r="K5330" s="2">
        <v>45785</v>
      </c>
    </row>
    <row r="5331" spans="1:11" x14ac:dyDescent="0.25">
      <c r="A5331" s="1" t="s">
        <v>885</v>
      </c>
      <c r="B5331" s="1" t="s">
        <v>1594</v>
      </c>
      <c r="C5331" s="1" t="s">
        <v>2512</v>
      </c>
      <c r="D5331" s="1" t="s">
        <v>1998</v>
      </c>
      <c r="E5331" s="1"/>
      <c r="F5331" s="1" t="s">
        <v>11</v>
      </c>
      <c r="G5331">
        <v>5</v>
      </c>
      <c r="H5331">
        <v>5</v>
      </c>
      <c r="I5331" s="2"/>
      <c r="J5331" s="2">
        <v>45783</v>
      </c>
      <c r="K5331" s="2">
        <v>45785</v>
      </c>
    </row>
    <row r="5332" spans="1:11" x14ac:dyDescent="0.25">
      <c r="A5332" s="1" t="s">
        <v>885</v>
      </c>
      <c r="B5332" s="1" t="s">
        <v>1595</v>
      </c>
      <c r="C5332" s="1" t="s">
        <v>2513</v>
      </c>
      <c r="D5332" s="1" t="s">
        <v>1998</v>
      </c>
      <c r="E5332" s="1"/>
      <c r="F5332" s="1" t="s">
        <v>11</v>
      </c>
      <c r="G5332">
        <v>635</v>
      </c>
      <c r="H5332">
        <v>635</v>
      </c>
      <c r="I5332" s="2"/>
      <c r="J5332" s="2">
        <v>45783</v>
      </c>
      <c r="K5332" s="2">
        <v>45785</v>
      </c>
    </row>
    <row r="5333" spans="1:11" x14ac:dyDescent="0.25">
      <c r="A5333" s="1" t="s">
        <v>885</v>
      </c>
      <c r="B5333" s="1" t="s">
        <v>1596</v>
      </c>
      <c r="C5333" s="1" t="s">
        <v>2514</v>
      </c>
      <c r="D5333" s="1" t="s">
        <v>1998</v>
      </c>
      <c r="E5333" s="1"/>
      <c r="F5333" s="1" t="s">
        <v>11</v>
      </c>
      <c r="G5333">
        <v>505</v>
      </c>
      <c r="H5333">
        <v>505</v>
      </c>
      <c r="I5333" s="2"/>
      <c r="J5333" s="2">
        <v>45783</v>
      </c>
      <c r="K5333" s="2">
        <v>45785</v>
      </c>
    </row>
    <row r="5334" spans="1:11" x14ac:dyDescent="0.25">
      <c r="A5334" s="1" t="s">
        <v>886</v>
      </c>
      <c r="B5334" s="1" t="s">
        <v>995</v>
      </c>
      <c r="C5334" s="1" t="s">
        <v>2013</v>
      </c>
      <c r="D5334" s="1" t="s">
        <v>1998</v>
      </c>
      <c r="E5334" s="1"/>
      <c r="F5334" s="1" t="s">
        <v>11</v>
      </c>
      <c r="G5334">
        <v>35</v>
      </c>
      <c r="H5334">
        <v>1</v>
      </c>
      <c r="I5334" s="2"/>
      <c r="J5334" s="2">
        <v>45783</v>
      </c>
      <c r="K5334" s="2">
        <v>45783</v>
      </c>
    </row>
    <row r="5335" spans="1:11" x14ac:dyDescent="0.25">
      <c r="A5335" s="1" t="s">
        <v>886</v>
      </c>
      <c r="B5335" s="1" t="s">
        <v>996</v>
      </c>
      <c r="C5335" s="1" t="s">
        <v>2014</v>
      </c>
      <c r="D5335" s="1" t="s">
        <v>1998</v>
      </c>
      <c r="E5335" s="1"/>
      <c r="F5335" s="1" t="s">
        <v>11</v>
      </c>
      <c r="G5335">
        <v>1925</v>
      </c>
      <c r="H5335">
        <v>1925</v>
      </c>
      <c r="I5335" s="2"/>
      <c r="J5335" s="2">
        <v>45783</v>
      </c>
      <c r="K5335" s="2">
        <v>45783</v>
      </c>
    </row>
    <row r="5336" spans="1:11" x14ac:dyDescent="0.25">
      <c r="A5336" s="1" t="s">
        <v>886</v>
      </c>
      <c r="B5336" s="1" t="s">
        <v>997</v>
      </c>
      <c r="C5336" s="1" t="s">
        <v>2015</v>
      </c>
      <c r="D5336" s="1" t="s">
        <v>1998</v>
      </c>
      <c r="E5336" s="1"/>
      <c r="F5336" s="1" t="s">
        <v>11</v>
      </c>
      <c r="G5336">
        <v>200</v>
      </c>
      <c r="H5336">
        <v>1</v>
      </c>
      <c r="I5336" s="2"/>
      <c r="J5336" s="2">
        <v>45783</v>
      </c>
      <c r="K5336" s="2">
        <v>45783</v>
      </c>
    </row>
    <row r="5337" spans="1:11" x14ac:dyDescent="0.25">
      <c r="A5337" s="1" t="s">
        <v>886</v>
      </c>
      <c r="B5337" s="1" t="s">
        <v>998</v>
      </c>
      <c r="C5337" s="1" t="s">
        <v>2016</v>
      </c>
      <c r="D5337" s="1" t="s">
        <v>1998</v>
      </c>
      <c r="E5337" s="1"/>
      <c r="F5337" s="1" t="s">
        <v>11</v>
      </c>
      <c r="G5337">
        <v>1970</v>
      </c>
      <c r="H5337">
        <v>1970</v>
      </c>
      <c r="I5337" s="2"/>
      <c r="J5337" s="2">
        <v>45783</v>
      </c>
      <c r="K5337" s="2">
        <v>45783</v>
      </c>
    </row>
    <row r="5338" spans="1:11" x14ac:dyDescent="0.25">
      <c r="A5338" s="1" t="s">
        <v>886</v>
      </c>
      <c r="B5338" s="1" t="s">
        <v>999</v>
      </c>
      <c r="C5338" s="1" t="s">
        <v>2017</v>
      </c>
      <c r="D5338" s="1" t="s">
        <v>1998</v>
      </c>
      <c r="E5338" s="1"/>
      <c r="F5338" s="1" t="s">
        <v>11</v>
      </c>
      <c r="G5338">
        <v>1</v>
      </c>
      <c r="H5338">
        <v>1</v>
      </c>
      <c r="I5338" s="2"/>
      <c r="J5338" s="2">
        <v>45783</v>
      </c>
      <c r="K5338" s="2">
        <v>45783</v>
      </c>
    </row>
    <row r="5339" spans="1:11" x14ac:dyDescent="0.25">
      <c r="A5339" s="1" t="s">
        <v>886</v>
      </c>
      <c r="B5339" s="1" t="s">
        <v>1000</v>
      </c>
      <c r="C5339" s="1" t="s">
        <v>2018</v>
      </c>
      <c r="D5339" s="1" t="s">
        <v>1998</v>
      </c>
      <c r="E5339" s="1"/>
      <c r="F5339" s="1" t="s">
        <v>11</v>
      </c>
      <c r="G5339">
        <v>1</v>
      </c>
      <c r="H5339">
        <v>1</v>
      </c>
      <c r="I5339" s="2"/>
      <c r="J5339" s="2">
        <v>45783</v>
      </c>
      <c r="K5339" s="2">
        <v>45783</v>
      </c>
    </row>
    <row r="5340" spans="1:11" x14ac:dyDescent="0.25">
      <c r="A5340" s="1" t="s">
        <v>886</v>
      </c>
      <c r="B5340" s="1" t="s">
        <v>1001</v>
      </c>
      <c r="C5340" s="1" t="s">
        <v>2019</v>
      </c>
      <c r="D5340" s="1" t="s">
        <v>1998</v>
      </c>
      <c r="E5340" s="1"/>
      <c r="F5340" s="1" t="s">
        <v>11</v>
      </c>
      <c r="G5340">
        <v>1</v>
      </c>
      <c r="H5340">
        <v>1</v>
      </c>
      <c r="I5340" s="2"/>
      <c r="J5340" s="2">
        <v>45783</v>
      </c>
      <c r="K5340" s="2">
        <v>45783</v>
      </c>
    </row>
    <row r="5341" spans="1:11" x14ac:dyDescent="0.25">
      <c r="A5341" s="1" t="s">
        <v>887</v>
      </c>
      <c r="B5341" s="1" t="s">
        <v>1240</v>
      </c>
      <c r="C5341" s="1" t="s">
        <v>2115</v>
      </c>
      <c r="D5341" s="1" t="s">
        <v>1998</v>
      </c>
      <c r="E5341" s="1"/>
      <c r="F5341" s="1" t="s">
        <v>11</v>
      </c>
      <c r="G5341">
        <v>12720</v>
      </c>
      <c r="H5341">
        <v>12720</v>
      </c>
      <c r="I5341" s="2"/>
      <c r="J5341" s="2">
        <v>45782</v>
      </c>
      <c r="K5341" s="2">
        <v>45789</v>
      </c>
    </row>
    <row r="5342" spans="1:11" x14ac:dyDescent="0.25">
      <c r="A5342" s="1" t="s">
        <v>887</v>
      </c>
      <c r="B5342" s="1" t="s">
        <v>1241</v>
      </c>
      <c r="C5342" s="1" t="s">
        <v>2115</v>
      </c>
      <c r="D5342" s="1" t="s">
        <v>1998</v>
      </c>
      <c r="E5342" s="1"/>
      <c r="F5342" s="1" t="s">
        <v>11</v>
      </c>
      <c r="G5342">
        <v>2190</v>
      </c>
      <c r="H5342">
        <v>2190</v>
      </c>
      <c r="I5342" s="2"/>
      <c r="J5342" s="2">
        <v>45782</v>
      </c>
      <c r="K5342" s="2">
        <v>45789</v>
      </c>
    </row>
    <row r="5343" spans="1:11" x14ac:dyDescent="0.25">
      <c r="A5343" s="1" t="s">
        <v>888</v>
      </c>
      <c r="B5343" s="1" t="s">
        <v>1240</v>
      </c>
      <c r="C5343" s="1" t="s">
        <v>2115</v>
      </c>
      <c r="D5343" s="1" t="s">
        <v>1998</v>
      </c>
      <c r="E5343" s="1"/>
      <c r="F5343" s="1" t="s">
        <v>11</v>
      </c>
      <c r="G5343">
        <v>12720</v>
      </c>
      <c r="H5343">
        <v>12720</v>
      </c>
      <c r="I5343" s="2"/>
      <c r="J5343" s="2">
        <v>45785</v>
      </c>
      <c r="K5343" s="2">
        <v>45789</v>
      </c>
    </row>
    <row r="5344" spans="1:11" x14ac:dyDescent="0.25">
      <c r="A5344" s="1" t="s">
        <v>888</v>
      </c>
      <c r="B5344" s="1" t="s">
        <v>1241</v>
      </c>
      <c r="C5344" s="1" t="s">
        <v>2115</v>
      </c>
      <c r="D5344" s="1" t="s">
        <v>1998</v>
      </c>
      <c r="E5344" s="1"/>
      <c r="F5344" s="1" t="s">
        <v>11</v>
      </c>
      <c r="G5344">
        <v>2190</v>
      </c>
      <c r="H5344">
        <v>2190</v>
      </c>
      <c r="I5344" s="2"/>
      <c r="J5344" s="2">
        <v>45785</v>
      </c>
      <c r="K5344" s="2">
        <v>45789</v>
      </c>
    </row>
    <row r="5345" spans="1:11" x14ac:dyDescent="0.25">
      <c r="A5345" s="1" t="s">
        <v>889</v>
      </c>
      <c r="B5345" s="1" t="s">
        <v>1955</v>
      </c>
      <c r="C5345" s="1" t="s">
        <v>2781</v>
      </c>
      <c r="D5345" s="1" t="s">
        <v>1998</v>
      </c>
      <c r="E5345" s="1"/>
      <c r="F5345" s="1" t="s">
        <v>11</v>
      </c>
      <c r="G5345">
        <v>45</v>
      </c>
      <c r="H5345">
        <v>45</v>
      </c>
      <c r="I5345" s="2"/>
      <c r="J5345" s="2">
        <v>45782</v>
      </c>
      <c r="K5345" s="2">
        <v>45786</v>
      </c>
    </row>
    <row r="5346" spans="1:11" x14ac:dyDescent="0.25">
      <c r="A5346" s="1" t="s">
        <v>889</v>
      </c>
      <c r="B5346" s="1" t="s">
        <v>1955</v>
      </c>
      <c r="C5346" s="1" t="s">
        <v>2781</v>
      </c>
      <c r="D5346" s="1" t="s">
        <v>1998</v>
      </c>
      <c r="E5346" s="1"/>
      <c r="F5346" s="1" t="s">
        <v>11</v>
      </c>
      <c r="G5346">
        <v>10</v>
      </c>
      <c r="H5346">
        <v>10</v>
      </c>
      <c r="I5346" s="2"/>
      <c r="J5346" s="2">
        <v>45782</v>
      </c>
      <c r="K5346" s="2">
        <v>45786</v>
      </c>
    </row>
    <row r="5347" spans="1:11" x14ac:dyDescent="0.25">
      <c r="A5347" s="1" t="s">
        <v>889</v>
      </c>
      <c r="B5347" s="1" t="s">
        <v>1956</v>
      </c>
      <c r="C5347" s="1" t="s">
        <v>2346</v>
      </c>
      <c r="D5347" s="1" t="s">
        <v>1998</v>
      </c>
      <c r="E5347" s="1"/>
      <c r="F5347" s="1" t="s">
        <v>11</v>
      </c>
      <c r="G5347">
        <v>940</v>
      </c>
      <c r="H5347">
        <v>940</v>
      </c>
      <c r="I5347" s="2"/>
      <c r="J5347" s="2">
        <v>45782</v>
      </c>
      <c r="K5347" s="2">
        <v>45786</v>
      </c>
    </row>
    <row r="5348" spans="1:11" x14ac:dyDescent="0.25">
      <c r="A5348" s="1" t="s">
        <v>889</v>
      </c>
      <c r="B5348" s="1" t="s">
        <v>1956</v>
      </c>
      <c r="C5348" s="1" t="s">
        <v>2346</v>
      </c>
      <c r="D5348" s="1" t="s">
        <v>1998</v>
      </c>
      <c r="E5348" s="1"/>
      <c r="F5348" s="1" t="s">
        <v>11</v>
      </c>
      <c r="G5348">
        <v>20</v>
      </c>
      <c r="H5348">
        <v>20</v>
      </c>
      <c r="I5348" s="2"/>
      <c r="J5348" s="2">
        <v>45782</v>
      </c>
      <c r="K5348" s="2">
        <v>45786</v>
      </c>
    </row>
    <row r="5349" spans="1:11" x14ac:dyDescent="0.25">
      <c r="A5349" s="1" t="s">
        <v>889</v>
      </c>
      <c r="B5349" s="1" t="s">
        <v>1957</v>
      </c>
      <c r="C5349" s="1" t="s">
        <v>2782</v>
      </c>
      <c r="D5349" s="1" t="s">
        <v>1998</v>
      </c>
      <c r="E5349" s="1"/>
      <c r="F5349" s="1" t="s">
        <v>11</v>
      </c>
      <c r="G5349">
        <v>195</v>
      </c>
      <c r="H5349">
        <v>195</v>
      </c>
      <c r="I5349" s="2"/>
      <c r="J5349" s="2">
        <v>45782</v>
      </c>
      <c r="K5349" s="2">
        <v>45786</v>
      </c>
    </row>
    <row r="5350" spans="1:11" x14ac:dyDescent="0.25">
      <c r="A5350" s="1" t="s">
        <v>889</v>
      </c>
      <c r="B5350" s="1" t="s">
        <v>1957</v>
      </c>
      <c r="C5350" s="1" t="s">
        <v>2782</v>
      </c>
      <c r="D5350" s="1" t="s">
        <v>1998</v>
      </c>
      <c r="E5350" s="1"/>
      <c r="F5350" s="1" t="s">
        <v>11</v>
      </c>
      <c r="G5350">
        <v>5</v>
      </c>
      <c r="H5350">
        <v>5</v>
      </c>
      <c r="I5350" s="2"/>
      <c r="J5350" s="2">
        <v>45782</v>
      </c>
      <c r="K5350" s="2">
        <v>45786</v>
      </c>
    </row>
    <row r="5351" spans="1:11" x14ac:dyDescent="0.25">
      <c r="A5351" s="1" t="s">
        <v>889</v>
      </c>
      <c r="B5351" s="1" t="s">
        <v>1958</v>
      </c>
      <c r="C5351" s="1" t="s">
        <v>2783</v>
      </c>
      <c r="D5351" s="1" t="s">
        <v>1998</v>
      </c>
      <c r="E5351" s="1"/>
      <c r="F5351" s="1" t="s">
        <v>11</v>
      </c>
      <c r="G5351">
        <v>200</v>
      </c>
      <c r="H5351">
        <v>200</v>
      </c>
      <c r="I5351" s="2"/>
      <c r="J5351" s="2">
        <v>45782</v>
      </c>
      <c r="K5351" s="2">
        <v>45786</v>
      </c>
    </row>
    <row r="5352" spans="1:11" x14ac:dyDescent="0.25">
      <c r="A5352" s="1" t="s">
        <v>889</v>
      </c>
      <c r="B5352" s="1" t="s">
        <v>1958</v>
      </c>
      <c r="C5352" s="1" t="s">
        <v>2783</v>
      </c>
      <c r="D5352" s="1" t="s">
        <v>1998</v>
      </c>
      <c r="E5352" s="1"/>
      <c r="F5352" s="1" t="s">
        <v>11</v>
      </c>
      <c r="G5352">
        <v>5</v>
      </c>
      <c r="H5352">
        <v>5</v>
      </c>
      <c r="I5352" s="2"/>
      <c r="J5352" s="2">
        <v>45782</v>
      </c>
      <c r="K5352" s="2">
        <v>45786</v>
      </c>
    </row>
    <row r="5353" spans="1:11" x14ac:dyDescent="0.25">
      <c r="A5353" s="1" t="s">
        <v>889</v>
      </c>
      <c r="B5353" s="1" t="s">
        <v>1959</v>
      </c>
      <c r="C5353" s="1" t="s">
        <v>2784</v>
      </c>
      <c r="D5353" s="1" t="s">
        <v>1998</v>
      </c>
      <c r="E5353" s="1"/>
      <c r="F5353" s="1" t="s">
        <v>11</v>
      </c>
      <c r="G5353">
        <v>635</v>
      </c>
      <c r="H5353">
        <v>635</v>
      </c>
      <c r="I5353" s="2"/>
      <c r="J5353" s="2">
        <v>45782</v>
      </c>
      <c r="K5353" s="2">
        <v>45786</v>
      </c>
    </row>
    <row r="5354" spans="1:11" x14ac:dyDescent="0.25">
      <c r="A5354" s="1" t="s">
        <v>889</v>
      </c>
      <c r="B5354" s="1" t="s">
        <v>1126</v>
      </c>
      <c r="C5354" s="1" t="s">
        <v>2126</v>
      </c>
      <c r="D5354" s="1" t="s">
        <v>1998</v>
      </c>
      <c r="E5354" s="1"/>
      <c r="F5354" s="1" t="s">
        <v>11</v>
      </c>
      <c r="G5354">
        <v>15</v>
      </c>
      <c r="H5354">
        <v>15</v>
      </c>
      <c r="I5354" s="2"/>
      <c r="J5354" s="2">
        <v>45782</v>
      </c>
      <c r="K5354" s="2">
        <v>45786</v>
      </c>
    </row>
    <row r="5355" spans="1:11" x14ac:dyDescent="0.25">
      <c r="A5355" s="1" t="s">
        <v>889</v>
      </c>
      <c r="B5355" s="1" t="s">
        <v>1960</v>
      </c>
      <c r="C5355" s="1" t="s">
        <v>2785</v>
      </c>
      <c r="D5355" s="1" t="s">
        <v>1998</v>
      </c>
      <c r="E5355" s="1"/>
      <c r="F5355" s="1" t="s">
        <v>11</v>
      </c>
      <c r="G5355">
        <v>1465</v>
      </c>
      <c r="H5355">
        <v>1465</v>
      </c>
      <c r="I5355" s="2"/>
      <c r="J5355" s="2">
        <v>45782</v>
      </c>
      <c r="K5355" s="2">
        <v>45786</v>
      </c>
    </row>
    <row r="5356" spans="1:11" x14ac:dyDescent="0.25">
      <c r="A5356" s="1" t="s">
        <v>890</v>
      </c>
      <c r="B5356" s="1" t="s">
        <v>1955</v>
      </c>
      <c r="C5356" s="1" t="s">
        <v>2781</v>
      </c>
      <c r="D5356" s="1" t="s">
        <v>1998</v>
      </c>
      <c r="E5356" s="1"/>
      <c r="F5356" s="1" t="s">
        <v>11</v>
      </c>
      <c r="G5356">
        <v>20</v>
      </c>
      <c r="H5356">
        <v>20</v>
      </c>
      <c r="I5356" s="2"/>
      <c r="J5356" s="2">
        <v>45782</v>
      </c>
      <c r="K5356" s="2">
        <v>45786</v>
      </c>
    </row>
    <row r="5357" spans="1:11" x14ac:dyDescent="0.25">
      <c r="A5357" s="1" t="s">
        <v>890</v>
      </c>
      <c r="B5357" s="1" t="s">
        <v>1955</v>
      </c>
      <c r="C5357" s="1" t="s">
        <v>2781</v>
      </c>
      <c r="D5357" s="1" t="s">
        <v>1998</v>
      </c>
      <c r="E5357" s="1"/>
      <c r="F5357" s="1" t="s">
        <v>11</v>
      </c>
      <c r="G5357">
        <v>1</v>
      </c>
      <c r="H5357">
        <v>10</v>
      </c>
      <c r="I5357" s="2"/>
      <c r="J5357" s="2">
        <v>45782</v>
      </c>
      <c r="K5357" s="2">
        <v>45786</v>
      </c>
    </row>
    <row r="5358" spans="1:11" x14ac:dyDescent="0.25">
      <c r="A5358" s="1" t="s">
        <v>890</v>
      </c>
      <c r="B5358" s="1" t="s">
        <v>1956</v>
      </c>
      <c r="C5358" s="1" t="s">
        <v>2346</v>
      </c>
      <c r="D5358" s="1" t="s">
        <v>1998</v>
      </c>
      <c r="E5358" s="1"/>
      <c r="F5358" s="1" t="s">
        <v>11</v>
      </c>
      <c r="G5358">
        <v>470</v>
      </c>
      <c r="H5358">
        <v>490</v>
      </c>
      <c r="I5358" s="2"/>
      <c r="J5358" s="2">
        <v>45782</v>
      </c>
      <c r="K5358" s="2">
        <v>45786</v>
      </c>
    </row>
    <row r="5359" spans="1:11" x14ac:dyDescent="0.25">
      <c r="A5359" s="1" t="s">
        <v>890</v>
      </c>
      <c r="B5359" s="1" t="s">
        <v>1957</v>
      </c>
      <c r="C5359" s="1" t="s">
        <v>2782</v>
      </c>
      <c r="D5359" s="1" t="s">
        <v>1998</v>
      </c>
      <c r="E5359" s="1"/>
      <c r="F5359" s="1" t="s">
        <v>11</v>
      </c>
      <c r="G5359">
        <v>100</v>
      </c>
      <c r="H5359">
        <v>100</v>
      </c>
      <c r="I5359" s="2"/>
      <c r="J5359" s="2">
        <v>45782</v>
      </c>
      <c r="K5359" s="2">
        <v>45786</v>
      </c>
    </row>
    <row r="5360" spans="1:11" x14ac:dyDescent="0.25">
      <c r="A5360" s="1" t="s">
        <v>890</v>
      </c>
      <c r="B5360" s="1" t="s">
        <v>1958</v>
      </c>
      <c r="C5360" s="1" t="s">
        <v>2783</v>
      </c>
      <c r="D5360" s="1" t="s">
        <v>1998</v>
      </c>
      <c r="E5360" s="1"/>
      <c r="F5360" s="1" t="s">
        <v>11</v>
      </c>
      <c r="G5360">
        <v>100</v>
      </c>
      <c r="H5360">
        <v>105</v>
      </c>
      <c r="I5360" s="2"/>
      <c r="J5360" s="2">
        <v>45782</v>
      </c>
      <c r="K5360" s="2">
        <v>45786</v>
      </c>
    </row>
    <row r="5361" spans="1:11" x14ac:dyDescent="0.25">
      <c r="A5361" s="1" t="s">
        <v>890</v>
      </c>
      <c r="B5361" s="1" t="s">
        <v>1959</v>
      </c>
      <c r="C5361" s="1" t="s">
        <v>2784</v>
      </c>
      <c r="D5361" s="1" t="s">
        <v>1998</v>
      </c>
      <c r="E5361" s="1"/>
      <c r="F5361" s="1" t="s">
        <v>11</v>
      </c>
      <c r="G5361">
        <v>315</v>
      </c>
      <c r="H5361">
        <v>315</v>
      </c>
      <c r="I5361" s="2"/>
      <c r="J5361" s="2">
        <v>45782</v>
      </c>
      <c r="K5361" s="2">
        <v>45786</v>
      </c>
    </row>
    <row r="5362" spans="1:11" x14ac:dyDescent="0.25">
      <c r="A5362" s="1" t="s">
        <v>890</v>
      </c>
      <c r="B5362" s="1" t="s">
        <v>1126</v>
      </c>
      <c r="C5362" s="1" t="s">
        <v>2126</v>
      </c>
      <c r="D5362" s="1" t="s">
        <v>1998</v>
      </c>
      <c r="E5362" s="1"/>
      <c r="F5362" s="1" t="s">
        <v>11</v>
      </c>
      <c r="G5362">
        <v>5</v>
      </c>
      <c r="H5362">
        <v>5</v>
      </c>
      <c r="I5362" s="2"/>
      <c r="J5362" s="2">
        <v>45782</v>
      </c>
      <c r="K5362" s="2">
        <v>45786</v>
      </c>
    </row>
    <row r="5363" spans="1:11" x14ac:dyDescent="0.25">
      <c r="A5363" s="1" t="s">
        <v>890</v>
      </c>
      <c r="B5363" s="1" t="s">
        <v>1960</v>
      </c>
      <c r="C5363" s="1" t="s">
        <v>2785</v>
      </c>
      <c r="D5363" s="1" t="s">
        <v>1998</v>
      </c>
      <c r="E5363" s="1"/>
      <c r="F5363" s="1" t="s">
        <v>11</v>
      </c>
      <c r="G5363">
        <v>730</v>
      </c>
      <c r="H5363">
        <v>730</v>
      </c>
      <c r="I5363" s="2"/>
      <c r="J5363" s="2">
        <v>45782</v>
      </c>
      <c r="K5363" s="2">
        <v>45786</v>
      </c>
    </row>
    <row r="5364" spans="1:11" x14ac:dyDescent="0.25">
      <c r="A5364" s="1" t="s">
        <v>891</v>
      </c>
      <c r="B5364" s="1" t="s">
        <v>1955</v>
      </c>
      <c r="C5364" s="1" t="s">
        <v>2781</v>
      </c>
      <c r="D5364" s="1" t="s">
        <v>1998</v>
      </c>
      <c r="E5364" s="1"/>
      <c r="F5364" s="1" t="s">
        <v>11</v>
      </c>
      <c r="G5364">
        <v>20</v>
      </c>
      <c r="H5364">
        <v>20</v>
      </c>
      <c r="I5364" s="2"/>
      <c r="J5364" s="2">
        <v>45782</v>
      </c>
      <c r="K5364" s="2">
        <v>45786</v>
      </c>
    </row>
    <row r="5365" spans="1:11" x14ac:dyDescent="0.25">
      <c r="A5365" s="1" t="s">
        <v>891</v>
      </c>
      <c r="B5365" s="1" t="s">
        <v>1955</v>
      </c>
      <c r="C5365" s="1" t="s">
        <v>2781</v>
      </c>
      <c r="D5365" s="1" t="s">
        <v>1998</v>
      </c>
      <c r="E5365" s="1"/>
      <c r="F5365" s="1" t="s">
        <v>11</v>
      </c>
      <c r="G5365">
        <v>1</v>
      </c>
      <c r="H5365">
        <v>1</v>
      </c>
      <c r="I5365" s="2"/>
      <c r="J5365" s="2">
        <v>45782</v>
      </c>
      <c r="K5365" s="2">
        <v>45786</v>
      </c>
    </row>
    <row r="5366" spans="1:11" x14ac:dyDescent="0.25">
      <c r="A5366" s="1" t="s">
        <v>891</v>
      </c>
      <c r="B5366" s="1" t="s">
        <v>1955</v>
      </c>
      <c r="C5366" s="1" t="s">
        <v>2781</v>
      </c>
      <c r="D5366" s="1" t="s">
        <v>1998</v>
      </c>
      <c r="E5366" s="1"/>
      <c r="F5366" s="1" t="s">
        <v>11</v>
      </c>
      <c r="G5366">
        <v>1</v>
      </c>
      <c r="H5366">
        <v>1</v>
      </c>
      <c r="I5366" s="2"/>
      <c r="J5366" s="2">
        <v>45782</v>
      </c>
      <c r="K5366" s="2">
        <v>45786</v>
      </c>
    </row>
    <row r="5367" spans="1:11" x14ac:dyDescent="0.25">
      <c r="A5367" s="1" t="s">
        <v>891</v>
      </c>
      <c r="B5367" s="1" t="s">
        <v>1956</v>
      </c>
      <c r="C5367" s="1" t="s">
        <v>2346</v>
      </c>
      <c r="D5367" s="1" t="s">
        <v>1998</v>
      </c>
      <c r="E5367" s="1"/>
      <c r="F5367" s="1" t="s">
        <v>11</v>
      </c>
      <c r="G5367">
        <v>450</v>
      </c>
      <c r="H5367">
        <v>450</v>
      </c>
      <c r="I5367" s="2"/>
      <c r="J5367" s="2">
        <v>45782</v>
      </c>
      <c r="K5367" s="2">
        <v>45786</v>
      </c>
    </row>
    <row r="5368" spans="1:11" x14ac:dyDescent="0.25">
      <c r="A5368" s="1" t="s">
        <v>891</v>
      </c>
      <c r="B5368" s="1" t="s">
        <v>1956</v>
      </c>
      <c r="C5368" s="1" t="s">
        <v>2346</v>
      </c>
      <c r="D5368" s="1" t="s">
        <v>1998</v>
      </c>
      <c r="E5368" s="1"/>
      <c r="F5368" s="1" t="s">
        <v>11</v>
      </c>
      <c r="G5368">
        <v>20</v>
      </c>
      <c r="H5368">
        <v>20</v>
      </c>
      <c r="I5368" s="2"/>
      <c r="J5368" s="2">
        <v>45782</v>
      </c>
      <c r="K5368" s="2">
        <v>45786</v>
      </c>
    </row>
    <row r="5369" spans="1:11" x14ac:dyDescent="0.25">
      <c r="A5369" s="1" t="s">
        <v>891</v>
      </c>
      <c r="B5369" s="1" t="s">
        <v>1957</v>
      </c>
      <c r="C5369" s="1" t="s">
        <v>2782</v>
      </c>
      <c r="D5369" s="1" t="s">
        <v>1998</v>
      </c>
      <c r="E5369" s="1"/>
      <c r="F5369" s="1" t="s">
        <v>11</v>
      </c>
      <c r="G5369">
        <v>95</v>
      </c>
      <c r="H5369">
        <v>95</v>
      </c>
      <c r="I5369" s="2"/>
      <c r="J5369" s="2">
        <v>45782</v>
      </c>
      <c r="K5369" s="2">
        <v>45786</v>
      </c>
    </row>
    <row r="5370" spans="1:11" x14ac:dyDescent="0.25">
      <c r="A5370" s="1" t="s">
        <v>891</v>
      </c>
      <c r="B5370" s="1" t="s">
        <v>1958</v>
      </c>
      <c r="C5370" s="1" t="s">
        <v>2783</v>
      </c>
      <c r="D5370" s="1" t="s">
        <v>1998</v>
      </c>
      <c r="E5370" s="1"/>
      <c r="F5370" s="1" t="s">
        <v>11</v>
      </c>
      <c r="G5370">
        <v>95</v>
      </c>
      <c r="H5370">
        <v>95</v>
      </c>
      <c r="I5370" s="2"/>
      <c r="J5370" s="2">
        <v>45782</v>
      </c>
      <c r="K5370" s="2">
        <v>45786</v>
      </c>
    </row>
    <row r="5371" spans="1:11" x14ac:dyDescent="0.25">
      <c r="A5371" s="1" t="s">
        <v>891</v>
      </c>
      <c r="B5371" s="1" t="s">
        <v>1959</v>
      </c>
      <c r="C5371" s="1" t="s">
        <v>2784</v>
      </c>
      <c r="D5371" s="1" t="s">
        <v>1998</v>
      </c>
      <c r="E5371" s="1"/>
      <c r="F5371" s="1" t="s">
        <v>11</v>
      </c>
      <c r="G5371">
        <v>305</v>
      </c>
      <c r="H5371">
        <v>305</v>
      </c>
      <c r="I5371" s="2"/>
      <c r="J5371" s="2">
        <v>45782</v>
      </c>
      <c r="K5371" s="2">
        <v>45786</v>
      </c>
    </row>
    <row r="5372" spans="1:11" x14ac:dyDescent="0.25">
      <c r="A5372" s="1" t="s">
        <v>891</v>
      </c>
      <c r="B5372" s="1" t="s">
        <v>1126</v>
      </c>
      <c r="C5372" s="1" t="s">
        <v>2126</v>
      </c>
      <c r="D5372" s="1" t="s">
        <v>1998</v>
      </c>
      <c r="E5372" s="1"/>
      <c r="F5372" s="1" t="s">
        <v>11</v>
      </c>
      <c r="G5372">
        <v>5</v>
      </c>
      <c r="H5372">
        <v>5</v>
      </c>
      <c r="I5372" s="2"/>
      <c r="J5372" s="2">
        <v>45782</v>
      </c>
      <c r="K5372" s="2">
        <v>45786</v>
      </c>
    </row>
    <row r="5373" spans="1:11" x14ac:dyDescent="0.25">
      <c r="A5373" s="1" t="s">
        <v>891</v>
      </c>
      <c r="B5373" s="1" t="s">
        <v>1960</v>
      </c>
      <c r="C5373" s="1" t="s">
        <v>2785</v>
      </c>
      <c r="D5373" s="1" t="s">
        <v>1998</v>
      </c>
      <c r="E5373" s="1"/>
      <c r="F5373" s="1" t="s">
        <v>11</v>
      </c>
      <c r="G5373">
        <v>700</v>
      </c>
      <c r="H5373">
        <v>700</v>
      </c>
      <c r="I5373" s="2"/>
      <c r="J5373" s="2">
        <v>45782</v>
      </c>
      <c r="K5373" s="2">
        <v>45786</v>
      </c>
    </row>
    <row r="5374" spans="1:11" x14ac:dyDescent="0.25">
      <c r="A5374" s="1" t="s">
        <v>892</v>
      </c>
      <c r="B5374" s="1" t="s">
        <v>1943</v>
      </c>
      <c r="C5374" s="1" t="s">
        <v>2124</v>
      </c>
      <c r="D5374" s="1" t="s">
        <v>1998</v>
      </c>
      <c r="E5374" s="1"/>
      <c r="F5374" s="1" t="s">
        <v>11</v>
      </c>
      <c r="G5374">
        <v>765</v>
      </c>
      <c r="H5374">
        <v>765</v>
      </c>
      <c r="I5374" s="2"/>
      <c r="J5374" s="2">
        <v>45783</v>
      </c>
      <c r="K5374" s="2">
        <v>45786</v>
      </c>
    </row>
    <row r="5375" spans="1:11" x14ac:dyDescent="0.25">
      <c r="A5375" s="1" t="s">
        <v>892</v>
      </c>
      <c r="B5375" s="1" t="s">
        <v>1943</v>
      </c>
      <c r="C5375" s="1" t="s">
        <v>2124</v>
      </c>
      <c r="D5375" s="1" t="s">
        <v>1998</v>
      </c>
      <c r="E5375" s="1"/>
      <c r="F5375" s="1" t="s">
        <v>16</v>
      </c>
      <c r="G5375">
        <v>5</v>
      </c>
      <c r="H5375">
        <v>5</v>
      </c>
      <c r="I5375" s="2"/>
      <c r="J5375" s="2">
        <v>45783</v>
      </c>
      <c r="K5375" s="2">
        <v>45786</v>
      </c>
    </row>
    <row r="5376" spans="1:11" x14ac:dyDescent="0.25">
      <c r="A5376" s="1" t="s">
        <v>892</v>
      </c>
      <c r="B5376" s="1" t="s">
        <v>1944</v>
      </c>
      <c r="C5376" s="1" t="s">
        <v>2745</v>
      </c>
      <c r="D5376" s="1" t="s">
        <v>1998</v>
      </c>
      <c r="E5376" s="1"/>
      <c r="F5376" s="1" t="s">
        <v>11</v>
      </c>
      <c r="G5376">
        <v>785</v>
      </c>
      <c r="H5376">
        <v>785</v>
      </c>
      <c r="I5376" s="2"/>
      <c r="J5376" s="2">
        <v>45783</v>
      </c>
      <c r="K5376" s="2">
        <v>45786</v>
      </c>
    </row>
    <row r="5377" spans="1:11" x14ac:dyDescent="0.25">
      <c r="A5377" s="1" t="s">
        <v>892</v>
      </c>
      <c r="B5377" s="1" t="s">
        <v>1944</v>
      </c>
      <c r="C5377" s="1" t="s">
        <v>2745</v>
      </c>
      <c r="D5377" s="1" t="s">
        <v>1998</v>
      </c>
      <c r="E5377" s="1"/>
      <c r="F5377" s="1" t="s">
        <v>16</v>
      </c>
      <c r="G5377">
        <v>25</v>
      </c>
      <c r="H5377">
        <v>25</v>
      </c>
      <c r="I5377" s="2"/>
      <c r="J5377" s="2">
        <v>45783</v>
      </c>
      <c r="K5377" s="2">
        <v>45786</v>
      </c>
    </row>
    <row r="5378" spans="1:11" x14ac:dyDescent="0.25">
      <c r="A5378" s="1" t="s">
        <v>892</v>
      </c>
      <c r="B5378" s="1" t="s">
        <v>1961</v>
      </c>
      <c r="C5378" s="1" t="s">
        <v>2786</v>
      </c>
      <c r="D5378" s="1" t="s">
        <v>1998</v>
      </c>
      <c r="E5378" s="1"/>
      <c r="F5378" s="1" t="s">
        <v>11</v>
      </c>
      <c r="G5378">
        <v>560</v>
      </c>
      <c r="H5378">
        <v>560</v>
      </c>
      <c r="I5378" s="2"/>
      <c r="J5378" s="2">
        <v>45783</v>
      </c>
      <c r="K5378" s="2">
        <v>45786</v>
      </c>
    </row>
    <row r="5379" spans="1:11" x14ac:dyDescent="0.25">
      <c r="A5379" s="1" t="s">
        <v>892</v>
      </c>
      <c r="B5379" s="1" t="s">
        <v>1961</v>
      </c>
      <c r="C5379" s="1" t="s">
        <v>2786</v>
      </c>
      <c r="D5379" s="1" t="s">
        <v>1998</v>
      </c>
      <c r="E5379" s="1"/>
      <c r="F5379" s="1" t="s">
        <v>16</v>
      </c>
      <c r="G5379">
        <v>5</v>
      </c>
      <c r="H5379">
        <v>5</v>
      </c>
      <c r="I5379" s="2"/>
      <c r="J5379" s="2">
        <v>45783</v>
      </c>
      <c r="K5379" s="2">
        <v>45786</v>
      </c>
    </row>
    <row r="5380" spans="1:11" x14ac:dyDescent="0.25">
      <c r="A5380" s="1" t="s">
        <v>892</v>
      </c>
      <c r="B5380" s="1" t="s">
        <v>1126</v>
      </c>
      <c r="C5380" s="1" t="s">
        <v>2126</v>
      </c>
      <c r="D5380" s="1" t="s">
        <v>1998</v>
      </c>
      <c r="E5380" s="1"/>
      <c r="F5380" s="1" t="s">
        <v>11</v>
      </c>
      <c r="G5380">
        <v>35</v>
      </c>
      <c r="H5380">
        <v>35</v>
      </c>
      <c r="I5380" s="2"/>
      <c r="J5380" s="2">
        <v>45783</v>
      </c>
      <c r="K5380" s="2">
        <v>45786</v>
      </c>
    </row>
    <row r="5381" spans="1:11" x14ac:dyDescent="0.25">
      <c r="A5381" s="1" t="s">
        <v>892</v>
      </c>
      <c r="B5381" s="1" t="s">
        <v>1946</v>
      </c>
      <c r="C5381" s="1" t="s">
        <v>2127</v>
      </c>
      <c r="D5381" s="1" t="s">
        <v>1998</v>
      </c>
      <c r="E5381" s="1"/>
      <c r="F5381" s="1" t="s">
        <v>11</v>
      </c>
      <c r="G5381">
        <v>165</v>
      </c>
      <c r="H5381">
        <v>165</v>
      </c>
      <c r="I5381" s="2"/>
      <c r="J5381" s="2">
        <v>45783</v>
      </c>
      <c r="K5381" s="2">
        <v>45786</v>
      </c>
    </row>
    <row r="5382" spans="1:11" x14ac:dyDescent="0.25">
      <c r="A5382" s="1" t="s">
        <v>892</v>
      </c>
      <c r="B5382" s="1" t="s">
        <v>1946</v>
      </c>
      <c r="C5382" s="1" t="s">
        <v>2127</v>
      </c>
      <c r="D5382" s="1" t="s">
        <v>1998</v>
      </c>
      <c r="E5382" s="1"/>
      <c r="F5382" s="1" t="s">
        <v>16</v>
      </c>
      <c r="G5382">
        <v>5</v>
      </c>
      <c r="H5382">
        <v>5</v>
      </c>
      <c r="I5382" s="2"/>
      <c r="J5382" s="2">
        <v>45783</v>
      </c>
      <c r="K5382" s="2">
        <v>45786</v>
      </c>
    </row>
    <row r="5383" spans="1:11" x14ac:dyDescent="0.25">
      <c r="A5383" s="1" t="s">
        <v>892</v>
      </c>
      <c r="B5383" s="1" t="s">
        <v>1947</v>
      </c>
      <c r="C5383" s="1" t="s">
        <v>2064</v>
      </c>
      <c r="D5383" s="1" t="s">
        <v>1998</v>
      </c>
      <c r="E5383" s="1"/>
      <c r="F5383" s="1" t="s">
        <v>11</v>
      </c>
      <c r="G5383">
        <v>205</v>
      </c>
      <c r="H5383">
        <v>205</v>
      </c>
      <c r="I5383" s="2"/>
      <c r="J5383" s="2">
        <v>45783</v>
      </c>
      <c r="K5383" s="2">
        <v>45786</v>
      </c>
    </row>
    <row r="5384" spans="1:11" x14ac:dyDescent="0.25">
      <c r="A5384" s="1" t="s">
        <v>892</v>
      </c>
      <c r="B5384" s="1" t="s">
        <v>1947</v>
      </c>
      <c r="C5384" s="1" t="s">
        <v>2064</v>
      </c>
      <c r="D5384" s="1" t="s">
        <v>1998</v>
      </c>
      <c r="E5384" s="1"/>
      <c r="F5384" s="1" t="s">
        <v>16</v>
      </c>
      <c r="G5384">
        <v>10</v>
      </c>
      <c r="H5384">
        <v>10</v>
      </c>
      <c r="I5384" s="2"/>
      <c r="J5384" s="2">
        <v>45783</v>
      </c>
      <c r="K5384" s="2">
        <v>45786</v>
      </c>
    </row>
    <row r="5385" spans="1:11" x14ac:dyDescent="0.25">
      <c r="A5385" s="1" t="s">
        <v>892</v>
      </c>
      <c r="B5385" s="1" t="s">
        <v>1948</v>
      </c>
      <c r="C5385" s="1" t="s">
        <v>2776</v>
      </c>
      <c r="D5385" s="1" t="s">
        <v>1998</v>
      </c>
      <c r="E5385" s="1"/>
      <c r="F5385" s="1" t="s">
        <v>11</v>
      </c>
      <c r="G5385">
        <v>135</v>
      </c>
      <c r="H5385">
        <v>135</v>
      </c>
      <c r="I5385" s="2"/>
      <c r="J5385" s="2">
        <v>45783</v>
      </c>
      <c r="K5385" s="2">
        <v>45786</v>
      </c>
    </row>
    <row r="5386" spans="1:11" x14ac:dyDescent="0.25">
      <c r="A5386" s="1" t="s">
        <v>893</v>
      </c>
      <c r="B5386" s="1" t="s">
        <v>1108</v>
      </c>
      <c r="C5386" s="1" t="s">
        <v>2108</v>
      </c>
      <c r="D5386" s="1" t="s">
        <v>1998</v>
      </c>
      <c r="E5386" s="1"/>
      <c r="F5386" s="1" t="s">
        <v>11</v>
      </c>
      <c r="G5386">
        <v>145</v>
      </c>
      <c r="H5386">
        <v>145</v>
      </c>
      <c r="I5386" s="2"/>
      <c r="J5386" s="2">
        <v>45783</v>
      </c>
      <c r="K5386" s="2">
        <v>45789</v>
      </c>
    </row>
    <row r="5387" spans="1:11" x14ac:dyDescent="0.25">
      <c r="A5387" s="1" t="s">
        <v>894</v>
      </c>
      <c r="B5387" s="1" t="s">
        <v>1260</v>
      </c>
      <c r="C5387" s="1" t="s">
        <v>2014</v>
      </c>
      <c r="D5387" s="1" t="s">
        <v>1998</v>
      </c>
      <c r="E5387" s="1"/>
      <c r="F5387" s="1" t="s">
        <v>11</v>
      </c>
      <c r="G5387">
        <v>120</v>
      </c>
      <c r="H5387">
        <v>120</v>
      </c>
      <c r="I5387" s="2"/>
      <c r="J5387" s="2">
        <v>45782</v>
      </c>
      <c r="K5387" s="2">
        <v>45785</v>
      </c>
    </row>
    <row r="5388" spans="1:11" x14ac:dyDescent="0.25">
      <c r="A5388" s="1" t="s">
        <v>894</v>
      </c>
      <c r="B5388" s="1" t="s">
        <v>1261</v>
      </c>
      <c r="C5388" s="1" t="s">
        <v>2239</v>
      </c>
      <c r="D5388" s="1" t="s">
        <v>1998</v>
      </c>
      <c r="E5388" s="1"/>
      <c r="F5388" s="1" t="s">
        <v>11</v>
      </c>
      <c r="G5388">
        <v>85</v>
      </c>
      <c r="H5388">
        <v>65</v>
      </c>
      <c r="I5388" s="2"/>
      <c r="J5388" s="2">
        <v>45782</v>
      </c>
      <c r="K5388" s="2">
        <v>45785</v>
      </c>
    </row>
    <row r="5389" spans="1:11" x14ac:dyDescent="0.25">
      <c r="A5389" s="1" t="s">
        <v>895</v>
      </c>
      <c r="B5389" s="1" t="s">
        <v>1021</v>
      </c>
      <c r="C5389" s="1" t="s">
        <v>2038</v>
      </c>
      <c r="D5389" s="1" t="s">
        <v>1998</v>
      </c>
      <c r="E5389" s="1"/>
      <c r="F5389" s="1" t="s">
        <v>11</v>
      </c>
      <c r="G5389">
        <v>17045</v>
      </c>
      <c r="H5389">
        <v>17045</v>
      </c>
      <c r="I5389" s="2"/>
      <c r="J5389" s="2">
        <v>45783</v>
      </c>
      <c r="K5389" s="2">
        <v>45789</v>
      </c>
    </row>
    <row r="5390" spans="1:11" x14ac:dyDescent="0.25">
      <c r="A5390" s="1" t="s">
        <v>895</v>
      </c>
      <c r="B5390" s="1" t="s">
        <v>1022</v>
      </c>
      <c r="C5390" s="1" t="s">
        <v>2039</v>
      </c>
      <c r="D5390" s="1" t="s">
        <v>1998</v>
      </c>
      <c r="E5390" s="1"/>
      <c r="F5390" s="1" t="s">
        <v>11</v>
      </c>
      <c r="G5390">
        <v>15690</v>
      </c>
      <c r="H5390">
        <v>15690</v>
      </c>
      <c r="I5390" s="2"/>
      <c r="J5390" s="2">
        <v>45783</v>
      </c>
      <c r="K5390" s="2">
        <v>45789</v>
      </c>
    </row>
    <row r="5391" spans="1:11" x14ac:dyDescent="0.25">
      <c r="A5391" s="1" t="s">
        <v>895</v>
      </c>
      <c r="B5391" s="1" t="s">
        <v>1173</v>
      </c>
      <c r="C5391" s="1" t="s">
        <v>2167</v>
      </c>
      <c r="D5391" s="1" t="s">
        <v>1998</v>
      </c>
      <c r="E5391" s="1"/>
      <c r="F5391" s="1" t="s">
        <v>11</v>
      </c>
      <c r="G5391">
        <v>395</v>
      </c>
      <c r="H5391">
        <v>395</v>
      </c>
      <c r="I5391" s="2"/>
      <c r="J5391" s="2">
        <v>45783</v>
      </c>
      <c r="K5391" s="2">
        <v>45789</v>
      </c>
    </row>
    <row r="5392" spans="1:11" x14ac:dyDescent="0.25">
      <c r="A5392" s="1" t="s">
        <v>895</v>
      </c>
      <c r="B5392" s="1" t="s">
        <v>999</v>
      </c>
      <c r="C5392" s="1" t="s">
        <v>2017</v>
      </c>
      <c r="D5392" s="1" t="s">
        <v>1998</v>
      </c>
      <c r="E5392" s="1"/>
      <c r="F5392" s="1" t="s">
        <v>11</v>
      </c>
      <c r="G5392">
        <v>1</v>
      </c>
      <c r="H5392">
        <v>1</v>
      </c>
      <c r="I5392" s="2"/>
      <c r="J5392" s="2">
        <v>45783</v>
      </c>
      <c r="K5392" s="2">
        <v>45789</v>
      </c>
    </row>
    <row r="5393" spans="1:11" x14ac:dyDescent="0.25">
      <c r="A5393" s="1" t="s">
        <v>895</v>
      </c>
      <c r="B5393" s="1" t="s">
        <v>1000</v>
      </c>
      <c r="C5393" s="1" t="s">
        <v>2018</v>
      </c>
      <c r="D5393" s="1" t="s">
        <v>1998</v>
      </c>
      <c r="E5393" s="1"/>
      <c r="F5393" s="1" t="s">
        <v>11</v>
      </c>
      <c r="G5393">
        <v>1</v>
      </c>
      <c r="H5393">
        <v>1</v>
      </c>
      <c r="I5393" s="2"/>
      <c r="J5393" s="2">
        <v>45783</v>
      </c>
      <c r="K5393" s="2">
        <v>45789</v>
      </c>
    </row>
    <row r="5394" spans="1:11" x14ac:dyDescent="0.25">
      <c r="A5394" s="1" t="s">
        <v>895</v>
      </c>
      <c r="B5394" s="1" t="s">
        <v>1001</v>
      </c>
      <c r="C5394" s="1" t="s">
        <v>2019</v>
      </c>
      <c r="D5394" s="1" t="s">
        <v>1998</v>
      </c>
      <c r="E5394" s="1"/>
      <c r="F5394" s="1" t="s">
        <v>11</v>
      </c>
      <c r="G5394">
        <v>1</v>
      </c>
      <c r="H5394">
        <v>1</v>
      </c>
      <c r="I5394" s="2"/>
      <c r="J5394" s="2">
        <v>45783</v>
      </c>
      <c r="K5394" s="2">
        <v>45789</v>
      </c>
    </row>
    <row r="5395" spans="1:11" x14ac:dyDescent="0.25">
      <c r="A5395" s="1" t="s">
        <v>896</v>
      </c>
      <c r="B5395" s="1" t="s">
        <v>1708</v>
      </c>
      <c r="C5395" s="1" t="s">
        <v>2604</v>
      </c>
      <c r="D5395" s="1" t="s">
        <v>1998</v>
      </c>
      <c r="E5395" s="1"/>
      <c r="F5395" s="1" t="s">
        <v>11</v>
      </c>
      <c r="G5395">
        <v>30</v>
      </c>
      <c r="H5395">
        <v>30</v>
      </c>
      <c r="I5395" s="2"/>
      <c r="J5395" s="2">
        <v>45783</v>
      </c>
      <c r="K5395" s="2">
        <v>45789</v>
      </c>
    </row>
    <row r="5396" spans="1:11" x14ac:dyDescent="0.25">
      <c r="A5396" s="1" t="s">
        <v>896</v>
      </c>
      <c r="B5396" s="1" t="s">
        <v>1708</v>
      </c>
      <c r="C5396" s="1" t="s">
        <v>2604</v>
      </c>
      <c r="D5396" s="1" t="s">
        <v>1998</v>
      </c>
      <c r="E5396" s="1"/>
      <c r="F5396" s="1" t="s">
        <v>11</v>
      </c>
      <c r="G5396">
        <v>1</v>
      </c>
      <c r="H5396">
        <v>1</v>
      </c>
      <c r="I5396" s="2"/>
      <c r="J5396" s="2">
        <v>45783</v>
      </c>
      <c r="K5396" s="2">
        <v>45789</v>
      </c>
    </row>
    <row r="5397" spans="1:11" x14ac:dyDescent="0.25">
      <c r="A5397" s="1" t="s">
        <v>896</v>
      </c>
      <c r="B5397" s="1" t="s">
        <v>1709</v>
      </c>
      <c r="C5397" s="1" t="s">
        <v>2346</v>
      </c>
      <c r="D5397" s="1" t="s">
        <v>1998</v>
      </c>
      <c r="E5397" s="1"/>
      <c r="F5397" s="1" t="s">
        <v>11</v>
      </c>
      <c r="G5397">
        <v>1795</v>
      </c>
      <c r="H5397">
        <v>1795</v>
      </c>
      <c r="I5397" s="2"/>
      <c r="J5397" s="2">
        <v>45783</v>
      </c>
      <c r="K5397" s="2">
        <v>45789</v>
      </c>
    </row>
    <row r="5398" spans="1:11" x14ac:dyDescent="0.25">
      <c r="A5398" s="1" t="s">
        <v>896</v>
      </c>
      <c r="B5398" s="1" t="s">
        <v>1709</v>
      </c>
      <c r="C5398" s="1" t="s">
        <v>2346</v>
      </c>
      <c r="D5398" s="1" t="s">
        <v>1998</v>
      </c>
      <c r="E5398" s="1"/>
      <c r="F5398" s="1" t="s">
        <v>11</v>
      </c>
      <c r="G5398">
        <v>35</v>
      </c>
      <c r="H5398">
        <v>35</v>
      </c>
      <c r="I5398" s="2"/>
      <c r="J5398" s="2">
        <v>45783</v>
      </c>
      <c r="K5398" s="2">
        <v>45789</v>
      </c>
    </row>
    <row r="5399" spans="1:11" x14ac:dyDescent="0.25">
      <c r="A5399" s="1" t="s">
        <v>896</v>
      </c>
      <c r="B5399" s="1" t="s">
        <v>1710</v>
      </c>
      <c r="C5399" s="1" t="s">
        <v>2124</v>
      </c>
      <c r="D5399" s="1" t="s">
        <v>1998</v>
      </c>
      <c r="E5399" s="1"/>
      <c r="F5399" s="1" t="s">
        <v>11</v>
      </c>
      <c r="G5399">
        <v>990</v>
      </c>
      <c r="H5399">
        <v>990</v>
      </c>
      <c r="I5399" s="2"/>
      <c r="J5399" s="2">
        <v>45783</v>
      </c>
      <c r="K5399" s="2">
        <v>45789</v>
      </c>
    </row>
    <row r="5400" spans="1:11" x14ac:dyDescent="0.25">
      <c r="A5400" s="1" t="s">
        <v>896</v>
      </c>
      <c r="B5400" s="1" t="s">
        <v>1710</v>
      </c>
      <c r="C5400" s="1" t="s">
        <v>2124</v>
      </c>
      <c r="D5400" s="1" t="s">
        <v>1998</v>
      </c>
      <c r="E5400" s="1"/>
      <c r="F5400" s="1" t="s">
        <v>11</v>
      </c>
      <c r="G5400">
        <v>80</v>
      </c>
      <c r="H5400">
        <v>80</v>
      </c>
      <c r="I5400" s="2"/>
      <c r="J5400" s="2">
        <v>45783</v>
      </c>
      <c r="K5400" s="2">
        <v>45789</v>
      </c>
    </row>
    <row r="5401" spans="1:11" x14ac:dyDescent="0.25">
      <c r="A5401" s="1" t="s">
        <v>896</v>
      </c>
      <c r="B5401" s="1" t="s">
        <v>1710</v>
      </c>
      <c r="C5401" s="1" t="s">
        <v>2124</v>
      </c>
      <c r="D5401" s="1" t="s">
        <v>1998</v>
      </c>
      <c r="E5401" s="1"/>
      <c r="F5401" s="1" t="s">
        <v>11</v>
      </c>
      <c r="G5401">
        <v>10</v>
      </c>
      <c r="H5401">
        <v>10</v>
      </c>
      <c r="I5401" s="2"/>
      <c r="J5401" s="2">
        <v>45783</v>
      </c>
      <c r="K5401" s="2">
        <v>45789</v>
      </c>
    </row>
    <row r="5402" spans="1:11" x14ac:dyDescent="0.25">
      <c r="A5402" s="1" t="s">
        <v>896</v>
      </c>
      <c r="B5402" s="1" t="s">
        <v>1711</v>
      </c>
      <c r="C5402" s="1" t="s">
        <v>2605</v>
      </c>
      <c r="D5402" s="1" t="s">
        <v>1998</v>
      </c>
      <c r="E5402" s="1"/>
      <c r="F5402" s="1" t="s">
        <v>11</v>
      </c>
      <c r="G5402">
        <v>115</v>
      </c>
      <c r="H5402">
        <v>115</v>
      </c>
      <c r="I5402" s="2"/>
      <c r="J5402" s="2">
        <v>45783</v>
      </c>
      <c r="K5402" s="2">
        <v>45789</v>
      </c>
    </row>
    <row r="5403" spans="1:11" x14ac:dyDescent="0.25">
      <c r="A5403" s="1" t="s">
        <v>896</v>
      </c>
      <c r="B5403" s="1" t="s">
        <v>1712</v>
      </c>
      <c r="C5403" s="1" t="s">
        <v>2127</v>
      </c>
      <c r="D5403" s="1" t="s">
        <v>1998</v>
      </c>
      <c r="E5403" s="1"/>
      <c r="F5403" s="1" t="s">
        <v>11</v>
      </c>
      <c r="G5403">
        <v>265</v>
      </c>
      <c r="H5403">
        <v>265</v>
      </c>
      <c r="I5403" s="2"/>
      <c r="J5403" s="2">
        <v>45783</v>
      </c>
      <c r="K5403" s="2">
        <v>45789</v>
      </c>
    </row>
    <row r="5404" spans="1:11" x14ac:dyDescent="0.25">
      <c r="A5404" s="1" t="s">
        <v>896</v>
      </c>
      <c r="B5404" s="1" t="s">
        <v>1713</v>
      </c>
      <c r="C5404" s="1" t="s">
        <v>2606</v>
      </c>
      <c r="D5404" s="1" t="s">
        <v>1998</v>
      </c>
      <c r="E5404" s="1"/>
      <c r="F5404" s="1" t="s">
        <v>11</v>
      </c>
      <c r="G5404">
        <v>2440</v>
      </c>
      <c r="H5404">
        <v>2440</v>
      </c>
      <c r="I5404" s="2"/>
      <c r="J5404" s="2">
        <v>45783</v>
      </c>
      <c r="K5404" s="2">
        <v>45789</v>
      </c>
    </row>
    <row r="5405" spans="1:11" x14ac:dyDescent="0.25">
      <c r="A5405" s="1" t="s">
        <v>897</v>
      </c>
      <c r="B5405" s="1" t="s">
        <v>1708</v>
      </c>
      <c r="C5405" s="1" t="s">
        <v>2604</v>
      </c>
      <c r="D5405" s="1" t="s">
        <v>1998</v>
      </c>
      <c r="E5405" s="1"/>
      <c r="F5405" s="1" t="s">
        <v>11</v>
      </c>
      <c r="G5405">
        <v>10</v>
      </c>
      <c r="H5405">
        <v>10</v>
      </c>
      <c r="I5405" s="2"/>
      <c r="J5405" s="2">
        <v>45783</v>
      </c>
      <c r="K5405" s="2">
        <v>45789</v>
      </c>
    </row>
    <row r="5406" spans="1:11" x14ac:dyDescent="0.25">
      <c r="A5406" s="1" t="s">
        <v>897</v>
      </c>
      <c r="B5406" s="1" t="s">
        <v>1708</v>
      </c>
      <c r="C5406" s="1" t="s">
        <v>2604</v>
      </c>
      <c r="D5406" s="1" t="s">
        <v>1998</v>
      </c>
      <c r="E5406" s="1"/>
      <c r="F5406" s="1" t="s">
        <v>11</v>
      </c>
      <c r="G5406">
        <v>1</v>
      </c>
      <c r="H5406">
        <v>1</v>
      </c>
      <c r="I5406" s="2"/>
      <c r="J5406" s="2">
        <v>45783</v>
      </c>
      <c r="K5406" s="2">
        <v>45789</v>
      </c>
    </row>
    <row r="5407" spans="1:11" x14ac:dyDescent="0.25">
      <c r="A5407" s="1" t="s">
        <v>897</v>
      </c>
      <c r="B5407" s="1" t="s">
        <v>1709</v>
      </c>
      <c r="C5407" s="1" t="s">
        <v>2346</v>
      </c>
      <c r="D5407" s="1" t="s">
        <v>1998</v>
      </c>
      <c r="E5407" s="1"/>
      <c r="F5407" s="1" t="s">
        <v>11</v>
      </c>
      <c r="G5407">
        <v>635</v>
      </c>
      <c r="H5407">
        <v>635</v>
      </c>
      <c r="I5407" s="2"/>
      <c r="J5407" s="2">
        <v>45783</v>
      </c>
      <c r="K5407" s="2">
        <v>45789</v>
      </c>
    </row>
    <row r="5408" spans="1:11" x14ac:dyDescent="0.25">
      <c r="A5408" s="1" t="s">
        <v>897</v>
      </c>
      <c r="B5408" s="1" t="s">
        <v>1709</v>
      </c>
      <c r="C5408" s="1" t="s">
        <v>2346</v>
      </c>
      <c r="D5408" s="1" t="s">
        <v>1998</v>
      </c>
      <c r="E5408" s="1"/>
      <c r="F5408" s="1" t="s">
        <v>11</v>
      </c>
      <c r="G5408">
        <v>20</v>
      </c>
      <c r="H5408">
        <v>20</v>
      </c>
      <c r="I5408" s="2"/>
      <c r="J5408" s="2">
        <v>45783</v>
      </c>
      <c r="K5408" s="2">
        <v>45789</v>
      </c>
    </row>
    <row r="5409" spans="1:11" x14ac:dyDescent="0.25">
      <c r="A5409" s="1" t="s">
        <v>897</v>
      </c>
      <c r="B5409" s="1" t="s">
        <v>1710</v>
      </c>
      <c r="C5409" s="1" t="s">
        <v>2124</v>
      </c>
      <c r="D5409" s="1" t="s">
        <v>1998</v>
      </c>
      <c r="E5409" s="1"/>
      <c r="F5409" s="1" t="s">
        <v>11</v>
      </c>
      <c r="G5409">
        <v>350</v>
      </c>
      <c r="H5409">
        <v>350</v>
      </c>
      <c r="I5409" s="2"/>
      <c r="J5409" s="2">
        <v>45783</v>
      </c>
      <c r="K5409" s="2">
        <v>45789</v>
      </c>
    </row>
    <row r="5410" spans="1:11" x14ac:dyDescent="0.25">
      <c r="A5410" s="1" t="s">
        <v>897</v>
      </c>
      <c r="B5410" s="1" t="s">
        <v>1711</v>
      </c>
      <c r="C5410" s="1" t="s">
        <v>2605</v>
      </c>
      <c r="D5410" s="1" t="s">
        <v>1998</v>
      </c>
      <c r="E5410" s="1"/>
      <c r="F5410" s="1" t="s">
        <v>11</v>
      </c>
      <c r="G5410">
        <v>40</v>
      </c>
      <c r="H5410">
        <v>40</v>
      </c>
      <c r="I5410" s="2"/>
      <c r="J5410" s="2">
        <v>45783</v>
      </c>
      <c r="K5410" s="2">
        <v>45789</v>
      </c>
    </row>
    <row r="5411" spans="1:11" x14ac:dyDescent="0.25">
      <c r="A5411" s="1" t="s">
        <v>897</v>
      </c>
      <c r="B5411" s="1" t="s">
        <v>1712</v>
      </c>
      <c r="C5411" s="1" t="s">
        <v>2127</v>
      </c>
      <c r="D5411" s="1" t="s">
        <v>1998</v>
      </c>
      <c r="E5411" s="1"/>
      <c r="F5411" s="1" t="s">
        <v>11</v>
      </c>
      <c r="G5411">
        <v>95</v>
      </c>
      <c r="H5411">
        <v>95</v>
      </c>
      <c r="I5411" s="2"/>
      <c r="J5411" s="2">
        <v>45783</v>
      </c>
      <c r="K5411" s="2">
        <v>45789</v>
      </c>
    </row>
    <row r="5412" spans="1:11" x14ac:dyDescent="0.25">
      <c r="A5412" s="1" t="s">
        <v>897</v>
      </c>
      <c r="B5412" s="1" t="s">
        <v>1713</v>
      </c>
      <c r="C5412" s="1" t="s">
        <v>2606</v>
      </c>
      <c r="D5412" s="1" t="s">
        <v>1998</v>
      </c>
      <c r="E5412" s="1"/>
      <c r="F5412" s="1" t="s">
        <v>11</v>
      </c>
      <c r="G5412">
        <v>860</v>
      </c>
      <c r="H5412">
        <v>860</v>
      </c>
      <c r="I5412" s="2"/>
      <c r="J5412" s="2">
        <v>45783</v>
      </c>
      <c r="K5412" s="2">
        <v>45789</v>
      </c>
    </row>
    <row r="5413" spans="1:11" x14ac:dyDescent="0.25">
      <c r="A5413" s="1" t="s">
        <v>898</v>
      </c>
      <c r="B5413" s="1" t="s">
        <v>1008</v>
      </c>
      <c r="C5413" s="1" t="s">
        <v>2014</v>
      </c>
      <c r="D5413" s="1" t="s">
        <v>1998</v>
      </c>
      <c r="E5413" s="1"/>
      <c r="F5413" s="1" t="s">
        <v>11</v>
      </c>
      <c r="G5413">
        <v>2100</v>
      </c>
      <c r="H5413">
        <v>2100</v>
      </c>
      <c r="I5413" s="2"/>
      <c r="J5413" s="2">
        <v>45783</v>
      </c>
      <c r="K5413" s="2">
        <v>45789</v>
      </c>
    </row>
    <row r="5414" spans="1:11" x14ac:dyDescent="0.25">
      <c r="A5414" s="1" t="s">
        <v>898</v>
      </c>
      <c r="B5414" s="1" t="s">
        <v>1009</v>
      </c>
      <c r="C5414" s="1" t="s">
        <v>2026</v>
      </c>
      <c r="D5414" s="1" t="s">
        <v>1998</v>
      </c>
      <c r="E5414" s="1"/>
      <c r="F5414" s="1" t="s">
        <v>11</v>
      </c>
      <c r="G5414">
        <v>2895</v>
      </c>
      <c r="H5414">
        <v>2895</v>
      </c>
      <c r="I5414" s="2"/>
      <c r="J5414" s="2">
        <v>45783</v>
      </c>
      <c r="K5414" s="2">
        <v>45789</v>
      </c>
    </row>
    <row r="5415" spans="1:11" x14ac:dyDescent="0.25">
      <c r="A5415" s="1" t="s">
        <v>898</v>
      </c>
      <c r="B5415" s="1" t="s">
        <v>1010</v>
      </c>
      <c r="C5415" s="1" t="s">
        <v>2027</v>
      </c>
      <c r="D5415" s="1" t="s">
        <v>1998</v>
      </c>
      <c r="E5415" s="1"/>
      <c r="F5415" s="1" t="s">
        <v>11</v>
      </c>
      <c r="G5415">
        <v>1225</v>
      </c>
      <c r="H5415">
        <v>1225</v>
      </c>
      <c r="I5415" s="2"/>
      <c r="J5415" s="2">
        <v>45783</v>
      </c>
      <c r="K5415" s="2">
        <v>45789</v>
      </c>
    </row>
    <row r="5416" spans="1:11" x14ac:dyDescent="0.25">
      <c r="A5416" s="1" t="s">
        <v>898</v>
      </c>
      <c r="B5416" s="1" t="s">
        <v>1011</v>
      </c>
      <c r="C5416" s="1" t="s">
        <v>2028</v>
      </c>
      <c r="D5416" s="1" t="s">
        <v>1998</v>
      </c>
      <c r="E5416" s="1"/>
      <c r="F5416" s="1" t="s">
        <v>11</v>
      </c>
      <c r="G5416">
        <v>720</v>
      </c>
      <c r="H5416">
        <v>1</v>
      </c>
      <c r="I5416" s="2"/>
      <c r="J5416" s="2">
        <v>45783</v>
      </c>
      <c r="K5416" s="2">
        <v>45789</v>
      </c>
    </row>
    <row r="5417" spans="1:11" x14ac:dyDescent="0.25">
      <c r="A5417" s="1" t="s">
        <v>898</v>
      </c>
      <c r="B5417" s="1" t="s">
        <v>1012</v>
      </c>
      <c r="C5417" s="1" t="s">
        <v>2029</v>
      </c>
      <c r="D5417" s="1" t="s">
        <v>1998</v>
      </c>
      <c r="E5417" s="1"/>
      <c r="F5417" s="1" t="s">
        <v>11</v>
      </c>
      <c r="G5417">
        <v>330</v>
      </c>
      <c r="H5417">
        <v>20</v>
      </c>
      <c r="I5417" s="2"/>
      <c r="J5417" s="2">
        <v>45783</v>
      </c>
      <c r="K5417" s="2">
        <v>45789</v>
      </c>
    </row>
    <row r="5418" spans="1:11" x14ac:dyDescent="0.25">
      <c r="A5418" s="1" t="s">
        <v>898</v>
      </c>
      <c r="B5418" s="1" t="s">
        <v>1013</v>
      </c>
      <c r="C5418" s="1" t="s">
        <v>2030</v>
      </c>
      <c r="D5418" s="1" t="s">
        <v>1998</v>
      </c>
      <c r="E5418" s="1"/>
      <c r="F5418" s="1" t="s">
        <v>11</v>
      </c>
      <c r="G5418">
        <v>60</v>
      </c>
      <c r="H5418">
        <v>15</v>
      </c>
      <c r="I5418" s="2"/>
      <c r="J5418" s="2">
        <v>45783</v>
      </c>
      <c r="K5418" s="2">
        <v>45789</v>
      </c>
    </row>
    <row r="5419" spans="1:11" x14ac:dyDescent="0.25">
      <c r="A5419" s="1" t="s">
        <v>898</v>
      </c>
      <c r="B5419" s="1" t="s">
        <v>993</v>
      </c>
      <c r="C5419" s="1" t="s">
        <v>2011</v>
      </c>
      <c r="D5419" s="1" t="s">
        <v>1998</v>
      </c>
      <c r="E5419" s="1"/>
      <c r="F5419" s="1" t="s">
        <v>11</v>
      </c>
      <c r="G5419">
        <v>25</v>
      </c>
      <c r="H5419">
        <v>25</v>
      </c>
      <c r="I5419" s="2"/>
      <c r="J5419" s="2">
        <v>45783</v>
      </c>
      <c r="K5419" s="2">
        <v>45789</v>
      </c>
    </row>
    <row r="5420" spans="1:11" x14ac:dyDescent="0.25">
      <c r="A5420" s="1" t="s">
        <v>899</v>
      </c>
      <c r="B5420" s="1" t="s">
        <v>1008</v>
      </c>
      <c r="C5420" s="1" t="s">
        <v>2014</v>
      </c>
      <c r="D5420" s="1" t="s">
        <v>1998</v>
      </c>
      <c r="E5420" s="1"/>
      <c r="F5420" s="1" t="s">
        <v>11</v>
      </c>
      <c r="G5420">
        <v>2100</v>
      </c>
      <c r="H5420">
        <v>2100</v>
      </c>
      <c r="I5420" s="2"/>
      <c r="J5420" s="2">
        <v>45783</v>
      </c>
      <c r="K5420" s="2">
        <v>45789</v>
      </c>
    </row>
    <row r="5421" spans="1:11" x14ac:dyDescent="0.25">
      <c r="A5421" s="1" t="s">
        <v>899</v>
      </c>
      <c r="B5421" s="1" t="s">
        <v>1009</v>
      </c>
      <c r="C5421" s="1" t="s">
        <v>2026</v>
      </c>
      <c r="D5421" s="1" t="s">
        <v>1998</v>
      </c>
      <c r="E5421" s="1"/>
      <c r="F5421" s="1" t="s">
        <v>11</v>
      </c>
      <c r="G5421">
        <v>2895</v>
      </c>
      <c r="H5421">
        <v>2895</v>
      </c>
      <c r="I5421" s="2"/>
      <c r="J5421" s="2">
        <v>45783</v>
      </c>
      <c r="K5421" s="2">
        <v>45789</v>
      </c>
    </row>
    <row r="5422" spans="1:11" x14ac:dyDescent="0.25">
      <c r="A5422" s="1" t="s">
        <v>899</v>
      </c>
      <c r="B5422" s="1" t="s">
        <v>1010</v>
      </c>
      <c r="C5422" s="1" t="s">
        <v>2027</v>
      </c>
      <c r="D5422" s="1" t="s">
        <v>1998</v>
      </c>
      <c r="E5422" s="1"/>
      <c r="F5422" s="1" t="s">
        <v>11</v>
      </c>
      <c r="G5422">
        <v>1225</v>
      </c>
      <c r="H5422">
        <v>1225</v>
      </c>
      <c r="I5422" s="2"/>
      <c r="J5422" s="2">
        <v>45783</v>
      </c>
      <c r="K5422" s="2">
        <v>45789</v>
      </c>
    </row>
    <row r="5423" spans="1:11" x14ac:dyDescent="0.25">
      <c r="A5423" s="1" t="s">
        <v>899</v>
      </c>
      <c r="B5423" s="1" t="s">
        <v>1011</v>
      </c>
      <c r="C5423" s="1" t="s">
        <v>2028</v>
      </c>
      <c r="D5423" s="1" t="s">
        <v>1998</v>
      </c>
      <c r="E5423" s="1"/>
      <c r="F5423" s="1" t="s">
        <v>11</v>
      </c>
      <c r="G5423">
        <v>720</v>
      </c>
      <c r="H5423">
        <v>1</v>
      </c>
      <c r="I5423" s="2"/>
      <c r="J5423" s="2">
        <v>45783</v>
      </c>
      <c r="K5423" s="2">
        <v>45789</v>
      </c>
    </row>
    <row r="5424" spans="1:11" x14ac:dyDescent="0.25">
      <c r="A5424" s="1" t="s">
        <v>899</v>
      </c>
      <c r="B5424" s="1" t="s">
        <v>1012</v>
      </c>
      <c r="C5424" s="1" t="s">
        <v>2029</v>
      </c>
      <c r="D5424" s="1" t="s">
        <v>1998</v>
      </c>
      <c r="E5424" s="1"/>
      <c r="F5424" s="1" t="s">
        <v>11</v>
      </c>
      <c r="G5424">
        <v>330</v>
      </c>
      <c r="H5424">
        <v>330</v>
      </c>
      <c r="I5424" s="2"/>
      <c r="J5424" s="2">
        <v>45783</v>
      </c>
      <c r="K5424" s="2">
        <v>45789</v>
      </c>
    </row>
    <row r="5425" spans="1:11" x14ac:dyDescent="0.25">
      <c r="A5425" s="1" t="s">
        <v>899</v>
      </c>
      <c r="B5425" s="1" t="s">
        <v>1013</v>
      </c>
      <c r="C5425" s="1" t="s">
        <v>2030</v>
      </c>
      <c r="D5425" s="1" t="s">
        <v>1998</v>
      </c>
      <c r="E5425" s="1"/>
      <c r="F5425" s="1" t="s">
        <v>11</v>
      </c>
      <c r="G5425">
        <v>60</v>
      </c>
      <c r="H5425">
        <v>60</v>
      </c>
      <c r="I5425" s="2"/>
      <c r="J5425" s="2">
        <v>45783</v>
      </c>
      <c r="K5425" s="2">
        <v>45789</v>
      </c>
    </row>
    <row r="5426" spans="1:11" x14ac:dyDescent="0.25">
      <c r="A5426" s="1" t="s">
        <v>899</v>
      </c>
      <c r="B5426" s="1" t="s">
        <v>993</v>
      </c>
      <c r="C5426" s="1" t="s">
        <v>2011</v>
      </c>
      <c r="D5426" s="1" t="s">
        <v>1998</v>
      </c>
      <c r="E5426" s="1"/>
      <c r="F5426" s="1" t="s">
        <v>11</v>
      </c>
      <c r="G5426">
        <v>25</v>
      </c>
      <c r="H5426">
        <v>25</v>
      </c>
      <c r="I5426" s="2"/>
      <c r="J5426" s="2">
        <v>45783</v>
      </c>
      <c r="K5426" s="2">
        <v>45789</v>
      </c>
    </row>
    <row r="5427" spans="1:11" x14ac:dyDescent="0.25">
      <c r="A5427" s="1" t="s">
        <v>900</v>
      </c>
      <c r="B5427" s="1" t="s">
        <v>981</v>
      </c>
      <c r="C5427" s="1" t="s">
        <v>1999</v>
      </c>
      <c r="D5427" s="1" t="s">
        <v>1998</v>
      </c>
      <c r="E5427" s="1"/>
      <c r="F5427" s="1" t="s">
        <v>11</v>
      </c>
      <c r="G5427">
        <v>355</v>
      </c>
      <c r="H5427">
        <v>355</v>
      </c>
      <c r="I5427" s="2"/>
      <c r="J5427" s="2">
        <v>45783</v>
      </c>
      <c r="K5427" s="2">
        <v>45786</v>
      </c>
    </row>
    <row r="5428" spans="1:11" x14ac:dyDescent="0.25">
      <c r="A5428" s="1" t="s">
        <v>900</v>
      </c>
      <c r="B5428" s="1" t="s">
        <v>1962</v>
      </c>
      <c r="C5428" s="1" t="s">
        <v>2787</v>
      </c>
      <c r="D5428" s="1" t="s">
        <v>1998</v>
      </c>
      <c r="E5428" s="1"/>
      <c r="F5428" s="1" t="s">
        <v>11</v>
      </c>
      <c r="G5428">
        <v>330</v>
      </c>
      <c r="H5428">
        <v>330</v>
      </c>
      <c r="I5428" s="2"/>
      <c r="J5428" s="2">
        <v>45783</v>
      </c>
      <c r="K5428" s="2">
        <v>45786</v>
      </c>
    </row>
    <row r="5429" spans="1:11" x14ac:dyDescent="0.25">
      <c r="A5429" s="1" t="s">
        <v>900</v>
      </c>
      <c r="B5429" s="1" t="s">
        <v>982</v>
      </c>
      <c r="C5429" s="1" t="s">
        <v>2000</v>
      </c>
      <c r="D5429" s="1" t="s">
        <v>1998</v>
      </c>
      <c r="E5429" s="1"/>
      <c r="F5429" s="1" t="s">
        <v>11</v>
      </c>
      <c r="G5429">
        <v>375</v>
      </c>
      <c r="H5429">
        <v>375</v>
      </c>
      <c r="I5429" s="2"/>
      <c r="J5429" s="2">
        <v>45783</v>
      </c>
      <c r="K5429" s="2">
        <v>45786</v>
      </c>
    </row>
    <row r="5430" spans="1:11" x14ac:dyDescent="0.25">
      <c r="A5430" s="1" t="s">
        <v>900</v>
      </c>
      <c r="B5430" s="1" t="s">
        <v>982</v>
      </c>
      <c r="C5430" s="1" t="s">
        <v>2000</v>
      </c>
      <c r="D5430" s="1" t="s">
        <v>1998</v>
      </c>
      <c r="E5430" s="1"/>
      <c r="F5430" s="1" t="s">
        <v>16</v>
      </c>
      <c r="G5430">
        <v>5</v>
      </c>
      <c r="H5430">
        <v>5</v>
      </c>
      <c r="I5430" s="2"/>
      <c r="J5430" s="2">
        <v>45783</v>
      </c>
      <c r="K5430" s="2">
        <v>45786</v>
      </c>
    </row>
    <row r="5431" spans="1:11" x14ac:dyDescent="0.25">
      <c r="A5431" s="1" t="s">
        <v>900</v>
      </c>
      <c r="B5431" s="1" t="s">
        <v>984</v>
      </c>
      <c r="C5431" s="1" t="s">
        <v>2002</v>
      </c>
      <c r="D5431" s="1" t="s">
        <v>1998</v>
      </c>
      <c r="E5431" s="1"/>
      <c r="F5431" s="1" t="s">
        <v>11</v>
      </c>
      <c r="G5431">
        <v>225</v>
      </c>
      <c r="H5431">
        <v>225</v>
      </c>
      <c r="I5431" s="2"/>
      <c r="J5431" s="2">
        <v>45783</v>
      </c>
      <c r="K5431" s="2">
        <v>45786</v>
      </c>
    </row>
    <row r="5432" spans="1:11" x14ac:dyDescent="0.25">
      <c r="A5432" s="1" t="s">
        <v>901</v>
      </c>
      <c r="B5432" s="1" t="s">
        <v>1264</v>
      </c>
      <c r="C5432" s="1" t="s">
        <v>2241</v>
      </c>
      <c r="D5432" s="1" t="s">
        <v>1998</v>
      </c>
      <c r="E5432" s="1"/>
      <c r="F5432" s="1" t="s">
        <v>11</v>
      </c>
      <c r="G5432">
        <v>835</v>
      </c>
      <c r="H5432">
        <v>835</v>
      </c>
      <c r="I5432" s="2"/>
      <c r="J5432" s="2">
        <v>45786</v>
      </c>
      <c r="K5432" s="2">
        <v>45786</v>
      </c>
    </row>
    <row r="5433" spans="1:11" x14ac:dyDescent="0.25">
      <c r="A5433" s="1" t="s">
        <v>901</v>
      </c>
      <c r="B5433" s="1" t="s">
        <v>1352</v>
      </c>
      <c r="C5433" s="1" t="s">
        <v>2305</v>
      </c>
      <c r="D5433" s="1" t="s">
        <v>1998</v>
      </c>
      <c r="E5433" s="1"/>
      <c r="F5433" s="1" t="s">
        <v>11</v>
      </c>
      <c r="G5433">
        <v>15</v>
      </c>
      <c r="H5433">
        <v>15</v>
      </c>
      <c r="I5433" s="2"/>
      <c r="J5433" s="2">
        <v>45786</v>
      </c>
      <c r="K5433" s="2">
        <v>45786</v>
      </c>
    </row>
    <row r="5434" spans="1:11" x14ac:dyDescent="0.25">
      <c r="A5434" s="1" t="s">
        <v>901</v>
      </c>
      <c r="B5434" s="1" t="s">
        <v>1206</v>
      </c>
      <c r="C5434" s="1" t="s">
        <v>2196</v>
      </c>
      <c r="D5434" s="1" t="s">
        <v>1998</v>
      </c>
      <c r="E5434" s="1"/>
      <c r="F5434" s="1" t="s">
        <v>11</v>
      </c>
      <c r="G5434">
        <v>5</v>
      </c>
      <c r="H5434">
        <v>5</v>
      </c>
      <c r="I5434" s="2"/>
      <c r="J5434" s="2">
        <v>45786</v>
      </c>
      <c r="K5434" s="2">
        <v>45786</v>
      </c>
    </row>
    <row r="5435" spans="1:11" x14ac:dyDescent="0.25">
      <c r="A5435" s="1" t="s">
        <v>902</v>
      </c>
      <c r="B5435" s="1" t="s">
        <v>1467</v>
      </c>
      <c r="C5435" s="1" t="s">
        <v>2404</v>
      </c>
      <c r="D5435" s="1" t="s">
        <v>1998</v>
      </c>
      <c r="E5435" s="1"/>
      <c r="F5435" s="1" t="s">
        <v>11</v>
      </c>
      <c r="G5435">
        <v>25</v>
      </c>
      <c r="H5435">
        <v>20</v>
      </c>
      <c r="I5435" s="2"/>
      <c r="J5435" s="2">
        <v>45786</v>
      </c>
      <c r="K5435" s="2">
        <v>45786</v>
      </c>
    </row>
    <row r="5436" spans="1:11" x14ac:dyDescent="0.25">
      <c r="A5436" s="1" t="s">
        <v>902</v>
      </c>
      <c r="B5436" s="1" t="s">
        <v>1350</v>
      </c>
      <c r="C5436" s="1" t="s">
        <v>2303</v>
      </c>
      <c r="D5436" s="1" t="s">
        <v>1998</v>
      </c>
      <c r="E5436" s="1"/>
      <c r="F5436" s="1" t="s">
        <v>11</v>
      </c>
      <c r="G5436">
        <v>20</v>
      </c>
      <c r="H5436">
        <v>30</v>
      </c>
      <c r="I5436" s="2"/>
      <c r="J5436" s="2">
        <v>45786</v>
      </c>
      <c r="K5436" s="2">
        <v>45786</v>
      </c>
    </row>
    <row r="5437" spans="1:11" x14ac:dyDescent="0.25">
      <c r="A5437" s="1" t="s">
        <v>902</v>
      </c>
      <c r="B5437" s="1" t="s">
        <v>1206</v>
      </c>
      <c r="C5437" s="1" t="s">
        <v>2196</v>
      </c>
      <c r="D5437" s="1" t="s">
        <v>1998</v>
      </c>
      <c r="E5437" s="1"/>
      <c r="F5437" s="1" t="s">
        <v>11</v>
      </c>
      <c r="G5437">
        <v>1</v>
      </c>
      <c r="H5437">
        <v>1</v>
      </c>
      <c r="I5437" s="2"/>
      <c r="J5437" s="2">
        <v>45786</v>
      </c>
      <c r="K5437" s="2">
        <v>45786</v>
      </c>
    </row>
    <row r="5438" spans="1:11" x14ac:dyDescent="0.25">
      <c r="A5438" s="1" t="s">
        <v>902</v>
      </c>
      <c r="B5438" s="1" t="s">
        <v>1280</v>
      </c>
      <c r="C5438" s="1" t="s">
        <v>2257</v>
      </c>
      <c r="D5438" s="1" t="s">
        <v>1998</v>
      </c>
      <c r="E5438" s="1"/>
      <c r="F5438" s="1" t="s">
        <v>11</v>
      </c>
      <c r="G5438">
        <v>1</v>
      </c>
      <c r="H5438">
        <v>1</v>
      </c>
      <c r="I5438" s="2"/>
      <c r="J5438" s="2">
        <v>45786</v>
      </c>
      <c r="K5438" s="2">
        <v>45786</v>
      </c>
    </row>
    <row r="5439" spans="1:11" x14ac:dyDescent="0.25">
      <c r="A5439" s="1" t="s">
        <v>903</v>
      </c>
      <c r="B5439" s="1" t="s">
        <v>1018</v>
      </c>
      <c r="C5439" s="1" t="s">
        <v>2035</v>
      </c>
      <c r="D5439" s="1" t="s">
        <v>1998</v>
      </c>
      <c r="E5439" s="1"/>
      <c r="F5439" s="1" t="s">
        <v>11</v>
      </c>
      <c r="G5439">
        <v>945</v>
      </c>
      <c r="H5439">
        <v>945</v>
      </c>
      <c r="I5439" s="2"/>
      <c r="J5439" s="2">
        <v>45783</v>
      </c>
      <c r="K5439" s="2">
        <v>45785</v>
      </c>
    </row>
    <row r="5440" spans="1:11" x14ac:dyDescent="0.25">
      <c r="A5440" s="1" t="s">
        <v>903</v>
      </c>
      <c r="B5440" s="1" t="s">
        <v>1467</v>
      </c>
      <c r="C5440" s="1" t="s">
        <v>2404</v>
      </c>
      <c r="D5440" s="1" t="s">
        <v>1998</v>
      </c>
      <c r="E5440" s="1"/>
      <c r="F5440" s="1" t="s">
        <v>11</v>
      </c>
      <c r="G5440">
        <v>55</v>
      </c>
      <c r="H5440">
        <v>55</v>
      </c>
      <c r="I5440" s="2"/>
      <c r="J5440" s="2">
        <v>45783</v>
      </c>
      <c r="K5440" s="2">
        <v>45785</v>
      </c>
    </row>
    <row r="5441" spans="1:11" x14ac:dyDescent="0.25">
      <c r="A5441" s="1" t="s">
        <v>903</v>
      </c>
      <c r="B5441" s="1" t="s">
        <v>1206</v>
      </c>
      <c r="C5441" s="1" t="s">
        <v>2196</v>
      </c>
      <c r="D5441" s="1" t="s">
        <v>1998</v>
      </c>
      <c r="E5441" s="1"/>
      <c r="F5441" s="1" t="s">
        <v>11</v>
      </c>
      <c r="G5441">
        <v>1</v>
      </c>
      <c r="H5441">
        <v>1</v>
      </c>
      <c r="I5441" s="2"/>
      <c r="J5441" s="2">
        <v>45783</v>
      </c>
      <c r="K5441" s="2">
        <v>45785</v>
      </c>
    </row>
    <row r="5442" spans="1:11" x14ac:dyDescent="0.25">
      <c r="A5442" s="1" t="s">
        <v>904</v>
      </c>
      <c r="B5442" s="1" t="s">
        <v>1018</v>
      </c>
      <c r="C5442" s="1" t="s">
        <v>2035</v>
      </c>
      <c r="D5442" s="1" t="s">
        <v>1998</v>
      </c>
      <c r="E5442" s="1"/>
      <c r="F5442" s="1" t="s">
        <v>11</v>
      </c>
      <c r="G5442">
        <v>880</v>
      </c>
      <c r="H5442">
        <v>880</v>
      </c>
      <c r="I5442" s="2"/>
      <c r="J5442" s="2">
        <v>45783</v>
      </c>
      <c r="K5442" s="2">
        <v>45785</v>
      </c>
    </row>
    <row r="5443" spans="1:11" x14ac:dyDescent="0.25">
      <c r="A5443" s="1" t="s">
        <v>904</v>
      </c>
      <c r="B5443" s="1" t="s">
        <v>1467</v>
      </c>
      <c r="C5443" s="1" t="s">
        <v>2404</v>
      </c>
      <c r="D5443" s="1" t="s">
        <v>1998</v>
      </c>
      <c r="E5443" s="1"/>
      <c r="F5443" s="1" t="s">
        <v>11</v>
      </c>
      <c r="G5443">
        <v>55</v>
      </c>
      <c r="H5443">
        <v>55</v>
      </c>
      <c r="I5443" s="2"/>
      <c r="J5443" s="2">
        <v>45783</v>
      </c>
      <c r="K5443" s="2">
        <v>45785</v>
      </c>
    </row>
    <row r="5444" spans="1:11" x14ac:dyDescent="0.25">
      <c r="A5444" s="1" t="s">
        <v>904</v>
      </c>
      <c r="B5444" s="1" t="s">
        <v>1206</v>
      </c>
      <c r="C5444" s="1" t="s">
        <v>2196</v>
      </c>
      <c r="D5444" s="1" t="s">
        <v>1998</v>
      </c>
      <c r="E5444" s="1"/>
      <c r="F5444" s="1" t="s">
        <v>11</v>
      </c>
      <c r="G5444">
        <v>1</v>
      </c>
      <c r="H5444">
        <v>1</v>
      </c>
      <c r="I5444" s="2"/>
      <c r="J5444" s="2">
        <v>45783</v>
      </c>
      <c r="K5444" s="2">
        <v>45785</v>
      </c>
    </row>
    <row r="5445" spans="1:11" x14ac:dyDescent="0.25">
      <c r="A5445" s="1" t="s">
        <v>905</v>
      </c>
      <c r="B5445" s="1" t="s">
        <v>1018</v>
      </c>
      <c r="C5445" s="1" t="s">
        <v>2035</v>
      </c>
      <c r="D5445" s="1" t="s">
        <v>1998</v>
      </c>
      <c r="E5445" s="1"/>
      <c r="F5445" s="1" t="s">
        <v>11</v>
      </c>
      <c r="G5445">
        <v>880</v>
      </c>
      <c r="H5445">
        <v>880</v>
      </c>
      <c r="I5445" s="2"/>
      <c r="J5445" s="2">
        <v>45783</v>
      </c>
      <c r="K5445" s="2">
        <v>45783</v>
      </c>
    </row>
    <row r="5446" spans="1:11" x14ac:dyDescent="0.25">
      <c r="A5446" s="1" t="s">
        <v>905</v>
      </c>
      <c r="B5446" s="1" t="s">
        <v>1467</v>
      </c>
      <c r="C5446" s="1" t="s">
        <v>2404</v>
      </c>
      <c r="D5446" s="1" t="s">
        <v>1998</v>
      </c>
      <c r="E5446" s="1"/>
      <c r="F5446" s="1" t="s">
        <v>11</v>
      </c>
      <c r="G5446">
        <v>55</v>
      </c>
      <c r="H5446">
        <v>55</v>
      </c>
      <c r="I5446" s="2"/>
      <c r="J5446" s="2">
        <v>45783</v>
      </c>
      <c r="K5446" s="2">
        <v>45783</v>
      </c>
    </row>
    <row r="5447" spans="1:11" x14ac:dyDescent="0.25">
      <c r="A5447" s="1" t="s">
        <v>905</v>
      </c>
      <c r="B5447" s="1" t="s">
        <v>1206</v>
      </c>
      <c r="C5447" s="1" t="s">
        <v>2196</v>
      </c>
      <c r="D5447" s="1" t="s">
        <v>1998</v>
      </c>
      <c r="E5447" s="1"/>
      <c r="F5447" s="1" t="s">
        <v>11</v>
      </c>
      <c r="G5447">
        <v>1</v>
      </c>
      <c r="H5447">
        <v>1</v>
      </c>
      <c r="I5447" s="2"/>
      <c r="J5447" s="2">
        <v>45783</v>
      </c>
      <c r="K5447" s="2">
        <v>45783</v>
      </c>
    </row>
    <row r="5448" spans="1:11" x14ac:dyDescent="0.25">
      <c r="A5448" s="1" t="s">
        <v>906</v>
      </c>
      <c r="B5448" s="1" t="s">
        <v>1062</v>
      </c>
      <c r="C5448" s="1" t="s">
        <v>2069</v>
      </c>
      <c r="D5448" s="1" t="s">
        <v>1998</v>
      </c>
      <c r="E5448" s="1"/>
      <c r="F5448" s="1" t="s">
        <v>11</v>
      </c>
      <c r="G5448">
        <v>105</v>
      </c>
      <c r="H5448">
        <v>1</v>
      </c>
      <c r="I5448" s="2"/>
      <c r="J5448" s="2">
        <v>45783</v>
      </c>
      <c r="K5448" s="2">
        <v>45789</v>
      </c>
    </row>
    <row r="5449" spans="1:11" x14ac:dyDescent="0.25">
      <c r="A5449" s="1" t="s">
        <v>906</v>
      </c>
      <c r="B5449" s="1" t="s">
        <v>1063</v>
      </c>
      <c r="C5449" s="1" t="s">
        <v>2069</v>
      </c>
      <c r="D5449" s="1" t="s">
        <v>1998</v>
      </c>
      <c r="E5449" s="1"/>
      <c r="F5449" s="1" t="s">
        <v>11</v>
      </c>
      <c r="G5449">
        <v>130</v>
      </c>
      <c r="H5449">
        <v>1</v>
      </c>
      <c r="I5449" s="2"/>
      <c r="J5449" s="2">
        <v>45783</v>
      </c>
      <c r="K5449" s="2">
        <v>45789</v>
      </c>
    </row>
    <row r="5450" spans="1:11" x14ac:dyDescent="0.25">
      <c r="A5450" s="1" t="s">
        <v>906</v>
      </c>
      <c r="B5450" s="1" t="s">
        <v>1650</v>
      </c>
      <c r="C5450" s="1" t="s">
        <v>2562</v>
      </c>
      <c r="D5450" s="1" t="s">
        <v>1998</v>
      </c>
      <c r="E5450" s="1"/>
      <c r="F5450" s="1" t="s">
        <v>11</v>
      </c>
      <c r="G5450">
        <v>135</v>
      </c>
      <c r="H5450">
        <v>135</v>
      </c>
      <c r="I5450" s="2"/>
      <c r="J5450" s="2">
        <v>45783</v>
      </c>
      <c r="K5450" s="2">
        <v>45789</v>
      </c>
    </row>
    <row r="5451" spans="1:11" x14ac:dyDescent="0.25">
      <c r="A5451" s="1" t="s">
        <v>906</v>
      </c>
      <c r="B5451" s="1" t="s">
        <v>1651</v>
      </c>
      <c r="C5451" s="1" t="s">
        <v>2563</v>
      </c>
      <c r="D5451" s="1" t="s">
        <v>1998</v>
      </c>
      <c r="E5451" s="1"/>
      <c r="F5451" s="1" t="s">
        <v>11</v>
      </c>
      <c r="G5451">
        <v>1675</v>
      </c>
      <c r="H5451">
        <v>1675</v>
      </c>
      <c r="I5451" s="2"/>
      <c r="J5451" s="2">
        <v>45783</v>
      </c>
      <c r="K5451" s="2">
        <v>45789</v>
      </c>
    </row>
    <row r="5452" spans="1:11" x14ac:dyDescent="0.25">
      <c r="A5452" s="1" t="s">
        <v>906</v>
      </c>
      <c r="B5452" s="1" t="s">
        <v>1652</v>
      </c>
      <c r="C5452" s="1" t="s">
        <v>2564</v>
      </c>
      <c r="D5452" s="1" t="s">
        <v>1998</v>
      </c>
      <c r="E5452" s="1"/>
      <c r="F5452" s="1" t="s">
        <v>11</v>
      </c>
      <c r="G5452">
        <v>14175</v>
      </c>
      <c r="H5452">
        <v>14175</v>
      </c>
      <c r="I5452" s="2"/>
      <c r="J5452" s="2">
        <v>45783</v>
      </c>
      <c r="K5452" s="2">
        <v>45789</v>
      </c>
    </row>
    <row r="5453" spans="1:11" x14ac:dyDescent="0.25">
      <c r="A5453" s="1" t="s">
        <v>906</v>
      </c>
      <c r="B5453" s="1" t="s">
        <v>1653</v>
      </c>
      <c r="C5453" s="1" t="s">
        <v>2565</v>
      </c>
      <c r="D5453" s="1" t="s">
        <v>1998</v>
      </c>
      <c r="E5453" s="1"/>
      <c r="F5453" s="1" t="s">
        <v>11</v>
      </c>
      <c r="G5453">
        <v>6240</v>
      </c>
      <c r="H5453">
        <v>6240</v>
      </c>
      <c r="I5453" s="2"/>
      <c r="J5453" s="2">
        <v>45783</v>
      </c>
      <c r="K5453" s="2">
        <v>45789</v>
      </c>
    </row>
    <row r="5454" spans="1:11" x14ac:dyDescent="0.25">
      <c r="A5454" s="1" t="s">
        <v>906</v>
      </c>
      <c r="B5454" s="1" t="s">
        <v>1654</v>
      </c>
      <c r="C5454" s="1" t="s">
        <v>2566</v>
      </c>
      <c r="D5454" s="1" t="s">
        <v>1998</v>
      </c>
      <c r="E5454" s="1"/>
      <c r="F5454" s="1" t="s">
        <v>11</v>
      </c>
      <c r="G5454">
        <v>3555</v>
      </c>
      <c r="H5454">
        <v>1</v>
      </c>
      <c r="I5454" s="2"/>
      <c r="J5454" s="2">
        <v>45783</v>
      </c>
      <c r="K5454" s="2">
        <v>45789</v>
      </c>
    </row>
    <row r="5455" spans="1:11" x14ac:dyDescent="0.25">
      <c r="A5455" s="1" t="s">
        <v>906</v>
      </c>
      <c r="B5455" s="1" t="s">
        <v>1655</v>
      </c>
      <c r="C5455" s="1" t="s">
        <v>2071</v>
      </c>
      <c r="D5455" s="1" t="s">
        <v>1998</v>
      </c>
      <c r="E5455" s="1"/>
      <c r="F5455" s="1" t="s">
        <v>11</v>
      </c>
      <c r="G5455">
        <v>30</v>
      </c>
      <c r="H5455">
        <v>30</v>
      </c>
      <c r="I5455" s="2"/>
      <c r="J5455" s="2">
        <v>45783</v>
      </c>
      <c r="K5455" s="2">
        <v>45789</v>
      </c>
    </row>
    <row r="5456" spans="1:11" x14ac:dyDescent="0.25">
      <c r="A5456" s="1" t="s">
        <v>906</v>
      </c>
      <c r="B5456" s="1" t="s">
        <v>1656</v>
      </c>
      <c r="C5456" s="1" t="s">
        <v>2071</v>
      </c>
      <c r="D5456" s="1" t="s">
        <v>1998</v>
      </c>
      <c r="E5456" s="1"/>
      <c r="F5456" s="1" t="s">
        <v>11</v>
      </c>
      <c r="G5456">
        <v>8170</v>
      </c>
      <c r="H5456">
        <v>8170</v>
      </c>
      <c r="I5456" s="2"/>
      <c r="J5456" s="2">
        <v>45783</v>
      </c>
      <c r="K5456" s="2">
        <v>45789</v>
      </c>
    </row>
    <row r="5457" spans="1:11" x14ac:dyDescent="0.25">
      <c r="A5457" s="1" t="s">
        <v>906</v>
      </c>
      <c r="B5457" s="1" t="s">
        <v>1656</v>
      </c>
      <c r="C5457" s="1" t="s">
        <v>2071</v>
      </c>
      <c r="D5457" s="1" t="s">
        <v>1998</v>
      </c>
      <c r="E5457" s="1"/>
      <c r="F5457" s="1" t="s">
        <v>11</v>
      </c>
      <c r="G5457">
        <v>205</v>
      </c>
      <c r="H5457">
        <v>205</v>
      </c>
      <c r="I5457" s="2"/>
      <c r="J5457" s="2">
        <v>45783</v>
      </c>
      <c r="K5457" s="2">
        <v>45789</v>
      </c>
    </row>
    <row r="5458" spans="1:11" x14ac:dyDescent="0.25">
      <c r="A5458" s="1" t="s">
        <v>906</v>
      </c>
      <c r="B5458" s="1" t="s">
        <v>1656</v>
      </c>
      <c r="C5458" s="1" t="s">
        <v>2071</v>
      </c>
      <c r="D5458" s="1" t="s">
        <v>1998</v>
      </c>
      <c r="E5458" s="1"/>
      <c r="F5458" s="1" t="s">
        <v>11</v>
      </c>
      <c r="G5458">
        <v>410</v>
      </c>
      <c r="H5458">
        <v>410</v>
      </c>
      <c r="I5458" s="2"/>
      <c r="J5458" s="2">
        <v>45783</v>
      </c>
      <c r="K5458" s="2">
        <v>45789</v>
      </c>
    </row>
    <row r="5459" spans="1:11" x14ac:dyDescent="0.25">
      <c r="A5459" s="1" t="s">
        <v>906</v>
      </c>
      <c r="B5459" s="1" t="s">
        <v>1657</v>
      </c>
      <c r="C5459" s="1" t="s">
        <v>2567</v>
      </c>
      <c r="D5459" s="1" t="s">
        <v>1998</v>
      </c>
      <c r="E5459" s="1"/>
      <c r="F5459" s="1" t="s">
        <v>11</v>
      </c>
      <c r="G5459">
        <v>140</v>
      </c>
      <c r="H5459">
        <v>140</v>
      </c>
      <c r="I5459" s="2"/>
      <c r="J5459" s="2">
        <v>45783</v>
      </c>
      <c r="K5459" s="2">
        <v>45789</v>
      </c>
    </row>
    <row r="5460" spans="1:11" x14ac:dyDescent="0.25">
      <c r="A5460" s="1" t="s">
        <v>906</v>
      </c>
      <c r="B5460" s="1" t="s">
        <v>1658</v>
      </c>
      <c r="C5460" s="1" t="s">
        <v>2568</v>
      </c>
      <c r="D5460" s="1" t="s">
        <v>1998</v>
      </c>
      <c r="E5460" s="1"/>
      <c r="F5460" s="1" t="s">
        <v>11</v>
      </c>
      <c r="G5460">
        <v>7875</v>
      </c>
      <c r="H5460">
        <v>7875</v>
      </c>
      <c r="I5460" s="2"/>
      <c r="J5460" s="2">
        <v>45783</v>
      </c>
      <c r="K5460" s="2">
        <v>45789</v>
      </c>
    </row>
    <row r="5461" spans="1:11" x14ac:dyDescent="0.25">
      <c r="A5461" s="1" t="s">
        <v>906</v>
      </c>
      <c r="B5461" s="1" t="s">
        <v>1659</v>
      </c>
      <c r="C5461" s="1" t="s">
        <v>2569</v>
      </c>
      <c r="D5461" s="1" t="s">
        <v>1998</v>
      </c>
      <c r="E5461" s="1"/>
      <c r="F5461" s="1" t="s">
        <v>11</v>
      </c>
      <c r="G5461">
        <v>165</v>
      </c>
      <c r="H5461">
        <v>165</v>
      </c>
      <c r="I5461" s="2"/>
      <c r="J5461" s="2">
        <v>45783</v>
      </c>
      <c r="K5461" s="2">
        <v>45789</v>
      </c>
    </row>
    <row r="5462" spans="1:11" x14ac:dyDescent="0.25">
      <c r="A5462" s="1" t="s">
        <v>906</v>
      </c>
      <c r="B5462" s="1" t="s">
        <v>1634</v>
      </c>
      <c r="C5462" s="1" t="s">
        <v>2549</v>
      </c>
      <c r="D5462" s="1" t="s">
        <v>1998</v>
      </c>
      <c r="E5462" s="1"/>
      <c r="F5462" s="1" t="s">
        <v>11</v>
      </c>
      <c r="G5462">
        <v>5</v>
      </c>
      <c r="H5462">
        <v>1</v>
      </c>
      <c r="I5462" s="2"/>
      <c r="J5462" s="2">
        <v>45783</v>
      </c>
      <c r="K5462" s="2">
        <v>45789</v>
      </c>
    </row>
    <row r="5463" spans="1:11" x14ac:dyDescent="0.25">
      <c r="A5463" s="1" t="s">
        <v>906</v>
      </c>
      <c r="B5463" s="1" t="s">
        <v>1634</v>
      </c>
      <c r="C5463" s="1" t="s">
        <v>2549</v>
      </c>
      <c r="D5463" s="1" t="s">
        <v>1998</v>
      </c>
      <c r="E5463" s="1"/>
      <c r="F5463" s="1" t="s">
        <v>11</v>
      </c>
      <c r="G5463">
        <v>5</v>
      </c>
      <c r="H5463">
        <v>1</v>
      </c>
      <c r="I5463" s="2"/>
      <c r="J5463" s="2">
        <v>45783</v>
      </c>
      <c r="K5463" s="2">
        <v>45789</v>
      </c>
    </row>
    <row r="5464" spans="1:11" x14ac:dyDescent="0.25">
      <c r="A5464" s="1" t="s">
        <v>906</v>
      </c>
      <c r="B5464" s="1" t="s">
        <v>1635</v>
      </c>
      <c r="C5464" s="1" t="s">
        <v>2550</v>
      </c>
      <c r="D5464" s="1" t="s">
        <v>1998</v>
      </c>
      <c r="E5464" s="1"/>
      <c r="F5464" s="1" t="s">
        <v>11</v>
      </c>
      <c r="G5464">
        <v>50</v>
      </c>
      <c r="H5464">
        <v>1</v>
      </c>
      <c r="I5464" s="2"/>
      <c r="J5464" s="2">
        <v>45783</v>
      </c>
      <c r="K5464" s="2">
        <v>45789</v>
      </c>
    </row>
    <row r="5465" spans="1:11" x14ac:dyDescent="0.25">
      <c r="A5465" s="1" t="s">
        <v>906</v>
      </c>
      <c r="B5465" s="1" t="s">
        <v>1635</v>
      </c>
      <c r="C5465" s="1" t="s">
        <v>2550</v>
      </c>
      <c r="D5465" s="1" t="s">
        <v>1998</v>
      </c>
      <c r="E5465" s="1"/>
      <c r="F5465" s="1" t="s">
        <v>11</v>
      </c>
      <c r="G5465">
        <v>50</v>
      </c>
      <c r="H5465">
        <v>1</v>
      </c>
      <c r="I5465" s="2"/>
      <c r="J5465" s="2">
        <v>45783</v>
      </c>
      <c r="K5465" s="2">
        <v>45789</v>
      </c>
    </row>
    <row r="5466" spans="1:11" x14ac:dyDescent="0.25">
      <c r="A5466" s="1" t="s">
        <v>906</v>
      </c>
      <c r="B5466" s="1" t="s">
        <v>1636</v>
      </c>
      <c r="C5466" s="1" t="s">
        <v>2551</v>
      </c>
      <c r="D5466" s="1" t="s">
        <v>1998</v>
      </c>
      <c r="E5466" s="1"/>
      <c r="F5466" s="1" t="s">
        <v>11</v>
      </c>
      <c r="G5466">
        <v>555</v>
      </c>
      <c r="H5466">
        <v>1</v>
      </c>
      <c r="I5466" s="2"/>
      <c r="J5466" s="2">
        <v>45783</v>
      </c>
      <c r="K5466" s="2">
        <v>45789</v>
      </c>
    </row>
    <row r="5467" spans="1:11" x14ac:dyDescent="0.25">
      <c r="A5467" s="1" t="s">
        <v>906</v>
      </c>
      <c r="B5467" s="1" t="s">
        <v>1637</v>
      </c>
      <c r="C5467" s="1" t="s">
        <v>2552</v>
      </c>
      <c r="D5467" s="1" t="s">
        <v>1998</v>
      </c>
      <c r="E5467" s="1"/>
      <c r="F5467" s="1" t="s">
        <v>11</v>
      </c>
      <c r="G5467">
        <v>555</v>
      </c>
      <c r="H5467">
        <v>1</v>
      </c>
      <c r="I5467" s="2"/>
      <c r="J5467" s="2">
        <v>45783</v>
      </c>
      <c r="K5467" s="2">
        <v>45789</v>
      </c>
    </row>
    <row r="5468" spans="1:11" x14ac:dyDescent="0.25">
      <c r="A5468" s="1" t="s">
        <v>906</v>
      </c>
      <c r="B5468" s="1" t="s">
        <v>1069</v>
      </c>
      <c r="C5468" s="1" t="s">
        <v>2075</v>
      </c>
      <c r="D5468" s="1" t="s">
        <v>1998</v>
      </c>
      <c r="E5468" s="1"/>
      <c r="F5468" s="1" t="s">
        <v>11</v>
      </c>
      <c r="G5468">
        <v>105</v>
      </c>
      <c r="H5468">
        <v>1</v>
      </c>
      <c r="I5468" s="2"/>
      <c r="J5468" s="2">
        <v>45783</v>
      </c>
      <c r="K5468" s="2">
        <v>45789</v>
      </c>
    </row>
    <row r="5469" spans="1:11" x14ac:dyDescent="0.25">
      <c r="A5469" s="1" t="s">
        <v>906</v>
      </c>
      <c r="B5469" s="1" t="s">
        <v>1070</v>
      </c>
      <c r="C5469" s="1" t="s">
        <v>2076</v>
      </c>
      <c r="D5469" s="1" t="s">
        <v>1998</v>
      </c>
      <c r="E5469" s="1"/>
      <c r="F5469" s="1" t="s">
        <v>11</v>
      </c>
      <c r="G5469">
        <v>125</v>
      </c>
      <c r="H5469">
        <v>1</v>
      </c>
      <c r="I5469" s="2"/>
      <c r="J5469" s="2">
        <v>45783</v>
      </c>
      <c r="K5469" s="2">
        <v>45789</v>
      </c>
    </row>
    <row r="5470" spans="1:11" x14ac:dyDescent="0.25">
      <c r="A5470" s="1" t="s">
        <v>906</v>
      </c>
      <c r="B5470" s="1" t="s">
        <v>1660</v>
      </c>
      <c r="C5470" s="1" t="s">
        <v>2570</v>
      </c>
      <c r="D5470" s="1" t="s">
        <v>1998</v>
      </c>
      <c r="E5470" s="1"/>
      <c r="F5470" s="1" t="s">
        <v>11</v>
      </c>
      <c r="G5470">
        <v>1</v>
      </c>
      <c r="H5470">
        <v>1</v>
      </c>
      <c r="I5470" s="2"/>
      <c r="J5470" s="2">
        <v>45783</v>
      </c>
      <c r="K5470" s="2">
        <v>45789</v>
      </c>
    </row>
    <row r="5471" spans="1:11" x14ac:dyDescent="0.25">
      <c r="A5471" s="1" t="s">
        <v>906</v>
      </c>
      <c r="B5471" s="1" t="s">
        <v>1661</v>
      </c>
      <c r="C5471" s="1" t="s">
        <v>2571</v>
      </c>
      <c r="D5471" s="1" t="s">
        <v>1998</v>
      </c>
      <c r="E5471" s="1"/>
      <c r="F5471" s="1" t="s">
        <v>11</v>
      </c>
      <c r="G5471">
        <v>745</v>
      </c>
      <c r="H5471">
        <v>745</v>
      </c>
      <c r="I5471" s="2"/>
      <c r="J5471" s="2">
        <v>45783</v>
      </c>
      <c r="K5471" s="2">
        <v>45789</v>
      </c>
    </row>
    <row r="5472" spans="1:11" x14ac:dyDescent="0.25">
      <c r="A5472" s="1" t="s">
        <v>906</v>
      </c>
      <c r="B5472" s="1" t="s">
        <v>1662</v>
      </c>
      <c r="C5472" s="1" t="s">
        <v>2572</v>
      </c>
      <c r="D5472" s="1" t="s">
        <v>1998</v>
      </c>
      <c r="E5472" s="1"/>
      <c r="F5472" s="1" t="s">
        <v>11</v>
      </c>
      <c r="G5472">
        <v>25</v>
      </c>
      <c r="H5472">
        <v>25</v>
      </c>
      <c r="I5472" s="2"/>
      <c r="J5472" s="2">
        <v>45783</v>
      </c>
      <c r="K5472" s="2">
        <v>45789</v>
      </c>
    </row>
    <row r="5473" spans="1:11" x14ac:dyDescent="0.25">
      <c r="A5473" s="1" t="s">
        <v>907</v>
      </c>
      <c r="B5473" s="1" t="s">
        <v>1468</v>
      </c>
      <c r="C5473" s="1" t="s">
        <v>2405</v>
      </c>
      <c r="D5473" s="1" t="s">
        <v>1998</v>
      </c>
      <c r="E5473" s="1"/>
      <c r="F5473" s="1" t="s">
        <v>11</v>
      </c>
      <c r="G5473">
        <v>35</v>
      </c>
      <c r="H5473">
        <v>1</v>
      </c>
      <c r="I5473" s="2"/>
      <c r="J5473" s="2">
        <v>45783</v>
      </c>
      <c r="K5473" s="2">
        <v>45785</v>
      </c>
    </row>
    <row r="5474" spans="1:11" x14ac:dyDescent="0.25">
      <c r="A5474" s="1" t="s">
        <v>907</v>
      </c>
      <c r="B5474" s="1" t="s">
        <v>1469</v>
      </c>
      <c r="C5474" s="1" t="s">
        <v>2406</v>
      </c>
      <c r="D5474" s="1" t="s">
        <v>1998</v>
      </c>
      <c r="E5474" s="1"/>
      <c r="F5474" s="1" t="s">
        <v>11</v>
      </c>
      <c r="G5474">
        <v>1390</v>
      </c>
      <c r="H5474">
        <v>1390</v>
      </c>
      <c r="I5474" s="2"/>
      <c r="J5474" s="2">
        <v>45783</v>
      </c>
      <c r="K5474" s="2">
        <v>45785</v>
      </c>
    </row>
    <row r="5475" spans="1:11" x14ac:dyDescent="0.25">
      <c r="A5475" s="1" t="s">
        <v>907</v>
      </c>
      <c r="B5475" s="1" t="s">
        <v>1470</v>
      </c>
      <c r="C5475" s="1" t="s">
        <v>2407</v>
      </c>
      <c r="D5475" s="1" t="s">
        <v>1998</v>
      </c>
      <c r="E5475" s="1"/>
      <c r="F5475" s="1" t="s">
        <v>11</v>
      </c>
      <c r="G5475">
        <v>40</v>
      </c>
      <c r="H5475">
        <v>1</v>
      </c>
      <c r="I5475" s="2"/>
      <c r="J5475" s="2">
        <v>45783</v>
      </c>
      <c r="K5475" s="2">
        <v>45785</v>
      </c>
    </row>
    <row r="5476" spans="1:11" x14ac:dyDescent="0.25">
      <c r="A5476" s="1" t="s">
        <v>907</v>
      </c>
      <c r="B5476" s="1" t="s">
        <v>987</v>
      </c>
      <c r="C5476" s="1" t="s">
        <v>2005</v>
      </c>
      <c r="D5476" s="1" t="s">
        <v>1998</v>
      </c>
      <c r="E5476" s="1"/>
      <c r="F5476" s="1" t="s">
        <v>13</v>
      </c>
      <c r="G5476">
        <v>10715</v>
      </c>
      <c r="H5476">
        <v>10715</v>
      </c>
      <c r="I5476" s="2"/>
      <c r="J5476" s="2">
        <v>45783</v>
      </c>
      <c r="K5476" s="2">
        <v>45785</v>
      </c>
    </row>
    <row r="5477" spans="1:11" x14ac:dyDescent="0.25">
      <c r="A5477" s="1" t="s">
        <v>907</v>
      </c>
      <c r="B5477" s="1" t="s">
        <v>1471</v>
      </c>
      <c r="C5477" s="1" t="s">
        <v>2408</v>
      </c>
      <c r="D5477" s="1" t="s">
        <v>1998</v>
      </c>
      <c r="E5477" s="1"/>
      <c r="F5477" s="1" t="s">
        <v>13</v>
      </c>
      <c r="G5477">
        <v>10195</v>
      </c>
      <c r="H5477">
        <v>10195</v>
      </c>
      <c r="I5477" s="2"/>
      <c r="J5477" s="2">
        <v>45783</v>
      </c>
      <c r="K5477" s="2">
        <v>45785</v>
      </c>
    </row>
    <row r="5478" spans="1:11" x14ac:dyDescent="0.25">
      <c r="A5478" s="1" t="s">
        <v>907</v>
      </c>
      <c r="B5478" s="1" t="s">
        <v>1472</v>
      </c>
      <c r="C5478" s="1" t="s">
        <v>2409</v>
      </c>
      <c r="D5478" s="1" t="s">
        <v>1998</v>
      </c>
      <c r="E5478" s="1"/>
      <c r="F5478" s="1" t="s">
        <v>11</v>
      </c>
      <c r="G5478">
        <v>5</v>
      </c>
      <c r="H5478">
        <v>1</v>
      </c>
      <c r="I5478" s="2"/>
      <c r="J5478" s="2">
        <v>45783</v>
      </c>
      <c r="K5478" s="2">
        <v>45785</v>
      </c>
    </row>
    <row r="5479" spans="1:11" x14ac:dyDescent="0.25">
      <c r="A5479" s="1" t="s">
        <v>907</v>
      </c>
      <c r="B5479" s="1" t="s">
        <v>1027</v>
      </c>
      <c r="C5479" s="1" t="s">
        <v>2040</v>
      </c>
      <c r="D5479" s="1" t="s">
        <v>1998</v>
      </c>
      <c r="E5479" s="1"/>
      <c r="F5479" s="1" t="s">
        <v>11</v>
      </c>
      <c r="G5479">
        <v>85</v>
      </c>
      <c r="H5479">
        <v>85</v>
      </c>
      <c r="I5479" s="2"/>
      <c r="J5479" s="2">
        <v>45783</v>
      </c>
      <c r="K5479" s="2">
        <v>45785</v>
      </c>
    </row>
    <row r="5480" spans="1:11" x14ac:dyDescent="0.25">
      <c r="A5480" s="1" t="s">
        <v>907</v>
      </c>
      <c r="B5480" s="1" t="s">
        <v>1013</v>
      </c>
      <c r="C5480" s="1" t="s">
        <v>2030</v>
      </c>
      <c r="D5480" s="1" t="s">
        <v>1998</v>
      </c>
      <c r="E5480" s="1"/>
      <c r="F5480" s="1" t="s">
        <v>11</v>
      </c>
      <c r="G5480">
        <v>40</v>
      </c>
      <c r="H5480">
        <v>40</v>
      </c>
      <c r="I5480" s="2"/>
      <c r="J5480" s="2">
        <v>45783</v>
      </c>
      <c r="K5480" s="2">
        <v>45785</v>
      </c>
    </row>
    <row r="5481" spans="1:11" x14ac:dyDescent="0.25">
      <c r="A5481" s="1" t="s">
        <v>907</v>
      </c>
      <c r="B5481" s="1" t="s">
        <v>993</v>
      </c>
      <c r="C5481" s="1" t="s">
        <v>2011</v>
      </c>
      <c r="D5481" s="1" t="s">
        <v>1998</v>
      </c>
      <c r="E5481" s="1"/>
      <c r="F5481" s="1" t="s">
        <v>11</v>
      </c>
      <c r="G5481">
        <v>15</v>
      </c>
      <c r="H5481">
        <v>15</v>
      </c>
      <c r="I5481" s="2"/>
      <c r="J5481" s="2">
        <v>45783</v>
      </c>
      <c r="K5481" s="2">
        <v>45785</v>
      </c>
    </row>
    <row r="5482" spans="1:11" x14ac:dyDescent="0.25">
      <c r="A5482" s="1" t="s">
        <v>907</v>
      </c>
      <c r="B5482" s="1" t="s">
        <v>993</v>
      </c>
      <c r="C5482" s="1" t="s">
        <v>2011</v>
      </c>
      <c r="D5482" s="1" t="s">
        <v>1998</v>
      </c>
      <c r="E5482" s="1"/>
      <c r="F5482" s="1" t="s">
        <v>11</v>
      </c>
      <c r="G5482">
        <v>15</v>
      </c>
      <c r="H5482">
        <v>1</v>
      </c>
      <c r="I5482" s="2"/>
      <c r="J5482" s="2">
        <v>45783</v>
      </c>
      <c r="K5482" s="2">
        <v>45785</v>
      </c>
    </row>
    <row r="5483" spans="1:11" x14ac:dyDescent="0.25">
      <c r="A5483" s="1" t="s">
        <v>907</v>
      </c>
      <c r="B5483" s="1" t="s">
        <v>1473</v>
      </c>
      <c r="C5483" s="1" t="s">
        <v>2410</v>
      </c>
      <c r="D5483" s="1" t="s">
        <v>1998</v>
      </c>
      <c r="E5483" s="1"/>
      <c r="F5483" s="1" t="s">
        <v>11</v>
      </c>
      <c r="G5483">
        <v>1</v>
      </c>
      <c r="H5483">
        <v>1</v>
      </c>
      <c r="I5483" s="2"/>
      <c r="J5483" s="2">
        <v>45783</v>
      </c>
      <c r="K5483" s="2">
        <v>45785</v>
      </c>
    </row>
    <row r="5484" spans="1:11" x14ac:dyDescent="0.25">
      <c r="A5484" s="1" t="s">
        <v>907</v>
      </c>
      <c r="B5484" s="1" t="s">
        <v>1474</v>
      </c>
      <c r="C5484" s="1" t="s">
        <v>2411</v>
      </c>
      <c r="D5484" s="1" t="s">
        <v>1998</v>
      </c>
      <c r="E5484" s="1"/>
      <c r="F5484" s="1" t="s">
        <v>11</v>
      </c>
      <c r="G5484">
        <v>1</v>
      </c>
      <c r="H5484">
        <v>1</v>
      </c>
      <c r="I5484" s="2"/>
      <c r="J5484" s="2">
        <v>45783</v>
      </c>
      <c r="K5484" s="2">
        <v>45785</v>
      </c>
    </row>
    <row r="5485" spans="1:11" x14ac:dyDescent="0.25">
      <c r="A5485" s="1" t="s">
        <v>907</v>
      </c>
      <c r="B5485" s="1" t="s">
        <v>1475</v>
      </c>
      <c r="C5485" s="1" t="s">
        <v>2412</v>
      </c>
      <c r="D5485" s="1" t="s">
        <v>1998</v>
      </c>
      <c r="E5485" s="1"/>
      <c r="F5485" s="1" t="s">
        <v>11</v>
      </c>
      <c r="G5485">
        <v>1</v>
      </c>
      <c r="H5485">
        <v>1</v>
      </c>
      <c r="I5485" s="2"/>
      <c r="J5485" s="2">
        <v>45783</v>
      </c>
      <c r="K5485" s="2">
        <v>45785</v>
      </c>
    </row>
    <row r="5486" spans="1:11" x14ac:dyDescent="0.25">
      <c r="A5486" s="1" t="s">
        <v>908</v>
      </c>
      <c r="B5486" s="1" t="s">
        <v>1899</v>
      </c>
      <c r="C5486" s="1" t="s">
        <v>2391</v>
      </c>
      <c r="D5486" s="1" t="s">
        <v>1998</v>
      </c>
      <c r="E5486" s="1"/>
      <c r="F5486" s="1" t="s">
        <v>11</v>
      </c>
      <c r="G5486">
        <v>1940</v>
      </c>
      <c r="H5486">
        <v>1940</v>
      </c>
      <c r="I5486" s="2"/>
      <c r="J5486" s="2">
        <v>45785</v>
      </c>
      <c r="K5486" s="2">
        <v>45789</v>
      </c>
    </row>
    <row r="5487" spans="1:11" x14ac:dyDescent="0.25">
      <c r="A5487" s="1" t="s">
        <v>908</v>
      </c>
      <c r="B5487" s="1" t="s">
        <v>1900</v>
      </c>
      <c r="C5487" s="1" t="s">
        <v>2742</v>
      </c>
      <c r="D5487" s="1" t="s">
        <v>1998</v>
      </c>
      <c r="E5487" s="1"/>
      <c r="F5487" s="1" t="s">
        <v>11</v>
      </c>
      <c r="G5487">
        <v>1555</v>
      </c>
      <c r="H5487">
        <v>1555</v>
      </c>
      <c r="I5487" s="2"/>
      <c r="J5487" s="2">
        <v>45785</v>
      </c>
      <c r="K5487" s="2">
        <v>45789</v>
      </c>
    </row>
    <row r="5488" spans="1:11" x14ac:dyDescent="0.25">
      <c r="A5488" s="1" t="s">
        <v>908</v>
      </c>
      <c r="B5488" s="1" t="s">
        <v>1901</v>
      </c>
      <c r="C5488" s="1" t="s">
        <v>2124</v>
      </c>
      <c r="D5488" s="1" t="s">
        <v>1998</v>
      </c>
      <c r="E5488" s="1"/>
      <c r="F5488" s="1" t="s">
        <v>11</v>
      </c>
      <c r="G5488">
        <v>1840</v>
      </c>
      <c r="H5488">
        <v>1840</v>
      </c>
      <c r="I5488" s="2"/>
      <c r="J5488" s="2">
        <v>45785</v>
      </c>
      <c r="K5488" s="2">
        <v>45789</v>
      </c>
    </row>
    <row r="5489" spans="1:11" x14ac:dyDescent="0.25">
      <c r="A5489" s="1" t="s">
        <v>908</v>
      </c>
      <c r="B5489" s="1" t="s">
        <v>1902</v>
      </c>
      <c r="C5489" s="1" t="s">
        <v>2743</v>
      </c>
      <c r="D5489" s="1" t="s">
        <v>1998</v>
      </c>
      <c r="E5489" s="1"/>
      <c r="F5489" s="1" t="s">
        <v>11</v>
      </c>
      <c r="G5489">
        <v>2040</v>
      </c>
      <c r="H5489">
        <v>2040</v>
      </c>
      <c r="I5489" s="2"/>
      <c r="J5489" s="2">
        <v>45785</v>
      </c>
      <c r="K5489" s="2">
        <v>45789</v>
      </c>
    </row>
    <row r="5490" spans="1:11" x14ac:dyDescent="0.25">
      <c r="A5490" s="1" t="s">
        <v>908</v>
      </c>
      <c r="B5490" s="1" t="s">
        <v>1903</v>
      </c>
      <c r="C5490" s="1" t="s">
        <v>2471</v>
      </c>
      <c r="D5490" s="1" t="s">
        <v>1998</v>
      </c>
      <c r="E5490" s="1"/>
      <c r="F5490" s="1" t="s">
        <v>11</v>
      </c>
      <c r="G5490">
        <v>1505</v>
      </c>
      <c r="H5490">
        <v>1505</v>
      </c>
      <c r="I5490" s="2"/>
      <c r="J5490" s="2">
        <v>45785</v>
      </c>
      <c r="K5490" s="2">
        <v>45789</v>
      </c>
    </row>
    <row r="5491" spans="1:11" x14ac:dyDescent="0.25">
      <c r="A5491" s="1" t="s">
        <v>909</v>
      </c>
      <c r="B5491" s="1" t="s">
        <v>1811</v>
      </c>
      <c r="C5491" s="1" t="s">
        <v>2671</v>
      </c>
      <c r="D5491" s="1" t="s">
        <v>1998</v>
      </c>
      <c r="E5491" s="1"/>
      <c r="F5491" s="1" t="s">
        <v>11</v>
      </c>
      <c r="G5491">
        <v>10</v>
      </c>
      <c r="H5491">
        <v>10</v>
      </c>
      <c r="I5491" s="2">
        <v>45787</v>
      </c>
      <c r="J5491" s="2">
        <v>45783</v>
      </c>
      <c r="K5491" s="2">
        <v>45787</v>
      </c>
    </row>
    <row r="5492" spans="1:11" x14ac:dyDescent="0.25">
      <c r="A5492" s="1" t="s">
        <v>909</v>
      </c>
      <c r="B5492" s="1" t="s">
        <v>1812</v>
      </c>
      <c r="C5492" s="1" t="s">
        <v>2672</v>
      </c>
      <c r="D5492" s="1" t="s">
        <v>1998</v>
      </c>
      <c r="E5492" s="1"/>
      <c r="F5492" s="1" t="s">
        <v>11</v>
      </c>
      <c r="G5492">
        <v>5</v>
      </c>
      <c r="H5492">
        <v>5</v>
      </c>
      <c r="I5492" s="2">
        <v>45787</v>
      </c>
      <c r="J5492" s="2">
        <v>45783</v>
      </c>
      <c r="K5492" s="2">
        <v>45787</v>
      </c>
    </row>
    <row r="5493" spans="1:11" x14ac:dyDescent="0.25">
      <c r="A5493" s="1" t="s">
        <v>909</v>
      </c>
      <c r="B5493" s="1" t="s">
        <v>1813</v>
      </c>
      <c r="C5493" s="1" t="s">
        <v>2673</v>
      </c>
      <c r="D5493" s="1" t="s">
        <v>1998</v>
      </c>
      <c r="E5493" s="1"/>
      <c r="F5493" s="1" t="s">
        <v>11</v>
      </c>
      <c r="G5493">
        <v>20</v>
      </c>
      <c r="H5493">
        <v>20</v>
      </c>
      <c r="I5493" s="2">
        <v>45787</v>
      </c>
      <c r="J5493" s="2">
        <v>45783</v>
      </c>
      <c r="K5493" s="2">
        <v>45787</v>
      </c>
    </row>
    <row r="5494" spans="1:11" x14ac:dyDescent="0.25">
      <c r="A5494" s="1" t="s">
        <v>909</v>
      </c>
      <c r="B5494" s="1" t="s">
        <v>1814</v>
      </c>
      <c r="C5494" s="1" t="s">
        <v>2674</v>
      </c>
      <c r="D5494" s="1" t="s">
        <v>1998</v>
      </c>
      <c r="E5494" s="1"/>
      <c r="F5494" s="1" t="s">
        <v>11</v>
      </c>
      <c r="G5494">
        <v>5</v>
      </c>
      <c r="H5494">
        <v>5</v>
      </c>
      <c r="I5494" s="2">
        <v>45787</v>
      </c>
      <c r="J5494" s="2">
        <v>45783</v>
      </c>
      <c r="K5494" s="2">
        <v>45787</v>
      </c>
    </row>
    <row r="5495" spans="1:11" x14ac:dyDescent="0.25">
      <c r="A5495" s="1" t="s">
        <v>909</v>
      </c>
      <c r="B5495" s="1" t="s">
        <v>1815</v>
      </c>
      <c r="C5495" s="1" t="s">
        <v>2675</v>
      </c>
      <c r="D5495" s="1" t="s">
        <v>1998</v>
      </c>
      <c r="E5495" s="1"/>
      <c r="F5495" s="1" t="s">
        <v>11</v>
      </c>
      <c r="G5495">
        <v>10</v>
      </c>
      <c r="H5495">
        <v>10</v>
      </c>
      <c r="I5495" s="2">
        <v>45787</v>
      </c>
      <c r="J5495" s="2">
        <v>45783</v>
      </c>
      <c r="K5495" s="2">
        <v>45787</v>
      </c>
    </row>
    <row r="5496" spans="1:11" x14ac:dyDescent="0.25">
      <c r="A5496" s="1" t="s">
        <v>909</v>
      </c>
      <c r="B5496" s="1" t="s">
        <v>1816</v>
      </c>
      <c r="C5496" s="1" t="s">
        <v>2731</v>
      </c>
      <c r="D5496" s="1" t="s">
        <v>1998</v>
      </c>
      <c r="E5496" s="1"/>
      <c r="F5496" s="1" t="s">
        <v>11</v>
      </c>
      <c r="G5496">
        <v>5</v>
      </c>
      <c r="H5496">
        <v>5</v>
      </c>
      <c r="I5496" s="2">
        <v>45787</v>
      </c>
      <c r="J5496" s="2">
        <v>45783</v>
      </c>
      <c r="K5496" s="2">
        <v>45787</v>
      </c>
    </row>
    <row r="5497" spans="1:11" x14ac:dyDescent="0.25">
      <c r="A5497" s="1" t="s">
        <v>909</v>
      </c>
      <c r="B5497" s="1" t="s">
        <v>1817</v>
      </c>
      <c r="C5497" s="1" t="s">
        <v>2677</v>
      </c>
      <c r="D5497" s="1" t="s">
        <v>1998</v>
      </c>
      <c r="E5497" s="1"/>
      <c r="F5497" s="1" t="s">
        <v>11</v>
      </c>
      <c r="G5497">
        <v>12425</v>
      </c>
      <c r="H5497">
        <v>12425</v>
      </c>
      <c r="I5497" s="2">
        <v>45787</v>
      </c>
      <c r="J5497" s="2">
        <v>45783</v>
      </c>
      <c r="K5497" s="2">
        <v>45787</v>
      </c>
    </row>
    <row r="5498" spans="1:11" x14ac:dyDescent="0.25">
      <c r="A5498" s="1" t="s">
        <v>909</v>
      </c>
      <c r="B5498" s="1" t="s">
        <v>1818</v>
      </c>
      <c r="C5498" s="1" t="s">
        <v>2678</v>
      </c>
      <c r="D5498" s="1" t="s">
        <v>1998</v>
      </c>
      <c r="E5498" s="1"/>
      <c r="F5498" s="1" t="s">
        <v>11</v>
      </c>
      <c r="G5498">
        <v>405</v>
      </c>
      <c r="H5498">
        <v>405</v>
      </c>
      <c r="I5498" s="2">
        <v>45787</v>
      </c>
      <c r="J5498" s="2">
        <v>45783</v>
      </c>
      <c r="K5498" s="2">
        <v>45787</v>
      </c>
    </row>
    <row r="5499" spans="1:11" x14ac:dyDescent="0.25">
      <c r="A5499" s="1" t="s">
        <v>909</v>
      </c>
      <c r="B5499" s="1" t="s">
        <v>1819</v>
      </c>
      <c r="C5499" s="1" t="s">
        <v>2679</v>
      </c>
      <c r="D5499" s="1" t="s">
        <v>1998</v>
      </c>
      <c r="E5499" s="1"/>
      <c r="F5499" s="1" t="s">
        <v>11</v>
      </c>
      <c r="G5499">
        <v>135</v>
      </c>
      <c r="H5499">
        <v>135</v>
      </c>
      <c r="I5499" s="2">
        <v>45787</v>
      </c>
      <c r="J5499" s="2">
        <v>45783</v>
      </c>
      <c r="K5499" s="2">
        <v>45787</v>
      </c>
    </row>
    <row r="5500" spans="1:11" x14ac:dyDescent="0.25">
      <c r="A5500" s="1" t="s">
        <v>909</v>
      </c>
      <c r="B5500" s="1" t="s">
        <v>1820</v>
      </c>
      <c r="C5500" s="1" t="s">
        <v>2596</v>
      </c>
      <c r="D5500" s="1" t="s">
        <v>1998</v>
      </c>
      <c r="E5500" s="1"/>
      <c r="F5500" s="1" t="s">
        <v>11</v>
      </c>
      <c r="G5500">
        <v>2115</v>
      </c>
      <c r="H5500">
        <v>2115</v>
      </c>
      <c r="I5500" s="2">
        <v>45787</v>
      </c>
      <c r="J5500" s="2">
        <v>45783</v>
      </c>
      <c r="K5500" s="2">
        <v>45787</v>
      </c>
    </row>
    <row r="5501" spans="1:11" x14ac:dyDescent="0.25">
      <c r="A5501" s="1" t="s">
        <v>909</v>
      </c>
      <c r="B5501" s="1" t="s">
        <v>1821</v>
      </c>
      <c r="C5501" s="1" t="s">
        <v>2640</v>
      </c>
      <c r="D5501" s="1" t="s">
        <v>1998</v>
      </c>
      <c r="E5501" s="1"/>
      <c r="F5501" s="1" t="s">
        <v>11</v>
      </c>
      <c r="G5501">
        <v>5700</v>
      </c>
      <c r="H5501">
        <v>5700</v>
      </c>
      <c r="I5501" s="2">
        <v>45787</v>
      </c>
      <c r="J5501" s="2">
        <v>45783</v>
      </c>
      <c r="K5501" s="2">
        <v>45787</v>
      </c>
    </row>
    <row r="5502" spans="1:11" x14ac:dyDescent="0.25">
      <c r="A5502" s="1" t="s">
        <v>909</v>
      </c>
      <c r="B5502" s="1" t="s">
        <v>1822</v>
      </c>
      <c r="C5502" s="1" t="s">
        <v>2680</v>
      </c>
      <c r="D5502" s="1" t="s">
        <v>1998</v>
      </c>
      <c r="E5502" s="1"/>
      <c r="F5502" s="1" t="s">
        <v>11</v>
      </c>
      <c r="G5502">
        <v>10</v>
      </c>
      <c r="H5502">
        <v>10</v>
      </c>
      <c r="I5502" s="2">
        <v>45787</v>
      </c>
      <c r="J5502" s="2">
        <v>45783</v>
      </c>
      <c r="K5502" s="2">
        <v>45787</v>
      </c>
    </row>
    <row r="5503" spans="1:11" x14ac:dyDescent="0.25">
      <c r="A5503" s="1" t="s">
        <v>909</v>
      </c>
      <c r="B5503" s="1" t="s">
        <v>1823</v>
      </c>
      <c r="C5503" s="1" t="s">
        <v>2681</v>
      </c>
      <c r="D5503" s="1" t="s">
        <v>1998</v>
      </c>
      <c r="E5503" s="1"/>
      <c r="F5503" s="1" t="s">
        <v>11</v>
      </c>
      <c r="G5503">
        <v>50</v>
      </c>
      <c r="H5503">
        <v>50</v>
      </c>
      <c r="I5503" s="2">
        <v>45787</v>
      </c>
      <c r="J5503" s="2">
        <v>45783</v>
      </c>
      <c r="K5503" s="2">
        <v>45787</v>
      </c>
    </row>
    <row r="5504" spans="1:11" x14ac:dyDescent="0.25">
      <c r="A5504" s="1" t="s">
        <v>909</v>
      </c>
      <c r="B5504" s="1" t="s">
        <v>1824</v>
      </c>
      <c r="C5504" s="1" t="s">
        <v>2682</v>
      </c>
      <c r="D5504" s="1" t="s">
        <v>1998</v>
      </c>
      <c r="E5504" s="1"/>
      <c r="F5504" s="1" t="s">
        <v>11</v>
      </c>
      <c r="G5504">
        <v>1</v>
      </c>
      <c r="H5504">
        <v>1</v>
      </c>
      <c r="I5504" s="2">
        <v>45787</v>
      </c>
      <c r="J5504" s="2">
        <v>45783</v>
      </c>
      <c r="K5504" s="2">
        <v>45787</v>
      </c>
    </row>
    <row r="5505" spans="1:11" x14ac:dyDescent="0.25">
      <c r="A5505" s="1" t="s">
        <v>910</v>
      </c>
      <c r="B5505" s="1" t="s">
        <v>1264</v>
      </c>
      <c r="C5505" s="1" t="s">
        <v>2241</v>
      </c>
      <c r="D5505" s="1" t="s">
        <v>1998</v>
      </c>
      <c r="E5505" s="1"/>
      <c r="F5505" s="1" t="s">
        <v>11</v>
      </c>
      <c r="G5505">
        <v>35</v>
      </c>
      <c r="H5505">
        <v>50</v>
      </c>
      <c r="I5505" s="2"/>
      <c r="J5505" s="2">
        <v>45786</v>
      </c>
      <c r="K5505" s="2">
        <v>45786</v>
      </c>
    </row>
    <row r="5506" spans="1:11" x14ac:dyDescent="0.25">
      <c r="A5506" s="1" t="s">
        <v>910</v>
      </c>
      <c r="B5506" s="1" t="s">
        <v>1265</v>
      </c>
      <c r="C5506" s="1" t="s">
        <v>2242</v>
      </c>
      <c r="D5506" s="1" t="s">
        <v>1998</v>
      </c>
      <c r="E5506" s="1"/>
      <c r="F5506" s="1" t="s">
        <v>11</v>
      </c>
      <c r="G5506">
        <v>50</v>
      </c>
      <c r="H5506">
        <v>30</v>
      </c>
      <c r="I5506" s="2"/>
      <c r="J5506" s="2">
        <v>45786</v>
      </c>
      <c r="K5506" s="2">
        <v>45786</v>
      </c>
    </row>
    <row r="5507" spans="1:11" x14ac:dyDescent="0.25">
      <c r="A5507" s="1" t="s">
        <v>910</v>
      </c>
      <c r="B5507" s="1" t="s">
        <v>1206</v>
      </c>
      <c r="C5507" s="1" t="s">
        <v>2196</v>
      </c>
      <c r="D5507" s="1" t="s">
        <v>1998</v>
      </c>
      <c r="E5507" s="1"/>
      <c r="F5507" s="1" t="s">
        <v>11</v>
      </c>
      <c r="G5507">
        <v>1</v>
      </c>
      <c r="H5507">
        <v>1</v>
      </c>
      <c r="I5507" s="2"/>
      <c r="J5507" s="2">
        <v>45786</v>
      </c>
      <c r="K5507" s="2">
        <v>45786</v>
      </c>
    </row>
    <row r="5508" spans="1:11" x14ac:dyDescent="0.25">
      <c r="A5508" s="1" t="s">
        <v>910</v>
      </c>
      <c r="B5508" s="1" t="s">
        <v>1266</v>
      </c>
      <c r="C5508" s="1" t="s">
        <v>2243</v>
      </c>
      <c r="D5508" s="1" t="s">
        <v>1998</v>
      </c>
      <c r="E5508" s="1"/>
      <c r="F5508" s="1" t="s">
        <v>11</v>
      </c>
      <c r="G5508">
        <v>1</v>
      </c>
      <c r="H5508">
        <v>1</v>
      </c>
      <c r="I5508" s="2"/>
      <c r="J5508" s="2">
        <v>45786</v>
      </c>
      <c r="K5508" s="2">
        <v>45786</v>
      </c>
    </row>
    <row r="5509" spans="1:11" x14ac:dyDescent="0.25">
      <c r="A5509" s="1" t="s">
        <v>911</v>
      </c>
      <c r="B5509" s="1" t="s">
        <v>1204</v>
      </c>
      <c r="C5509" s="1" t="s">
        <v>2194</v>
      </c>
      <c r="D5509" s="1" t="s">
        <v>1998</v>
      </c>
      <c r="E5509" s="1"/>
      <c r="F5509" s="1" t="s">
        <v>11</v>
      </c>
      <c r="G5509">
        <v>40</v>
      </c>
      <c r="H5509">
        <v>35</v>
      </c>
      <c r="I5509" s="2"/>
      <c r="J5509" s="2">
        <v>45786</v>
      </c>
      <c r="K5509" s="2">
        <v>45789</v>
      </c>
    </row>
    <row r="5510" spans="1:11" x14ac:dyDescent="0.25">
      <c r="A5510" s="1" t="s">
        <v>911</v>
      </c>
      <c r="B5510" s="1" t="s">
        <v>1205</v>
      </c>
      <c r="C5510" s="1" t="s">
        <v>2195</v>
      </c>
      <c r="D5510" s="1" t="s">
        <v>1998</v>
      </c>
      <c r="E5510" s="1"/>
      <c r="F5510" s="1" t="s">
        <v>11</v>
      </c>
      <c r="G5510">
        <v>30</v>
      </c>
      <c r="H5510">
        <v>35</v>
      </c>
      <c r="I5510" s="2"/>
      <c r="J5510" s="2">
        <v>45786</v>
      </c>
      <c r="K5510" s="2">
        <v>45789</v>
      </c>
    </row>
    <row r="5511" spans="1:11" x14ac:dyDescent="0.25">
      <c r="A5511" s="1" t="s">
        <v>911</v>
      </c>
      <c r="B5511" s="1" t="s">
        <v>1206</v>
      </c>
      <c r="C5511" s="1" t="s">
        <v>2196</v>
      </c>
      <c r="D5511" s="1" t="s">
        <v>1998</v>
      </c>
      <c r="E5511" s="1"/>
      <c r="F5511" s="1" t="s">
        <v>11</v>
      </c>
      <c r="G5511">
        <v>1</v>
      </c>
      <c r="H5511">
        <v>1</v>
      </c>
      <c r="I5511" s="2"/>
      <c r="J5511" s="2">
        <v>45786</v>
      </c>
      <c r="K5511" s="2">
        <v>45789</v>
      </c>
    </row>
    <row r="5512" spans="1:11" x14ac:dyDescent="0.25">
      <c r="A5512" s="1" t="s">
        <v>911</v>
      </c>
      <c r="B5512" s="1" t="s">
        <v>1280</v>
      </c>
      <c r="C5512" s="1" t="s">
        <v>2257</v>
      </c>
      <c r="D5512" s="1" t="s">
        <v>1998</v>
      </c>
      <c r="E5512" s="1"/>
      <c r="F5512" s="1" t="s">
        <v>11</v>
      </c>
      <c r="G5512">
        <v>1</v>
      </c>
      <c r="H5512">
        <v>1</v>
      </c>
      <c r="I5512" s="2"/>
      <c r="J5512" s="2">
        <v>45786</v>
      </c>
      <c r="K5512" s="2">
        <v>45789</v>
      </c>
    </row>
    <row r="5513" spans="1:11" x14ac:dyDescent="0.25">
      <c r="A5513" s="1" t="s">
        <v>912</v>
      </c>
      <c r="B5513" s="1" t="s">
        <v>1883</v>
      </c>
      <c r="C5513" s="1" t="s">
        <v>2014</v>
      </c>
      <c r="D5513" s="1" t="s">
        <v>1998</v>
      </c>
      <c r="E5513" s="1"/>
      <c r="F5513" s="1" t="s">
        <v>11</v>
      </c>
      <c r="G5513">
        <v>3230</v>
      </c>
      <c r="H5513">
        <v>3230</v>
      </c>
      <c r="I5513" s="2"/>
      <c r="J5513" s="2">
        <v>45784</v>
      </c>
      <c r="K5513" s="2">
        <v>45789</v>
      </c>
    </row>
    <row r="5514" spans="1:11" x14ac:dyDescent="0.25">
      <c r="A5514" s="1" t="s">
        <v>912</v>
      </c>
      <c r="B5514" s="1" t="s">
        <v>1343</v>
      </c>
      <c r="C5514" s="1" t="s">
        <v>2298</v>
      </c>
      <c r="D5514" s="1" t="s">
        <v>1998</v>
      </c>
      <c r="E5514" s="1"/>
      <c r="F5514" s="1" t="s">
        <v>11</v>
      </c>
      <c r="G5514">
        <v>1685</v>
      </c>
      <c r="H5514">
        <v>1705</v>
      </c>
      <c r="I5514" s="2"/>
      <c r="J5514" s="2">
        <v>45784</v>
      </c>
      <c r="K5514" s="2">
        <v>45789</v>
      </c>
    </row>
    <row r="5515" spans="1:11" x14ac:dyDescent="0.25">
      <c r="A5515" s="1" t="s">
        <v>913</v>
      </c>
      <c r="B5515" s="1" t="s">
        <v>1800</v>
      </c>
      <c r="C5515" s="1" t="s">
        <v>2666</v>
      </c>
      <c r="D5515" s="1" t="s">
        <v>1998</v>
      </c>
      <c r="E5515" s="1"/>
      <c r="F5515" s="1" t="s">
        <v>11</v>
      </c>
      <c r="G5515">
        <v>1</v>
      </c>
      <c r="H5515">
        <v>1</v>
      </c>
      <c r="I5515" s="2"/>
      <c r="J5515" s="2">
        <v>45783</v>
      </c>
      <c r="K5515" s="2">
        <v>45783</v>
      </c>
    </row>
    <row r="5516" spans="1:11" x14ac:dyDescent="0.25">
      <c r="A5516" s="1" t="s">
        <v>913</v>
      </c>
      <c r="B5516" s="1" t="s">
        <v>1801</v>
      </c>
      <c r="C5516" s="1" t="s">
        <v>2346</v>
      </c>
      <c r="D5516" s="1" t="s">
        <v>1998</v>
      </c>
      <c r="E5516" s="1"/>
      <c r="F5516" s="1" t="s">
        <v>11</v>
      </c>
      <c r="G5516">
        <v>55</v>
      </c>
      <c r="H5516">
        <v>55</v>
      </c>
      <c r="I5516" s="2"/>
      <c r="J5516" s="2">
        <v>45783</v>
      </c>
      <c r="K5516" s="2">
        <v>45783</v>
      </c>
    </row>
    <row r="5517" spans="1:11" x14ac:dyDescent="0.25">
      <c r="A5517" s="1" t="s">
        <v>913</v>
      </c>
      <c r="B5517" s="1" t="s">
        <v>1802</v>
      </c>
      <c r="C5517" s="1" t="s">
        <v>2140</v>
      </c>
      <c r="D5517" s="1" t="s">
        <v>1998</v>
      </c>
      <c r="E5517" s="1"/>
      <c r="F5517" s="1" t="s">
        <v>11</v>
      </c>
      <c r="G5517">
        <v>60</v>
      </c>
      <c r="H5517">
        <v>60</v>
      </c>
      <c r="I5517" s="2"/>
      <c r="J5517" s="2">
        <v>45783</v>
      </c>
      <c r="K5517" s="2">
        <v>45783</v>
      </c>
    </row>
    <row r="5518" spans="1:11" x14ac:dyDescent="0.25">
      <c r="A5518" s="1" t="s">
        <v>913</v>
      </c>
      <c r="B5518" s="1" t="s">
        <v>1450</v>
      </c>
      <c r="C5518" s="1" t="s">
        <v>2388</v>
      </c>
      <c r="D5518" s="1" t="s">
        <v>1998</v>
      </c>
      <c r="E5518" s="1"/>
      <c r="F5518" s="1" t="s">
        <v>11</v>
      </c>
      <c r="G5518">
        <v>1</v>
      </c>
      <c r="H5518">
        <v>1</v>
      </c>
      <c r="I5518" s="2"/>
      <c r="J5518" s="2">
        <v>45783</v>
      </c>
      <c r="K5518" s="2">
        <v>45783</v>
      </c>
    </row>
    <row r="5519" spans="1:11" x14ac:dyDescent="0.25">
      <c r="A5519" s="1" t="s">
        <v>913</v>
      </c>
      <c r="B5519" s="1" t="s">
        <v>1803</v>
      </c>
      <c r="C5519" s="1" t="s">
        <v>2667</v>
      </c>
      <c r="D5519" s="1" t="s">
        <v>1998</v>
      </c>
      <c r="E5519" s="1"/>
      <c r="F5519" s="1" t="s">
        <v>11</v>
      </c>
      <c r="G5519">
        <v>1</v>
      </c>
      <c r="H5519">
        <v>1</v>
      </c>
      <c r="I5519" s="2"/>
      <c r="J5519" s="2">
        <v>45783</v>
      </c>
      <c r="K5519" s="2">
        <v>45783</v>
      </c>
    </row>
    <row r="5520" spans="1:11" x14ac:dyDescent="0.25">
      <c r="A5520" s="1" t="s">
        <v>914</v>
      </c>
      <c r="B5520" s="1" t="s">
        <v>1811</v>
      </c>
      <c r="C5520" s="1" t="s">
        <v>2671</v>
      </c>
      <c r="D5520" s="1" t="s">
        <v>1998</v>
      </c>
      <c r="E5520" s="1"/>
      <c r="F5520" s="1" t="s">
        <v>11</v>
      </c>
      <c r="G5520">
        <v>10</v>
      </c>
      <c r="H5520">
        <v>10</v>
      </c>
      <c r="I5520" s="2">
        <v>45787</v>
      </c>
      <c r="J5520" s="2">
        <v>45783</v>
      </c>
      <c r="K5520" s="2">
        <v>45787</v>
      </c>
    </row>
    <row r="5521" spans="1:11" x14ac:dyDescent="0.25">
      <c r="A5521" s="1" t="s">
        <v>914</v>
      </c>
      <c r="B5521" s="1" t="s">
        <v>1812</v>
      </c>
      <c r="C5521" s="1" t="s">
        <v>2672</v>
      </c>
      <c r="D5521" s="1" t="s">
        <v>1998</v>
      </c>
      <c r="E5521" s="1"/>
      <c r="F5521" s="1" t="s">
        <v>11</v>
      </c>
      <c r="G5521">
        <v>5</v>
      </c>
      <c r="H5521">
        <v>5</v>
      </c>
      <c r="I5521" s="2">
        <v>45787</v>
      </c>
      <c r="J5521" s="2">
        <v>45783</v>
      </c>
      <c r="K5521" s="2">
        <v>45787</v>
      </c>
    </row>
    <row r="5522" spans="1:11" x14ac:dyDescent="0.25">
      <c r="A5522" s="1" t="s">
        <v>914</v>
      </c>
      <c r="B5522" s="1" t="s">
        <v>1813</v>
      </c>
      <c r="C5522" s="1" t="s">
        <v>2673</v>
      </c>
      <c r="D5522" s="1" t="s">
        <v>1998</v>
      </c>
      <c r="E5522" s="1"/>
      <c r="F5522" s="1" t="s">
        <v>11</v>
      </c>
      <c r="G5522">
        <v>20</v>
      </c>
      <c r="H5522">
        <v>20</v>
      </c>
      <c r="I5522" s="2">
        <v>45787</v>
      </c>
      <c r="J5522" s="2">
        <v>45783</v>
      </c>
      <c r="K5522" s="2">
        <v>45787</v>
      </c>
    </row>
    <row r="5523" spans="1:11" x14ac:dyDescent="0.25">
      <c r="A5523" s="1" t="s">
        <v>914</v>
      </c>
      <c r="B5523" s="1" t="s">
        <v>1814</v>
      </c>
      <c r="C5523" s="1" t="s">
        <v>2674</v>
      </c>
      <c r="D5523" s="1" t="s">
        <v>1998</v>
      </c>
      <c r="E5523" s="1"/>
      <c r="F5523" s="1" t="s">
        <v>11</v>
      </c>
      <c r="G5523">
        <v>5</v>
      </c>
      <c r="H5523">
        <v>5</v>
      </c>
      <c r="I5523" s="2">
        <v>45787</v>
      </c>
      <c r="J5523" s="2">
        <v>45783</v>
      </c>
      <c r="K5523" s="2">
        <v>45787</v>
      </c>
    </row>
    <row r="5524" spans="1:11" x14ac:dyDescent="0.25">
      <c r="A5524" s="1" t="s">
        <v>914</v>
      </c>
      <c r="B5524" s="1" t="s">
        <v>1815</v>
      </c>
      <c r="C5524" s="1" t="s">
        <v>2675</v>
      </c>
      <c r="D5524" s="1" t="s">
        <v>1998</v>
      </c>
      <c r="E5524" s="1"/>
      <c r="F5524" s="1" t="s">
        <v>11</v>
      </c>
      <c r="G5524">
        <v>10</v>
      </c>
      <c r="H5524">
        <v>10</v>
      </c>
      <c r="I5524" s="2">
        <v>45787</v>
      </c>
      <c r="J5524" s="2">
        <v>45783</v>
      </c>
      <c r="K5524" s="2">
        <v>45787</v>
      </c>
    </row>
    <row r="5525" spans="1:11" x14ac:dyDescent="0.25">
      <c r="A5525" s="1" t="s">
        <v>914</v>
      </c>
      <c r="B5525" s="1" t="s">
        <v>1816</v>
      </c>
      <c r="C5525" s="1" t="s">
        <v>2731</v>
      </c>
      <c r="D5525" s="1" t="s">
        <v>1998</v>
      </c>
      <c r="E5525" s="1"/>
      <c r="F5525" s="1" t="s">
        <v>11</v>
      </c>
      <c r="G5525">
        <v>5</v>
      </c>
      <c r="H5525">
        <v>5</v>
      </c>
      <c r="I5525" s="2">
        <v>45787</v>
      </c>
      <c r="J5525" s="2">
        <v>45783</v>
      </c>
      <c r="K5525" s="2">
        <v>45787</v>
      </c>
    </row>
    <row r="5526" spans="1:11" x14ac:dyDescent="0.25">
      <c r="A5526" s="1" t="s">
        <v>914</v>
      </c>
      <c r="B5526" s="1" t="s">
        <v>1817</v>
      </c>
      <c r="C5526" s="1" t="s">
        <v>2677</v>
      </c>
      <c r="D5526" s="1" t="s">
        <v>1998</v>
      </c>
      <c r="E5526" s="1"/>
      <c r="F5526" s="1" t="s">
        <v>11</v>
      </c>
      <c r="G5526">
        <v>12425</v>
      </c>
      <c r="H5526">
        <v>12425</v>
      </c>
      <c r="I5526" s="2">
        <v>45787</v>
      </c>
      <c r="J5526" s="2">
        <v>45783</v>
      </c>
      <c r="K5526" s="2">
        <v>45787</v>
      </c>
    </row>
    <row r="5527" spans="1:11" x14ac:dyDescent="0.25">
      <c r="A5527" s="1" t="s">
        <v>914</v>
      </c>
      <c r="B5527" s="1" t="s">
        <v>1818</v>
      </c>
      <c r="C5527" s="1" t="s">
        <v>2678</v>
      </c>
      <c r="D5527" s="1" t="s">
        <v>1998</v>
      </c>
      <c r="E5527" s="1"/>
      <c r="F5527" s="1" t="s">
        <v>11</v>
      </c>
      <c r="G5527">
        <v>405</v>
      </c>
      <c r="H5527">
        <v>405</v>
      </c>
      <c r="I5527" s="2">
        <v>45787</v>
      </c>
      <c r="J5527" s="2">
        <v>45783</v>
      </c>
      <c r="K5527" s="2">
        <v>45787</v>
      </c>
    </row>
    <row r="5528" spans="1:11" x14ac:dyDescent="0.25">
      <c r="A5528" s="1" t="s">
        <v>914</v>
      </c>
      <c r="B5528" s="1" t="s">
        <v>1819</v>
      </c>
      <c r="C5528" s="1" t="s">
        <v>2679</v>
      </c>
      <c r="D5528" s="1" t="s">
        <v>1998</v>
      </c>
      <c r="E5528" s="1"/>
      <c r="F5528" s="1" t="s">
        <v>11</v>
      </c>
      <c r="G5528">
        <v>135</v>
      </c>
      <c r="H5528">
        <v>135</v>
      </c>
      <c r="I5528" s="2">
        <v>45787</v>
      </c>
      <c r="J5528" s="2">
        <v>45783</v>
      </c>
      <c r="K5528" s="2">
        <v>45787</v>
      </c>
    </row>
    <row r="5529" spans="1:11" x14ac:dyDescent="0.25">
      <c r="A5529" s="1" t="s">
        <v>914</v>
      </c>
      <c r="B5529" s="1" t="s">
        <v>1820</v>
      </c>
      <c r="C5529" s="1" t="s">
        <v>2596</v>
      </c>
      <c r="D5529" s="1" t="s">
        <v>1998</v>
      </c>
      <c r="E5529" s="1"/>
      <c r="F5529" s="1" t="s">
        <v>11</v>
      </c>
      <c r="G5529">
        <v>2115</v>
      </c>
      <c r="H5529">
        <v>2115</v>
      </c>
      <c r="I5529" s="2">
        <v>45787</v>
      </c>
      <c r="J5529" s="2">
        <v>45783</v>
      </c>
      <c r="K5529" s="2">
        <v>45787</v>
      </c>
    </row>
    <row r="5530" spans="1:11" x14ac:dyDescent="0.25">
      <c r="A5530" s="1" t="s">
        <v>914</v>
      </c>
      <c r="B5530" s="1" t="s">
        <v>1821</v>
      </c>
      <c r="C5530" s="1" t="s">
        <v>2640</v>
      </c>
      <c r="D5530" s="1" t="s">
        <v>1998</v>
      </c>
      <c r="E5530" s="1"/>
      <c r="F5530" s="1" t="s">
        <v>11</v>
      </c>
      <c r="G5530">
        <v>5700</v>
      </c>
      <c r="H5530">
        <v>5700</v>
      </c>
      <c r="I5530" s="2">
        <v>45787</v>
      </c>
      <c r="J5530" s="2">
        <v>45783</v>
      </c>
      <c r="K5530" s="2">
        <v>45787</v>
      </c>
    </row>
    <row r="5531" spans="1:11" x14ac:dyDescent="0.25">
      <c r="A5531" s="1" t="s">
        <v>914</v>
      </c>
      <c r="B5531" s="1" t="s">
        <v>1822</v>
      </c>
      <c r="C5531" s="1" t="s">
        <v>2680</v>
      </c>
      <c r="D5531" s="1" t="s">
        <v>1998</v>
      </c>
      <c r="E5531" s="1"/>
      <c r="F5531" s="1" t="s">
        <v>11</v>
      </c>
      <c r="G5531">
        <v>10</v>
      </c>
      <c r="H5531">
        <v>10</v>
      </c>
      <c r="I5531" s="2">
        <v>45787</v>
      </c>
      <c r="J5531" s="2">
        <v>45783</v>
      </c>
      <c r="K5531" s="2">
        <v>45787</v>
      </c>
    </row>
    <row r="5532" spans="1:11" x14ac:dyDescent="0.25">
      <c r="A5532" s="1" t="s">
        <v>914</v>
      </c>
      <c r="B5532" s="1" t="s">
        <v>1823</v>
      </c>
      <c r="C5532" s="1" t="s">
        <v>2681</v>
      </c>
      <c r="D5532" s="1" t="s">
        <v>1998</v>
      </c>
      <c r="E5532" s="1"/>
      <c r="F5532" s="1" t="s">
        <v>11</v>
      </c>
      <c r="G5532">
        <v>50</v>
      </c>
      <c r="H5532">
        <v>50</v>
      </c>
      <c r="I5532" s="2">
        <v>45787</v>
      </c>
      <c r="J5532" s="2">
        <v>45783</v>
      </c>
      <c r="K5532" s="2">
        <v>45787</v>
      </c>
    </row>
    <row r="5533" spans="1:11" x14ac:dyDescent="0.25">
      <c r="A5533" s="1" t="s">
        <v>914</v>
      </c>
      <c r="B5533" s="1" t="s">
        <v>1824</v>
      </c>
      <c r="C5533" s="1" t="s">
        <v>2682</v>
      </c>
      <c r="D5533" s="1" t="s">
        <v>1998</v>
      </c>
      <c r="E5533" s="1"/>
      <c r="F5533" s="1" t="s">
        <v>11</v>
      </c>
      <c r="G5533">
        <v>1</v>
      </c>
      <c r="H5533">
        <v>1</v>
      </c>
      <c r="I5533" s="2">
        <v>45787</v>
      </c>
      <c r="J5533" s="2">
        <v>45783</v>
      </c>
      <c r="K5533" s="2">
        <v>45787</v>
      </c>
    </row>
    <row r="5534" spans="1:11" x14ac:dyDescent="0.25">
      <c r="A5534" s="1" t="s">
        <v>915</v>
      </c>
      <c r="B5534" s="1" t="s">
        <v>1963</v>
      </c>
      <c r="C5534" s="1" t="s">
        <v>2788</v>
      </c>
      <c r="D5534" s="1" t="s">
        <v>1998</v>
      </c>
      <c r="E5534" s="1"/>
      <c r="F5534" s="1" t="s">
        <v>11</v>
      </c>
      <c r="G5534">
        <v>125</v>
      </c>
      <c r="H5534">
        <v>1</v>
      </c>
      <c r="I5534" s="2"/>
      <c r="J5534" s="2">
        <v>45783</v>
      </c>
      <c r="K5534" s="2">
        <v>45789</v>
      </c>
    </row>
    <row r="5535" spans="1:11" x14ac:dyDescent="0.25">
      <c r="A5535" s="1" t="s">
        <v>915</v>
      </c>
      <c r="B5535" s="1" t="s">
        <v>1964</v>
      </c>
      <c r="C5535" s="1" t="s">
        <v>2789</v>
      </c>
      <c r="D5535" s="1" t="s">
        <v>1998</v>
      </c>
      <c r="E5535" s="1"/>
      <c r="F5535" s="1" t="s">
        <v>11</v>
      </c>
      <c r="G5535">
        <v>660</v>
      </c>
      <c r="H5535">
        <v>660</v>
      </c>
      <c r="I5535" s="2"/>
      <c r="J5535" s="2">
        <v>45783</v>
      </c>
      <c r="K5535" s="2">
        <v>45789</v>
      </c>
    </row>
    <row r="5536" spans="1:11" x14ac:dyDescent="0.25">
      <c r="A5536" s="1" t="s">
        <v>915</v>
      </c>
      <c r="B5536" s="1" t="s">
        <v>1964</v>
      </c>
      <c r="C5536" s="1" t="s">
        <v>2789</v>
      </c>
      <c r="D5536" s="1" t="s">
        <v>1998</v>
      </c>
      <c r="E5536" s="1"/>
      <c r="F5536" s="1" t="s">
        <v>11</v>
      </c>
      <c r="G5536">
        <v>660</v>
      </c>
      <c r="H5536">
        <v>660</v>
      </c>
      <c r="I5536" s="2"/>
      <c r="J5536" s="2">
        <v>45783</v>
      </c>
      <c r="K5536" s="2">
        <v>45789</v>
      </c>
    </row>
    <row r="5537" spans="1:11" x14ac:dyDescent="0.25">
      <c r="A5537" s="1" t="s">
        <v>915</v>
      </c>
      <c r="B5537" s="1" t="s">
        <v>1965</v>
      </c>
      <c r="C5537" s="1" t="s">
        <v>2790</v>
      </c>
      <c r="D5537" s="1" t="s">
        <v>1998</v>
      </c>
      <c r="E5537" s="1"/>
      <c r="F5537" s="1" t="s">
        <v>11</v>
      </c>
      <c r="G5537">
        <v>430</v>
      </c>
      <c r="H5537">
        <v>430</v>
      </c>
      <c r="I5537" s="2"/>
      <c r="J5537" s="2">
        <v>45783</v>
      </c>
      <c r="K5537" s="2">
        <v>45789</v>
      </c>
    </row>
    <row r="5538" spans="1:11" x14ac:dyDescent="0.25">
      <c r="A5538" s="1" t="s">
        <v>915</v>
      </c>
      <c r="B5538" s="1" t="s">
        <v>1966</v>
      </c>
      <c r="C5538" s="1" t="s">
        <v>2790</v>
      </c>
      <c r="D5538" s="1" t="s">
        <v>1998</v>
      </c>
      <c r="E5538" s="1"/>
      <c r="F5538" s="1" t="s">
        <v>11</v>
      </c>
      <c r="G5538">
        <v>545</v>
      </c>
      <c r="H5538">
        <v>545</v>
      </c>
      <c r="I5538" s="2"/>
      <c r="J5538" s="2">
        <v>45783</v>
      </c>
      <c r="K5538" s="2">
        <v>45789</v>
      </c>
    </row>
    <row r="5539" spans="1:11" x14ac:dyDescent="0.25">
      <c r="A5539" s="1" t="s">
        <v>915</v>
      </c>
      <c r="B5539" s="1" t="s">
        <v>1082</v>
      </c>
      <c r="C5539" s="1" t="s">
        <v>2085</v>
      </c>
      <c r="D5539" s="1" t="s">
        <v>1998</v>
      </c>
      <c r="E5539" s="1"/>
      <c r="F5539" s="1" t="s">
        <v>11</v>
      </c>
      <c r="G5539">
        <v>1</v>
      </c>
      <c r="H5539">
        <v>1</v>
      </c>
      <c r="I5539" s="2"/>
      <c r="J5539" s="2">
        <v>45783</v>
      </c>
      <c r="K5539" s="2">
        <v>45789</v>
      </c>
    </row>
    <row r="5540" spans="1:11" x14ac:dyDescent="0.25">
      <c r="A5540" s="1" t="s">
        <v>915</v>
      </c>
      <c r="B5540" s="1" t="s">
        <v>1082</v>
      </c>
      <c r="C5540" s="1" t="s">
        <v>2085</v>
      </c>
      <c r="D5540" s="1" t="s">
        <v>1998</v>
      </c>
      <c r="E5540" s="1"/>
      <c r="F5540" s="1" t="s">
        <v>11</v>
      </c>
      <c r="G5540">
        <v>1</v>
      </c>
      <c r="H5540">
        <v>1</v>
      </c>
      <c r="I5540" s="2"/>
      <c r="J5540" s="2">
        <v>45783</v>
      </c>
      <c r="K5540" s="2">
        <v>45789</v>
      </c>
    </row>
    <row r="5541" spans="1:11" x14ac:dyDescent="0.25">
      <c r="A5541" s="1" t="s">
        <v>915</v>
      </c>
      <c r="B5541" s="1" t="s">
        <v>1082</v>
      </c>
      <c r="C5541" s="1" t="s">
        <v>2085</v>
      </c>
      <c r="D5541" s="1" t="s">
        <v>1998</v>
      </c>
      <c r="E5541" s="1"/>
      <c r="F5541" s="1" t="s">
        <v>11</v>
      </c>
      <c r="G5541">
        <v>1</v>
      </c>
      <c r="H5541">
        <v>1</v>
      </c>
      <c r="I5541" s="2"/>
      <c r="J5541" s="2">
        <v>45783</v>
      </c>
      <c r="K5541" s="2">
        <v>45789</v>
      </c>
    </row>
    <row r="5542" spans="1:11" x14ac:dyDescent="0.25">
      <c r="A5542" s="1" t="s">
        <v>915</v>
      </c>
      <c r="B5542" s="1" t="s">
        <v>1039</v>
      </c>
      <c r="C5542" s="1" t="s">
        <v>2049</v>
      </c>
      <c r="D5542" s="1" t="s">
        <v>1998</v>
      </c>
      <c r="E5542" s="1"/>
      <c r="F5542" s="1" t="s">
        <v>11</v>
      </c>
      <c r="G5542">
        <v>1</v>
      </c>
      <c r="H5542">
        <v>1</v>
      </c>
      <c r="I5542" s="2"/>
      <c r="J5542" s="2">
        <v>45783</v>
      </c>
      <c r="K5542" s="2">
        <v>45789</v>
      </c>
    </row>
    <row r="5543" spans="1:11" x14ac:dyDescent="0.25">
      <c r="A5543" s="1" t="s">
        <v>915</v>
      </c>
      <c r="B5543" s="1" t="s">
        <v>1039</v>
      </c>
      <c r="C5543" s="1" t="s">
        <v>2049</v>
      </c>
      <c r="D5543" s="1" t="s">
        <v>1998</v>
      </c>
      <c r="E5543" s="1"/>
      <c r="F5543" s="1" t="s">
        <v>11</v>
      </c>
      <c r="G5543">
        <v>5</v>
      </c>
      <c r="H5543">
        <v>1</v>
      </c>
      <c r="I5543" s="2"/>
      <c r="J5543" s="2">
        <v>45783</v>
      </c>
      <c r="K5543" s="2">
        <v>45789</v>
      </c>
    </row>
    <row r="5544" spans="1:11" x14ac:dyDescent="0.25">
      <c r="A5544" s="1" t="s">
        <v>915</v>
      </c>
      <c r="B5544" s="1" t="s">
        <v>1039</v>
      </c>
      <c r="C5544" s="1" t="s">
        <v>2049</v>
      </c>
      <c r="D5544" s="1" t="s">
        <v>1998</v>
      </c>
      <c r="E5544" s="1"/>
      <c r="F5544" s="1" t="s">
        <v>11</v>
      </c>
      <c r="G5544">
        <v>5</v>
      </c>
      <c r="H5544">
        <v>1</v>
      </c>
      <c r="I5544" s="2"/>
      <c r="J5544" s="2">
        <v>45783</v>
      </c>
      <c r="K5544" s="2">
        <v>45789</v>
      </c>
    </row>
    <row r="5545" spans="1:11" x14ac:dyDescent="0.25">
      <c r="A5545" s="1" t="s">
        <v>915</v>
      </c>
      <c r="B5545" s="1" t="s">
        <v>1040</v>
      </c>
      <c r="C5545" s="1" t="s">
        <v>2050</v>
      </c>
      <c r="D5545" s="1" t="s">
        <v>1998</v>
      </c>
      <c r="E5545" s="1"/>
      <c r="F5545" s="1" t="s">
        <v>11</v>
      </c>
      <c r="G5545">
        <v>1</v>
      </c>
      <c r="H5545">
        <v>1</v>
      </c>
      <c r="I5545" s="2"/>
      <c r="J5545" s="2">
        <v>45783</v>
      </c>
      <c r="K5545" s="2">
        <v>45789</v>
      </c>
    </row>
    <row r="5546" spans="1:11" x14ac:dyDescent="0.25">
      <c r="A5546" s="1" t="s">
        <v>915</v>
      </c>
      <c r="B5546" s="1" t="s">
        <v>1040</v>
      </c>
      <c r="C5546" s="1" t="s">
        <v>2050</v>
      </c>
      <c r="D5546" s="1" t="s">
        <v>1998</v>
      </c>
      <c r="E5546" s="1"/>
      <c r="F5546" s="1" t="s">
        <v>11</v>
      </c>
      <c r="G5546">
        <v>1</v>
      </c>
      <c r="H5546">
        <v>1</v>
      </c>
      <c r="I5546" s="2"/>
      <c r="J5546" s="2">
        <v>45783</v>
      </c>
      <c r="K5546" s="2">
        <v>45789</v>
      </c>
    </row>
    <row r="5547" spans="1:11" x14ac:dyDescent="0.25">
      <c r="A5547" s="1" t="s">
        <v>915</v>
      </c>
      <c r="B5547" s="1" t="s">
        <v>1040</v>
      </c>
      <c r="C5547" s="1" t="s">
        <v>2050</v>
      </c>
      <c r="D5547" s="1" t="s">
        <v>1998</v>
      </c>
      <c r="E5547" s="1"/>
      <c r="F5547" s="1" t="s">
        <v>11</v>
      </c>
      <c r="G5547">
        <v>5</v>
      </c>
      <c r="H5547">
        <v>1</v>
      </c>
      <c r="I5547" s="2"/>
      <c r="J5547" s="2">
        <v>45783</v>
      </c>
      <c r="K5547" s="2">
        <v>45789</v>
      </c>
    </row>
    <row r="5548" spans="1:11" x14ac:dyDescent="0.25">
      <c r="A5548" s="1" t="s">
        <v>915</v>
      </c>
      <c r="B5548" s="1" t="s">
        <v>1040</v>
      </c>
      <c r="C5548" s="1" t="s">
        <v>2050</v>
      </c>
      <c r="D5548" s="1" t="s">
        <v>1998</v>
      </c>
      <c r="E5548" s="1"/>
      <c r="F5548" s="1" t="s">
        <v>11</v>
      </c>
      <c r="G5548">
        <v>1</v>
      </c>
      <c r="H5548">
        <v>1</v>
      </c>
      <c r="I5548" s="2"/>
      <c r="J5548" s="2">
        <v>45783</v>
      </c>
      <c r="K5548" s="2">
        <v>45789</v>
      </c>
    </row>
    <row r="5549" spans="1:11" x14ac:dyDescent="0.25">
      <c r="A5549" s="1" t="s">
        <v>915</v>
      </c>
      <c r="B5549" s="1" t="s">
        <v>1040</v>
      </c>
      <c r="C5549" s="1" t="s">
        <v>2050</v>
      </c>
      <c r="D5549" s="1" t="s">
        <v>1998</v>
      </c>
      <c r="E5549" s="1"/>
      <c r="F5549" s="1" t="s">
        <v>11</v>
      </c>
      <c r="G5549">
        <v>5</v>
      </c>
      <c r="H5549">
        <v>1</v>
      </c>
      <c r="I5549" s="2"/>
      <c r="J5549" s="2">
        <v>45783</v>
      </c>
      <c r="K5549" s="2">
        <v>45789</v>
      </c>
    </row>
    <row r="5550" spans="1:11" x14ac:dyDescent="0.25">
      <c r="A5550" s="1" t="s">
        <v>915</v>
      </c>
      <c r="B5550" s="1" t="s">
        <v>1040</v>
      </c>
      <c r="C5550" s="1" t="s">
        <v>2050</v>
      </c>
      <c r="D5550" s="1" t="s">
        <v>1998</v>
      </c>
      <c r="E5550" s="1"/>
      <c r="F5550" s="1" t="s">
        <v>11</v>
      </c>
      <c r="G5550">
        <v>1</v>
      </c>
      <c r="H5550">
        <v>1</v>
      </c>
      <c r="I5550" s="2"/>
      <c r="J5550" s="2">
        <v>45783</v>
      </c>
      <c r="K5550" s="2">
        <v>45789</v>
      </c>
    </row>
    <row r="5551" spans="1:11" x14ac:dyDescent="0.25">
      <c r="A5551" s="1" t="s">
        <v>915</v>
      </c>
      <c r="B5551" s="1" t="s">
        <v>1967</v>
      </c>
      <c r="C5551" s="1" t="s">
        <v>2791</v>
      </c>
      <c r="D5551" s="1" t="s">
        <v>1998</v>
      </c>
      <c r="E5551" s="1"/>
      <c r="F5551" s="1" t="s">
        <v>11</v>
      </c>
      <c r="G5551">
        <v>5</v>
      </c>
      <c r="H5551">
        <v>1</v>
      </c>
      <c r="I5551" s="2"/>
      <c r="J5551" s="2">
        <v>45783</v>
      </c>
      <c r="K5551" s="2">
        <v>45789</v>
      </c>
    </row>
    <row r="5552" spans="1:11" x14ac:dyDescent="0.25">
      <c r="A5552" s="1" t="s">
        <v>915</v>
      </c>
      <c r="B5552" s="1" t="s">
        <v>1967</v>
      </c>
      <c r="C5552" s="1" t="s">
        <v>2791</v>
      </c>
      <c r="D5552" s="1" t="s">
        <v>1998</v>
      </c>
      <c r="E5552" s="1"/>
      <c r="F5552" s="1" t="s">
        <v>11</v>
      </c>
      <c r="G5552">
        <v>5</v>
      </c>
      <c r="H5552">
        <v>1</v>
      </c>
      <c r="I5552" s="2"/>
      <c r="J5552" s="2">
        <v>45783</v>
      </c>
      <c r="K5552" s="2">
        <v>45789</v>
      </c>
    </row>
    <row r="5553" spans="1:11" x14ac:dyDescent="0.25">
      <c r="A5553" s="1" t="s">
        <v>915</v>
      </c>
      <c r="B5553" s="1" t="s">
        <v>1968</v>
      </c>
      <c r="C5553" s="1" t="s">
        <v>2792</v>
      </c>
      <c r="D5553" s="1" t="s">
        <v>1998</v>
      </c>
      <c r="E5553" s="1"/>
      <c r="F5553" s="1" t="s">
        <v>11</v>
      </c>
      <c r="G5553">
        <v>1440</v>
      </c>
      <c r="H5553">
        <v>1440</v>
      </c>
      <c r="I5553" s="2"/>
      <c r="J5553" s="2">
        <v>45783</v>
      </c>
      <c r="K5553" s="2">
        <v>45789</v>
      </c>
    </row>
    <row r="5554" spans="1:11" x14ac:dyDescent="0.25">
      <c r="A5554" s="1" t="s">
        <v>915</v>
      </c>
      <c r="B5554" s="1" t="s">
        <v>1969</v>
      </c>
      <c r="C5554" s="1" t="s">
        <v>2793</v>
      </c>
      <c r="D5554" s="1" t="s">
        <v>1998</v>
      </c>
      <c r="E5554" s="1"/>
      <c r="F5554" s="1" t="s">
        <v>11</v>
      </c>
      <c r="G5554">
        <v>1440</v>
      </c>
      <c r="H5554">
        <v>1440</v>
      </c>
      <c r="I5554" s="2"/>
      <c r="J5554" s="2">
        <v>45783</v>
      </c>
      <c r="K5554" s="2">
        <v>45789</v>
      </c>
    </row>
    <row r="5555" spans="1:11" x14ac:dyDescent="0.25">
      <c r="A5555" s="1" t="s">
        <v>915</v>
      </c>
      <c r="B5555" s="1" t="s">
        <v>1970</v>
      </c>
      <c r="C5555" s="1" t="s">
        <v>2794</v>
      </c>
      <c r="D5555" s="1" t="s">
        <v>1998</v>
      </c>
      <c r="E5555" s="1"/>
      <c r="F5555" s="1" t="s">
        <v>11</v>
      </c>
      <c r="G5555">
        <v>895</v>
      </c>
      <c r="H5555">
        <v>895</v>
      </c>
      <c r="I5555" s="2"/>
      <c r="J5555" s="2">
        <v>45783</v>
      </c>
      <c r="K5555" s="2">
        <v>45789</v>
      </c>
    </row>
    <row r="5556" spans="1:11" x14ac:dyDescent="0.25">
      <c r="A5556" s="1" t="s">
        <v>916</v>
      </c>
      <c r="B5556" s="1" t="s">
        <v>1344</v>
      </c>
      <c r="C5556" s="1" t="s">
        <v>2014</v>
      </c>
      <c r="D5556" s="1" t="s">
        <v>1998</v>
      </c>
      <c r="E5556" s="1"/>
      <c r="F5556" s="1" t="s">
        <v>11</v>
      </c>
      <c r="G5556">
        <v>610</v>
      </c>
      <c r="H5556">
        <v>610</v>
      </c>
      <c r="I5556" s="2"/>
      <c r="J5556" s="2">
        <v>45783</v>
      </c>
      <c r="K5556" s="2">
        <v>45789</v>
      </c>
    </row>
    <row r="5557" spans="1:11" x14ac:dyDescent="0.25">
      <c r="A5557" s="1" t="s">
        <v>916</v>
      </c>
      <c r="B5557" s="1" t="s">
        <v>1344</v>
      </c>
      <c r="C5557" s="1" t="s">
        <v>2014</v>
      </c>
      <c r="D5557" s="1" t="s">
        <v>1998</v>
      </c>
      <c r="E5557" s="1"/>
      <c r="F5557" s="1" t="s">
        <v>102</v>
      </c>
      <c r="G5557">
        <v>610</v>
      </c>
      <c r="H5557">
        <v>610</v>
      </c>
      <c r="I5557" s="2"/>
      <c r="J5557" s="2">
        <v>45783</v>
      </c>
      <c r="K5557" s="2">
        <v>45789</v>
      </c>
    </row>
    <row r="5558" spans="1:11" x14ac:dyDescent="0.25">
      <c r="A5558" s="1" t="s">
        <v>916</v>
      </c>
      <c r="B5558" s="1" t="s">
        <v>1345</v>
      </c>
      <c r="C5558" s="1" t="s">
        <v>2299</v>
      </c>
      <c r="D5558" s="1" t="s">
        <v>1998</v>
      </c>
      <c r="E5558" s="1"/>
      <c r="F5558" s="1" t="s">
        <v>11</v>
      </c>
      <c r="G5558">
        <v>35</v>
      </c>
      <c r="H5558">
        <v>50</v>
      </c>
      <c r="I5558" s="2"/>
      <c r="J5558" s="2">
        <v>45783</v>
      </c>
      <c r="K5558" s="2">
        <v>45789</v>
      </c>
    </row>
    <row r="5559" spans="1:11" x14ac:dyDescent="0.25">
      <c r="A5559" s="1" t="s">
        <v>916</v>
      </c>
      <c r="B5559" s="1" t="s">
        <v>1141</v>
      </c>
      <c r="C5559" s="1" t="s">
        <v>2001</v>
      </c>
      <c r="D5559" s="1" t="s">
        <v>1998</v>
      </c>
      <c r="E5559" s="1"/>
      <c r="F5559" s="1" t="s">
        <v>11</v>
      </c>
      <c r="G5559">
        <v>710</v>
      </c>
      <c r="H5559">
        <v>710</v>
      </c>
      <c r="I5559" s="2"/>
      <c r="J5559" s="2">
        <v>45783</v>
      </c>
      <c r="K5559" s="2">
        <v>45789</v>
      </c>
    </row>
    <row r="5560" spans="1:11" x14ac:dyDescent="0.25">
      <c r="A5560" s="1" t="s">
        <v>916</v>
      </c>
      <c r="B5560" s="1" t="s">
        <v>1141</v>
      </c>
      <c r="C5560" s="1" t="s">
        <v>2001</v>
      </c>
      <c r="D5560" s="1" t="s">
        <v>1998</v>
      </c>
      <c r="E5560" s="1"/>
      <c r="F5560" s="1" t="s">
        <v>102</v>
      </c>
      <c r="G5560">
        <v>710</v>
      </c>
      <c r="H5560">
        <v>710</v>
      </c>
      <c r="I5560" s="2"/>
      <c r="J5560" s="2">
        <v>45783</v>
      </c>
      <c r="K5560" s="2">
        <v>45789</v>
      </c>
    </row>
    <row r="5561" spans="1:11" x14ac:dyDescent="0.25">
      <c r="A5561" s="1" t="s">
        <v>916</v>
      </c>
      <c r="B5561" s="1" t="s">
        <v>991</v>
      </c>
      <c r="C5561" s="1" t="s">
        <v>2009</v>
      </c>
      <c r="D5561" s="1" t="s">
        <v>1998</v>
      </c>
      <c r="E5561" s="1"/>
      <c r="F5561" s="1" t="s">
        <v>12</v>
      </c>
      <c r="G5561">
        <v>1</v>
      </c>
      <c r="H5561">
        <v>20</v>
      </c>
      <c r="I5561" s="2"/>
      <c r="J5561" s="2">
        <v>45783</v>
      </c>
      <c r="K5561" s="2">
        <v>45789</v>
      </c>
    </row>
    <row r="5562" spans="1:11" x14ac:dyDescent="0.25">
      <c r="A5562" s="1" t="s">
        <v>916</v>
      </c>
      <c r="B5562" s="1" t="s">
        <v>992</v>
      </c>
      <c r="C5562" s="1" t="s">
        <v>2010</v>
      </c>
      <c r="D5562" s="1" t="s">
        <v>1998</v>
      </c>
      <c r="E5562" s="1"/>
      <c r="F5562" s="1" t="s">
        <v>12</v>
      </c>
      <c r="G5562">
        <v>1</v>
      </c>
      <c r="H5562">
        <v>35</v>
      </c>
      <c r="I5562" s="2"/>
      <c r="J5562" s="2">
        <v>45783</v>
      </c>
      <c r="K5562" s="2">
        <v>45789</v>
      </c>
    </row>
    <row r="5563" spans="1:11" x14ac:dyDescent="0.25">
      <c r="A5563" s="1" t="s">
        <v>916</v>
      </c>
      <c r="B5563" s="1" t="s">
        <v>993</v>
      </c>
      <c r="C5563" s="1" t="s">
        <v>2011</v>
      </c>
      <c r="D5563" s="1" t="s">
        <v>1998</v>
      </c>
      <c r="E5563" s="1"/>
      <c r="F5563" s="1" t="s">
        <v>12</v>
      </c>
      <c r="G5563">
        <v>1</v>
      </c>
      <c r="H5563">
        <v>110</v>
      </c>
      <c r="I5563" s="2"/>
      <c r="J5563" s="2">
        <v>45783</v>
      </c>
      <c r="K5563" s="2">
        <v>45789</v>
      </c>
    </row>
    <row r="5564" spans="1:11" x14ac:dyDescent="0.25">
      <c r="A5564" s="1" t="s">
        <v>917</v>
      </c>
      <c r="B5564" s="1" t="s">
        <v>1971</v>
      </c>
      <c r="C5564" s="1" t="s">
        <v>2052</v>
      </c>
      <c r="D5564" s="1" t="s">
        <v>1998</v>
      </c>
      <c r="E5564" s="1"/>
      <c r="F5564" s="1" t="s">
        <v>11</v>
      </c>
      <c r="G5564">
        <v>3260</v>
      </c>
      <c r="H5564">
        <v>3260</v>
      </c>
      <c r="I5564" s="2"/>
      <c r="J5564" s="2">
        <v>45784</v>
      </c>
      <c r="K5564" s="2">
        <v>45787</v>
      </c>
    </row>
    <row r="5565" spans="1:11" x14ac:dyDescent="0.25">
      <c r="A5565" s="1" t="s">
        <v>917</v>
      </c>
      <c r="B5565" s="1" t="s">
        <v>1555</v>
      </c>
      <c r="C5565" s="1" t="s">
        <v>2481</v>
      </c>
      <c r="D5565" s="1" t="s">
        <v>1998</v>
      </c>
      <c r="E5565" s="1"/>
      <c r="F5565" s="1" t="s">
        <v>11</v>
      </c>
      <c r="G5565">
        <v>255</v>
      </c>
      <c r="H5565">
        <v>1</v>
      </c>
      <c r="I5565" s="2"/>
      <c r="J5565" s="2">
        <v>45784</v>
      </c>
      <c r="K5565" s="2">
        <v>45787</v>
      </c>
    </row>
    <row r="5566" spans="1:11" x14ac:dyDescent="0.25">
      <c r="A5566" s="1" t="s">
        <v>917</v>
      </c>
      <c r="B5566" s="1" t="s">
        <v>1027</v>
      </c>
      <c r="C5566" s="1" t="s">
        <v>2040</v>
      </c>
      <c r="D5566" s="1" t="s">
        <v>1998</v>
      </c>
      <c r="E5566" s="1"/>
      <c r="F5566" s="1" t="s">
        <v>11</v>
      </c>
      <c r="G5566">
        <v>55</v>
      </c>
      <c r="H5566">
        <v>55</v>
      </c>
      <c r="I5566" s="2"/>
      <c r="J5566" s="2">
        <v>45784</v>
      </c>
      <c r="K5566" s="2">
        <v>45787</v>
      </c>
    </row>
    <row r="5567" spans="1:11" x14ac:dyDescent="0.25">
      <c r="A5567" s="1" t="s">
        <v>917</v>
      </c>
      <c r="B5567" s="1" t="s">
        <v>1013</v>
      </c>
      <c r="C5567" s="1" t="s">
        <v>2030</v>
      </c>
      <c r="D5567" s="1" t="s">
        <v>1998</v>
      </c>
      <c r="E5567" s="1"/>
      <c r="F5567" s="1" t="s">
        <v>11</v>
      </c>
      <c r="G5567">
        <v>10</v>
      </c>
      <c r="H5567">
        <v>35</v>
      </c>
      <c r="I5567" s="2"/>
      <c r="J5567" s="2">
        <v>45784</v>
      </c>
      <c r="K5567" s="2">
        <v>45787</v>
      </c>
    </row>
    <row r="5568" spans="1:11" x14ac:dyDescent="0.25">
      <c r="A5568" s="1" t="s">
        <v>917</v>
      </c>
      <c r="B5568" s="1" t="s">
        <v>993</v>
      </c>
      <c r="C5568" s="1" t="s">
        <v>2011</v>
      </c>
      <c r="D5568" s="1" t="s">
        <v>1998</v>
      </c>
      <c r="E5568" s="1"/>
      <c r="F5568" s="1" t="s">
        <v>11</v>
      </c>
      <c r="G5568">
        <v>5</v>
      </c>
      <c r="H5568">
        <v>5</v>
      </c>
      <c r="I5568" s="2"/>
      <c r="J5568" s="2">
        <v>45784</v>
      </c>
      <c r="K5568" s="2">
        <v>45787</v>
      </c>
    </row>
    <row r="5569" spans="1:11" x14ac:dyDescent="0.25">
      <c r="A5569" s="1" t="s">
        <v>917</v>
      </c>
      <c r="B5569" s="1" t="s">
        <v>993</v>
      </c>
      <c r="C5569" s="1" t="s">
        <v>2011</v>
      </c>
      <c r="D5569" s="1" t="s">
        <v>1998</v>
      </c>
      <c r="E5569" s="1"/>
      <c r="F5569" s="1" t="s">
        <v>11</v>
      </c>
      <c r="G5569">
        <v>10</v>
      </c>
      <c r="H5569">
        <v>10</v>
      </c>
      <c r="I5569" s="2"/>
      <c r="J5569" s="2">
        <v>45784</v>
      </c>
      <c r="K5569" s="2">
        <v>45787</v>
      </c>
    </row>
    <row r="5570" spans="1:11" x14ac:dyDescent="0.25">
      <c r="A5570" s="1" t="s">
        <v>918</v>
      </c>
      <c r="B5570" s="1" t="s">
        <v>1755</v>
      </c>
      <c r="C5570" s="1" t="s">
        <v>2640</v>
      </c>
      <c r="D5570" s="1" t="s">
        <v>1998</v>
      </c>
      <c r="E5570" s="1"/>
      <c r="F5570" s="1" t="s">
        <v>11</v>
      </c>
      <c r="G5570">
        <v>5485</v>
      </c>
      <c r="H5570">
        <v>5485</v>
      </c>
      <c r="I5570" s="2">
        <v>45787</v>
      </c>
      <c r="J5570" s="2">
        <v>45783</v>
      </c>
      <c r="K5570" s="2">
        <v>45787</v>
      </c>
    </row>
    <row r="5571" spans="1:11" x14ac:dyDescent="0.25">
      <c r="A5571" s="1" t="s">
        <v>918</v>
      </c>
      <c r="B5571" s="1" t="s">
        <v>1492</v>
      </c>
      <c r="C5571" s="1" t="s">
        <v>2429</v>
      </c>
      <c r="D5571" s="1" t="s">
        <v>1998</v>
      </c>
      <c r="E5571" s="1"/>
      <c r="F5571" s="1" t="s">
        <v>11</v>
      </c>
      <c r="G5571">
        <v>5</v>
      </c>
      <c r="H5571">
        <v>5</v>
      </c>
      <c r="I5571" s="2">
        <v>45787</v>
      </c>
      <c r="J5571" s="2">
        <v>45783</v>
      </c>
      <c r="K5571" s="2">
        <v>45787</v>
      </c>
    </row>
    <row r="5572" spans="1:11" x14ac:dyDescent="0.25">
      <c r="A5572" s="1" t="s">
        <v>918</v>
      </c>
      <c r="B5572" s="1" t="s">
        <v>1493</v>
      </c>
      <c r="C5572" s="1" t="s">
        <v>2429</v>
      </c>
      <c r="D5572" s="1" t="s">
        <v>1998</v>
      </c>
      <c r="E5572" s="1"/>
      <c r="F5572" s="1" t="s">
        <v>11</v>
      </c>
      <c r="G5572">
        <v>10</v>
      </c>
      <c r="H5572">
        <v>10</v>
      </c>
      <c r="I5572" s="2">
        <v>45787</v>
      </c>
      <c r="J5572" s="2">
        <v>45783</v>
      </c>
      <c r="K5572" s="2">
        <v>45787</v>
      </c>
    </row>
    <row r="5573" spans="1:11" x14ac:dyDescent="0.25">
      <c r="A5573" s="1" t="s">
        <v>918</v>
      </c>
      <c r="B5573" s="1" t="s">
        <v>1494</v>
      </c>
      <c r="C5573" s="1" t="s">
        <v>2430</v>
      </c>
      <c r="D5573" s="1" t="s">
        <v>1998</v>
      </c>
      <c r="E5573" s="1"/>
      <c r="F5573" s="1" t="s">
        <v>11</v>
      </c>
      <c r="G5573">
        <v>1</v>
      </c>
      <c r="H5573">
        <v>1</v>
      </c>
      <c r="I5573" s="2">
        <v>45787</v>
      </c>
      <c r="J5573" s="2">
        <v>45783</v>
      </c>
      <c r="K5573" s="2">
        <v>45787</v>
      </c>
    </row>
    <row r="5574" spans="1:11" x14ac:dyDescent="0.25">
      <c r="A5574" s="1" t="s">
        <v>918</v>
      </c>
      <c r="B5574" s="1" t="s">
        <v>1495</v>
      </c>
      <c r="C5574" s="1" t="s">
        <v>2431</v>
      </c>
      <c r="D5574" s="1" t="s">
        <v>1998</v>
      </c>
      <c r="E5574" s="1"/>
      <c r="F5574" s="1" t="s">
        <v>11</v>
      </c>
      <c r="G5574">
        <v>1</v>
      </c>
      <c r="H5574">
        <v>1</v>
      </c>
      <c r="I5574" s="2">
        <v>45787</v>
      </c>
      <c r="J5574" s="2">
        <v>45783</v>
      </c>
      <c r="K5574" s="2">
        <v>45787</v>
      </c>
    </row>
    <row r="5575" spans="1:11" x14ac:dyDescent="0.25">
      <c r="A5575" s="1" t="s">
        <v>918</v>
      </c>
      <c r="B5575" s="1" t="s">
        <v>1496</v>
      </c>
      <c r="C5575" s="1" t="s">
        <v>2432</v>
      </c>
      <c r="D5575" s="1" t="s">
        <v>1998</v>
      </c>
      <c r="E5575" s="1"/>
      <c r="F5575" s="1" t="s">
        <v>11</v>
      </c>
      <c r="G5575">
        <v>1</v>
      </c>
      <c r="H5575">
        <v>1</v>
      </c>
      <c r="I5575" s="2">
        <v>45787</v>
      </c>
      <c r="J5575" s="2">
        <v>45783</v>
      </c>
      <c r="K5575" s="2">
        <v>45787</v>
      </c>
    </row>
    <row r="5576" spans="1:11" x14ac:dyDescent="0.25">
      <c r="A5576" s="1" t="s">
        <v>918</v>
      </c>
      <c r="B5576" s="1" t="s">
        <v>1497</v>
      </c>
      <c r="C5576" s="1" t="s">
        <v>2432</v>
      </c>
      <c r="D5576" s="1" t="s">
        <v>1998</v>
      </c>
      <c r="E5576" s="1"/>
      <c r="F5576" s="1" t="s">
        <v>11</v>
      </c>
      <c r="G5576">
        <v>1</v>
      </c>
      <c r="H5576">
        <v>1</v>
      </c>
      <c r="I5576" s="2">
        <v>45787</v>
      </c>
      <c r="J5576" s="2">
        <v>45783</v>
      </c>
      <c r="K5576" s="2">
        <v>45787</v>
      </c>
    </row>
    <row r="5577" spans="1:11" x14ac:dyDescent="0.25">
      <c r="A5577" s="1" t="s">
        <v>918</v>
      </c>
      <c r="B5577" s="1" t="s">
        <v>1498</v>
      </c>
      <c r="C5577" s="1" t="s">
        <v>2433</v>
      </c>
      <c r="D5577" s="1" t="s">
        <v>1998</v>
      </c>
      <c r="E5577" s="1"/>
      <c r="F5577" s="1" t="s">
        <v>11</v>
      </c>
      <c r="G5577">
        <v>5</v>
      </c>
      <c r="H5577">
        <v>5</v>
      </c>
      <c r="I5577" s="2">
        <v>45787</v>
      </c>
      <c r="J5577" s="2">
        <v>45783</v>
      </c>
      <c r="K5577" s="2">
        <v>45787</v>
      </c>
    </row>
    <row r="5578" spans="1:11" x14ac:dyDescent="0.25">
      <c r="A5578" s="1" t="s">
        <v>918</v>
      </c>
      <c r="B5578" s="1" t="s">
        <v>1499</v>
      </c>
      <c r="C5578" s="1" t="s">
        <v>2433</v>
      </c>
      <c r="D5578" s="1" t="s">
        <v>1998</v>
      </c>
      <c r="E5578" s="1"/>
      <c r="F5578" s="1" t="s">
        <v>11</v>
      </c>
      <c r="G5578">
        <v>5</v>
      </c>
      <c r="H5578">
        <v>5</v>
      </c>
      <c r="I5578" s="2">
        <v>45787</v>
      </c>
      <c r="J5578" s="2">
        <v>45783</v>
      </c>
      <c r="K5578" s="2">
        <v>45787</v>
      </c>
    </row>
    <row r="5579" spans="1:11" x14ac:dyDescent="0.25">
      <c r="A5579" s="1" t="s">
        <v>918</v>
      </c>
      <c r="B5579" s="1" t="s">
        <v>993</v>
      </c>
      <c r="C5579" s="1" t="s">
        <v>2011</v>
      </c>
      <c r="D5579" s="1" t="s">
        <v>1998</v>
      </c>
      <c r="E5579" s="1"/>
      <c r="F5579" s="1" t="s">
        <v>11</v>
      </c>
      <c r="G5579">
        <v>1</v>
      </c>
      <c r="H5579">
        <v>1</v>
      </c>
      <c r="I5579" s="2">
        <v>45787</v>
      </c>
      <c r="J5579" s="2">
        <v>45783</v>
      </c>
      <c r="K5579" s="2">
        <v>45787</v>
      </c>
    </row>
    <row r="5580" spans="1:11" x14ac:dyDescent="0.25">
      <c r="A5580" s="1" t="s">
        <v>919</v>
      </c>
      <c r="B5580" s="1" t="s">
        <v>1755</v>
      </c>
      <c r="C5580" s="1" t="s">
        <v>2640</v>
      </c>
      <c r="D5580" s="1" t="s">
        <v>1998</v>
      </c>
      <c r="E5580" s="1"/>
      <c r="F5580" s="1" t="s">
        <v>11</v>
      </c>
      <c r="G5580">
        <v>5485</v>
      </c>
      <c r="H5580">
        <v>5485</v>
      </c>
      <c r="I5580" s="2">
        <v>45787</v>
      </c>
      <c r="J5580" s="2">
        <v>45783</v>
      </c>
      <c r="K5580" s="2">
        <v>45787</v>
      </c>
    </row>
    <row r="5581" spans="1:11" x14ac:dyDescent="0.25">
      <c r="A5581" s="1" t="s">
        <v>919</v>
      </c>
      <c r="B5581" s="1" t="s">
        <v>1492</v>
      </c>
      <c r="C5581" s="1" t="s">
        <v>2429</v>
      </c>
      <c r="D5581" s="1" t="s">
        <v>1998</v>
      </c>
      <c r="E5581" s="1"/>
      <c r="F5581" s="1" t="s">
        <v>11</v>
      </c>
      <c r="G5581">
        <v>5</v>
      </c>
      <c r="H5581">
        <v>5</v>
      </c>
      <c r="I5581" s="2">
        <v>45787</v>
      </c>
      <c r="J5581" s="2">
        <v>45783</v>
      </c>
      <c r="K5581" s="2">
        <v>45787</v>
      </c>
    </row>
    <row r="5582" spans="1:11" x14ac:dyDescent="0.25">
      <c r="A5582" s="1" t="s">
        <v>919</v>
      </c>
      <c r="B5582" s="1" t="s">
        <v>1493</v>
      </c>
      <c r="C5582" s="1" t="s">
        <v>2429</v>
      </c>
      <c r="D5582" s="1" t="s">
        <v>1998</v>
      </c>
      <c r="E5582" s="1"/>
      <c r="F5582" s="1" t="s">
        <v>11</v>
      </c>
      <c r="G5582">
        <v>10</v>
      </c>
      <c r="H5582">
        <v>10</v>
      </c>
      <c r="I5582" s="2">
        <v>45787</v>
      </c>
      <c r="J5582" s="2">
        <v>45783</v>
      </c>
      <c r="K5582" s="2">
        <v>45787</v>
      </c>
    </row>
    <row r="5583" spans="1:11" x14ac:dyDescent="0.25">
      <c r="A5583" s="1" t="s">
        <v>919</v>
      </c>
      <c r="B5583" s="1" t="s">
        <v>1494</v>
      </c>
      <c r="C5583" s="1" t="s">
        <v>2430</v>
      </c>
      <c r="D5583" s="1" t="s">
        <v>1998</v>
      </c>
      <c r="E5583" s="1"/>
      <c r="F5583" s="1" t="s">
        <v>11</v>
      </c>
      <c r="G5583">
        <v>1</v>
      </c>
      <c r="H5583">
        <v>1</v>
      </c>
      <c r="I5583" s="2">
        <v>45787</v>
      </c>
      <c r="J5583" s="2">
        <v>45783</v>
      </c>
      <c r="K5583" s="2">
        <v>45787</v>
      </c>
    </row>
    <row r="5584" spans="1:11" x14ac:dyDescent="0.25">
      <c r="A5584" s="1" t="s">
        <v>919</v>
      </c>
      <c r="B5584" s="1" t="s">
        <v>1495</v>
      </c>
      <c r="C5584" s="1" t="s">
        <v>2431</v>
      </c>
      <c r="D5584" s="1" t="s">
        <v>1998</v>
      </c>
      <c r="E5584" s="1"/>
      <c r="F5584" s="1" t="s">
        <v>11</v>
      </c>
      <c r="G5584">
        <v>1</v>
      </c>
      <c r="H5584">
        <v>1</v>
      </c>
      <c r="I5584" s="2">
        <v>45787</v>
      </c>
      <c r="J5584" s="2">
        <v>45783</v>
      </c>
      <c r="K5584" s="2">
        <v>45787</v>
      </c>
    </row>
    <row r="5585" spans="1:11" x14ac:dyDescent="0.25">
      <c r="A5585" s="1" t="s">
        <v>919</v>
      </c>
      <c r="B5585" s="1" t="s">
        <v>1496</v>
      </c>
      <c r="C5585" s="1" t="s">
        <v>2432</v>
      </c>
      <c r="D5585" s="1" t="s">
        <v>1998</v>
      </c>
      <c r="E5585" s="1"/>
      <c r="F5585" s="1" t="s">
        <v>11</v>
      </c>
      <c r="G5585">
        <v>1</v>
      </c>
      <c r="H5585">
        <v>1</v>
      </c>
      <c r="I5585" s="2">
        <v>45787</v>
      </c>
      <c r="J5585" s="2">
        <v>45783</v>
      </c>
      <c r="K5585" s="2">
        <v>45787</v>
      </c>
    </row>
    <row r="5586" spans="1:11" x14ac:dyDescent="0.25">
      <c r="A5586" s="1" t="s">
        <v>919</v>
      </c>
      <c r="B5586" s="1" t="s">
        <v>1497</v>
      </c>
      <c r="C5586" s="1" t="s">
        <v>2432</v>
      </c>
      <c r="D5586" s="1" t="s">
        <v>1998</v>
      </c>
      <c r="E5586" s="1"/>
      <c r="F5586" s="1" t="s">
        <v>11</v>
      </c>
      <c r="G5586">
        <v>1</v>
      </c>
      <c r="H5586">
        <v>1</v>
      </c>
      <c r="I5586" s="2">
        <v>45787</v>
      </c>
      <c r="J5586" s="2">
        <v>45783</v>
      </c>
      <c r="K5586" s="2">
        <v>45787</v>
      </c>
    </row>
    <row r="5587" spans="1:11" x14ac:dyDescent="0.25">
      <c r="A5587" s="1" t="s">
        <v>919</v>
      </c>
      <c r="B5587" s="1" t="s">
        <v>1498</v>
      </c>
      <c r="C5587" s="1" t="s">
        <v>2433</v>
      </c>
      <c r="D5587" s="1" t="s">
        <v>1998</v>
      </c>
      <c r="E5587" s="1"/>
      <c r="F5587" s="1" t="s">
        <v>11</v>
      </c>
      <c r="G5587">
        <v>5</v>
      </c>
      <c r="H5587">
        <v>5</v>
      </c>
      <c r="I5587" s="2">
        <v>45787</v>
      </c>
      <c r="J5587" s="2">
        <v>45783</v>
      </c>
      <c r="K5587" s="2">
        <v>45787</v>
      </c>
    </row>
    <row r="5588" spans="1:11" x14ac:dyDescent="0.25">
      <c r="A5588" s="1" t="s">
        <v>919</v>
      </c>
      <c r="B5588" s="1" t="s">
        <v>1499</v>
      </c>
      <c r="C5588" s="1" t="s">
        <v>2433</v>
      </c>
      <c r="D5588" s="1" t="s">
        <v>1998</v>
      </c>
      <c r="E5588" s="1"/>
      <c r="F5588" s="1" t="s">
        <v>11</v>
      </c>
      <c r="G5588">
        <v>5</v>
      </c>
      <c r="H5588">
        <v>5</v>
      </c>
      <c r="I5588" s="2">
        <v>45787</v>
      </c>
      <c r="J5588" s="2">
        <v>45783</v>
      </c>
      <c r="K5588" s="2">
        <v>45787</v>
      </c>
    </row>
    <row r="5589" spans="1:11" x14ac:dyDescent="0.25">
      <c r="A5589" s="1" t="s">
        <v>919</v>
      </c>
      <c r="B5589" s="1" t="s">
        <v>993</v>
      </c>
      <c r="C5589" s="1" t="s">
        <v>2011</v>
      </c>
      <c r="D5589" s="1" t="s">
        <v>1998</v>
      </c>
      <c r="E5589" s="1"/>
      <c r="F5589" s="1" t="s">
        <v>11</v>
      </c>
      <c r="G5589">
        <v>1</v>
      </c>
      <c r="H5589">
        <v>1</v>
      </c>
      <c r="I5589" s="2">
        <v>45787</v>
      </c>
      <c r="J5589" s="2">
        <v>45783</v>
      </c>
      <c r="K5589" s="2">
        <v>45787</v>
      </c>
    </row>
    <row r="5590" spans="1:11" x14ac:dyDescent="0.25">
      <c r="A5590" s="1" t="s">
        <v>920</v>
      </c>
      <c r="B5590" s="1" t="s">
        <v>1755</v>
      </c>
      <c r="C5590" s="1" t="s">
        <v>2640</v>
      </c>
      <c r="D5590" s="1" t="s">
        <v>1998</v>
      </c>
      <c r="E5590" s="1"/>
      <c r="F5590" s="1" t="s">
        <v>11</v>
      </c>
      <c r="G5590">
        <v>5485</v>
      </c>
      <c r="H5590">
        <v>5485</v>
      </c>
      <c r="I5590" s="2"/>
      <c r="J5590" s="2">
        <v>45784</v>
      </c>
      <c r="K5590" s="2">
        <v>45789</v>
      </c>
    </row>
    <row r="5591" spans="1:11" x14ac:dyDescent="0.25">
      <c r="A5591" s="1" t="s">
        <v>920</v>
      </c>
      <c r="B5591" s="1" t="s">
        <v>1492</v>
      </c>
      <c r="C5591" s="1" t="s">
        <v>2429</v>
      </c>
      <c r="D5591" s="1" t="s">
        <v>1998</v>
      </c>
      <c r="E5591" s="1"/>
      <c r="F5591" s="1" t="s">
        <v>11</v>
      </c>
      <c r="G5591">
        <v>5</v>
      </c>
      <c r="H5591">
        <v>5</v>
      </c>
      <c r="I5591" s="2"/>
      <c r="J5591" s="2">
        <v>45784</v>
      </c>
      <c r="K5591" s="2">
        <v>45789</v>
      </c>
    </row>
    <row r="5592" spans="1:11" x14ac:dyDescent="0.25">
      <c r="A5592" s="1" t="s">
        <v>920</v>
      </c>
      <c r="B5592" s="1" t="s">
        <v>1493</v>
      </c>
      <c r="C5592" s="1" t="s">
        <v>2429</v>
      </c>
      <c r="D5592" s="1" t="s">
        <v>1998</v>
      </c>
      <c r="E5592" s="1"/>
      <c r="F5592" s="1" t="s">
        <v>11</v>
      </c>
      <c r="G5592">
        <v>10</v>
      </c>
      <c r="H5592">
        <v>10</v>
      </c>
      <c r="I5592" s="2"/>
      <c r="J5592" s="2">
        <v>45784</v>
      </c>
      <c r="K5592" s="2">
        <v>45789</v>
      </c>
    </row>
    <row r="5593" spans="1:11" x14ac:dyDescent="0.25">
      <c r="A5593" s="1" t="s">
        <v>920</v>
      </c>
      <c r="B5593" s="1" t="s">
        <v>1494</v>
      </c>
      <c r="C5593" s="1" t="s">
        <v>2430</v>
      </c>
      <c r="D5593" s="1" t="s">
        <v>1998</v>
      </c>
      <c r="E5593" s="1"/>
      <c r="F5593" s="1" t="s">
        <v>11</v>
      </c>
      <c r="G5593">
        <v>1</v>
      </c>
      <c r="H5593">
        <v>1</v>
      </c>
      <c r="I5593" s="2"/>
      <c r="J5593" s="2">
        <v>45784</v>
      </c>
      <c r="K5593" s="2">
        <v>45789</v>
      </c>
    </row>
    <row r="5594" spans="1:11" x14ac:dyDescent="0.25">
      <c r="A5594" s="1" t="s">
        <v>920</v>
      </c>
      <c r="B5594" s="1" t="s">
        <v>1495</v>
      </c>
      <c r="C5594" s="1" t="s">
        <v>2431</v>
      </c>
      <c r="D5594" s="1" t="s">
        <v>1998</v>
      </c>
      <c r="E5594" s="1"/>
      <c r="F5594" s="1" t="s">
        <v>11</v>
      </c>
      <c r="G5594">
        <v>1</v>
      </c>
      <c r="H5594">
        <v>1</v>
      </c>
      <c r="I5594" s="2"/>
      <c r="J5594" s="2">
        <v>45784</v>
      </c>
      <c r="K5594" s="2">
        <v>45789</v>
      </c>
    </row>
    <row r="5595" spans="1:11" x14ac:dyDescent="0.25">
      <c r="A5595" s="1" t="s">
        <v>920</v>
      </c>
      <c r="B5595" s="1" t="s">
        <v>1496</v>
      </c>
      <c r="C5595" s="1" t="s">
        <v>2432</v>
      </c>
      <c r="D5595" s="1" t="s">
        <v>1998</v>
      </c>
      <c r="E5595" s="1"/>
      <c r="F5595" s="1" t="s">
        <v>11</v>
      </c>
      <c r="G5595">
        <v>1</v>
      </c>
      <c r="H5595">
        <v>1</v>
      </c>
      <c r="I5595" s="2"/>
      <c r="J5595" s="2">
        <v>45784</v>
      </c>
      <c r="K5595" s="2">
        <v>45789</v>
      </c>
    </row>
    <row r="5596" spans="1:11" x14ac:dyDescent="0.25">
      <c r="A5596" s="1" t="s">
        <v>920</v>
      </c>
      <c r="B5596" s="1" t="s">
        <v>1497</v>
      </c>
      <c r="C5596" s="1" t="s">
        <v>2432</v>
      </c>
      <c r="D5596" s="1" t="s">
        <v>1998</v>
      </c>
      <c r="E5596" s="1"/>
      <c r="F5596" s="1" t="s">
        <v>11</v>
      </c>
      <c r="G5596">
        <v>1</v>
      </c>
      <c r="H5596">
        <v>1</v>
      </c>
      <c r="I5596" s="2"/>
      <c r="J5596" s="2">
        <v>45784</v>
      </c>
      <c r="K5596" s="2">
        <v>45789</v>
      </c>
    </row>
    <row r="5597" spans="1:11" x14ac:dyDescent="0.25">
      <c r="A5597" s="1" t="s">
        <v>920</v>
      </c>
      <c r="B5597" s="1" t="s">
        <v>1498</v>
      </c>
      <c r="C5597" s="1" t="s">
        <v>2433</v>
      </c>
      <c r="D5597" s="1" t="s">
        <v>1998</v>
      </c>
      <c r="E5597" s="1"/>
      <c r="F5597" s="1" t="s">
        <v>11</v>
      </c>
      <c r="G5597">
        <v>5</v>
      </c>
      <c r="H5597">
        <v>5</v>
      </c>
      <c r="I5597" s="2"/>
      <c r="J5597" s="2">
        <v>45784</v>
      </c>
      <c r="K5597" s="2">
        <v>45789</v>
      </c>
    </row>
    <row r="5598" spans="1:11" x14ac:dyDescent="0.25">
      <c r="A5598" s="1" t="s">
        <v>920</v>
      </c>
      <c r="B5598" s="1" t="s">
        <v>1499</v>
      </c>
      <c r="C5598" s="1" t="s">
        <v>2433</v>
      </c>
      <c r="D5598" s="1" t="s">
        <v>1998</v>
      </c>
      <c r="E5598" s="1"/>
      <c r="F5598" s="1" t="s">
        <v>11</v>
      </c>
      <c r="G5598">
        <v>5</v>
      </c>
      <c r="H5598">
        <v>5</v>
      </c>
      <c r="I5598" s="2"/>
      <c r="J5598" s="2">
        <v>45784</v>
      </c>
      <c r="K5598" s="2">
        <v>45789</v>
      </c>
    </row>
    <row r="5599" spans="1:11" x14ac:dyDescent="0.25">
      <c r="A5599" s="1" t="s">
        <v>920</v>
      </c>
      <c r="B5599" s="1" t="s">
        <v>993</v>
      </c>
      <c r="C5599" s="1" t="s">
        <v>2011</v>
      </c>
      <c r="D5599" s="1" t="s">
        <v>1998</v>
      </c>
      <c r="E5599" s="1"/>
      <c r="F5599" s="1" t="s">
        <v>11</v>
      </c>
      <c r="G5599">
        <v>1</v>
      </c>
      <c r="H5599">
        <v>1</v>
      </c>
      <c r="I5599" s="2"/>
      <c r="J5599" s="2">
        <v>45784</v>
      </c>
      <c r="K5599" s="2">
        <v>45789</v>
      </c>
    </row>
    <row r="5600" spans="1:11" x14ac:dyDescent="0.25">
      <c r="A5600" s="1" t="s">
        <v>921</v>
      </c>
      <c r="B5600" s="1" t="s">
        <v>1755</v>
      </c>
      <c r="C5600" s="1" t="s">
        <v>2640</v>
      </c>
      <c r="D5600" s="1" t="s">
        <v>1998</v>
      </c>
      <c r="E5600" s="1"/>
      <c r="F5600" s="1" t="s">
        <v>11</v>
      </c>
      <c r="G5600">
        <v>5485</v>
      </c>
      <c r="H5600">
        <v>5485</v>
      </c>
      <c r="I5600" s="2"/>
      <c r="J5600" s="2">
        <v>45784</v>
      </c>
      <c r="K5600" s="2">
        <v>45789</v>
      </c>
    </row>
    <row r="5601" spans="1:11" x14ac:dyDescent="0.25">
      <c r="A5601" s="1" t="s">
        <v>921</v>
      </c>
      <c r="B5601" s="1" t="s">
        <v>1492</v>
      </c>
      <c r="C5601" s="1" t="s">
        <v>2429</v>
      </c>
      <c r="D5601" s="1" t="s">
        <v>1998</v>
      </c>
      <c r="E5601" s="1"/>
      <c r="F5601" s="1" t="s">
        <v>11</v>
      </c>
      <c r="G5601">
        <v>5</v>
      </c>
      <c r="H5601">
        <v>5</v>
      </c>
      <c r="I5601" s="2"/>
      <c r="J5601" s="2">
        <v>45784</v>
      </c>
      <c r="K5601" s="2">
        <v>45789</v>
      </c>
    </row>
    <row r="5602" spans="1:11" x14ac:dyDescent="0.25">
      <c r="A5602" s="1" t="s">
        <v>921</v>
      </c>
      <c r="B5602" s="1" t="s">
        <v>1493</v>
      </c>
      <c r="C5602" s="1" t="s">
        <v>2429</v>
      </c>
      <c r="D5602" s="1" t="s">
        <v>1998</v>
      </c>
      <c r="E5602" s="1"/>
      <c r="F5602" s="1" t="s">
        <v>11</v>
      </c>
      <c r="G5602">
        <v>10</v>
      </c>
      <c r="H5602">
        <v>10</v>
      </c>
      <c r="I5602" s="2"/>
      <c r="J5602" s="2">
        <v>45784</v>
      </c>
      <c r="K5602" s="2">
        <v>45789</v>
      </c>
    </row>
    <row r="5603" spans="1:11" x14ac:dyDescent="0.25">
      <c r="A5603" s="1" t="s">
        <v>921</v>
      </c>
      <c r="B5603" s="1" t="s">
        <v>1494</v>
      </c>
      <c r="C5603" s="1" t="s">
        <v>2430</v>
      </c>
      <c r="D5603" s="1" t="s">
        <v>1998</v>
      </c>
      <c r="E5603" s="1"/>
      <c r="F5603" s="1" t="s">
        <v>11</v>
      </c>
      <c r="G5603">
        <v>1</v>
      </c>
      <c r="H5603">
        <v>1</v>
      </c>
      <c r="I5603" s="2"/>
      <c r="J5603" s="2">
        <v>45784</v>
      </c>
      <c r="K5603" s="2">
        <v>45789</v>
      </c>
    </row>
    <row r="5604" spans="1:11" x14ac:dyDescent="0.25">
      <c r="A5604" s="1" t="s">
        <v>921</v>
      </c>
      <c r="B5604" s="1" t="s">
        <v>1495</v>
      </c>
      <c r="C5604" s="1" t="s">
        <v>2431</v>
      </c>
      <c r="D5604" s="1" t="s">
        <v>1998</v>
      </c>
      <c r="E5604" s="1"/>
      <c r="F5604" s="1" t="s">
        <v>11</v>
      </c>
      <c r="G5604">
        <v>1</v>
      </c>
      <c r="H5604">
        <v>1</v>
      </c>
      <c r="I5604" s="2"/>
      <c r="J5604" s="2">
        <v>45784</v>
      </c>
      <c r="K5604" s="2">
        <v>45789</v>
      </c>
    </row>
    <row r="5605" spans="1:11" x14ac:dyDescent="0.25">
      <c r="A5605" s="1" t="s">
        <v>921</v>
      </c>
      <c r="B5605" s="1" t="s">
        <v>1496</v>
      </c>
      <c r="C5605" s="1" t="s">
        <v>2432</v>
      </c>
      <c r="D5605" s="1" t="s">
        <v>1998</v>
      </c>
      <c r="E5605" s="1"/>
      <c r="F5605" s="1" t="s">
        <v>11</v>
      </c>
      <c r="G5605">
        <v>1</v>
      </c>
      <c r="H5605">
        <v>1</v>
      </c>
      <c r="I5605" s="2"/>
      <c r="J5605" s="2">
        <v>45784</v>
      </c>
      <c r="K5605" s="2">
        <v>45789</v>
      </c>
    </row>
    <row r="5606" spans="1:11" x14ac:dyDescent="0.25">
      <c r="A5606" s="1" t="s">
        <v>921</v>
      </c>
      <c r="B5606" s="1" t="s">
        <v>1497</v>
      </c>
      <c r="C5606" s="1" t="s">
        <v>2432</v>
      </c>
      <c r="D5606" s="1" t="s">
        <v>1998</v>
      </c>
      <c r="E5606" s="1"/>
      <c r="F5606" s="1" t="s">
        <v>11</v>
      </c>
      <c r="G5606">
        <v>1</v>
      </c>
      <c r="H5606">
        <v>1</v>
      </c>
      <c r="I5606" s="2"/>
      <c r="J5606" s="2">
        <v>45784</v>
      </c>
      <c r="K5606" s="2">
        <v>45789</v>
      </c>
    </row>
    <row r="5607" spans="1:11" x14ac:dyDescent="0.25">
      <c r="A5607" s="1" t="s">
        <v>921</v>
      </c>
      <c r="B5607" s="1" t="s">
        <v>1498</v>
      </c>
      <c r="C5607" s="1" t="s">
        <v>2433</v>
      </c>
      <c r="D5607" s="1" t="s">
        <v>1998</v>
      </c>
      <c r="E5607" s="1"/>
      <c r="F5607" s="1" t="s">
        <v>11</v>
      </c>
      <c r="G5607">
        <v>5</v>
      </c>
      <c r="H5607">
        <v>5</v>
      </c>
      <c r="I5607" s="2"/>
      <c r="J5607" s="2">
        <v>45784</v>
      </c>
      <c r="K5607" s="2">
        <v>45789</v>
      </c>
    </row>
    <row r="5608" spans="1:11" x14ac:dyDescent="0.25">
      <c r="A5608" s="1" t="s">
        <v>921</v>
      </c>
      <c r="B5608" s="1" t="s">
        <v>1499</v>
      </c>
      <c r="C5608" s="1" t="s">
        <v>2433</v>
      </c>
      <c r="D5608" s="1" t="s">
        <v>1998</v>
      </c>
      <c r="E5608" s="1"/>
      <c r="F5608" s="1" t="s">
        <v>11</v>
      </c>
      <c r="G5608">
        <v>5</v>
      </c>
      <c r="H5608">
        <v>5</v>
      </c>
      <c r="I5608" s="2"/>
      <c r="J5608" s="2">
        <v>45784</v>
      </c>
      <c r="K5608" s="2">
        <v>45789</v>
      </c>
    </row>
    <row r="5609" spans="1:11" x14ac:dyDescent="0.25">
      <c r="A5609" s="1" t="s">
        <v>921</v>
      </c>
      <c r="B5609" s="1" t="s">
        <v>993</v>
      </c>
      <c r="C5609" s="1" t="s">
        <v>2011</v>
      </c>
      <c r="D5609" s="1" t="s">
        <v>1998</v>
      </c>
      <c r="E5609" s="1"/>
      <c r="F5609" s="1" t="s">
        <v>11</v>
      </c>
      <c r="G5609">
        <v>1</v>
      </c>
      <c r="H5609">
        <v>1</v>
      </c>
      <c r="I5609" s="2"/>
      <c r="J5609" s="2">
        <v>45784</v>
      </c>
      <c r="K5609" s="2">
        <v>45789</v>
      </c>
    </row>
    <row r="5610" spans="1:11" x14ac:dyDescent="0.25">
      <c r="A5610" s="1" t="s">
        <v>922</v>
      </c>
      <c r="B5610" s="1" t="s">
        <v>981</v>
      </c>
      <c r="C5610" s="1" t="s">
        <v>1999</v>
      </c>
      <c r="D5610" s="1" t="s">
        <v>1998</v>
      </c>
      <c r="E5610" s="1"/>
      <c r="F5610" s="1" t="s">
        <v>11</v>
      </c>
      <c r="G5610">
        <v>1785</v>
      </c>
      <c r="H5610">
        <v>1785</v>
      </c>
      <c r="I5610" s="2"/>
      <c r="J5610" s="2">
        <v>45785</v>
      </c>
      <c r="K5610" s="2">
        <v>45789</v>
      </c>
    </row>
    <row r="5611" spans="1:11" x14ac:dyDescent="0.25">
      <c r="A5611" s="1" t="s">
        <v>922</v>
      </c>
      <c r="B5611" s="1" t="s">
        <v>981</v>
      </c>
      <c r="C5611" s="1" t="s">
        <v>1999</v>
      </c>
      <c r="D5611" s="1" t="s">
        <v>1998</v>
      </c>
      <c r="E5611" s="1"/>
      <c r="F5611" s="1" t="s">
        <v>11</v>
      </c>
      <c r="G5611">
        <v>60</v>
      </c>
      <c r="H5611">
        <v>60</v>
      </c>
      <c r="I5611" s="2"/>
      <c r="J5611" s="2">
        <v>45785</v>
      </c>
      <c r="K5611" s="2">
        <v>45789</v>
      </c>
    </row>
    <row r="5612" spans="1:11" x14ac:dyDescent="0.25">
      <c r="A5612" s="1" t="s">
        <v>922</v>
      </c>
      <c r="B5612" s="1" t="s">
        <v>982</v>
      </c>
      <c r="C5612" s="1" t="s">
        <v>2000</v>
      </c>
      <c r="D5612" s="1" t="s">
        <v>1998</v>
      </c>
      <c r="E5612" s="1"/>
      <c r="F5612" s="1" t="s">
        <v>11</v>
      </c>
      <c r="G5612">
        <v>1870</v>
      </c>
      <c r="H5612">
        <v>1870</v>
      </c>
      <c r="I5612" s="2"/>
      <c r="J5612" s="2">
        <v>45785</v>
      </c>
      <c r="K5612" s="2">
        <v>45789</v>
      </c>
    </row>
    <row r="5613" spans="1:11" x14ac:dyDescent="0.25">
      <c r="A5613" s="1" t="s">
        <v>922</v>
      </c>
      <c r="B5613" s="1" t="s">
        <v>983</v>
      </c>
      <c r="C5613" s="1" t="s">
        <v>2001</v>
      </c>
      <c r="D5613" s="1" t="s">
        <v>1998</v>
      </c>
      <c r="E5613" s="1"/>
      <c r="F5613" s="1" t="s">
        <v>11</v>
      </c>
      <c r="G5613">
        <v>1990</v>
      </c>
      <c r="H5613">
        <v>1990</v>
      </c>
      <c r="I5613" s="2"/>
      <c r="J5613" s="2">
        <v>45785</v>
      </c>
      <c r="K5613" s="2">
        <v>45789</v>
      </c>
    </row>
    <row r="5614" spans="1:11" x14ac:dyDescent="0.25">
      <c r="A5614" s="1" t="s">
        <v>922</v>
      </c>
      <c r="B5614" s="1" t="s">
        <v>984</v>
      </c>
      <c r="C5614" s="1" t="s">
        <v>2002</v>
      </c>
      <c r="D5614" s="1" t="s">
        <v>1998</v>
      </c>
      <c r="E5614" s="1"/>
      <c r="F5614" s="1" t="s">
        <v>11</v>
      </c>
      <c r="G5614">
        <v>1115</v>
      </c>
      <c r="H5614">
        <v>1115</v>
      </c>
      <c r="I5614" s="2"/>
      <c r="J5614" s="2">
        <v>45785</v>
      </c>
      <c r="K5614" s="2">
        <v>45789</v>
      </c>
    </row>
    <row r="5615" spans="1:11" x14ac:dyDescent="0.25">
      <c r="A5615" s="1" t="s">
        <v>923</v>
      </c>
      <c r="B5615" s="1" t="s">
        <v>1972</v>
      </c>
      <c r="C5615" s="1" t="s">
        <v>2014</v>
      </c>
      <c r="D5615" s="1" t="s">
        <v>1998</v>
      </c>
      <c r="E5615" s="1"/>
      <c r="F5615" s="1" t="s">
        <v>11</v>
      </c>
      <c r="G5615">
        <v>210</v>
      </c>
      <c r="H5615">
        <v>210</v>
      </c>
      <c r="I5615" s="2"/>
      <c r="J5615" s="2">
        <v>45785</v>
      </c>
      <c r="K5615" s="2">
        <v>45789</v>
      </c>
    </row>
    <row r="5616" spans="1:11" x14ac:dyDescent="0.25">
      <c r="A5616" s="1" t="s">
        <v>923</v>
      </c>
      <c r="B5616" s="1" t="s">
        <v>982</v>
      </c>
      <c r="C5616" s="1" t="s">
        <v>2000</v>
      </c>
      <c r="D5616" s="1" t="s">
        <v>1998</v>
      </c>
      <c r="E5616" s="1"/>
      <c r="F5616" s="1" t="s">
        <v>11</v>
      </c>
      <c r="G5616">
        <v>470</v>
      </c>
      <c r="H5616">
        <v>470</v>
      </c>
      <c r="I5616" s="2"/>
      <c r="J5616" s="2">
        <v>45785</v>
      </c>
      <c r="K5616" s="2">
        <v>45789</v>
      </c>
    </row>
    <row r="5617" spans="1:11" x14ac:dyDescent="0.25">
      <c r="A5617" s="1" t="s">
        <v>923</v>
      </c>
      <c r="B5617" s="1" t="s">
        <v>982</v>
      </c>
      <c r="C5617" s="1" t="s">
        <v>2000</v>
      </c>
      <c r="D5617" s="1" t="s">
        <v>1998</v>
      </c>
      <c r="E5617" s="1"/>
      <c r="F5617" s="1" t="s">
        <v>11</v>
      </c>
      <c r="G5617">
        <v>1</v>
      </c>
      <c r="H5617">
        <v>1</v>
      </c>
      <c r="I5617" s="2"/>
      <c r="J5617" s="2">
        <v>45785</v>
      </c>
      <c r="K5617" s="2">
        <v>45789</v>
      </c>
    </row>
    <row r="5618" spans="1:11" x14ac:dyDescent="0.25">
      <c r="A5618" s="1" t="s">
        <v>923</v>
      </c>
      <c r="B5618" s="1" t="s">
        <v>983</v>
      </c>
      <c r="C5618" s="1" t="s">
        <v>2001</v>
      </c>
      <c r="D5618" s="1" t="s">
        <v>1998</v>
      </c>
      <c r="E5618" s="1"/>
      <c r="F5618" s="1" t="s">
        <v>11</v>
      </c>
      <c r="G5618">
        <v>500</v>
      </c>
      <c r="H5618">
        <v>500</v>
      </c>
      <c r="I5618" s="2"/>
      <c r="J5618" s="2">
        <v>45785</v>
      </c>
      <c r="K5618" s="2">
        <v>45789</v>
      </c>
    </row>
    <row r="5619" spans="1:11" x14ac:dyDescent="0.25">
      <c r="A5619" s="1" t="s">
        <v>923</v>
      </c>
      <c r="B5619" s="1" t="s">
        <v>983</v>
      </c>
      <c r="C5619" s="1" t="s">
        <v>2001</v>
      </c>
      <c r="D5619" s="1" t="s">
        <v>1998</v>
      </c>
      <c r="E5619" s="1"/>
      <c r="F5619" s="1" t="s">
        <v>11</v>
      </c>
      <c r="G5619">
        <v>1</v>
      </c>
      <c r="H5619">
        <v>1</v>
      </c>
      <c r="I5619" s="2"/>
      <c r="J5619" s="2">
        <v>45785</v>
      </c>
      <c r="K5619" s="2">
        <v>45789</v>
      </c>
    </row>
    <row r="5620" spans="1:11" x14ac:dyDescent="0.25">
      <c r="A5620" s="1" t="s">
        <v>923</v>
      </c>
      <c r="B5620" s="1" t="s">
        <v>1973</v>
      </c>
      <c r="C5620" s="1" t="s">
        <v>2002</v>
      </c>
      <c r="D5620" s="1" t="s">
        <v>1998</v>
      </c>
      <c r="E5620" s="1"/>
      <c r="F5620" s="1" t="s">
        <v>11</v>
      </c>
      <c r="G5620">
        <v>140</v>
      </c>
      <c r="H5620">
        <v>140</v>
      </c>
      <c r="I5620" s="2"/>
      <c r="J5620" s="2">
        <v>45785</v>
      </c>
      <c r="K5620" s="2">
        <v>45789</v>
      </c>
    </row>
    <row r="5621" spans="1:11" x14ac:dyDescent="0.25">
      <c r="A5621" s="1" t="s">
        <v>923</v>
      </c>
      <c r="B5621" s="1" t="s">
        <v>1973</v>
      </c>
      <c r="C5621" s="1" t="s">
        <v>2002</v>
      </c>
      <c r="D5621" s="1" t="s">
        <v>1998</v>
      </c>
      <c r="E5621" s="1"/>
      <c r="F5621" s="1" t="s">
        <v>11</v>
      </c>
      <c r="G5621">
        <v>25</v>
      </c>
      <c r="H5621">
        <v>1</v>
      </c>
      <c r="I5621" s="2"/>
      <c r="J5621" s="2">
        <v>45785</v>
      </c>
      <c r="K5621" s="2">
        <v>45789</v>
      </c>
    </row>
    <row r="5622" spans="1:11" x14ac:dyDescent="0.25">
      <c r="A5622" s="1" t="s">
        <v>923</v>
      </c>
      <c r="B5622" s="1" t="s">
        <v>1603</v>
      </c>
      <c r="C5622" s="1" t="s">
        <v>2520</v>
      </c>
      <c r="D5622" s="1" t="s">
        <v>1998</v>
      </c>
      <c r="E5622" s="1"/>
      <c r="F5622" s="1" t="s">
        <v>11</v>
      </c>
      <c r="G5622">
        <v>105</v>
      </c>
      <c r="H5622">
        <v>105</v>
      </c>
      <c r="I5622" s="2"/>
      <c r="J5622" s="2">
        <v>45785</v>
      </c>
      <c r="K5622" s="2">
        <v>45789</v>
      </c>
    </row>
    <row r="5623" spans="1:11" x14ac:dyDescent="0.25">
      <c r="A5623" s="1" t="s">
        <v>923</v>
      </c>
      <c r="B5623" s="1" t="s">
        <v>1603</v>
      </c>
      <c r="C5623" s="1" t="s">
        <v>2520</v>
      </c>
      <c r="D5623" s="1" t="s">
        <v>1998</v>
      </c>
      <c r="E5623" s="1"/>
      <c r="F5623" s="1" t="s">
        <v>11</v>
      </c>
      <c r="G5623">
        <v>1</v>
      </c>
      <c r="H5623">
        <v>1</v>
      </c>
      <c r="I5623" s="2"/>
      <c r="J5623" s="2">
        <v>45785</v>
      </c>
      <c r="K5623" s="2">
        <v>45789</v>
      </c>
    </row>
    <row r="5624" spans="1:11" x14ac:dyDescent="0.25">
      <c r="A5624" s="1" t="s">
        <v>924</v>
      </c>
      <c r="B5624" s="1" t="s">
        <v>1697</v>
      </c>
      <c r="C5624" s="1" t="s">
        <v>2346</v>
      </c>
      <c r="D5624" s="1" t="s">
        <v>1998</v>
      </c>
      <c r="E5624" s="1"/>
      <c r="F5624" s="1" t="s">
        <v>11</v>
      </c>
      <c r="G5624">
        <v>1880</v>
      </c>
      <c r="H5624">
        <v>1880</v>
      </c>
      <c r="I5624" s="2"/>
      <c r="J5624" s="2">
        <v>45785</v>
      </c>
      <c r="K5624" s="2">
        <v>45789</v>
      </c>
    </row>
    <row r="5625" spans="1:11" x14ac:dyDescent="0.25">
      <c r="A5625" s="1" t="s">
        <v>924</v>
      </c>
      <c r="B5625" s="1" t="s">
        <v>1669</v>
      </c>
      <c r="C5625" s="1" t="s">
        <v>2578</v>
      </c>
      <c r="D5625" s="1" t="s">
        <v>1998</v>
      </c>
      <c r="E5625" s="1"/>
      <c r="F5625" s="1" t="s">
        <v>11</v>
      </c>
      <c r="G5625">
        <v>550</v>
      </c>
      <c r="H5625">
        <v>550</v>
      </c>
      <c r="I5625" s="2"/>
      <c r="J5625" s="2">
        <v>45785</v>
      </c>
      <c r="K5625" s="2">
        <v>45789</v>
      </c>
    </row>
    <row r="5626" spans="1:11" x14ac:dyDescent="0.25">
      <c r="A5626" s="1" t="s">
        <v>924</v>
      </c>
      <c r="B5626" s="1" t="s">
        <v>1669</v>
      </c>
      <c r="C5626" s="1" t="s">
        <v>2578</v>
      </c>
      <c r="D5626" s="1" t="s">
        <v>1998</v>
      </c>
      <c r="E5626" s="1"/>
      <c r="F5626" s="1" t="s">
        <v>11</v>
      </c>
      <c r="G5626">
        <v>40</v>
      </c>
      <c r="H5626">
        <v>40</v>
      </c>
      <c r="I5626" s="2"/>
      <c r="J5626" s="2">
        <v>45785</v>
      </c>
      <c r="K5626" s="2">
        <v>45789</v>
      </c>
    </row>
    <row r="5627" spans="1:11" x14ac:dyDescent="0.25">
      <c r="A5627" s="1" t="s">
        <v>924</v>
      </c>
      <c r="B5627" s="1" t="s">
        <v>1670</v>
      </c>
      <c r="C5627" s="1" t="s">
        <v>2579</v>
      </c>
      <c r="D5627" s="1" t="s">
        <v>1998</v>
      </c>
      <c r="E5627" s="1"/>
      <c r="F5627" s="1" t="s">
        <v>11</v>
      </c>
      <c r="G5627">
        <v>95</v>
      </c>
      <c r="H5627">
        <v>95</v>
      </c>
      <c r="I5627" s="2"/>
      <c r="J5627" s="2">
        <v>45785</v>
      </c>
      <c r="K5627" s="2">
        <v>45789</v>
      </c>
    </row>
    <row r="5628" spans="1:11" x14ac:dyDescent="0.25">
      <c r="A5628" s="1" t="s">
        <v>924</v>
      </c>
      <c r="B5628" s="1" t="s">
        <v>1698</v>
      </c>
      <c r="C5628" s="1" t="s">
        <v>2102</v>
      </c>
      <c r="D5628" s="1" t="s">
        <v>1998</v>
      </c>
      <c r="E5628" s="1"/>
      <c r="F5628" s="1" t="s">
        <v>11</v>
      </c>
      <c r="G5628">
        <v>405</v>
      </c>
      <c r="H5628">
        <v>405</v>
      </c>
      <c r="I5628" s="2"/>
      <c r="J5628" s="2">
        <v>45785</v>
      </c>
      <c r="K5628" s="2">
        <v>45789</v>
      </c>
    </row>
    <row r="5629" spans="1:11" x14ac:dyDescent="0.25">
      <c r="A5629" s="1" t="s">
        <v>925</v>
      </c>
      <c r="B5629" s="1" t="s">
        <v>1697</v>
      </c>
      <c r="C5629" s="1" t="s">
        <v>2346</v>
      </c>
      <c r="D5629" s="1" t="s">
        <v>1998</v>
      </c>
      <c r="E5629" s="1"/>
      <c r="F5629" s="1" t="s">
        <v>11</v>
      </c>
      <c r="G5629">
        <v>1880</v>
      </c>
      <c r="H5629">
        <v>1880</v>
      </c>
      <c r="I5629" s="2"/>
      <c r="J5629" s="2">
        <v>45784</v>
      </c>
      <c r="K5629" s="2">
        <v>45789</v>
      </c>
    </row>
    <row r="5630" spans="1:11" x14ac:dyDescent="0.25">
      <c r="A5630" s="1" t="s">
        <v>925</v>
      </c>
      <c r="B5630" s="1" t="s">
        <v>1697</v>
      </c>
      <c r="C5630" s="1" t="s">
        <v>2346</v>
      </c>
      <c r="D5630" s="1" t="s">
        <v>1998</v>
      </c>
      <c r="E5630" s="1"/>
      <c r="F5630" s="1" t="s">
        <v>11</v>
      </c>
      <c r="G5630">
        <v>40</v>
      </c>
      <c r="H5630">
        <v>40</v>
      </c>
      <c r="I5630" s="2"/>
      <c r="J5630" s="2">
        <v>45784</v>
      </c>
      <c r="K5630" s="2">
        <v>45789</v>
      </c>
    </row>
    <row r="5631" spans="1:11" x14ac:dyDescent="0.25">
      <c r="A5631" s="1" t="s">
        <v>925</v>
      </c>
      <c r="B5631" s="1" t="s">
        <v>1669</v>
      </c>
      <c r="C5631" s="1" t="s">
        <v>2578</v>
      </c>
      <c r="D5631" s="1" t="s">
        <v>1998</v>
      </c>
      <c r="E5631" s="1"/>
      <c r="F5631" s="1" t="s">
        <v>11</v>
      </c>
      <c r="G5631">
        <v>550</v>
      </c>
      <c r="H5631">
        <v>550</v>
      </c>
      <c r="I5631" s="2"/>
      <c r="J5631" s="2">
        <v>45784</v>
      </c>
      <c r="K5631" s="2">
        <v>45789</v>
      </c>
    </row>
    <row r="5632" spans="1:11" x14ac:dyDescent="0.25">
      <c r="A5632" s="1" t="s">
        <v>925</v>
      </c>
      <c r="B5632" s="1" t="s">
        <v>1669</v>
      </c>
      <c r="C5632" s="1" t="s">
        <v>2578</v>
      </c>
      <c r="D5632" s="1" t="s">
        <v>1998</v>
      </c>
      <c r="E5632" s="1"/>
      <c r="F5632" s="1" t="s">
        <v>11</v>
      </c>
      <c r="G5632">
        <v>20</v>
      </c>
      <c r="H5632">
        <v>20</v>
      </c>
      <c r="I5632" s="2"/>
      <c r="J5632" s="2">
        <v>45784</v>
      </c>
      <c r="K5632" s="2">
        <v>45789</v>
      </c>
    </row>
    <row r="5633" spans="1:11" x14ac:dyDescent="0.25">
      <c r="A5633" s="1" t="s">
        <v>925</v>
      </c>
      <c r="B5633" s="1" t="s">
        <v>1669</v>
      </c>
      <c r="C5633" s="1" t="s">
        <v>2578</v>
      </c>
      <c r="D5633" s="1" t="s">
        <v>1998</v>
      </c>
      <c r="E5633" s="1"/>
      <c r="F5633" s="1" t="s">
        <v>11</v>
      </c>
      <c r="G5633">
        <v>10</v>
      </c>
      <c r="H5633">
        <v>10</v>
      </c>
      <c r="I5633" s="2"/>
      <c r="J5633" s="2">
        <v>45784</v>
      </c>
      <c r="K5633" s="2">
        <v>45789</v>
      </c>
    </row>
    <row r="5634" spans="1:11" x14ac:dyDescent="0.25">
      <c r="A5634" s="1" t="s">
        <v>925</v>
      </c>
      <c r="B5634" s="1" t="s">
        <v>1670</v>
      </c>
      <c r="C5634" s="1" t="s">
        <v>2579</v>
      </c>
      <c r="D5634" s="1" t="s">
        <v>1998</v>
      </c>
      <c r="E5634" s="1"/>
      <c r="F5634" s="1" t="s">
        <v>11</v>
      </c>
      <c r="G5634">
        <v>95</v>
      </c>
      <c r="H5634">
        <v>95</v>
      </c>
      <c r="I5634" s="2"/>
      <c r="J5634" s="2">
        <v>45784</v>
      </c>
      <c r="K5634" s="2">
        <v>45789</v>
      </c>
    </row>
    <row r="5635" spans="1:11" x14ac:dyDescent="0.25">
      <c r="A5635" s="1" t="s">
        <v>925</v>
      </c>
      <c r="B5635" s="1" t="s">
        <v>1698</v>
      </c>
      <c r="C5635" s="1" t="s">
        <v>2102</v>
      </c>
      <c r="D5635" s="1" t="s">
        <v>1998</v>
      </c>
      <c r="E5635" s="1"/>
      <c r="F5635" s="1" t="s">
        <v>11</v>
      </c>
      <c r="G5635">
        <v>405</v>
      </c>
      <c r="H5635">
        <v>405</v>
      </c>
      <c r="I5635" s="2"/>
      <c r="J5635" s="2">
        <v>45784</v>
      </c>
      <c r="K5635" s="2">
        <v>45789</v>
      </c>
    </row>
    <row r="5636" spans="1:11" x14ac:dyDescent="0.25">
      <c r="A5636" s="1" t="s">
        <v>926</v>
      </c>
      <c r="B5636" s="1" t="s">
        <v>1974</v>
      </c>
      <c r="C5636" s="1" t="s">
        <v>2795</v>
      </c>
      <c r="D5636" s="1" t="s">
        <v>1998</v>
      </c>
      <c r="E5636" s="1"/>
      <c r="F5636" s="1" t="s">
        <v>11</v>
      </c>
      <c r="G5636">
        <v>5</v>
      </c>
      <c r="H5636">
        <v>5</v>
      </c>
      <c r="I5636" s="2"/>
      <c r="J5636" s="2">
        <v>45784</v>
      </c>
      <c r="K5636" s="2">
        <v>45789</v>
      </c>
    </row>
    <row r="5637" spans="1:11" x14ac:dyDescent="0.25">
      <c r="A5637" s="1" t="s">
        <v>926</v>
      </c>
      <c r="B5637" s="1" t="s">
        <v>1975</v>
      </c>
      <c r="C5637" s="1" t="s">
        <v>2796</v>
      </c>
      <c r="D5637" s="1" t="s">
        <v>1998</v>
      </c>
      <c r="E5637" s="1"/>
      <c r="F5637" s="1" t="s">
        <v>11</v>
      </c>
      <c r="G5637">
        <v>5</v>
      </c>
      <c r="H5637">
        <v>5</v>
      </c>
      <c r="I5637" s="2"/>
      <c r="J5637" s="2">
        <v>45784</v>
      </c>
      <c r="K5637" s="2">
        <v>45789</v>
      </c>
    </row>
    <row r="5638" spans="1:11" x14ac:dyDescent="0.25">
      <c r="A5638" s="1" t="s">
        <v>926</v>
      </c>
      <c r="B5638" s="1" t="s">
        <v>1976</v>
      </c>
      <c r="C5638" s="1" t="s">
        <v>2797</v>
      </c>
      <c r="D5638" s="1" t="s">
        <v>1998</v>
      </c>
      <c r="E5638" s="1"/>
      <c r="F5638" s="1" t="s">
        <v>11</v>
      </c>
      <c r="G5638">
        <v>95</v>
      </c>
      <c r="H5638">
        <v>95</v>
      </c>
      <c r="I5638" s="2"/>
      <c r="J5638" s="2">
        <v>45784</v>
      </c>
      <c r="K5638" s="2">
        <v>45789</v>
      </c>
    </row>
    <row r="5639" spans="1:11" x14ac:dyDescent="0.25">
      <c r="A5639" s="1" t="s">
        <v>926</v>
      </c>
      <c r="B5639" s="1" t="s">
        <v>1977</v>
      </c>
      <c r="C5639" s="1" t="s">
        <v>2346</v>
      </c>
      <c r="D5639" s="1" t="s">
        <v>1998</v>
      </c>
      <c r="E5639" s="1"/>
      <c r="F5639" s="1" t="s">
        <v>11</v>
      </c>
      <c r="G5639">
        <v>135</v>
      </c>
      <c r="H5639">
        <v>135</v>
      </c>
      <c r="I5639" s="2"/>
      <c r="J5639" s="2">
        <v>45784</v>
      </c>
      <c r="K5639" s="2">
        <v>45789</v>
      </c>
    </row>
    <row r="5640" spans="1:11" x14ac:dyDescent="0.25">
      <c r="A5640" s="1" t="s">
        <v>926</v>
      </c>
      <c r="B5640" s="1" t="s">
        <v>1978</v>
      </c>
      <c r="C5640" s="1" t="s">
        <v>2798</v>
      </c>
      <c r="D5640" s="1" t="s">
        <v>1998</v>
      </c>
      <c r="E5640" s="1"/>
      <c r="F5640" s="1" t="s">
        <v>11</v>
      </c>
      <c r="G5640">
        <v>910</v>
      </c>
      <c r="H5640">
        <v>910</v>
      </c>
      <c r="I5640" s="2"/>
      <c r="J5640" s="2">
        <v>45784</v>
      </c>
      <c r="K5640" s="2">
        <v>45789</v>
      </c>
    </row>
    <row r="5641" spans="1:11" x14ac:dyDescent="0.25">
      <c r="A5641" s="1" t="s">
        <v>927</v>
      </c>
      <c r="B5641" s="1" t="s">
        <v>1811</v>
      </c>
      <c r="C5641" s="1" t="s">
        <v>2671</v>
      </c>
      <c r="D5641" s="1" t="s">
        <v>1998</v>
      </c>
      <c r="E5641" s="1"/>
      <c r="F5641" s="1" t="s">
        <v>11</v>
      </c>
      <c r="G5641">
        <v>10</v>
      </c>
      <c r="H5641">
        <v>10</v>
      </c>
      <c r="I5641" s="2">
        <v>45787</v>
      </c>
      <c r="J5641" s="2">
        <v>45784</v>
      </c>
      <c r="K5641" s="2">
        <v>45787</v>
      </c>
    </row>
    <row r="5642" spans="1:11" x14ac:dyDescent="0.25">
      <c r="A5642" s="1" t="s">
        <v>927</v>
      </c>
      <c r="B5642" s="1" t="s">
        <v>1812</v>
      </c>
      <c r="C5642" s="1" t="s">
        <v>2672</v>
      </c>
      <c r="D5642" s="1" t="s">
        <v>1998</v>
      </c>
      <c r="E5642" s="1"/>
      <c r="F5642" s="1" t="s">
        <v>11</v>
      </c>
      <c r="G5642">
        <v>5</v>
      </c>
      <c r="H5642">
        <v>5</v>
      </c>
      <c r="I5642" s="2">
        <v>45787</v>
      </c>
      <c r="J5642" s="2">
        <v>45784</v>
      </c>
      <c r="K5642" s="2">
        <v>45787</v>
      </c>
    </row>
    <row r="5643" spans="1:11" x14ac:dyDescent="0.25">
      <c r="A5643" s="1" t="s">
        <v>927</v>
      </c>
      <c r="B5643" s="1" t="s">
        <v>1813</v>
      </c>
      <c r="C5643" s="1" t="s">
        <v>2673</v>
      </c>
      <c r="D5643" s="1" t="s">
        <v>1998</v>
      </c>
      <c r="E5643" s="1"/>
      <c r="F5643" s="1" t="s">
        <v>11</v>
      </c>
      <c r="G5643">
        <v>20</v>
      </c>
      <c r="H5643">
        <v>20</v>
      </c>
      <c r="I5643" s="2">
        <v>45787</v>
      </c>
      <c r="J5643" s="2">
        <v>45784</v>
      </c>
      <c r="K5643" s="2">
        <v>45787</v>
      </c>
    </row>
    <row r="5644" spans="1:11" x14ac:dyDescent="0.25">
      <c r="A5644" s="1" t="s">
        <v>927</v>
      </c>
      <c r="B5644" s="1" t="s">
        <v>1814</v>
      </c>
      <c r="C5644" s="1" t="s">
        <v>2674</v>
      </c>
      <c r="D5644" s="1" t="s">
        <v>1998</v>
      </c>
      <c r="E5644" s="1"/>
      <c r="F5644" s="1" t="s">
        <v>11</v>
      </c>
      <c r="G5644">
        <v>5</v>
      </c>
      <c r="H5644">
        <v>5</v>
      </c>
      <c r="I5644" s="2">
        <v>45787</v>
      </c>
      <c r="J5644" s="2">
        <v>45784</v>
      </c>
      <c r="K5644" s="2">
        <v>45787</v>
      </c>
    </row>
    <row r="5645" spans="1:11" x14ac:dyDescent="0.25">
      <c r="A5645" s="1" t="s">
        <v>927</v>
      </c>
      <c r="B5645" s="1" t="s">
        <v>1815</v>
      </c>
      <c r="C5645" s="1" t="s">
        <v>2675</v>
      </c>
      <c r="D5645" s="1" t="s">
        <v>1998</v>
      </c>
      <c r="E5645" s="1"/>
      <c r="F5645" s="1" t="s">
        <v>11</v>
      </c>
      <c r="G5645">
        <v>10</v>
      </c>
      <c r="H5645">
        <v>10</v>
      </c>
      <c r="I5645" s="2">
        <v>45787</v>
      </c>
      <c r="J5645" s="2">
        <v>45784</v>
      </c>
      <c r="K5645" s="2">
        <v>45787</v>
      </c>
    </row>
    <row r="5646" spans="1:11" x14ac:dyDescent="0.25">
      <c r="A5646" s="1" t="s">
        <v>927</v>
      </c>
      <c r="B5646" s="1" t="s">
        <v>1816</v>
      </c>
      <c r="C5646" s="1" t="s">
        <v>2731</v>
      </c>
      <c r="D5646" s="1" t="s">
        <v>1998</v>
      </c>
      <c r="E5646" s="1"/>
      <c r="F5646" s="1" t="s">
        <v>11</v>
      </c>
      <c r="G5646">
        <v>5</v>
      </c>
      <c r="H5646">
        <v>5</v>
      </c>
      <c r="I5646" s="2">
        <v>45787</v>
      </c>
      <c r="J5646" s="2">
        <v>45784</v>
      </c>
      <c r="K5646" s="2">
        <v>45787</v>
      </c>
    </row>
    <row r="5647" spans="1:11" x14ac:dyDescent="0.25">
      <c r="A5647" s="1" t="s">
        <v>927</v>
      </c>
      <c r="B5647" s="1" t="s">
        <v>1817</v>
      </c>
      <c r="C5647" s="1" t="s">
        <v>2677</v>
      </c>
      <c r="D5647" s="1" t="s">
        <v>1998</v>
      </c>
      <c r="E5647" s="1"/>
      <c r="F5647" s="1" t="s">
        <v>11</v>
      </c>
      <c r="G5647">
        <v>12425</v>
      </c>
      <c r="H5647">
        <v>12425</v>
      </c>
      <c r="I5647" s="2">
        <v>45787</v>
      </c>
      <c r="J5647" s="2">
        <v>45784</v>
      </c>
      <c r="K5647" s="2">
        <v>45787</v>
      </c>
    </row>
    <row r="5648" spans="1:11" x14ac:dyDescent="0.25">
      <c r="A5648" s="1" t="s">
        <v>927</v>
      </c>
      <c r="B5648" s="1" t="s">
        <v>1818</v>
      </c>
      <c r="C5648" s="1" t="s">
        <v>2678</v>
      </c>
      <c r="D5648" s="1" t="s">
        <v>1998</v>
      </c>
      <c r="E5648" s="1"/>
      <c r="F5648" s="1" t="s">
        <v>11</v>
      </c>
      <c r="G5648">
        <v>405</v>
      </c>
      <c r="H5648">
        <v>405</v>
      </c>
      <c r="I5648" s="2">
        <v>45787</v>
      </c>
      <c r="J5648" s="2">
        <v>45784</v>
      </c>
      <c r="K5648" s="2">
        <v>45787</v>
      </c>
    </row>
    <row r="5649" spans="1:11" x14ac:dyDescent="0.25">
      <c r="A5649" s="1" t="s">
        <v>927</v>
      </c>
      <c r="B5649" s="1" t="s">
        <v>1819</v>
      </c>
      <c r="C5649" s="1" t="s">
        <v>2679</v>
      </c>
      <c r="D5649" s="1" t="s">
        <v>1998</v>
      </c>
      <c r="E5649" s="1"/>
      <c r="F5649" s="1" t="s">
        <v>11</v>
      </c>
      <c r="G5649">
        <v>135</v>
      </c>
      <c r="H5649">
        <v>135</v>
      </c>
      <c r="I5649" s="2">
        <v>45787</v>
      </c>
      <c r="J5649" s="2">
        <v>45784</v>
      </c>
      <c r="K5649" s="2">
        <v>45787</v>
      </c>
    </row>
    <row r="5650" spans="1:11" x14ac:dyDescent="0.25">
      <c r="A5650" s="1" t="s">
        <v>927</v>
      </c>
      <c r="B5650" s="1" t="s">
        <v>1820</v>
      </c>
      <c r="C5650" s="1" t="s">
        <v>2596</v>
      </c>
      <c r="D5650" s="1" t="s">
        <v>1998</v>
      </c>
      <c r="E5650" s="1"/>
      <c r="F5650" s="1" t="s">
        <v>11</v>
      </c>
      <c r="G5650">
        <v>2115</v>
      </c>
      <c r="H5650">
        <v>2115</v>
      </c>
      <c r="I5650" s="2">
        <v>45787</v>
      </c>
      <c r="J5650" s="2">
        <v>45784</v>
      </c>
      <c r="K5650" s="2">
        <v>45787</v>
      </c>
    </row>
    <row r="5651" spans="1:11" x14ac:dyDescent="0.25">
      <c r="A5651" s="1" t="s">
        <v>927</v>
      </c>
      <c r="B5651" s="1" t="s">
        <v>1821</v>
      </c>
      <c r="C5651" s="1" t="s">
        <v>2640</v>
      </c>
      <c r="D5651" s="1" t="s">
        <v>1998</v>
      </c>
      <c r="E5651" s="1"/>
      <c r="F5651" s="1" t="s">
        <v>11</v>
      </c>
      <c r="G5651">
        <v>5700</v>
      </c>
      <c r="H5651">
        <v>5700</v>
      </c>
      <c r="I5651" s="2">
        <v>45787</v>
      </c>
      <c r="J5651" s="2">
        <v>45784</v>
      </c>
      <c r="K5651" s="2">
        <v>45787</v>
      </c>
    </row>
    <row r="5652" spans="1:11" x14ac:dyDescent="0.25">
      <c r="A5652" s="1" t="s">
        <v>927</v>
      </c>
      <c r="B5652" s="1" t="s">
        <v>1822</v>
      </c>
      <c r="C5652" s="1" t="s">
        <v>2680</v>
      </c>
      <c r="D5652" s="1" t="s">
        <v>1998</v>
      </c>
      <c r="E5652" s="1"/>
      <c r="F5652" s="1" t="s">
        <v>11</v>
      </c>
      <c r="G5652">
        <v>10</v>
      </c>
      <c r="H5652">
        <v>10</v>
      </c>
      <c r="I5652" s="2">
        <v>45787</v>
      </c>
      <c r="J5652" s="2">
        <v>45784</v>
      </c>
      <c r="K5652" s="2">
        <v>45787</v>
      </c>
    </row>
    <row r="5653" spans="1:11" x14ac:dyDescent="0.25">
      <c r="A5653" s="1" t="s">
        <v>927</v>
      </c>
      <c r="B5653" s="1" t="s">
        <v>1823</v>
      </c>
      <c r="C5653" s="1" t="s">
        <v>2681</v>
      </c>
      <c r="D5653" s="1" t="s">
        <v>1998</v>
      </c>
      <c r="E5653" s="1"/>
      <c r="F5653" s="1" t="s">
        <v>11</v>
      </c>
      <c r="G5653">
        <v>50</v>
      </c>
      <c r="H5653">
        <v>50</v>
      </c>
      <c r="I5653" s="2">
        <v>45787</v>
      </c>
      <c r="J5653" s="2">
        <v>45784</v>
      </c>
      <c r="K5653" s="2">
        <v>45787</v>
      </c>
    </row>
    <row r="5654" spans="1:11" x14ac:dyDescent="0.25">
      <c r="A5654" s="1" t="s">
        <v>927</v>
      </c>
      <c r="B5654" s="1" t="s">
        <v>1824</v>
      </c>
      <c r="C5654" s="1" t="s">
        <v>2682</v>
      </c>
      <c r="D5654" s="1" t="s">
        <v>1998</v>
      </c>
      <c r="E5654" s="1"/>
      <c r="F5654" s="1" t="s">
        <v>11</v>
      </c>
      <c r="G5654">
        <v>1</v>
      </c>
      <c r="H5654">
        <v>1</v>
      </c>
      <c r="I5654" s="2">
        <v>45787</v>
      </c>
      <c r="J5654" s="2">
        <v>45784</v>
      </c>
      <c r="K5654" s="2">
        <v>45787</v>
      </c>
    </row>
    <row r="5655" spans="1:11" x14ac:dyDescent="0.25">
      <c r="A5655" s="1" t="s">
        <v>928</v>
      </c>
      <c r="B5655" s="1" t="s">
        <v>1255</v>
      </c>
      <c r="C5655" s="1" t="s">
        <v>2235</v>
      </c>
      <c r="D5655" s="1" t="s">
        <v>1998</v>
      </c>
      <c r="E5655" s="1"/>
      <c r="F5655" s="1" t="s">
        <v>11</v>
      </c>
      <c r="G5655">
        <v>140</v>
      </c>
      <c r="H5655">
        <v>1</v>
      </c>
      <c r="I5655" s="2"/>
      <c r="J5655" s="2">
        <v>45784</v>
      </c>
      <c r="K5655" s="2">
        <v>45786</v>
      </c>
    </row>
    <row r="5656" spans="1:11" x14ac:dyDescent="0.25">
      <c r="A5656" s="1" t="s">
        <v>928</v>
      </c>
      <c r="B5656" s="1" t="s">
        <v>1027</v>
      </c>
      <c r="C5656" s="1" t="s">
        <v>2040</v>
      </c>
      <c r="D5656" s="1" t="s">
        <v>1998</v>
      </c>
      <c r="E5656" s="1"/>
      <c r="F5656" s="1" t="s">
        <v>11</v>
      </c>
      <c r="G5656">
        <v>15</v>
      </c>
      <c r="H5656">
        <v>15</v>
      </c>
      <c r="I5656" s="2"/>
      <c r="J5656" s="2">
        <v>45784</v>
      </c>
      <c r="K5656" s="2">
        <v>45786</v>
      </c>
    </row>
    <row r="5657" spans="1:11" x14ac:dyDescent="0.25">
      <c r="A5657" s="1" t="s">
        <v>928</v>
      </c>
      <c r="B5657" s="1" t="s">
        <v>1013</v>
      </c>
      <c r="C5657" s="1" t="s">
        <v>2030</v>
      </c>
      <c r="D5657" s="1" t="s">
        <v>1998</v>
      </c>
      <c r="E5657" s="1"/>
      <c r="F5657" s="1" t="s">
        <v>11</v>
      </c>
      <c r="G5657">
        <v>5</v>
      </c>
      <c r="H5657">
        <v>5</v>
      </c>
      <c r="I5657" s="2"/>
      <c r="J5657" s="2">
        <v>45784</v>
      </c>
      <c r="K5657" s="2">
        <v>45786</v>
      </c>
    </row>
    <row r="5658" spans="1:11" x14ac:dyDescent="0.25">
      <c r="A5658" s="1" t="s">
        <v>928</v>
      </c>
      <c r="B5658" s="1" t="s">
        <v>993</v>
      </c>
      <c r="C5658" s="1" t="s">
        <v>2011</v>
      </c>
      <c r="D5658" s="1" t="s">
        <v>1998</v>
      </c>
      <c r="E5658" s="1"/>
      <c r="F5658" s="1" t="s">
        <v>11</v>
      </c>
      <c r="G5658">
        <v>1</v>
      </c>
      <c r="H5658">
        <v>1</v>
      </c>
      <c r="I5658" s="2"/>
      <c r="J5658" s="2">
        <v>45784</v>
      </c>
      <c r="K5658" s="2">
        <v>45786</v>
      </c>
    </row>
    <row r="5659" spans="1:11" x14ac:dyDescent="0.25">
      <c r="A5659" s="1" t="s">
        <v>928</v>
      </c>
      <c r="B5659" s="1" t="s">
        <v>993</v>
      </c>
      <c r="C5659" s="1" t="s">
        <v>2011</v>
      </c>
      <c r="D5659" s="1" t="s">
        <v>1998</v>
      </c>
      <c r="E5659" s="1"/>
      <c r="F5659" s="1" t="s">
        <v>11</v>
      </c>
      <c r="G5659">
        <v>5</v>
      </c>
      <c r="H5659">
        <v>5</v>
      </c>
      <c r="I5659" s="2"/>
      <c r="J5659" s="2">
        <v>45784</v>
      </c>
      <c r="K5659" s="2">
        <v>45786</v>
      </c>
    </row>
    <row r="5660" spans="1:11" x14ac:dyDescent="0.25">
      <c r="A5660" s="1" t="s">
        <v>928</v>
      </c>
      <c r="B5660" s="1" t="s">
        <v>1239</v>
      </c>
      <c r="C5660" s="1" t="s">
        <v>2223</v>
      </c>
      <c r="D5660" s="1" t="s">
        <v>1998</v>
      </c>
      <c r="E5660" s="1"/>
      <c r="F5660" s="1" t="s">
        <v>11</v>
      </c>
      <c r="G5660">
        <v>1885</v>
      </c>
      <c r="H5660">
        <v>1885</v>
      </c>
      <c r="I5660" s="2"/>
      <c r="J5660" s="2">
        <v>45784</v>
      </c>
      <c r="K5660" s="2">
        <v>45786</v>
      </c>
    </row>
    <row r="5661" spans="1:11" x14ac:dyDescent="0.25">
      <c r="A5661" s="1" t="s">
        <v>929</v>
      </c>
      <c r="B5661" s="1" t="s">
        <v>1255</v>
      </c>
      <c r="C5661" s="1" t="s">
        <v>2235</v>
      </c>
      <c r="D5661" s="1" t="s">
        <v>1998</v>
      </c>
      <c r="E5661" s="1"/>
      <c r="F5661" s="1" t="s">
        <v>11</v>
      </c>
      <c r="G5661">
        <v>140</v>
      </c>
      <c r="H5661">
        <v>1</v>
      </c>
      <c r="I5661" s="2"/>
      <c r="J5661" s="2">
        <v>45784</v>
      </c>
      <c r="K5661" s="2">
        <v>45786</v>
      </c>
    </row>
    <row r="5662" spans="1:11" x14ac:dyDescent="0.25">
      <c r="A5662" s="1" t="s">
        <v>929</v>
      </c>
      <c r="B5662" s="1" t="s">
        <v>1027</v>
      </c>
      <c r="C5662" s="1" t="s">
        <v>2040</v>
      </c>
      <c r="D5662" s="1" t="s">
        <v>1998</v>
      </c>
      <c r="E5662" s="1"/>
      <c r="F5662" s="1" t="s">
        <v>11</v>
      </c>
      <c r="G5662">
        <v>15</v>
      </c>
      <c r="H5662">
        <v>15</v>
      </c>
      <c r="I5662" s="2"/>
      <c r="J5662" s="2">
        <v>45784</v>
      </c>
      <c r="K5662" s="2">
        <v>45786</v>
      </c>
    </row>
    <row r="5663" spans="1:11" x14ac:dyDescent="0.25">
      <c r="A5663" s="1" t="s">
        <v>929</v>
      </c>
      <c r="B5663" s="1" t="s">
        <v>1013</v>
      </c>
      <c r="C5663" s="1" t="s">
        <v>2030</v>
      </c>
      <c r="D5663" s="1" t="s">
        <v>1998</v>
      </c>
      <c r="E5663" s="1"/>
      <c r="F5663" s="1" t="s">
        <v>11</v>
      </c>
      <c r="G5663">
        <v>5</v>
      </c>
      <c r="H5663">
        <v>15</v>
      </c>
      <c r="I5663" s="2"/>
      <c r="J5663" s="2">
        <v>45784</v>
      </c>
      <c r="K5663" s="2">
        <v>45786</v>
      </c>
    </row>
    <row r="5664" spans="1:11" x14ac:dyDescent="0.25">
      <c r="A5664" s="1" t="s">
        <v>929</v>
      </c>
      <c r="B5664" s="1" t="s">
        <v>993</v>
      </c>
      <c r="C5664" s="1" t="s">
        <v>2011</v>
      </c>
      <c r="D5664" s="1" t="s">
        <v>1998</v>
      </c>
      <c r="E5664" s="1"/>
      <c r="F5664" s="1" t="s">
        <v>11</v>
      </c>
      <c r="G5664">
        <v>1</v>
      </c>
      <c r="H5664">
        <v>1</v>
      </c>
      <c r="I5664" s="2"/>
      <c r="J5664" s="2">
        <v>45784</v>
      </c>
      <c r="K5664" s="2">
        <v>45786</v>
      </c>
    </row>
    <row r="5665" spans="1:11" x14ac:dyDescent="0.25">
      <c r="A5665" s="1" t="s">
        <v>929</v>
      </c>
      <c r="B5665" s="1" t="s">
        <v>993</v>
      </c>
      <c r="C5665" s="1" t="s">
        <v>2011</v>
      </c>
      <c r="D5665" s="1" t="s">
        <v>1998</v>
      </c>
      <c r="E5665" s="1"/>
      <c r="F5665" s="1" t="s">
        <v>11</v>
      </c>
      <c r="G5665">
        <v>5</v>
      </c>
      <c r="H5665">
        <v>5</v>
      </c>
      <c r="I5665" s="2"/>
      <c r="J5665" s="2">
        <v>45784</v>
      </c>
      <c r="K5665" s="2">
        <v>45786</v>
      </c>
    </row>
    <row r="5666" spans="1:11" x14ac:dyDescent="0.25">
      <c r="A5666" s="1" t="s">
        <v>929</v>
      </c>
      <c r="B5666" s="1" t="s">
        <v>1239</v>
      </c>
      <c r="C5666" s="1" t="s">
        <v>2223</v>
      </c>
      <c r="D5666" s="1" t="s">
        <v>1998</v>
      </c>
      <c r="E5666" s="1"/>
      <c r="F5666" s="1" t="s">
        <v>11</v>
      </c>
      <c r="G5666">
        <v>1885</v>
      </c>
      <c r="H5666">
        <v>1885</v>
      </c>
      <c r="I5666" s="2"/>
      <c r="J5666" s="2">
        <v>45784</v>
      </c>
      <c r="K5666" s="2">
        <v>45786</v>
      </c>
    </row>
    <row r="5667" spans="1:11" x14ac:dyDescent="0.25">
      <c r="A5667" s="1" t="s">
        <v>930</v>
      </c>
      <c r="B5667" s="1" t="s">
        <v>1264</v>
      </c>
      <c r="C5667" s="1" t="s">
        <v>2241</v>
      </c>
      <c r="D5667" s="1" t="s">
        <v>1998</v>
      </c>
      <c r="E5667" s="1"/>
      <c r="F5667" s="1" t="s">
        <v>11</v>
      </c>
      <c r="G5667">
        <v>45</v>
      </c>
      <c r="H5667">
        <v>70</v>
      </c>
      <c r="I5667" s="2"/>
      <c r="J5667" s="2">
        <v>45785</v>
      </c>
      <c r="K5667" s="2">
        <v>45786</v>
      </c>
    </row>
    <row r="5668" spans="1:11" x14ac:dyDescent="0.25">
      <c r="A5668" s="1" t="s">
        <v>930</v>
      </c>
      <c r="B5668" s="1" t="s">
        <v>1265</v>
      </c>
      <c r="C5668" s="1" t="s">
        <v>2242</v>
      </c>
      <c r="D5668" s="1" t="s">
        <v>1998</v>
      </c>
      <c r="E5668" s="1"/>
      <c r="F5668" s="1" t="s">
        <v>11</v>
      </c>
      <c r="G5668">
        <v>100</v>
      </c>
      <c r="H5668">
        <v>70</v>
      </c>
      <c r="I5668" s="2"/>
      <c r="J5668" s="2">
        <v>45785</v>
      </c>
      <c r="K5668" s="2">
        <v>45786</v>
      </c>
    </row>
    <row r="5669" spans="1:11" x14ac:dyDescent="0.25">
      <c r="A5669" s="1" t="s">
        <v>930</v>
      </c>
      <c r="B5669" s="1" t="s">
        <v>1206</v>
      </c>
      <c r="C5669" s="1" t="s">
        <v>2196</v>
      </c>
      <c r="D5669" s="1" t="s">
        <v>1998</v>
      </c>
      <c r="E5669" s="1"/>
      <c r="F5669" s="1" t="s">
        <v>11</v>
      </c>
      <c r="G5669">
        <v>1</v>
      </c>
      <c r="H5669">
        <v>1</v>
      </c>
      <c r="I5669" s="2"/>
      <c r="J5669" s="2">
        <v>45785</v>
      </c>
      <c r="K5669" s="2">
        <v>45786</v>
      </c>
    </row>
    <row r="5670" spans="1:11" x14ac:dyDescent="0.25">
      <c r="A5670" s="1" t="s">
        <v>930</v>
      </c>
      <c r="B5670" s="1" t="s">
        <v>1280</v>
      </c>
      <c r="C5670" s="1" t="s">
        <v>2257</v>
      </c>
      <c r="D5670" s="1" t="s">
        <v>1998</v>
      </c>
      <c r="E5670" s="1"/>
      <c r="F5670" s="1" t="s">
        <v>11</v>
      </c>
      <c r="G5670">
        <v>5</v>
      </c>
      <c r="H5670">
        <v>5</v>
      </c>
      <c r="I5670" s="2"/>
      <c r="J5670" s="2">
        <v>45785</v>
      </c>
      <c r="K5670" s="2">
        <v>45786</v>
      </c>
    </row>
    <row r="5671" spans="1:11" x14ac:dyDescent="0.25">
      <c r="A5671" s="1" t="s">
        <v>931</v>
      </c>
      <c r="B5671" s="1" t="s">
        <v>1056</v>
      </c>
      <c r="C5671" s="1" t="s">
        <v>2065</v>
      </c>
      <c r="D5671" s="1" t="s">
        <v>1998</v>
      </c>
      <c r="E5671" s="1"/>
      <c r="F5671" s="1" t="s">
        <v>11</v>
      </c>
      <c r="G5671">
        <v>520</v>
      </c>
      <c r="H5671">
        <v>520</v>
      </c>
      <c r="I5671" s="2"/>
      <c r="J5671" s="2">
        <v>45784</v>
      </c>
      <c r="K5671" s="2">
        <v>45785</v>
      </c>
    </row>
    <row r="5672" spans="1:11" x14ac:dyDescent="0.25">
      <c r="A5672" s="1" t="s">
        <v>931</v>
      </c>
      <c r="B5672" s="1" t="s">
        <v>1057</v>
      </c>
      <c r="C5672" s="1" t="s">
        <v>2066</v>
      </c>
      <c r="D5672" s="1" t="s">
        <v>1998</v>
      </c>
      <c r="E5672" s="1"/>
      <c r="F5672" s="1" t="s">
        <v>11</v>
      </c>
      <c r="G5672">
        <v>45</v>
      </c>
      <c r="H5672">
        <v>1</v>
      </c>
      <c r="I5672" s="2"/>
      <c r="J5672" s="2">
        <v>45784</v>
      </c>
      <c r="K5672" s="2">
        <v>45785</v>
      </c>
    </row>
    <row r="5673" spans="1:11" x14ac:dyDescent="0.25">
      <c r="A5673" s="1" t="s">
        <v>931</v>
      </c>
      <c r="B5673" s="1" t="s">
        <v>991</v>
      </c>
      <c r="C5673" s="1" t="s">
        <v>2009</v>
      </c>
      <c r="D5673" s="1" t="s">
        <v>1998</v>
      </c>
      <c r="E5673" s="1"/>
      <c r="F5673" s="1" t="s">
        <v>12</v>
      </c>
      <c r="G5673">
        <v>1</v>
      </c>
      <c r="H5673">
        <v>15</v>
      </c>
      <c r="I5673" s="2"/>
      <c r="J5673" s="2">
        <v>45784</v>
      </c>
      <c r="K5673" s="2">
        <v>45785</v>
      </c>
    </row>
    <row r="5674" spans="1:11" x14ac:dyDescent="0.25">
      <c r="A5674" s="1" t="s">
        <v>931</v>
      </c>
      <c r="B5674" s="1" t="s">
        <v>992</v>
      </c>
      <c r="C5674" s="1" t="s">
        <v>2010</v>
      </c>
      <c r="D5674" s="1" t="s">
        <v>1998</v>
      </c>
      <c r="E5674" s="1"/>
      <c r="F5674" s="1" t="s">
        <v>12</v>
      </c>
      <c r="G5674">
        <v>1</v>
      </c>
      <c r="H5674">
        <v>35</v>
      </c>
      <c r="I5674" s="2"/>
      <c r="J5674" s="2">
        <v>45784</v>
      </c>
      <c r="K5674" s="2">
        <v>45785</v>
      </c>
    </row>
    <row r="5675" spans="1:11" x14ac:dyDescent="0.25">
      <c r="A5675" s="1" t="s">
        <v>931</v>
      </c>
      <c r="B5675" s="1" t="s">
        <v>993</v>
      </c>
      <c r="C5675" s="1" t="s">
        <v>2011</v>
      </c>
      <c r="D5675" s="1" t="s">
        <v>1998</v>
      </c>
      <c r="E5675" s="1"/>
      <c r="F5675" s="1" t="s">
        <v>12</v>
      </c>
      <c r="G5675">
        <v>1</v>
      </c>
      <c r="H5675">
        <v>110</v>
      </c>
      <c r="I5675" s="2"/>
      <c r="J5675" s="2">
        <v>45784</v>
      </c>
      <c r="K5675" s="2">
        <v>45785</v>
      </c>
    </row>
    <row r="5676" spans="1:11" x14ac:dyDescent="0.25">
      <c r="A5676" s="1" t="s">
        <v>931</v>
      </c>
      <c r="B5676" s="1" t="s">
        <v>1058</v>
      </c>
      <c r="C5676" s="1" t="s">
        <v>2027</v>
      </c>
      <c r="D5676" s="1" t="s">
        <v>1998</v>
      </c>
      <c r="E5676" s="1"/>
      <c r="F5676" s="1" t="s">
        <v>11</v>
      </c>
      <c r="G5676">
        <v>450</v>
      </c>
      <c r="H5676">
        <v>450</v>
      </c>
      <c r="I5676" s="2"/>
      <c r="J5676" s="2">
        <v>45784</v>
      </c>
      <c r="K5676" s="2">
        <v>45785</v>
      </c>
    </row>
    <row r="5677" spans="1:11" x14ac:dyDescent="0.25">
      <c r="A5677" s="1" t="s">
        <v>931</v>
      </c>
      <c r="B5677" s="1" t="s">
        <v>1059</v>
      </c>
      <c r="C5677" s="1" t="s">
        <v>2027</v>
      </c>
      <c r="D5677" s="1" t="s">
        <v>1998</v>
      </c>
      <c r="E5677" s="1"/>
      <c r="F5677" s="1" t="s">
        <v>11</v>
      </c>
      <c r="G5677">
        <v>450</v>
      </c>
      <c r="H5677">
        <v>450</v>
      </c>
      <c r="I5677" s="2"/>
      <c r="J5677" s="2">
        <v>45784</v>
      </c>
      <c r="K5677" s="2">
        <v>45785</v>
      </c>
    </row>
    <row r="5678" spans="1:11" x14ac:dyDescent="0.25">
      <c r="A5678" s="1" t="s">
        <v>931</v>
      </c>
      <c r="B5678" s="1" t="s">
        <v>1060</v>
      </c>
      <c r="C5678" s="1" t="s">
        <v>2067</v>
      </c>
      <c r="D5678" s="1" t="s">
        <v>1998</v>
      </c>
      <c r="E5678" s="1"/>
      <c r="F5678" s="1" t="s">
        <v>11</v>
      </c>
      <c r="G5678">
        <v>695</v>
      </c>
      <c r="H5678">
        <v>695</v>
      </c>
      <c r="I5678" s="2"/>
      <c r="J5678" s="2">
        <v>45784</v>
      </c>
      <c r="K5678" s="2">
        <v>45785</v>
      </c>
    </row>
    <row r="5679" spans="1:11" x14ac:dyDescent="0.25">
      <c r="A5679" s="1" t="s">
        <v>932</v>
      </c>
      <c r="B5679" s="1" t="s">
        <v>1979</v>
      </c>
      <c r="C5679" s="1" t="s">
        <v>2799</v>
      </c>
      <c r="D5679" s="1" t="s">
        <v>1998</v>
      </c>
      <c r="E5679" s="1"/>
      <c r="F5679" s="1" t="s">
        <v>11</v>
      </c>
      <c r="G5679">
        <v>1300</v>
      </c>
      <c r="H5679">
        <v>1300</v>
      </c>
      <c r="I5679" s="2"/>
      <c r="J5679" s="2">
        <v>45785</v>
      </c>
      <c r="K5679" s="2">
        <v>45789</v>
      </c>
    </row>
    <row r="5680" spans="1:11" x14ac:dyDescent="0.25">
      <c r="A5680" s="1" t="s">
        <v>932</v>
      </c>
      <c r="B5680" s="1" t="s">
        <v>1980</v>
      </c>
      <c r="C5680" s="1" t="s">
        <v>2800</v>
      </c>
      <c r="D5680" s="1" t="s">
        <v>1998</v>
      </c>
      <c r="E5680" s="1"/>
      <c r="F5680" s="1" t="s">
        <v>11</v>
      </c>
      <c r="G5680">
        <v>1885</v>
      </c>
      <c r="H5680">
        <v>1885</v>
      </c>
      <c r="I5680" s="2"/>
      <c r="J5680" s="2">
        <v>45785</v>
      </c>
      <c r="K5680" s="2">
        <v>45789</v>
      </c>
    </row>
    <row r="5681" spans="1:11" x14ac:dyDescent="0.25">
      <c r="A5681" s="1" t="s">
        <v>932</v>
      </c>
      <c r="B5681" s="1" t="s">
        <v>1259</v>
      </c>
      <c r="C5681" s="1" t="s">
        <v>2238</v>
      </c>
      <c r="D5681" s="1" t="s">
        <v>1998</v>
      </c>
      <c r="E5681" s="1"/>
      <c r="F5681" s="1" t="s">
        <v>11</v>
      </c>
      <c r="G5681">
        <v>190</v>
      </c>
      <c r="H5681">
        <v>820</v>
      </c>
      <c r="I5681" s="2"/>
      <c r="J5681" s="2">
        <v>45785</v>
      </c>
      <c r="K5681" s="2">
        <v>45789</v>
      </c>
    </row>
    <row r="5682" spans="1:11" x14ac:dyDescent="0.25">
      <c r="A5682" s="1" t="s">
        <v>932</v>
      </c>
      <c r="B5682" s="1" t="s">
        <v>1013</v>
      </c>
      <c r="C5682" s="1" t="s">
        <v>2030</v>
      </c>
      <c r="D5682" s="1" t="s">
        <v>1998</v>
      </c>
      <c r="E5682" s="1"/>
      <c r="F5682" s="1" t="s">
        <v>11</v>
      </c>
      <c r="G5682">
        <v>40</v>
      </c>
      <c r="H5682">
        <v>1</v>
      </c>
      <c r="I5682" s="2"/>
      <c r="J5682" s="2">
        <v>45785</v>
      </c>
      <c r="K5682" s="2">
        <v>45789</v>
      </c>
    </row>
    <row r="5683" spans="1:11" x14ac:dyDescent="0.25">
      <c r="A5683" s="1" t="s">
        <v>932</v>
      </c>
      <c r="B5683" s="1" t="s">
        <v>993</v>
      </c>
      <c r="C5683" s="1" t="s">
        <v>2011</v>
      </c>
      <c r="D5683" s="1" t="s">
        <v>1998</v>
      </c>
      <c r="E5683" s="1"/>
      <c r="F5683" s="1" t="s">
        <v>11</v>
      </c>
      <c r="G5683">
        <v>15</v>
      </c>
      <c r="H5683">
        <v>1</v>
      </c>
      <c r="I5683" s="2"/>
      <c r="J5683" s="2">
        <v>45785</v>
      </c>
      <c r="K5683" s="2">
        <v>45789</v>
      </c>
    </row>
    <row r="5684" spans="1:11" x14ac:dyDescent="0.25">
      <c r="A5684" s="1" t="s">
        <v>932</v>
      </c>
      <c r="B5684" s="1" t="s">
        <v>993</v>
      </c>
      <c r="C5684" s="1" t="s">
        <v>2011</v>
      </c>
      <c r="D5684" s="1" t="s">
        <v>1998</v>
      </c>
      <c r="E5684" s="1"/>
      <c r="F5684" s="1" t="s">
        <v>11</v>
      </c>
      <c r="G5684">
        <v>30</v>
      </c>
      <c r="H5684">
        <v>1</v>
      </c>
      <c r="I5684" s="2"/>
      <c r="J5684" s="2">
        <v>45785</v>
      </c>
      <c r="K5684" s="2">
        <v>45789</v>
      </c>
    </row>
    <row r="5685" spans="1:11" x14ac:dyDescent="0.25">
      <c r="A5685" s="1" t="s">
        <v>933</v>
      </c>
      <c r="B5685" s="1" t="s">
        <v>1033</v>
      </c>
      <c r="C5685" s="1" t="s">
        <v>2046</v>
      </c>
      <c r="D5685" s="1" t="s">
        <v>1998</v>
      </c>
      <c r="E5685" s="1"/>
      <c r="F5685" s="1" t="s">
        <v>11</v>
      </c>
      <c r="G5685">
        <v>110</v>
      </c>
      <c r="H5685">
        <v>1</v>
      </c>
      <c r="I5685" s="2"/>
      <c r="J5685" s="2">
        <v>45785</v>
      </c>
      <c r="K5685" s="2">
        <v>45786</v>
      </c>
    </row>
    <row r="5686" spans="1:11" x14ac:dyDescent="0.25">
      <c r="A5686" s="1" t="s">
        <v>933</v>
      </c>
      <c r="B5686" s="1" t="s">
        <v>1034</v>
      </c>
      <c r="C5686" s="1" t="s">
        <v>2047</v>
      </c>
      <c r="D5686" s="1" t="s">
        <v>1998</v>
      </c>
      <c r="E5686" s="1"/>
      <c r="F5686" s="1" t="s">
        <v>11</v>
      </c>
      <c r="G5686">
        <v>260</v>
      </c>
      <c r="H5686">
        <v>1</v>
      </c>
      <c r="I5686" s="2"/>
      <c r="J5686" s="2">
        <v>45785</v>
      </c>
      <c r="K5686" s="2">
        <v>45786</v>
      </c>
    </row>
    <row r="5687" spans="1:11" x14ac:dyDescent="0.25">
      <c r="A5687" s="1" t="s">
        <v>933</v>
      </c>
      <c r="B5687" s="1" t="s">
        <v>1035</v>
      </c>
      <c r="C5687" s="1" t="s">
        <v>2048</v>
      </c>
      <c r="D5687" s="1" t="s">
        <v>1998</v>
      </c>
      <c r="E5687" s="1"/>
      <c r="F5687" s="1" t="s">
        <v>11</v>
      </c>
      <c r="G5687">
        <v>1280</v>
      </c>
      <c r="H5687">
        <v>1</v>
      </c>
      <c r="I5687" s="2"/>
      <c r="J5687" s="2">
        <v>45785</v>
      </c>
      <c r="K5687" s="2">
        <v>45786</v>
      </c>
    </row>
    <row r="5688" spans="1:11" x14ac:dyDescent="0.25">
      <c r="A5688" s="1" t="s">
        <v>933</v>
      </c>
      <c r="B5688" s="1" t="s">
        <v>1023</v>
      </c>
      <c r="C5688" s="1" t="s">
        <v>2027</v>
      </c>
      <c r="D5688" s="1" t="s">
        <v>1998</v>
      </c>
      <c r="E5688" s="1"/>
      <c r="F5688" s="1" t="s">
        <v>11</v>
      </c>
      <c r="G5688">
        <v>360</v>
      </c>
      <c r="H5688">
        <v>360</v>
      </c>
      <c r="I5688" s="2"/>
      <c r="J5688" s="2">
        <v>45785</v>
      </c>
      <c r="K5688" s="2">
        <v>45786</v>
      </c>
    </row>
    <row r="5689" spans="1:11" x14ac:dyDescent="0.25">
      <c r="A5689" s="1" t="s">
        <v>933</v>
      </c>
      <c r="B5689" s="1" t="s">
        <v>1024</v>
      </c>
      <c r="C5689" s="1" t="s">
        <v>2027</v>
      </c>
      <c r="D5689" s="1" t="s">
        <v>1998</v>
      </c>
      <c r="E5689" s="1"/>
      <c r="F5689" s="1" t="s">
        <v>11</v>
      </c>
      <c r="G5689">
        <v>480</v>
      </c>
      <c r="H5689">
        <v>480</v>
      </c>
      <c r="I5689" s="2"/>
      <c r="J5689" s="2">
        <v>45785</v>
      </c>
      <c r="K5689" s="2">
        <v>45786</v>
      </c>
    </row>
    <row r="5690" spans="1:11" x14ac:dyDescent="0.25">
      <c r="A5690" s="1" t="s">
        <v>933</v>
      </c>
      <c r="B5690" s="1" t="s">
        <v>1025</v>
      </c>
      <c r="C5690" s="1" t="s">
        <v>2027</v>
      </c>
      <c r="D5690" s="1" t="s">
        <v>1998</v>
      </c>
      <c r="E5690" s="1"/>
      <c r="F5690" s="1" t="s">
        <v>11</v>
      </c>
      <c r="G5690">
        <v>460</v>
      </c>
      <c r="H5690">
        <v>460</v>
      </c>
      <c r="I5690" s="2"/>
      <c r="J5690" s="2">
        <v>45785</v>
      </c>
      <c r="K5690" s="2">
        <v>45786</v>
      </c>
    </row>
    <row r="5691" spans="1:11" x14ac:dyDescent="0.25">
      <c r="A5691" s="1" t="s">
        <v>933</v>
      </c>
      <c r="B5691" s="1" t="s">
        <v>1026</v>
      </c>
      <c r="C5691" s="1" t="s">
        <v>2027</v>
      </c>
      <c r="D5691" s="1" t="s">
        <v>1998</v>
      </c>
      <c r="E5691" s="1"/>
      <c r="F5691" s="1" t="s">
        <v>11</v>
      </c>
      <c r="G5691">
        <v>335</v>
      </c>
      <c r="H5691">
        <v>335</v>
      </c>
      <c r="I5691" s="2"/>
      <c r="J5691" s="2">
        <v>45785</v>
      </c>
      <c r="K5691" s="2">
        <v>45786</v>
      </c>
    </row>
    <row r="5692" spans="1:11" x14ac:dyDescent="0.25">
      <c r="A5692" s="1" t="s">
        <v>933</v>
      </c>
      <c r="B5692" s="1" t="s">
        <v>1302</v>
      </c>
      <c r="C5692" s="1" t="s">
        <v>2274</v>
      </c>
      <c r="D5692" s="1" t="s">
        <v>1998</v>
      </c>
      <c r="E5692" s="1"/>
      <c r="F5692" s="1" t="s">
        <v>11</v>
      </c>
      <c r="G5692">
        <v>1</v>
      </c>
      <c r="H5692">
        <v>1</v>
      </c>
      <c r="I5692" s="2"/>
      <c r="J5692" s="2">
        <v>45785</v>
      </c>
      <c r="K5692" s="2">
        <v>45786</v>
      </c>
    </row>
    <row r="5693" spans="1:11" x14ac:dyDescent="0.25">
      <c r="A5693" s="1" t="s">
        <v>933</v>
      </c>
      <c r="B5693" s="1" t="s">
        <v>1303</v>
      </c>
      <c r="C5693" s="1" t="s">
        <v>2275</v>
      </c>
      <c r="D5693" s="1" t="s">
        <v>1998</v>
      </c>
      <c r="E5693" s="1"/>
      <c r="F5693" s="1" t="s">
        <v>11</v>
      </c>
      <c r="G5693">
        <v>1</v>
      </c>
      <c r="H5693">
        <v>1</v>
      </c>
      <c r="I5693" s="2"/>
      <c r="J5693" s="2">
        <v>45785</v>
      </c>
      <c r="K5693" s="2">
        <v>45786</v>
      </c>
    </row>
    <row r="5694" spans="1:11" x14ac:dyDescent="0.25">
      <c r="A5694" s="1" t="s">
        <v>933</v>
      </c>
      <c r="B5694" s="1" t="s">
        <v>1304</v>
      </c>
      <c r="C5694" s="1" t="s">
        <v>2276</v>
      </c>
      <c r="D5694" s="1" t="s">
        <v>1998</v>
      </c>
      <c r="E5694" s="1"/>
      <c r="F5694" s="1" t="s">
        <v>11</v>
      </c>
      <c r="G5694">
        <v>1</v>
      </c>
      <c r="H5694">
        <v>1</v>
      </c>
      <c r="I5694" s="2"/>
      <c r="J5694" s="2">
        <v>45785</v>
      </c>
      <c r="K5694" s="2">
        <v>45786</v>
      </c>
    </row>
    <row r="5695" spans="1:11" x14ac:dyDescent="0.25">
      <c r="A5695" s="1" t="s">
        <v>933</v>
      </c>
      <c r="B5695" s="1" t="s">
        <v>1039</v>
      </c>
      <c r="C5695" s="1" t="s">
        <v>2049</v>
      </c>
      <c r="D5695" s="1" t="s">
        <v>1998</v>
      </c>
      <c r="E5695" s="1"/>
      <c r="F5695" s="1" t="s">
        <v>11</v>
      </c>
      <c r="G5695">
        <v>5</v>
      </c>
      <c r="H5695">
        <v>1</v>
      </c>
      <c r="I5695" s="2"/>
      <c r="J5695" s="2">
        <v>45785</v>
      </c>
      <c r="K5695" s="2">
        <v>45786</v>
      </c>
    </row>
    <row r="5696" spans="1:11" x14ac:dyDescent="0.25">
      <c r="A5696" s="1" t="s">
        <v>933</v>
      </c>
      <c r="B5696" s="1" t="s">
        <v>1040</v>
      </c>
      <c r="C5696" s="1" t="s">
        <v>2050</v>
      </c>
      <c r="D5696" s="1" t="s">
        <v>1998</v>
      </c>
      <c r="E5696" s="1"/>
      <c r="F5696" s="1" t="s">
        <v>11</v>
      </c>
      <c r="G5696">
        <v>5</v>
      </c>
      <c r="H5696">
        <v>1</v>
      </c>
      <c r="I5696" s="2"/>
      <c r="J5696" s="2">
        <v>45785</v>
      </c>
      <c r="K5696" s="2">
        <v>45786</v>
      </c>
    </row>
    <row r="5697" spans="1:11" x14ac:dyDescent="0.25">
      <c r="A5697" s="1" t="s">
        <v>933</v>
      </c>
      <c r="B5697" s="1" t="s">
        <v>1027</v>
      </c>
      <c r="C5697" s="1" t="s">
        <v>2040</v>
      </c>
      <c r="D5697" s="1" t="s">
        <v>1998</v>
      </c>
      <c r="E5697" s="1"/>
      <c r="F5697" s="1" t="s">
        <v>11</v>
      </c>
      <c r="G5697">
        <v>470</v>
      </c>
      <c r="H5697">
        <v>790</v>
      </c>
      <c r="I5697" s="2"/>
      <c r="J5697" s="2">
        <v>45785</v>
      </c>
      <c r="K5697" s="2">
        <v>45786</v>
      </c>
    </row>
    <row r="5698" spans="1:11" x14ac:dyDescent="0.25">
      <c r="A5698" s="1" t="s">
        <v>933</v>
      </c>
      <c r="B5698" s="1" t="s">
        <v>1013</v>
      </c>
      <c r="C5698" s="1" t="s">
        <v>2030</v>
      </c>
      <c r="D5698" s="1" t="s">
        <v>1998</v>
      </c>
      <c r="E5698" s="1"/>
      <c r="F5698" s="1" t="s">
        <v>11</v>
      </c>
      <c r="G5698">
        <v>80</v>
      </c>
      <c r="H5698">
        <v>220</v>
      </c>
      <c r="I5698" s="2"/>
      <c r="J5698" s="2">
        <v>45785</v>
      </c>
      <c r="K5698" s="2">
        <v>45786</v>
      </c>
    </row>
    <row r="5699" spans="1:11" x14ac:dyDescent="0.25">
      <c r="A5699" s="1" t="s">
        <v>933</v>
      </c>
      <c r="B5699" s="1" t="s">
        <v>993</v>
      </c>
      <c r="C5699" s="1" t="s">
        <v>2011</v>
      </c>
      <c r="D5699" s="1" t="s">
        <v>1998</v>
      </c>
      <c r="E5699" s="1"/>
      <c r="F5699" s="1" t="s">
        <v>11</v>
      </c>
      <c r="G5699">
        <v>30</v>
      </c>
      <c r="H5699">
        <v>30</v>
      </c>
      <c r="I5699" s="2"/>
      <c r="J5699" s="2">
        <v>45785</v>
      </c>
      <c r="K5699" s="2">
        <v>45786</v>
      </c>
    </row>
    <row r="5700" spans="1:11" x14ac:dyDescent="0.25">
      <c r="A5700" s="1" t="s">
        <v>933</v>
      </c>
      <c r="B5700" s="1" t="s">
        <v>993</v>
      </c>
      <c r="C5700" s="1" t="s">
        <v>2011</v>
      </c>
      <c r="D5700" s="1" t="s">
        <v>1998</v>
      </c>
      <c r="E5700" s="1"/>
      <c r="F5700" s="1" t="s">
        <v>11</v>
      </c>
      <c r="G5700">
        <v>80</v>
      </c>
      <c r="H5700">
        <v>445</v>
      </c>
      <c r="I5700" s="2"/>
      <c r="J5700" s="2">
        <v>45785</v>
      </c>
      <c r="K5700" s="2">
        <v>45786</v>
      </c>
    </row>
    <row r="5701" spans="1:11" x14ac:dyDescent="0.25">
      <c r="A5701" s="1" t="s">
        <v>934</v>
      </c>
      <c r="B5701" s="1" t="s">
        <v>1033</v>
      </c>
      <c r="C5701" s="1" t="s">
        <v>2046</v>
      </c>
      <c r="D5701" s="1" t="s">
        <v>1998</v>
      </c>
      <c r="E5701" s="1"/>
      <c r="F5701" s="1" t="s">
        <v>11</v>
      </c>
      <c r="G5701">
        <v>110</v>
      </c>
      <c r="H5701">
        <v>1</v>
      </c>
      <c r="I5701" s="2"/>
      <c r="J5701" s="2">
        <v>45785</v>
      </c>
      <c r="K5701" s="2">
        <v>45786</v>
      </c>
    </row>
    <row r="5702" spans="1:11" x14ac:dyDescent="0.25">
      <c r="A5702" s="1" t="s">
        <v>934</v>
      </c>
      <c r="B5702" s="1" t="s">
        <v>1034</v>
      </c>
      <c r="C5702" s="1" t="s">
        <v>2047</v>
      </c>
      <c r="D5702" s="1" t="s">
        <v>1998</v>
      </c>
      <c r="E5702" s="1"/>
      <c r="F5702" s="1" t="s">
        <v>11</v>
      </c>
      <c r="G5702">
        <v>260</v>
      </c>
      <c r="H5702">
        <v>1</v>
      </c>
      <c r="I5702" s="2"/>
      <c r="J5702" s="2">
        <v>45785</v>
      </c>
      <c r="K5702" s="2">
        <v>45786</v>
      </c>
    </row>
    <row r="5703" spans="1:11" x14ac:dyDescent="0.25">
      <c r="A5703" s="1" t="s">
        <v>934</v>
      </c>
      <c r="B5703" s="1" t="s">
        <v>1035</v>
      </c>
      <c r="C5703" s="1" t="s">
        <v>2048</v>
      </c>
      <c r="D5703" s="1" t="s">
        <v>1998</v>
      </c>
      <c r="E5703" s="1"/>
      <c r="F5703" s="1" t="s">
        <v>11</v>
      </c>
      <c r="G5703">
        <v>1280</v>
      </c>
      <c r="H5703">
        <v>1</v>
      </c>
      <c r="I5703" s="2"/>
      <c r="J5703" s="2">
        <v>45785</v>
      </c>
      <c r="K5703" s="2">
        <v>45786</v>
      </c>
    </row>
    <row r="5704" spans="1:11" x14ac:dyDescent="0.25">
      <c r="A5704" s="1" t="s">
        <v>934</v>
      </c>
      <c r="B5704" s="1" t="s">
        <v>1023</v>
      </c>
      <c r="C5704" s="1" t="s">
        <v>2027</v>
      </c>
      <c r="D5704" s="1" t="s">
        <v>1998</v>
      </c>
      <c r="E5704" s="1"/>
      <c r="F5704" s="1" t="s">
        <v>11</v>
      </c>
      <c r="G5704">
        <v>360</v>
      </c>
      <c r="H5704">
        <v>360</v>
      </c>
      <c r="I5704" s="2"/>
      <c r="J5704" s="2">
        <v>45785</v>
      </c>
      <c r="K5704" s="2">
        <v>45786</v>
      </c>
    </row>
    <row r="5705" spans="1:11" x14ac:dyDescent="0.25">
      <c r="A5705" s="1" t="s">
        <v>934</v>
      </c>
      <c r="B5705" s="1" t="s">
        <v>1024</v>
      </c>
      <c r="C5705" s="1" t="s">
        <v>2027</v>
      </c>
      <c r="D5705" s="1" t="s">
        <v>1998</v>
      </c>
      <c r="E5705" s="1"/>
      <c r="F5705" s="1" t="s">
        <v>11</v>
      </c>
      <c r="G5705">
        <v>480</v>
      </c>
      <c r="H5705">
        <v>480</v>
      </c>
      <c r="I5705" s="2"/>
      <c r="J5705" s="2">
        <v>45785</v>
      </c>
      <c r="K5705" s="2">
        <v>45786</v>
      </c>
    </row>
    <row r="5706" spans="1:11" x14ac:dyDescent="0.25">
      <c r="A5706" s="1" t="s">
        <v>934</v>
      </c>
      <c r="B5706" s="1" t="s">
        <v>1025</v>
      </c>
      <c r="C5706" s="1" t="s">
        <v>2027</v>
      </c>
      <c r="D5706" s="1" t="s">
        <v>1998</v>
      </c>
      <c r="E5706" s="1"/>
      <c r="F5706" s="1" t="s">
        <v>11</v>
      </c>
      <c r="G5706">
        <v>460</v>
      </c>
      <c r="H5706">
        <v>460</v>
      </c>
      <c r="I5706" s="2"/>
      <c r="J5706" s="2">
        <v>45785</v>
      </c>
      <c r="K5706" s="2">
        <v>45786</v>
      </c>
    </row>
    <row r="5707" spans="1:11" x14ac:dyDescent="0.25">
      <c r="A5707" s="1" t="s">
        <v>934</v>
      </c>
      <c r="B5707" s="1" t="s">
        <v>1026</v>
      </c>
      <c r="C5707" s="1" t="s">
        <v>2027</v>
      </c>
      <c r="D5707" s="1" t="s">
        <v>1998</v>
      </c>
      <c r="E5707" s="1"/>
      <c r="F5707" s="1" t="s">
        <v>11</v>
      </c>
      <c r="G5707">
        <v>335</v>
      </c>
      <c r="H5707">
        <v>335</v>
      </c>
      <c r="I5707" s="2"/>
      <c r="J5707" s="2">
        <v>45785</v>
      </c>
      <c r="K5707" s="2">
        <v>45786</v>
      </c>
    </row>
    <row r="5708" spans="1:11" x14ac:dyDescent="0.25">
      <c r="A5708" s="1" t="s">
        <v>934</v>
      </c>
      <c r="B5708" s="1" t="s">
        <v>1302</v>
      </c>
      <c r="C5708" s="1" t="s">
        <v>2274</v>
      </c>
      <c r="D5708" s="1" t="s">
        <v>1998</v>
      </c>
      <c r="E5708" s="1"/>
      <c r="F5708" s="1" t="s">
        <v>11</v>
      </c>
      <c r="G5708">
        <v>1</v>
      </c>
      <c r="H5708">
        <v>1</v>
      </c>
      <c r="I5708" s="2"/>
      <c r="J5708" s="2">
        <v>45785</v>
      </c>
      <c r="K5708" s="2">
        <v>45786</v>
      </c>
    </row>
    <row r="5709" spans="1:11" x14ac:dyDescent="0.25">
      <c r="A5709" s="1" t="s">
        <v>934</v>
      </c>
      <c r="B5709" s="1" t="s">
        <v>1303</v>
      </c>
      <c r="C5709" s="1" t="s">
        <v>2275</v>
      </c>
      <c r="D5709" s="1" t="s">
        <v>1998</v>
      </c>
      <c r="E5709" s="1"/>
      <c r="F5709" s="1" t="s">
        <v>11</v>
      </c>
      <c r="G5709">
        <v>1</v>
      </c>
      <c r="H5709">
        <v>1</v>
      </c>
      <c r="I5709" s="2"/>
      <c r="J5709" s="2">
        <v>45785</v>
      </c>
      <c r="K5709" s="2">
        <v>45786</v>
      </c>
    </row>
    <row r="5710" spans="1:11" x14ac:dyDescent="0.25">
      <c r="A5710" s="1" t="s">
        <v>934</v>
      </c>
      <c r="B5710" s="1" t="s">
        <v>1304</v>
      </c>
      <c r="C5710" s="1" t="s">
        <v>2276</v>
      </c>
      <c r="D5710" s="1" t="s">
        <v>1998</v>
      </c>
      <c r="E5710" s="1"/>
      <c r="F5710" s="1" t="s">
        <v>11</v>
      </c>
      <c r="G5710">
        <v>1</v>
      </c>
      <c r="H5710">
        <v>1</v>
      </c>
      <c r="I5710" s="2"/>
      <c r="J5710" s="2">
        <v>45785</v>
      </c>
      <c r="K5710" s="2">
        <v>45786</v>
      </c>
    </row>
    <row r="5711" spans="1:11" x14ac:dyDescent="0.25">
      <c r="A5711" s="1" t="s">
        <v>934</v>
      </c>
      <c r="B5711" s="1" t="s">
        <v>1039</v>
      </c>
      <c r="C5711" s="1" t="s">
        <v>2049</v>
      </c>
      <c r="D5711" s="1" t="s">
        <v>1998</v>
      </c>
      <c r="E5711" s="1"/>
      <c r="F5711" s="1" t="s">
        <v>11</v>
      </c>
      <c r="G5711">
        <v>5</v>
      </c>
      <c r="H5711">
        <v>1</v>
      </c>
      <c r="I5711" s="2"/>
      <c r="J5711" s="2">
        <v>45785</v>
      </c>
      <c r="K5711" s="2">
        <v>45786</v>
      </c>
    </row>
    <row r="5712" spans="1:11" x14ac:dyDescent="0.25">
      <c r="A5712" s="1" t="s">
        <v>934</v>
      </c>
      <c r="B5712" s="1" t="s">
        <v>1040</v>
      </c>
      <c r="C5712" s="1" t="s">
        <v>2050</v>
      </c>
      <c r="D5712" s="1" t="s">
        <v>1998</v>
      </c>
      <c r="E5712" s="1"/>
      <c r="F5712" s="1" t="s">
        <v>11</v>
      </c>
      <c r="G5712">
        <v>5</v>
      </c>
      <c r="H5712">
        <v>1</v>
      </c>
      <c r="I5712" s="2"/>
      <c r="J5712" s="2">
        <v>45785</v>
      </c>
      <c r="K5712" s="2">
        <v>45786</v>
      </c>
    </row>
    <row r="5713" spans="1:11" x14ac:dyDescent="0.25">
      <c r="A5713" s="1" t="s">
        <v>934</v>
      </c>
      <c r="B5713" s="1" t="s">
        <v>1027</v>
      </c>
      <c r="C5713" s="1" t="s">
        <v>2040</v>
      </c>
      <c r="D5713" s="1" t="s">
        <v>1998</v>
      </c>
      <c r="E5713" s="1"/>
      <c r="F5713" s="1" t="s">
        <v>11</v>
      </c>
      <c r="G5713">
        <v>470</v>
      </c>
      <c r="H5713">
        <v>470</v>
      </c>
      <c r="I5713" s="2"/>
      <c r="J5713" s="2">
        <v>45785</v>
      </c>
      <c r="K5713" s="2">
        <v>45786</v>
      </c>
    </row>
    <row r="5714" spans="1:11" x14ac:dyDescent="0.25">
      <c r="A5714" s="1" t="s">
        <v>934</v>
      </c>
      <c r="B5714" s="1" t="s">
        <v>1013</v>
      </c>
      <c r="C5714" s="1" t="s">
        <v>2030</v>
      </c>
      <c r="D5714" s="1" t="s">
        <v>1998</v>
      </c>
      <c r="E5714" s="1"/>
      <c r="F5714" s="1" t="s">
        <v>11</v>
      </c>
      <c r="G5714">
        <v>80</v>
      </c>
      <c r="H5714">
        <v>80</v>
      </c>
      <c r="I5714" s="2"/>
      <c r="J5714" s="2">
        <v>45785</v>
      </c>
      <c r="K5714" s="2">
        <v>45786</v>
      </c>
    </row>
    <row r="5715" spans="1:11" x14ac:dyDescent="0.25">
      <c r="A5715" s="1" t="s">
        <v>934</v>
      </c>
      <c r="B5715" s="1" t="s">
        <v>993</v>
      </c>
      <c r="C5715" s="1" t="s">
        <v>2011</v>
      </c>
      <c r="D5715" s="1" t="s">
        <v>1998</v>
      </c>
      <c r="E5715" s="1"/>
      <c r="F5715" s="1" t="s">
        <v>11</v>
      </c>
      <c r="G5715">
        <v>30</v>
      </c>
      <c r="H5715">
        <v>30</v>
      </c>
      <c r="I5715" s="2"/>
      <c r="J5715" s="2">
        <v>45785</v>
      </c>
      <c r="K5715" s="2">
        <v>45786</v>
      </c>
    </row>
    <row r="5716" spans="1:11" x14ac:dyDescent="0.25">
      <c r="A5716" s="1" t="s">
        <v>934</v>
      </c>
      <c r="B5716" s="1" t="s">
        <v>993</v>
      </c>
      <c r="C5716" s="1" t="s">
        <v>2011</v>
      </c>
      <c r="D5716" s="1" t="s">
        <v>1998</v>
      </c>
      <c r="E5716" s="1"/>
      <c r="F5716" s="1" t="s">
        <v>11</v>
      </c>
      <c r="G5716">
        <v>80</v>
      </c>
      <c r="H5716">
        <v>80</v>
      </c>
      <c r="I5716" s="2"/>
      <c r="J5716" s="2">
        <v>45785</v>
      </c>
      <c r="K5716" s="2">
        <v>45786</v>
      </c>
    </row>
    <row r="5717" spans="1:11" x14ac:dyDescent="0.25">
      <c r="A5717" s="1" t="s">
        <v>935</v>
      </c>
      <c r="B5717" s="1" t="s">
        <v>1755</v>
      </c>
      <c r="C5717" s="1" t="s">
        <v>2640</v>
      </c>
      <c r="D5717" s="1" t="s">
        <v>1998</v>
      </c>
      <c r="E5717" s="1"/>
      <c r="F5717" s="1" t="s">
        <v>11</v>
      </c>
      <c r="G5717">
        <v>5485</v>
      </c>
      <c r="H5717">
        <v>5485</v>
      </c>
      <c r="I5717" s="2"/>
      <c r="J5717" s="2">
        <v>45785</v>
      </c>
      <c r="K5717" s="2">
        <v>45787</v>
      </c>
    </row>
    <row r="5718" spans="1:11" x14ac:dyDescent="0.25">
      <c r="A5718" s="1" t="s">
        <v>935</v>
      </c>
      <c r="B5718" s="1" t="s">
        <v>1492</v>
      </c>
      <c r="C5718" s="1" t="s">
        <v>2429</v>
      </c>
      <c r="D5718" s="1" t="s">
        <v>1998</v>
      </c>
      <c r="E5718" s="1"/>
      <c r="F5718" s="1" t="s">
        <v>11</v>
      </c>
      <c r="G5718">
        <v>5</v>
      </c>
      <c r="H5718">
        <v>5</v>
      </c>
      <c r="I5718" s="2"/>
      <c r="J5718" s="2">
        <v>45785</v>
      </c>
      <c r="K5718" s="2">
        <v>45787</v>
      </c>
    </row>
    <row r="5719" spans="1:11" x14ac:dyDescent="0.25">
      <c r="A5719" s="1" t="s">
        <v>935</v>
      </c>
      <c r="B5719" s="1" t="s">
        <v>1493</v>
      </c>
      <c r="C5719" s="1" t="s">
        <v>2429</v>
      </c>
      <c r="D5719" s="1" t="s">
        <v>1998</v>
      </c>
      <c r="E5719" s="1"/>
      <c r="F5719" s="1" t="s">
        <v>11</v>
      </c>
      <c r="G5719">
        <v>10</v>
      </c>
      <c r="H5719">
        <v>10</v>
      </c>
      <c r="I5719" s="2"/>
      <c r="J5719" s="2">
        <v>45785</v>
      </c>
      <c r="K5719" s="2">
        <v>45787</v>
      </c>
    </row>
    <row r="5720" spans="1:11" x14ac:dyDescent="0.25">
      <c r="A5720" s="1" t="s">
        <v>935</v>
      </c>
      <c r="B5720" s="1" t="s">
        <v>1494</v>
      </c>
      <c r="C5720" s="1" t="s">
        <v>2430</v>
      </c>
      <c r="D5720" s="1" t="s">
        <v>1998</v>
      </c>
      <c r="E5720" s="1"/>
      <c r="F5720" s="1" t="s">
        <v>11</v>
      </c>
      <c r="G5720">
        <v>1</v>
      </c>
      <c r="H5720">
        <v>1</v>
      </c>
      <c r="I5720" s="2"/>
      <c r="J5720" s="2">
        <v>45785</v>
      </c>
      <c r="K5720" s="2">
        <v>45787</v>
      </c>
    </row>
    <row r="5721" spans="1:11" x14ac:dyDescent="0.25">
      <c r="A5721" s="1" t="s">
        <v>935</v>
      </c>
      <c r="B5721" s="1" t="s">
        <v>1495</v>
      </c>
      <c r="C5721" s="1" t="s">
        <v>2431</v>
      </c>
      <c r="D5721" s="1" t="s">
        <v>1998</v>
      </c>
      <c r="E5721" s="1"/>
      <c r="F5721" s="1" t="s">
        <v>11</v>
      </c>
      <c r="G5721">
        <v>1</v>
      </c>
      <c r="H5721">
        <v>1</v>
      </c>
      <c r="I5721" s="2"/>
      <c r="J5721" s="2">
        <v>45785</v>
      </c>
      <c r="K5721" s="2">
        <v>45787</v>
      </c>
    </row>
    <row r="5722" spans="1:11" x14ac:dyDescent="0.25">
      <c r="A5722" s="1" t="s">
        <v>935</v>
      </c>
      <c r="B5722" s="1" t="s">
        <v>1496</v>
      </c>
      <c r="C5722" s="1" t="s">
        <v>2432</v>
      </c>
      <c r="D5722" s="1" t="s">
        <v>1998</v>
      </c>
      <c r="E5722" s="1"/>
      <c r="F5722" s="1" t="s">
        <v>11</v>
      </c>
      <c r="G5722">
        <v>1</v>
      </c>
      <c r="H5722">
        <v>1</v>
      </c>
      <c r="I5722" s="2"/>
      <c r="J5722" s="2">
        <v>45785</v>
      </c>
      <c r="K5722" s="2">
        <v>45787</v>
      </c>
    </row>
    <row r="5723" spans="1:11" x14ac:dyDescent="0.25">
      <c r="A5723" s="1" t="s">
        <v>935</v>
      </c>
      <c r="B5723" s="1" t="s">
        <v>1497</v>
      </c>
      <c r="C5723" s="1" t="s">
        <v>2432</v>
      </c>
      <c r="D5723" s="1" t="s">
        <v>1998</v>
      </c>
      <c r="E5723" s="1"/>
      <c r="F5723" s="1" t="s">
        <v>11</v>
      </c>
      <c r="G5723">
        <v>1</v>
      </c>
      <c r="H5723">
        <v>1</v>
      </c>
      <c r="I5723" s="2"/>
      <c r="J5723" s="2">
        <v>45785</v>
      </c>
      <c r="K5723" s="2">
        <v>45787</v>
      </c>
    </row>
    <row r="5724" spans="1:11" x14ac:dyDescent="0.25">
      <c r="A5724" s="1" t="s">
        <v>935</v>
      </c>
      <c r="B5724" s="1" t="s">
        <v>1498</v>
      </c>
      <c r="C5724" s="1" t="s">
        <v>2433</v>
      </c>
      <c r="D5724" s="1" t="s">
        <v>1998</v>
      </c>
      <c r="E5724" s="1"/>
      <c r="F5724" s="1" t="s">
        <v>11</v>
      </c>
      <c r="G5724">
        <v>5</v>
      </c>
      <c r="H5724">
        <v>5</v>
      </c>
      <c r="I5724" s="2"/>
      <c r="J5724" s="2">
        <v>45785</v>
      </c>
      <c r="K5724" s="2">
        <v>45787</v>
      </c>
    </row>
    <row r="5725" spans="1:11" x14ac:dyDescent="0.25">
      <c r="A5725" s="1" t="s">
        <v>935</v>
      </c>
      <c r="B5725" s="1" t="s">
        <v>1499</v>
      </c>
      <c r="C5725" s="1" t="s">
        <v>2433</v>
      </c>
      <c r="D5725" s="1" t="s">
        <v>1998</v>
      </c>
      <c r="E5725" s="1"/>
      <c r="F5725" s="1" t="s">
        <v>11</v>
      </c>
      <c r="G5725">
        <v>5</v>
      </c>
      <c r="H5725">
        <v>5</v>
      </c>
      <c r="I5725" s="2"/>
      <c r="J5725" s="2">
        <v>45785</v>
      </c>
      <c r="K5725" s="2">
        <v>45787</v>
      </c>
    </row>
    <row r="5726" spans="1:11" x14ac:dyDescent="0.25">
      <c r="A5726" s="1" t="s">
        <v>935</v>
      </c>
      <c r="B5726" s="1" t="s">
        <v>993</v>
      </c>
      <c r="C5726" s="1" t="s">
        <v>2011</v>
      </c>
      <c r="D5726" s="1" t="s">
        <v>1998</v>
      </c>
      <c r="E5726" s="1"/>
      <c r="F5726" s="1" t="s">
        <v>11</v>
      </c>
      <c r="G5726">
        <v>1</v>
      </c>
      <c r="H5726">
        <v>1</v>
      </c>
      <c r="I5726" s="2"/>
      <c r="J5726" s="2">
        <v>45785</v>
      </c>
      <c r="K5726" s="2">
        <v>45787</v>
      </c>
    </row>
    <row r="5727" spans="1:11" x14ac:dyDescent="0.25">
      <c r="A5727" s="1" t="s">
        <v>936</v>
      </c>
      <c r="B5727" s="1" t="s">
        <v>1755</v>
      </c>
      <c r="C5727" s="1" t="s">
        <v>2640</v>
      </c>
      <c r="D5727" s="1" t="s">
        <v>1998</v>
      </c>
      <c r="E5727" s="1"/>
      <c r="F5727" s="1" t="s">
        <v>11</v>
      </c>
      <c r="G5727">
        <v>5485</v>
      </c>
      <c r="H5727">
        <v>5485</v>
      </c>
      <c r="I5727" s="2"/>
      <c r="J5727" s="2">
        <v>45785</v>
      </c>
      <c r="K5727" s="2">
        <v>45787</v>
      </c>
    </row>
    <row r="5728" spans="1:11" x14ac:dyDescent="0.25">
      <c r="A5728" s="1" t="s">
        <v>936</v>
      </c>
      <c r="B5728" s="1" t="s">
        <v>1492</v>
      </c>
      <c r="C5728" s="1" t="s">
        <v>2429</v>
      </c>
      <c r="D5728" s="1" t="s">
        <v>1998</v>
      </c>
      <c r="E5728" s="1"/>
      <c r="F5728" s="1" t="s">
        <v>11</v>
      </c>
      <c r="G5728">
        <v>5</v>
      </c>
      <c r="H5728">
        <v>5</v>
      </c>
      <c r="I5728" s="2"/>
      <c r="J5728" s="2">
        <v>45785</v>
      </c>
      <c r="K5728" s="2">
        <v>45787</v>
      </c>
    </row>
    <row r="5729" spans="1:11" x14ac:dyDescent="0.25">
      <c r="A5729" s="1" t="s">
        <v>936</v>
      </c>
      <c r="B5729" s="1" t="s">
        <v>1493</v>
      </c>
      <c r="C5729" s="1" t="s">
        <v>2429</v>
      </c>
      <c r="D5729" s="1" t="s">
        <v>1998</v>
      </c>
      <c r="E5729" s="1"/>
      <c r="F5729" s="1" t="s">
        <v>11</v>
      </c>
      <c r="G5729">
        <v>10</v>
      </c>
      <c r="H5729">
        <v>10</v>
      </c>
      <c r="I5729" s="2"/>
      <c r="J5729" s="2">
        <v>45785</v>
      </c>
      <c r="K5729" s="2">
        <v>45787</v>
      </c>
    </row>
    <row r="5730" spans="1:11" x14ac:dyDescent="0.25">
      <c r="A5730" s="1" t="s">
        <v>936</v>
      </c>
      <c r="B5730" s="1" t="s">
        <v>1494</v>
      </c>
      <c r="C5730" s="1" t="s">
        <v>2430</v>
      </c>
      <c r="D5730" s="1" t="s">
        <v>1998</v>
      </c>
      <c r="E5730" s="1"/>
      <c r="F5730" s="1" t="s">
        <v>11</v>
      </c>
      <c r="G5730">
        <v>1</v>
      </c>
      <c r="H5730">
        <v>1</v>
      </c>
      <c r="I5730" s="2"/>
      <c r="J5730" s="2">
        <v>45785</v>
      </c>
      <c r="K5730" s="2">
        <v>45787</v>
      </c>
    </row>
    <row r="5731" spans="1:11" x14ac:dyDescent="0.25">
      <c r="A5731" s="1" t="s">
        <v>936</v>
      </c>
      <c r="B5731" s="1" t="s">
        <v>1495</v>
      </c>
      <c r="C5731" s="1" t="s">
        <v>2431</v>
      </c>
      <c r="D5731" s="1" t="s">
        <v>1998</v>
      </c>
      <c r="E5731" s="1"/>
      <c r="F5731" s="1" t="s">
        <v>11</v>
      </c>
      <c r="G5731">
        <v>1</v>
      </c>
      <c r="H5731">
        <v>1</v>
      </c>
      <c r="I5731" s="2"/>
      <c r="J5731" s="2">
        <v>45785</v>
      </c>
      <c r="K5731" s="2">
        <v>45787</v>
      </c>
    </row>
    <row r="5732" spans="1:11" x14ac:dyDescent="0.25">
      <c r="A5732" s="1" t="s">
        <v>936</v>
      </c>
      <c r="B5732" s="1" t="s">
        <v>1496</v>
      </c>
      <c r="C5732" s="1" t="s">
        <v>2432</v>
      </c>
      <c r="D5732" s="1" t="s">
        <v>1998</v>
      </c>
      <c r="E5732" s="1"/>
      <c r="F5732" s="1" t="s">
        <v>11</v>
      </c>
      <c r="G5732">
        <v>1</v>
      </c>
      <c r="H5732">
        <v>1</v>
      </c>
      <c r="I5732" s="2"/>
      <c r="J5732" s="2">
        <v>45785</v>
      </c>
      <c r="K5732" s="2">
        <v>45787</v>
      </c>
    </row>
    <row r="5733" spans="1:11" x14ac:dyDescent="0.25">
      <c r="A5733" s="1" t="s">
        <v>936</v>
      </c>
      <c r="B5733" s="1" t="s">
        <v>1497</v>
      </c>
      <c r="C5733" s="1" t="s">
        <v>2432</v>
      </c>
      <c r="D5733" s="1" t="s">
        <v>1998</v>
      </c>
      <c r="E5733" s="1"/>
      <c r="F5733" s="1" t="s">
        <v>11</v>
      </c>
      <c r="G5733">
        <v>1</v>
      </c>
      <c r="H5733">
        <v>1</v>
      </c>
      <c r="I5733" s="2"/>
      <c r="J5733" s="2">
        <v>45785</v>
      </c>
      <c r="K5733" s="2">
        <v>45787</v>
      </c>
    </row>
    <row r="5734" spans="1:11" x14ac:dyDescent="0.25">
      <c r="A5734" s="1" t="s">
        <v>936</v>
      </c>
      <c r="B5734" s="1" t="s">
        <v>1498</v>
      </c>
      <c r="C5734" s="1" t="s">
        <v>2433</v>
      </c>
      <c r="D5734" s="1" t="s">
        <v>1998</v>
      </c>
      <c r="E5734" s="1"/>
      <c r="F5734" s="1" t="s">
        <v>11</v>
      </c>
      <c r="G5734">
        <v>5</v>
      </c>
      <c r="H5734">
        <v>5</v>
      </c>
      <c r="I5734" s="2"/>
      <c r="J5734" s="2">
        <v>45785</v>
      </c>
      <c r="K5734" s="2">
        <v>45787</v>
      </c>
    </row>
    <row r="5735" spans="1:11" x14ac:dyDescent="0.25">
      <c r="A5735" s="1" t="s">
        <v>936</v>
      </c>
      <c r="B5735" s="1" t="s">
        <v>1499</v>
      </c>
      <c r="C5735" s="1" t="s">
        <v>2433</v>
      </c>
      <c r="D5735" s="1" t="s">
        <v>1998</v>
      </c>
      <c r="E5735" s="1"/>
      <c r="F5735" s="1" t="s">
        <v>11</v>
      </c>
      <c r="G5735">
        <v>5</v>
      </c>
      <c r="H5735">
        <v>5</v>
      </c>
      <c r="I5735" s="2"/>
      <c r="J5735" s="2">
        <v>45785</v>
      </c>
      <c r="K5735" s="2">
        <v>45787</v>
      </c>
    </row>
    <row r="5736" spans="1:11" x14ac:dyDescent="0.25">
      <c r="A5736" s="1" t="s">
        <v>936</v>
      </c>
      <c r="B5736" s="1" t="s">
        <v>993</v>
      </c>
      <c r="C5736" s="1" t="s">
        <v>2011</v>
      </c>
      <c r="D5736" s="1" t="s">
        <v>1998</v>
      </c>
      <c r="E5736" s="1"/>
      <c r="F5736" s="1" t="s">
        <v>11</v>
      </c>
      <c r="G5736">
        <v>1</v>
      </c>
      <c r="H5736">
        <v>1</v>
      </c>
      <c r="I5736" s="2"/>
      <c r="J5736" s="2">
        <v>45785</v>
      </c>
      <c r="K5736" s="2">
        <v>45787</v>
      </c>
    </row>
    <row r="5737" spans="1:11" x14ac:dyDescent="0.25">
      <c r="A5737" s="1" t="s">
        <v>937</v>
      </c>
      <c r="B5737" s="1" t="s">
        <v>1933</v>
      </c>
      <c r="C5737" s="1" t="s">
        <v>2766</v>
      </c>
      <c r="D5737" s="1" t="s">
        <v>1998</v>
      </c>
      <c r="E5737" s="1"/>
      <c r="F5737" s="1" t="s">
        <v>11</v>
      </c>
      <c r="G5737">
        <v>5710</v>
      </c>
      <c r="H5737">
        <v>5710</v>
      </c>
      <c r="I5737" s="2"/>
      <c r="J5737" s="2">
        <v>45785</v>
      </c>
      <c r="K5737" s="2">
        <v>45789</v>
      </c>
    </row>
    <row r="5738" spans="1:11" x14ac:dyDescent="0.25">
      <c r="A5738" s="1" t="s">
        <v>937</v>
      </c>
      <c r="B5738" s="1" t="s">
        <v>1492</v>
      </c>
      <c r="C5738" s="1" t="s">
        <v>2429</v>
      </c>
      <c r="D5738" s="1" t="s">
        <v>1998</v>
      </c>
      <c r="E5738" s="1"/>
      <c r="F5738" s="1" t="s">
        <v>11</v>
      </c>
      <c r="G5738">
        <v>30</v>
      </c>
      <c r="H5738">
        <v>30</v>
      </c>
      <c r="I5738" s="2"/>
      <c r="J5738" s="2">
        <v>45785</v>
      </c>
      <c r="K5738" s="2">
        <v>45789</v>
      </c>
    </row>
    <row r="5739" spans="1:11" x14ac:dyDescent="0.25">
      <c r="A5739" s="1" t="s">
        <v>937</v>
      </c>
      <c r="B5739" s="1" t="s">
        <v>1493</v>
      </c>
      <c r="C5739" s="1" t="s">
        <v>2429</v>
      </c>
      <c r="D5739" s="1" t="s">
        <v>1998</v>
      </c>
      <c r="E5739" s="1"/>
      <c r="F5739" s="1" t="s">
        <v>11</v>
      </c>
      <c r="G5739">
        <v>35</v>
      </c>
      <c r="H5739">
        <v>35</v>
      </c>
      <c r="I5739" s="2"/>
      <c r="J5739" s="2">
        <v>45785</v>
      </c>
      <c r="K5739" s="2">
        <v>45789</v>
      </c>
    </row>
    <row r="5740" spans="1:11" x14ac:dyDescent="0.25">
      <c r="A5740" s="1" t="s">
        <v>937</v>
      </c>
      <c r="B5740" s="1" t="s">
        <v>1494</v>
      </c>
      <c r="C5740" s="1" t="s">
        <v>2430</v>
      </c>
      <c r="D5740" s="1" t="s">
        <v>1998</v>
      </c>
      <c r="E5740" s="1"/>
      <c r="F5740" s="1" t="s">
        <v>11</v>
      </c>
      <c r="G5740">
        <v>1</v>
      </c>
      <c r="H5740">
        <v>1</v>
      </c>
      <c r="I5740" s="2"/>
      <c r="J5740" s="2">
        <v>45785</v>
      </c>
      <c r="K5740" s="2">
        <v>45789</v>
      </c>
    </row>
    <row r="5741" spans="1:11" x14ac:dyDescent="0.25">
      <c r="A5741" s="1" t="s">
        <v>937</v>
      </c>
      <c r="B5741" s="1" t="s">
        <v>1495</v>
      </c>
      <c r="C5741" s="1" t="s">
        <v>2431</v>
      </c>
      <c r="D5741" s="1" t="s">
        <v>1998</v>
      </c>
      <c r="E5741" s="1"/>
      <c r="F5741" s="1" t="s">
        <v>11</v>
      </c>
      <c r="G5741">
        <v>1</v>
      </c>
      <c r="H5741">
        <v>1</v>
      </c>
      <c r="I5741" s="2"/>
      <c r="J5741" s="2">
        <v>45785</v>
      </c>
      <c r="K5741" s="2">
        <v>45789</v>
      </c>
    </row>
    <row r="5742" spans="1:11" x14ac:dyDescent="0.25">
      <c r="A5742" s="1" t="s">
        <v>937</v>
      </c>
      <c r="B5742" s="1" t="s">
        <v>1496</v>
      </c>
      <c r="C5742" s="1" t="s">
        <v>2432</v>
      </c>
      <c r="D5742" s="1" t="s">
        <v>1998</v>
      </c>
      <c r="E5742" s="1"/>
      <c r="F5742" s="1" t="s">
        <v>11</v>
      </c>
      <c r="G5742">
        <v>1</v>
      </c>
      <c r="H5742">
        <v>1</v>
      </c>
      <c r="I5742" s="2"/>
      <c r="J5742" s="2">
        <v>45785</v>
      </c>
      <c r="K5742" s="2">
        <v>45789</v>
      </c>
    </row>
    <row r="5743" spans="1:11" x14ac:dyDescent="0.25">
      <c r="A5743" s="1" t="s">
        <v>937</v>
      </c>
      <c r="B5743" s="1" t="s">
        <v>1497</v>
      </c>
      <c r="C5743" s="1" t="s">
        <v>2432</v>
      </c>
      <c r="D5743" s="1" t="s">
        <v>1998</v>
      </c>
      <c r="E5743" s="1"/>
      <c r="F5743" s="1" t="s">
        <v>11</v>
      </c>
      <c r="G5743">
        <v>1</v>
      </c>
      <c r="H5743">
        <v>1</v>
      </c>
      <c r="I5743" s="2"/>
      <c r="J5743" s="2">
        <v>45785</v>
      </c>
      <c r="K5743" s="2">
        <v>45789</v>
      </c>
    </row>
    <row r="5744" spans="1:11" x14ac:dyDescent="0.25">
      <c r="A5744" s="1" t="s">
        <v>937</v>
      </c>
      <c r="B5744" s="1" t="s">
        <v>1498</v>
      </c>
      <c r="C5744" s="1" t="s">
        <v>2433</v>
      </c>
      <c r="D5744" s="1" t="s">
        <v>1998</v>
      </c>
      <c r="E5744" s="1"/>
      <c r="F5744" s="1" t="s">
        <v>11</v>
      </c>
      <c r="G5744">
        <v>25</v>
      </c>
      <c r="H5744">
        <v>25</v>
      </c>
      <c r="I5744" s="2"/>
      <c r="J5744" s="2">
        <v>45785</v>
      </c>
      <c r="K5744" s="2">
        <v>45789</v>
      </c>
    </row>
    <row r="5745" spans="1:11" x14ac:dyDescent="0.25">
      <c r="A5745" s="1" t="s">
        <v>937</v>
      </c>
      <c r="B5745" s="1" t="s">
        <v>1499</v>
      </c>
      <c r="C5745" s="1" t="s">
        <v>2433</v>
      </c>
      <c r="D5745" s="1" t="s">
        <v>1998</v>
      </c>
      <c r="E5745" s="1"/>
      <c r="F5745" s="1" t="s">
        <v>11</v>
      </c>
      <c r="G5745">
        <v>25</v>
      </c>
      <c r="H5745">
        <v>25</v>
      </c>
      <c r="I5745" s="2"/>
      <c r="J5745" s="2">
        <v>45785</v>
      </c>
      <c r="K5745" s="2">
        <v>45789</v>
      </c>
    </row>
    <row r="5746" spans="1:11" x14ac:dyDescent="0.25">
      <c r="A5746" s="1" t="s">
        <v>937</v>
      </c>
      <c r="B5746" s="1" t="s">
        <v>993</v>
      </c>
      <c r="C5746" s="1" t="s">
        <v>2011</v>
      </c>
      <c r="D5746" s="1" t="s">
        <v>1998</v>
      </c>
      <c r="E5746" s="1"/>
      <c r="F5746" s="1" t="s">
        <v>11</v>
      </c>
      <c r="G5746">
        <v>1</v>
      </c>
      <c r="H5746">
        <v>1</v>
      </c>
      <c r="I5746" s="2"/>
      <c r="J5746" s="2">
        <v>45785</v>
      </c>
      <c r="K5746" s="2">
        <v>45789</v>
      </c>
    </row>
    <row r="5747" spans="1:11" x14ac:dyDescent="0.25">
      <c r="A5747" s="1" t="s">
        <v>938</v>
      </c>
      <c r="B5747" s="1" t="s">
        <v>995</v>
      </c>
      <c r="C5747" s="1" t="s">
        <v>2013</v>
      </c>
      <c r="D5747" s="1" t="s">
        <v>1998</v>
      </c>
      <c r="E5747" s="1"/>
      <c r="F5747" s="1" t="s">
        <v>11</v>
      </c>
      <c r="G5747">
        <v>145</v>
      </c>
      <c r="H5747">
        <v>1</v>
      </c>
      <c r="I5747" s="2"/>
      <c r="J5747" s="2">
        <v>45789</v>
      </c>
      <c r="K5747" s="2">
        <v>45789</v>
      </c>
    </row>
    <row r="5748" spans="1:11" x14ac:dyDescent="0.25">
      <c r="A5748" s="1" t="s">
        <v>938</v>
      </c>
      <c r="B5748" s="1" t="s">
        <v>1075</v>
      </c>
      <c r="C5748" s="1" t="s">
        <v>2078</v>
      </c>
      <c r="D5748" s="1" t="s">
        <v>1998</v>
      </c>
      <c r="E5748" s="1"/>
      <c r="F5748" s="1" t="s">
        <v>11</v>
      </c>
      <c r="G5748">
        <v>210</v>
      </c>
      <c r="H5748">
        <v>210</v>
      </c>
      <c r="I5748" s="2"/>
      <c r="J5748" s="2">
        <v>45789</v>
      </c>
      <c r="K5748" s="2">
        <v>45789</v>
      </c>
    </row>
    <row r="5749" spans="1:11" x14ac:dyDescent="0.25">
      <c r="A5749" s="1" t="s">
        <v>938</v>
      </c>
      <c r="B5749" s="1" t="s">
        <v>1052</v>
      </c>
      <c r="C5749" s="1" t="s">
        <v>2061</v>
      </c>
      <c r="D5749" s="1" t="s">
        <v>1998</v>
      </c>
      <c r="E5749" s="1"/>
      <c r="F5749" s="1" t="s">
        <v>11</v>
      </c>
      <c r="G5749">
        <v>1945</v>
      </c>
      <c r="H5749">
        <v>1945</v>
      </c>
      <c r="I5749" s="2"/>
      <c r="J5749" s="2">
        <v>45789</v>
      </c>
      <c r="K5749" s="2">
        <v>45789</v>
      </c>
    </row>
    <row r="5750" spans="1:11" x14ac:dyDescent="0.25">
      <c r="A5750" s="1" t="s">
        <v>938</v>
      </c>
      <c r="B5750" s="1" t="s">
        <v>999</v>
      </c>
      <c r="C5750" s="1" t="s">
        <v>2017</v>
      </c>
      <c r="D5750" s="1" t="s">
        <v>1998</v>
      </c>
      <c r="E5750" s="1"/>
      <c r="F5750" s="1" t="s">
        <v>11</v>
      </c>
      <c r="G5750">
        <v>1</v>
      </c>
      <c r="H5750">
        <v>1</v>
      </c>
      <c r="I5750" s="2"/>
      <c r="J5750" s="2">
        <v>45789</v>
      </c>
      <c r="K5750" s="2">
        <v>45789</v>
      </c>
    </row>
    <row r="5751" spans="1:11" x14ac:dyDescent="0.25">
      <c r="A5751" s="1" t="s">
        <v>938</v>
      </c>
      <c r="B5751" s="1" t="s">
        <v>1000</v>
      </c>
      <c r="C5751" s="1" t="s">
        <v>2018</v>
      </c>
      <c r="D5751" s="1" t="s">
        <v>1998</v>
      </c>
      <c r="E5751" s="1"/>
      <c r="F5751" s="1" t="s">
        <v>11</v>
      </c>
      <c r="G5751">
        <v>10</v>
      </c>
      <c r="H5751">
        <v>1</v>
      </c>
      <c r="I5751" s="2"/>
      <c r="J5751" s="2">
        <v>45789</v>
      </c>
      <c r="K5751" s="2">
        <v>45789</v>
      </c>
    </row>
    <row r="5752" spans="1:11" x14ac:dyDescent="0.25">
      <c r="A5752" s="1" t="s">
        <v>938</v>
      </c>
      <c r="B5752" s="1" t="s">
        <v>1001</v>
      </c>
      <c r="C5752" s="1" t="s">
        <v>2019</v>
      </c>
      <c r="D5752" s="1" t="s">
        <v>1998</v>
      </c>
      <c r="E5752" s="1"/>
      <c r="F5752" s="1" t="s">
        <v>11</v>
      </c>
      <c r="G5752">
        <v>5</v>
      </c>
      <c r="H5752">
        <v>1</v>
      </c>
      <c r="I5752" s="2"/>
      <c r="J5752" s="2">
        <v>45789</v>
      </c>
      <c r="K5752" s="2">
        <v>45789</v>
      </c>
    </row>
    <row r="5753" spans="1:11" x14ac:dyDescent="0.25">
      <c r="A5753" s="1" t="s">
        <v>938</v>
      </c>
      <c r="B5753" s="1" t="s">
        <v>1076</v>
      </c>
      <c r="C5753" s="1" t="s">
        <v>2079</v>
      </c>
      <c r="D5753" s="1" t="s">
        <v>1998</v>
      </c>
      <c r="E5753" s="1"/>
      <c r="F5753" s="1" t="s">
        <v>11</v>
      </c>
      <c r="G5753">
        <v>5520</v>
      </c>
      <c r="H5753">
        <v>5520</v>
      </c>
      <c r="I5753" s="2"/>
      <c r="J5753" s="2">
        <v>45789</v>
      </c>
      <c r="K5753" s="2">
        <v>45789</v>
      </c>
    </row>
    <row r="5754" spans="1:11" x14ac:dyDescent="0.25">
      <c r="A5754" s="1" t="s">
        <v>938</v>
      </c>
      <c r="B5754" s="1" t="s">
        <v>1077</v>
      </c>
      <c r="C5754" s="1" t="s">
        <v>2080</v>
      </c>
      <c r="D5754" s="1" t="s">
        <v>1998</v>
      </c>
      <c r="E5754" s="1"/>
      <c r="F5754" s="1" t="s">
        <v>11</v>
      </c>
      <c r="G5754">
        <v>6395</v>
      </c>
      <c r="H5754">
        <v>6395</v>
      </c>
      <c r="I5754" s="2"/>
      <c r="J5754" s="2">
        <v>45789</v>
      </c>
      <c r="K5754" s="2">
        <v>45789</v>
      </c>
    </row>
    <row r="5755" spans="1:11" x14ac:dyDescent="0.25">
      <c r="A5755" s="1" t="s">
        <v>939</v>
      </c>
      <c r="B5755" s="1" t="s">
        <v>995</v>
      </c>
      <c r="C5755" s="1" t="s">
        <v>2013</v>
      </c>
      <c r="D5755" s="1" t="s">
        <v>1998</v>
      </c>
      <c r="E5755" s="1"/>
      <c r="F5755" s="1" t="s">
        <v>11</v>
      </c>
      <c r="G5755">
        <v>145</v>
      </c>
      <c r="H5755">
        <v>1</v>
      </c>
      <c r="I5755" s="2"/>
      <c r="J5755" s="2">
        <v>45789</v>
      </c>
      <c r="K5755" s="2">
        <v>45789</v>
      </c>
    </row>
    <row r="5756" spans="1:11" x14ac:dyDescent="0.25">
      <c r="A5756" s="1" t="s">
        <v>939</v>
      </c>
      <c r="B5756" s="1" t="s">
        <v>1075</v>
      </c>
      <c r="C5756" s="1" t="s">
        <v>2078</v>
      </c>
      <c r="D5756" s="1" t="s">
        <v>1998</v>
      </c>
      <c r="E5756" s="1"/>
      <c r="F5756" s="1" t="s">
        <v>11</v>
      </c>
      <c r="G5756">
        <v>210</v>
      </c>
      <c r="H5756">
        <v>210</v>
      </c>
      <c r="I5756" s="2"/>
      <c r="J5756" s="2">
        <v>45789</v>
      </c>
      <c r="K5756" s="2">
        <v>45789</v>
      </c>
    </row>
    <row r="5757" spans="1:11" x14ac:dyDescent="0.25">
      <c r="A5757" s="1" t="s">
        <v>939</v>
      </c>
      <c r="B5757" s="1" t="s">
        <v>1052</v>
      </c>
      <c r="C5757" s="1" t="s">
        <v>2061</v>
      </c>
      <c r="D5757" s="1" t="s">
        <v>1998</v>
      </c>
      <c r="E5757" s="1"/>
      <c r="F5757" s="1" t="s">
        <v>11</v>
      </c>
      <c r="G5757">
        <v>1945</v>
      </c>
      <c r="H5757">
        <v>1</v>
      </c>
      <c r="I5757" s="2"/>
      <c r="J5757" s="2">
        <v>45789</v>
      </c>
      <c r="K5757" s="2">
        <v>45789</v>
      </c>
    </row>
    <row r="5758" spans="1:11" x14ac:dyDescent="0.25">
      <c r="A5758" s="1" t="s">
        <v>939</v>
      </c>
      <c r="B5758" s="1" t="s">
        <v>999</v>
      </c>
      <c r="C5758" s="1" t="s">
        <v>2017</v>
      </c>
      <c r="D5758" s="1" t="s">
        <v>1998</v>
      </c>
      <c r="E5758" s="1"/>
      <c r="F5758" s="1" t="s">
        <v>11</v>
      </c>
      <c r="G5758">
        <v>1</v>
      </c>
      <c r="H5758">
        <v>1</v>
      </c>
      <c r="I5758" s="2"/>
      <c r="J5758" s="2">
        <v>45789</v>
      </c>
      <c r="K5758" s="2">
        <v>45789</v>
      </c>
    </row>
    <row r="5759" spans="1:11" x14ac:dyDescent="0.25">
      <c r="A5759" s="1" t="s">
        <v>939</v>
      </c>
      <c r="B5759" s="1" t="s">
        <v>1000</v>
      </c>
      <c r="C5759" s="1" t="s">
        <v>2018</v>
      </c>
      <c r="D5759" s="1" t="s">
        <v>1998</v>
      </c>
      <c r="E5759" s="1"/>
      <c r="F5759" s="1" t="s">
        <v>11</v>
      </c>
      <c r="G5759">
        <v>10</v>
      </c>
      <c r="H5759">
        <v>1</v>
      </c>
      <c r="I5759" s="2"/>
      <c r="J5759" s="2">
        <v>45789</v>
      </c>
      <c r="K5759" s="2">
        <v>45789</v>
      </c>
    </row>
    <row r="5760" spans="1:11" x14ac:dyDescent="0.25">
      <c r="A5760" s="1" t="s">
        <v>939</v>
      </c>
      <c r="B5760" s="1" t="s">
        <v>1001</v>
      </c>
      <c r="C5760" s="1" t="s">
        <v>2019</v>
      </c>
      <c r="D5760" s="1" t="s">
        <v>1998</v>
      </c>
      <c r="E5760" s="1"/>
      <c r="F5760" s="1" t="s">
        <v>11</v>
      </c>
      <c r="G5760">
        <v>5</v>
      </c>
      <c r="H5760">
        <v>1</v>
      </c>
      <c r="I5760" s="2"/>
      <c r="J5760" s="2">
        <v>45789</v>
      </c>
      <c r="K5760" s="2">
        <v>45789</v>
      </c>
    </row>
    <row r="5761" spans="1:11" x14ac:dyDescent="0.25">
      <c r="A5761" s="1" t="s">
        <v>939</v>
      </c>
      <c r="B5761" s="1" t="s">
        <v>1076</v>
      </c>
      <c r="C5761" s="1" t="s">
        <v>2079</v>
      </c>
      <c r="D5761" s="1" t="s">
        <v>1998</v>
      </c>
      <c r="E5761" s="1"/>
      <c r="F5761" s="1" t="s">
        <v>11</v>
      </c>
      <c r="G5761">
        <v>5520</v>
      </c>
      <c r="H5761">
        <v>5520</v>
      </c>
      <c r="I5761" s="2"/>
      <c r="J5761" s="2">
        <v>45789</v>
      </c>
      <c r="K5761" s="2">
        <v>45789</v>
      </c>
    </row>
    <row r="5762" spans="1:11" x14ac:dyDescent="0.25">
      <c r="A5762" s="1" t="s">
        <v>939</v>
      </c>
      <c r="B5762" s="1" t="s">
        <v>1077</v>
      </c>
      <c r="C5762" s="1" t="s">
        <v>2080</v>
      </c>
      <c r="D5762" s="1" t="s">
        <v>1998</v>
      </c>
      <c r="E5762" s="1"/>
      <c r="F5762" s="1" t="s">
        <v>11</v>
      </c>
      <c r="G5762">
        <v>6395</v>
      </c>
      <c r="H5762">
        <v>6395</v>
      </c>
      <c r="I5762" s="2"/>
      <c r="J5762" s="2">
        <v>45789</v>
      </c>
      <c r="K5762" s="2">
        <v>45789</v>
      </c>
    </row>
    <row r="5763" spans="1:11" x14ac:dyDescent="0.25">
      <c r="A5763" s="1" t="s">
        <v>940</v>
      </c>
      <c r="B5763" s="1" t="s">
        <v>995</v>
      </c>
      <c r="C5763" s="1" t="s">
        <v>2013</v>
      </c>
      <c r="D5763" s="1" t="s">
        <v>1998</v>
      </c>
      <c r="E5763" s="1"/>
      <c r="F5763" s="1" t="s">
        <v>11</v>
      </c>
      <c r="G5763">
        <v>1</v>
      </c>
      <c r="H5763">
        <v>1</v>
      </c>
      <c r="I5763" s="2"/>
      <c r="J5763" s="2">
        <v>45785</v>
      </c>
      <c r="K5763" s="2">
        <v>45789</v>
      </c>
    </row>
    <row r="5764" spans="1:11" x14ac:dyDescent="0.25">
      <c r="A5764" s="1" t="s">
        <v>940</v>
      </c>
      <c r="B5764" s="1" t="s">
        <v>1504</v>
      </c>
      <c r="C5764" s="1" t="s">
        <v>2438</v>
      </c>
      <c r="D5764" s="1" t="s">
        <v>1998</v>
      </c>
      <c r="E5764" s="1"/>
      <c r="F5764" s="1" t="s">
        <v>11</v>
      </c>
      <c r="G5764">
        <v>235</v>
      </c>
      <c r="H5764">
        <v>235</v>
      </c>
      <c r="I5764" s="2"/>
      <c r="J5764" s="2">
        <v>45785</v>
      </c>
      <c r="K5764" s="2">
        <v>45789</v>
      </c>
    </row>
    <row r="5765" spans="1:11" x14ac:dyDescent="0.25">
      <c r="A5765" s="1" t="s">
        <v>940</v>
      </c>
      <c r="B5765" s="1" t="s">
        <v>1505</v>
      </c>
      <c r="C5765" s="1" t="s">
        <v>2439</v>
      </c>
      <c r="D5765" s="1" t="s">
        <v>1998</v>
      </c>
      <c r="E5765" s="1"/>
      <c r="F5765" s="1" t="s">
        <v>11</v>
      </c>
      <c r="G5765">
        <v>1075</v>
      </c>
      <c r="H5765">
        <v>1075</v>
      </c>
      <c r="I5765" s="2"/>
      <c r="J5765" s="2">
        <v>45785</v>
      </c>
      <c r="K5765" s="2">
        <v>45789</v>
      </c>
    </row>
    <row r="5766" spans="1:11" x14ac:dyDescent="0.25">
      <c r="A5766" s="1" t="s">
        <v>940</v>
      </c>
      <c r="B5766" s="1" t="s">
        <v>1506</v>
      </c>
      <c r="C5766" s="1" t="s">
        <v>2440</v>
      </c>
      <c r="D5766" s="1" t="s">
        <v>1998</v>
      </c>
      <c r="E5766" s="1"/>
      <c r="F5766" s="1" t="s">
        <v>11</v>
      </c>
      <c r="G5766">
        <v>15</v>
      </c>
      <c r="H5766">
        <v>20</v>
      </c>
      <c r="I5766" s="2"/>
      <c r="J5766" s="2">
        <v>45785</v>
      </c>
      <c r="K5766" s="2">
        <v>45789</v>
      </c>
    </row>
    <row r="5767" spans="1:11" x14ac:dyDescent="0.25">
      <c r="A5767" s="1" t="s">
        <v>940</v>
      </c>
      <c r="B5767" s="1" t="s">
        <v>1506</v>
      </c>
      <c r="C5767" s="1" t="s">
        <v>2440</v>
      </c>
      <c r="D5767" s="1" t="s">
        <v>1998</v>
      </c>
      <c r="E5767" s="1"/>
      <c r="F5767" s="1" t="s">
        <v>11</v>
      </c>
      <c r="G5767">
        <v>5</v>
      </c>
      <c r="H5767">
        <v>5</v>
      </c>
      <c r="I5767" s="2"/>
      <c r="J5767" s="2">
        <v>45785</v>
      </c>
      <c r="K5767" s="2">
        <v>45789</v>
      </c>
    </row>
    <row r="5768" spans="1:11" x14ac:dyDescent="0.25">
      <c r="A5768" s="1" t="s">
        <v>940</v>
      </c>
      <c r="B5768" s="1" t="s">
        <v>1507</v>
      </c>
      <c r="C5768" s="1" t="s">
        <v>2441</v>
      </c>
      <c r="D5768" s="1" t="s">
        <v>1998</v>
      </c>
      <c r="E5768" s="1"/>
      <c r="F5768" s="1" t="s">
        <v>11</v>
      </c>
      <c r="G5768">
        <v>1</v>
      </c>
      <c r="H5768">
        <v>1</v>
      </c>
      <c r="I5768" s="2"/>
      <c r="J5768" s="2">
        <v>45785</v>
      </c>
      <c r="K5768" s="2">
        <v>45789</v>
      </c>
    </row>
    <row r="5769" spans="1:11" x14ac:dyDescent="0.25">
      <c r="A5769" s="1" t="s">
        <v>940</v>
      </c>
      <c r="B5769" s="1" t="s">
        <v>1420</v>
      </c>
      <c r="C5769" s="1" t="s">
        <v>2362</v>
      </c>
      <c r="D5769" s="1" t="s">
        <v>1998</v>
      </c>
      <c r="E5769" s="1"/>
      <c r="F5769" s="1" t="s">
        <v>11</v>
      </c>
      <c r="G5769">
        <v>1</v>
      </c>
      <c r="H5769">
        <v>1</v>
      </c>
      <c r="I5769" s="2"/>
      <c r="J5769" s="2">
        <v>45785</v>
      </c>
      <c r="K5769" s="2">
        <v>45789</v>
      </c>
    </row>
    <row r="5770" spans="1:11" x14ac:dyDescent="0.25">
      <c r="A5770" s="1" t="s">
        <v>940</v>
      </c>
      <c r="B5770" s="1" t="s">
        <v>1421</v>
      </c>
      <c r="C5770" s="1" t="s">
        <v>2363</v>
      </c>
      <c r="D5770" s="1" t="s">
        <v>1998</v>
      </c>
      <c r="E5770" s="1"/>
      <c r="F5770" s="1" t="s">
        <v>11</v>
      </c>
      <c r="G5770">
        <v>1</v>
      </c>
      <c r="H5770">
        <v>1</v>
      </c>
      <c r="I5770" s="2"/>
      <c r="J5770" s="2">
        <v>45785</v>
      </c>
      <c r="K5770" s="2">
        <v>45789</v>
      </c>
    </row>
    <row r="5771" spans="1:11" x14ac:dyDescent="0.25">
      <c r="A5771" s="1" t="s">
        <v>940</v>
      </c>
      <c r="B5771" s="1" t="s">
        <v>1422</v>
      </c>
      <c r="C5771" s="1" t="s">
        <v>2364</v>
      </c>
      <c r="D5771" s="1" t="s">
        <v>1998</v>
      </c>
      <c r="E5771" s="1"/>
      <c r="F5771" s="1" t="s">
        <v>11</v>
      </c>
      <c r="G5771">
        <v>1</v>
      </c>
      <c r="H5771">
        <v>1</v>
      </c>
      <c r="I5771" s="2"/>
      <c r="J5771" s="2">
        <v>45785</v>
      </c>
      <c r="K5771" s="2">
        <v>45789</v>
      </c>
    </row>
    <row r="5772" spans="1:11" x14ac:dyDescent="0.25">
      <c r="A5772" s="1" t="s">
        <v>940</v>
      </c>
      <c r="B5772" s="1" t="s">
        <v>1423</v>
      </c>
      <c r="C5772" s="1" t="s">
        <v>2365</v>
      </c>
      <c r="D5772" s="1" t="s">
        <v>1998</v>
      </c>
      <c r="E5772" s="1"/>
      <c r="F5772" s="1" t="s">
        <v>11</v>
      </c>
      <c r="G5772">
        <v>1</v>
      </c>
      <c r="H5772">
        <v>1</v>
      </c>
      <c r="I5772" s="2"/>
      <c r="J5772" s="2">
        <v>45785</v>
      </c>
      <c r="K5772" s="2">
        <v>45789</v>
      </c>
    </row>
    <row r="5773" spans="1:11" x14ac:dyDescent="0.25">
      <c r="A5773" s="1" t="s">
        <v>940</v>
      </c>
      <c r="B5773" s="1" t="s">
        <v>1508</v>
      </c>
      <c r="C5773" s="1" t="s">
        <v>2442</v>
      </c>
      <c r="D5773" s="1" t="s">
        <v>1998</v>
      </c>
      <c r="E5773" s="1"/>
      <c r="F5773" s="1" t="s">
        <v>11</v>
      </c>
      <c r="G5773">
        <v>10</v>
      </c>
      <c r="H5773">
        <v>1</v>
      </c>
      <c r="I5773" s="2"/>
      <c r="J5773" s="2">
        <v>45785</v>
      </c>
      <c r="K5773" s="2">
        <v>45789</v>
      </c>
    </row>
    <row r="5774" spans="1:11" x14ac:dyDescent="0.25">
      <c r="A5774" s="1" t="s">
        <v>940</v>
      </c>
      <c r="B5774" s="1" t="s">
        <v>1509</v>
      </c>
      <c r="C5774" s="1" t="s">
        <v>2443</v>
      </c>
      <c r="D5774" s="1" t="s">
        <v>1998</v>
      </c>
      <c r="E5774" s="1"/>
      <c r="F5774" s="1" t="s">
        <v>11</v>
      </c>
      <c r="G5774">
        <v>1</v>
      </c>
      <c r="H5774">
        <v>1</v>
      </c>
      <c r="I5774" s="2"/>
      <c r="J5774" s="2">
        <v>45785</v>
      </c>
      <c r="K5774" s="2">
        <v>45789</v>
      </c>
    </row>
    <row r="5775" spans="1:11" x14ac:dyDescent="0.25">
      <c r="A5775" s="1" t="s">
        <v>940</v>
      </c>
      <c r="B5775" s="1" t="s">
        <v>999</v>
      </c>
      <c r="C5775" s="1" t="s">
        <v>2017</v>
      </c>
      <c r="D5775" s="1" t="s">
        <v>1998</v>
      </c>
      <c r="E5775" s="1"/>
      <c r="F5775" s="1" t="s">
        <v>11</v>
      </c>
      <c r="G5775">
        <v>1</v>
      </c>
      <c r="H5775">
        <v>1</v>
      </c>
      <c r="I5775" s="2"/>
      <c r="J5775" s="2">
        <v>45785</v>
      </c>
      <c r="K5775" s="2">
        <v>45789</v>
      </c>
    </row>
    <row r="5776" spans="1:11" x14ac:dyDescent="0.25">
      <c r="A5776" s="1" t="s">
        <v>940</v>
      </c>
      <c r="B5776" s="1" t="s">
        <v>1000</v>
      </c>
      <c r="C5776" s="1" t="s">
        <v>2018</v>
      </c>
      <c r="D5776" s="1" t="s">
        <v>1998</v>
      </c>
      <c r="E5776" s="1"/>
      <c r="F5776" s="1" t="s">
        <v>11</v>
      </c>
      <c r="G5776">
        <v>1</v>
      </c>
      <c r="H5776">
        <v>1</v>
      </c>
      <c r="I5776" s="2"/>
      <c r="J5776" s="2">
        <v>45785</v>
      </c>
      <c r="K5776" s="2">
        <v>45789</v>
      </c>
    </row>
    <row r="5777" spans="1:11" x14ac:dyDescent="0.25">
      <c r="A5777" s="1" t="s">
        <v>940</v>
      </c>
      <c r="B5777" s="1" t="s">
        <v>1001</v>
      </c>
      <c r="C5777" s="1" t="s">
        <v>2019</v>
      </c>
      <c r="D5777" s="1" t="s">
        <v>1998</v>
      </c>
      <c r="E5777" s="1"/>
      <c r="F5777" s="1" t="s">
        <v>11</v>
      </c>
      <c r="G5777">
        <v>1</v>
      </c>
      <c r="H5777">
        <v>1</v>
      </c>
      <c r="I5777" s="2"/>
      <c r="J5777" s="2">
        <v>45785</v>
      </c>
      <c r="K5777" s="2">
        <v>45789</v>
      </c>
    </row>
    <row r="5778" spans="1:11" x14ac:dyDescent="0.25">
      <c r="A5778" s="1" t="s">
        <v>941</v>
      </c>
      <c r="B5778" s="1" t="s">
        <v>1260</v>
      </c>
      <c r="C5778" s="1" t="s">
        <v>2014</v>
      </c>
      <c r="D5778" s="1" t="s">
        <v>1998</v>
      </c>
      <c r="E5778" s="1"/>
      <c r="F5778" s="1" t="s">
        <v>11</v>
      </c>
      <c r="G5778">
        <v>150</v>
      </c>
      <c r="H5778">
        <v>150</v>
      </c>
      <c r="I5778" s="2"/>
      <c r="J5778" s="2">
        <v>45786</v>
      </c>
      <c r="K5778" s="2">
        <v>45786</v>
      </c>
    </row>
    <row r="5779" spans="1:11" x14ac:dyDescent="0.25">
      <c r="A5779" s="1" t="s">
        <v>941</v>
      </c>
      <c r="B5779" s="1" t="s">
        <v>1261</v>
      </c>
      <c r="C5779" s="1" t="s">
        <v>2239</v>
      </c>
      <c r="D5779" s="1" t="s">
        <v>1998</v>
      </c>
      <c r="E5779" s="1"/>
      <c r="F5779" s="1" t="s">
        <v>11</v>
      </c>
      <c r="G5779">
        <v>105</v>
      </c>
      <c r="H5779">
        <v>1</v>
      </c>
      <c r="I5779" s="2"/>
      <c r="J5779" s="2">
        <v>45786</v>
      </c>
      <c r="K5779" s="2">
        <v>45786</v>
      </c>
    </row>
    <row r="5780" spans="1:11" x14ac:dyDescent="0.25">
      <c r="A5780" s="1" t="s">
        <v>942</v>
      </c>
      <c r="B5780" s="1" t="s">
        <v>1981</v>
      </c>
      <c r="C5780" s="1" t="s">
        <v>2702</v>
      </c>
      <c r="D5780" s="1" t="s">
        <v>1998</v>
      </c>
      <c r="E5780" s="1"/>
      <c r="F5780" s="1" t="s">
        <v>11</v>
      </c>
      <c r="G5780">
        <v>1795</v>
      </c>
      <c r="H5780">
        <v>1795</v>
      </c>
      <c r="I5780" s="2"/>
      <c r="J5780" s="2">
        <v>45786</v>
      </c>
      <c r="K5780" s="2">
        <v>45786</v>
      </c>
    </row>
    <row r="5781" spans="1:11" x14ac:dyDescent="0.25">
      <c r="A5781" s="1" t="s">
        <v>943</v>
      </c>
      <c r="B5781" s="1" t="s">
        <v>1981</v>
      </c>
      <c r="C5781" s="1" t="s">
        <v>2702</v>
      </c>
      <c r="D5781" s="1" t="s">
        <v>1998</v>
      </c>
      <c r="E5781" s="1"/>
      <c r="F5781" s="1" t="s">
        <v>11</v>
      </c>
      <c r="G5781">
        <v>1795</v>
      </c>
      <c r="H5781">
        <v>1795</v>
      </c>
      <c r="I5781" s="2"/>
      <c r="J5781" s="2">
        <v>45786</v>
      </c>
      <c r="K5781" s="2">
        <v>45786</v>
      </c>
    </row>
    <row r="5782" spans="1:11" x14ac:dyDescent="0.25">
      <c r="A5782" s="1" t="s">
        <v>944</v>
      </c>
      <c r="B5782" s="1" t="s">
        <v>1955</v>
      </c>
      <c r="C5782" s="1" t="s">
        <v>2781</v>
      </c>
      <c r="D5782" s="1" t="s">
        <v>1998</v>
      </c>
      <c r="E5782" s="1"/>
      <c r="F5782" s="1" t="s">
        <v>11</v>
      </c>
      <c r="G5782">
        <v>20</v>
      </c>
      <c r="H5782">
        <v>20</v>
      </c>
      <c r="I5782" s="2"/>
      <c r="J5782" s="2">
        <v>45786</v>
      </c>
      <c r="K5782" s="2">
        <v>45786</v>
      </c>
    </row>
    <row r="5783" spans="1:11" x14ac:dyDescent="0.25">
      <c r="A5783" s="1" t="s">
        <v>944</v>
      </c>
      <c r="B5783" s="1" t="s">
        <v>1956</v>
      </c>
      <c r="C5783" s="1" t="s">
        <v>2346</v>
      </c>
      <c r="D5783" s="1" t="s">
        <v>1998</v>
      </c>
      <c r="E5783" s="1"/>
      <c r="F5783" s="1" t="s">
        <v>11</v>
      </c>
      <c r="G5783">
        <v>470</v>
      </c>
      <c r="H5783">
        <v>470</v>
      </c>
      <c r="I5783" s="2"/>
      <c r="J5783" s="2">
        <v>45786</v>
      </c>
      <c r="K5783" s="2">
        <v>45786</v>
      </c>
    </row>
    <row r="5784" spans="1:11" x14ac:dyDescent="0.25">
      <c r="A5784" s="1" t="s">
        <v>944</v>
      </c>
      <c r="B5784" s="1" t="s">
        <v>1957</v>
      </c>
      <c r="C5784" s="1" t="s">
        <v>2782</v>
      </c>
      <c r="D5784" s="1" t="s">
        <v>1998</v>
      </c>
      <c r="E5784" s="1"/>
      <c r="F5784" s="1" t="s">
        <v>11</v>
      </c>
      <c r="G5784">
        <v>100</v>
      </c>
      <c r="H5784">
        <v>100</v>
      </c>
      <c r="I5784" s="2"/>
      <c r="J5784" s="2">
        <v>45786</v>
      </c>
      <c r="K5784" s="2">
        <v>45786</v>
      </c>
    </row>
    <row r="5785" spans="1:11" x14ac:dyDescent="0.25">
      <c r="A5785" s="1" t="s">
        <v>944</v>
      </c>
      <c r="B5785" s="1" t="s">
        <v>1958</v>
      </c>
      <c r="C5785" s="1" t="s">
        <v>2783</v>
      </c>
      <c r="D5785" s="1" t="s">
        <v>1998</v>
      </c>
      <c r="E5785" s="1"/>
      <c r="F5785" s="1" t="s">
        <v>11</v>
      </c>
      <c r="G5785">
        <v>100</v>
      </c>
      <c r="H5785">
        <v>100</v>
      </c>
      <c r="I5785" s="2"/>
      <c r="J5785" s="2">
        <v>45786</v>
      </c>
      <c r="K5785" s="2">
        <v>45786</v>
      </c>
    </row>
    <row r="5786" spans="1:11" x14ac:dyDescent="0.25">
      <c r="A5786" s="1" t="s">
        <v>944</v>
      </c>
      <c r="B5786" s="1" t="s">
        <v>1959</v>
      </c>
      <c r="C5786" s="1" t="s">
        <v>2784</v>
      </c>
      <c r="D5786" s="1" t="s">
        <v>1998</v>
      </c>
      <c r="E5786" s="1"/>
      <c r="F5786" s="1" t="s">
        <v>11</v>
      </c>
      <c r="G5786">
        <v>315</v>
      </c>
      <c r="H5786">
        <v>315</v>
      </c>
      <c r="I5786" s="2"/>
      <c r="J5786" s="2">
        <v>45786</v>
      </c>
      <c r="K5786" s="2">
        <v>45786</v>
      </c>
    </row>
    <row r="5787" spans="1:11" x14ac:dyDescent="0.25">
      <c r="A5787" s="1" t="s">
        <v>944</v>
      </c>
      <c r="B5787" s="1" t="s">
        <v>1126</v>
      </c>
      <c r="C5787" s="1" t="s">
        <v>2126</v>
      </c>
      <c r="D5787" s="1" t="s">
        <v>1998</v>
      </c>
      <c r="E5787" s="1"/>
      <c r="F5787" s="1" t="s">
        <v>11</v>
      </c>
      <c r="G5787">
        <v>5</v>
      </c>
      <c r="H5787">
        <v>5</v>
      </c>
      <c r="I5787" s="2"/>
      <c r="J5787" s="2">
        <v>45786</v>
      </c>
      <c r="K5787" s="2">
        <v>45786</v>
      </c>
    </row>
    <row r="5788" spans="1:11" x14ac:dyDescent="0.25">
      <c r="A5788" s="1" t="s">
        <v>944</v>
      </c>
      <c r="B5788" s="1" t="s">
        <v>1960</v>
      </c>
      <c r="C5788" s="1" t="s">
        <v>2785</v>
      </c>
      <c r="D5788" s="1" t="s">
        <v>1998</v>
      </c>
      <c r="E5788" s="1"/>
      <c r="F5788" s="1" t="s">
        <v>11</v>
      </c>
      <c r="G5788">
        <v>730</v>
      </c>
      <c r="H5788">
        <v>730</v>
      </c>
      <c r="I5788" s="2"/>
      <c r="J5788" s="2">
        <v>45786</v>
      </c>
      <c r="K5788" s="2">
        <v>45786</v>
      </c>
    </row>
    <row r="5789" spans="1:11" x14ac:dyDescent="0.25">
      <c r="A5789" s="1" t="s">
        <v>945</v>
      </c>
      <c r="B5789" s="1" t="s">
        <v>1982</v>
      </c>
      <c r="C5789" s="1" t="s">
        <v>2801</v>
      </c>
      <c r="D5789" s="1" t="s">
        <v>1998</v>
      </c>
      <c r="E5789" s="1"/>
      <c r="F5789" s="1" t="s">
        <v>11</v>
      </c>
      <c r="G5789">
        <v>1730</v>
      </c>
      <c r="H5789">
        <v>1730</v>
      </c>
      <c r="I5789" s="2"/>
      <c r="J5789" s="2">
        <v>45786</v>
      </c>
      <c r="K5789" s="2">
        <v>45789</v>
      </c>
    </row>
    <row r="5790" spans="1:11" x14ac:dyDescent="0.25">
      <c r="A5790" s="1" t="s">
        <v>945</v>
      </c>
      <c r="B5790" s="1" t="s">
        <v>982</v>
      </c>
      <c r="C5790" s="1" t="s">
        <v>2000</v>
      </c>
      <c r="D5790" s="1" t="s">
        <v>1998</v>
      </c>
      <c r="E5790" s="1"/>
      <c r="F5790" s="1" t="s">
        <v>11</v>
      </c>
      <c r="G5790">
        <v>750</v>
      </c>
      <c r="H5790">
        <v>750</v>
      </c>
      <c r="I5790" s="2"/>
      <c r="J5790" s="2">
        <v>45786</v>
      </c>
      <c r="K5790" s="2">
        <v>45789</v>
      </c>
    </row>
    <row r="5791" spans="1:11" x14ac:dyDescent="0.25">
      <c r="A5791" s="1" t="s">
        <v>945</v>
      </c>
      <c r="B5791" s="1" t="s">
        <v>1983</v>
      </c>
      <c r="C5791" s="1" t="s">
        <v>2802</v>
      </c>
      <c r="D5791" s="1" t="s">
        <v>1998</v>
      </c>
      <c r="E5791" s="1"/>
      <c r="F5791" s="1" t="s">
        <v>11</v>
      </c>
      <c r="G5791">
        <v>1360</v>
      </c>
      <c r="H5791">
        <v>1360</v>
      </c>
      <c r="I5791" s="2"/>
      <c r="J5791" s="2">
        <v>45786</v>
      </c>
      <c r="K5791" s="2">
        <v>45789</v>
      </c>
    </row>
    <row r="5792" spans="1:11" x14ac:dyDescent="0.25">
      <c r="A5792" s="1" t="s">
        <v>945</v>
      </c>
      <c r="B5792" s="1" t="s">
        <v>1984</v>
      </c>
      <c r="C5792" s="1" t="s">
        <v>2803</v>
      </c>
      <c r="D5792" s="1" t="s">
        <v>1998</v>
      </c>
      <c r="E5792" s="1"/>
      <c r="F5792" s="1" t="s">
        <v>11</v>
      </c>
      <c r="G5792">
        <v>1500</v>
      </c>
      <c r="H5792">
        <v>1500</v>
      </c>
      <c r="I5792" s="2"/>
      <c r="J5792" s="2">
        <v>45786</v>
      </c>
      <c r="K5792" s="2">
        <v>45789</v>
      </c>
    </row>
    <row r="5793" spans="1:11" x14ac:dyDescent="0.25">
      <c r="A5793" s="1" t="s">
        <v>945</v>
      </c>
      <c r="B5793" s="1" t="s">
        <v>1985</v>
      </c>
      <c r="C5793" s="1" t="s">
        <v>2803</v>
      </c>
      <c r="D5793" s="1" t="s">
        <v>1998</v>
      </c>
      <c r="E5793" s="1"/>
      <c r="F5793" s="1" t="s">
        <v>11</v>
      </c>
      <c r="G5793">
        <v>1130</v>
      </c>
      <c r="H5793">
        <v>1130</v>
      </c>
      <c r="I5793" s="2"/>
      <c r="J5793" s="2">
        <v>45786</v>
      </c>
      <c r="K5793" s="2">
        <v>45789</v>
      </c>
    </row>
    <row r="5794" spans="1:11" x14ac:dyDescent="0.25">
      <c r="A5794" s="1" t="s">
        <v>946</v>
      </c>
      <c r="B5794" s="1" t="s">
        <v>1240</v>
      </c>
      <c r="C5794" s="1" t="s">
        <v>2115</v>
      </c>
      <c r="D5794" s="1" t="s">
        <v>1998</v>
      </c>
      <c r="E5794" s="1"/>
      <c r="F5794" s="1" t="s">
        <v>11</v>
      </c>
      <c r="G5794">
        <v>12720</v>
      </c>
      <c r="H5794">
        <v>12720</v>
      </c>
      <c r="I5794" s="2"/>
      <c r="J5794" s="2">
        <v>45785</v>
      </c>
      <c r="K5794" s="2">
        <v>45789</v>
      </c>
    </row>
    <row r="5795" spans="1:11" x14ac:dyDescent="0.25">
      <c r="A5795" s="1" t="s">
        <v>946</v>
      </c>
      <c r="B5795" s="1" t="s">
        <v>1241</v>
      </c>
      <c r="C5795" s="1" t="s">
        <v>2115</v>
      </c>
      <c r="D5795" s="1" t="s">
        <v>1998</v>
      </c>
      <c r="E5795" s="1"/>
      <c r="F5795" s="1" t="s">
        <v>11</v>
      </c>
      <c r="G5795">
        <v>2190</v>
      </c>
      <c r="H5795">
        <v>2190</v>
      </c>
      <c r="I5795" s="2"/>
      <c r="J5795" s="2">
        <v>45785</v>
      </c>
      <c r="K5795" s="2">
        <v>45789</v>
      </c>
    </row>
    <row r="5796" spans="1:11" x14ac:dyDescent="0.25">
      <c r="A5796" s="1" t="s">
        <v>947</v>
      </c>
      <c r="B5796" s="1" t="s">
        <v>1342</v>
      </c>
      <c r="C5796" s="1" t="s">
        <v>2014</v>
      </c>
      <c r="D5796" s="1" t="s">
        <v>1998</v>
      </c>
      <c r="E5796" s="1"/>
      <c r="F5796" s="1" t="s">
        <v>11</v>
      </c>
      <c r="G5796">
        <v>11300</v>
      </c>
      <c r="H5796">
        <v>11300</v>
      </c>
      <c r="I5796" s="2"/>
      <c r="J5796" s="2">
        <v>45786</v>
      </c>
      <c r="K5796" s="2">
        <v>45789</v>
      </c>
    </row>
    <row r="5797" spans="1:11" x14ac:dyDescent="0.25">
      <c r="A5797" s="1" t="s">
        <v>947</v>
      </c>
      <c r="B5797" s="1" t="s">
        <v>1700</v>
      </c>
      <c r="C5797" s="1" t="s">
        <v>2597</v>
      </c>
      <c r="D5797" s="1" t="s">
        <v>1998</v>
      </c>
      <c r="E5797" s="1"/>
      <c r="F5797" s="1" t="s">
        <v>11</v>
      </c>
      <c r="G5797">
        <v>8835</v>
      </c>
      <c r="H5797">
        <v>3745</v>
      </c>
      <c r="I5797" s="2"/>
      <c r="J5797" s="2">
        <v>45786</v>
      </c>
      <c r="K5797" s="2">
        <v>45789</v>
      </c>
    </row>
    <row r="5798" spans="1:11" x14ac:dyDescent="0.25">
      <c r="A5798" s="1" t="s">
        <v>948</v>
      </c>
      <c r="B5798" s="1" t="s">
        <v>1108</v>
      </c>
      <c r="C5798" s="1" t="s">
        <v>2108</v>
      </c>
      <c r="D5798" s="1" t="s">
        <v>1998</v>
      </c>
      <c r="E5798" s="1"/>
      <c r="F5798" s="1" t="s">
        <v>11</v>
      </c>
      <c r="G5798">
        <v>1205</v>
      </c>
      <c r="H5798">
        <v>1205</v>
      </c>
      <c r="I5798" s="2"/>
      <c r="J5798" s="2">
        <v>45786</v>
      </c>
      <c r="K5798" s="2">
        <v>45786</v>
      </c>
    </row>
    <row r="5799" spans="1:11" x14ac:dyDescent="0.25">
      <c r="A5799" s="1" t="s">
        <v>948</v>
      </c>
      <c r="B5799" s="1" t="s">
        <v>1105</v>
      </c>
      <c r="C5799" s="1" t="s">
        <v>2106</v>
      </c>
      <c r="D5799" s="1" t="s">
        <v>1998</v>
      </c>
      <c r="E5799" s="1"/>
      <c r="F5799" s="1" t="s">
        <v>11</v>
      </c>
      <c r="G5799">
        <v>475</v>
      </c>
      <c r="H5799">
        <v>475</v>
      </c>
      <c r="I5799" s="2"/>
      <c r="J5799" s="2">
        <v>45786</v>
      </c>
      <c r="K5799" s="2">
        <v>45786</v>
      </c>
    </row>
    <row r="5800" spans="1:11" x14ac:dyDescent="0.25">
      <c r="A5800" s="1" t="s">
        <v>948</v>
      </c>
      <c r="B5800" s="1" t="s">
        <v>1106</v>
      </c>
      <c r="C5800" s="1" t="s">
        <v>2107</v>
      </c>
      <c r="D5800" s="1" t="s">
        <v>1998</v>
      </c>
      <c r="E5800" s="1"/>
      <c r="F5800" s="1" t="s">
        <v>11</v>
      </c>
      <c r="G5800">
        <v>1270</v>
      </c>
      <c r="H5800">
        <v>1270</v>
      </c>
      <c r="I5800" s="2"/>
      <c r="J5800" s="2">
        <v>45786</v>
      </c>
      <c r="K5800" s="2">
        <v>45786</v>
      </c>
    </row>
    <row r="5801" spans="1:11" x14ac:dyDescent="0.25">
      <c r="A5801" s="1" t="s">
        <v>948</v>
      </c>
      <c r="B5801" s="1" t="s">
        <v>1107</v>
      </c>
      <c r="C5801" s="1" t="s">
        <v>2002</v>
      </c>
      <c r="D5801" s="1" t="s">
        <v>1998</v>
      </c>
      <c r="E5801" s="1"/>
      <c r="F5801" s="1" t="s">
        <v>11</v>
      </c>
      <c r="G5801">
        <v>1090</v>
      </c>
      <c r="H5801">
        <v>1090</v>
      </c>
      <c r="I5801" s="2"/>
      <c r="J5801" s="2">
        <v>45786</v>
      </c>
      <c r="K5801" s="2">
        <v>45786</v>
      </c>
    </row>
    <row r="5802" spans="1:11" x14ac:dyDescent="0.25">
      <c r="A5802" s="1" t="s">
        <v>949</v>
      </c>
      <c r="B5802" s="1" t="s">
        <v>1986</v>
      </c>
      <c r="C5802" s="1" t="s">
        <v>2014</v>
      </c>
      <c r="D5802" s="1" t="s">
        <v>1998</v>
      </c>
      <c r="E5802" s="1"/>
      <c r="F5802" s="1" t="s">
        <v>11</v>
      </c>
      <c r="G5802">
        <v>580</v>
      </c>
      <c r="H5802">
        <v>1</v>
      </c>
      <c r="I5802" s="2"/>
      <c r="J5802" s="2">
        <v>45786</v>
      </c>
      <c r="K5802" s="2">
        <v>45789</v>
      </c>
    </row>
    <row r="5803" spans="1:11" x14ac:dyDescent="0.25">
      <c r="A5803" s="1" t="s">
        <v>949</v>
      </c>
      <c r="B5803" s="1" t="s">
        <v>1987</v>
      </c>
      <c r="C5803" s="1" t="s">
        <v>2804</v>
      </c>
      <c r="D5803" s="1" t="s">
        <v>1998</v>
      </c>
      <c r="E5803" s="1"/>
      <c r="F5803" s="1" t="s">
        <v>11</v>
      </c>
      <c r="G5803">
        <v>85</v>
      </c>
      <c r="H5803">
        <v>120</v>
      </c>
      <c r="I5803" s="2"/>
      <c r="J5803" s="2">
        <v>45786</v>
      </c>
      <c r="K5803" s="2">
        <v>45789</v>
      </c>
    </row>
    <row r="5804" spans="1:11" x14ac:dyDescent="0.25">
      <c r="A5804" s="1" t="s">
        <v>950</v>
      </c>
      <c r="B5804" s="1" t="s">
        <v>1800</v>
      </c>
      <c r="C5804" s="1" t="s">
        <v>2666</v>
      </c>
      <c r="D5804" s="1" t="s">
        <v>1998</v>
      </c>
      <c r="E5804" s="1"/>
      <c r="F5804" s="1" t="s">
        <v>11</v>
      </c>
      <c r="G5804">
        <v>1</v>
      </c>
      <c r="H5804">
        <v>1</v>
      </c>
      <c r="I5804" s="2"/>
      <c r="J5804" s="2">
        <v>45786</v>
      </c>
      <c r="K5804" s="2">
        <v>45789</v>
      </c>
    </row>
    <row r="5805" spans="1:11" x14ac:dyDescent="0.25">
      <c r="A5805" s="1" t="s">
        <v>950</v>
      </c>
      <c r="B5805" s="1" t="s">
        <v>1800</v>
      </c>
      <c r="C5805" s="1" t="s">
        <v>2666</v>
      </c>
      <c r="D5805" s="1" t="s">
        <v>1998</v>
      </c>
      <c r="E5805" s="1"/>
      <c r="F5805" s="1" t="s">
        <v>11</v>
      </c>
      <c r="G5805">
        <v>1</v>
      </c>
      <c r="H5805">
        <v>1</v>
      </c>
      <c r="I5805" s="2"/>
      <c r="J5805" s="2">
        <v>45786</v>
      </c>
      <c r="K5805" s="2">
        <v>45789</v>
      </c>
    </row>
    <row r="5806" spans="1:11" x14ac:dyDescent="0.25">
      <c r="A5806" s="1" t="s">
        <v>950</v>
      </c>
      <c r="B5806" s="1" t="s">
        <v>1804</v>
      </c>
      <c r="C5806" s="1" t="s">
        <v>2346</v>
      </c>
      <c r="D5806" s="1" t="s">
        <v>1998</v>
      </c>
      <c r="E5806" s="1"/>
      <c r="F5806" s="1" t="s">
        <v>11</v>
      </c>
      <c r="G5806">
        <v>45</v>
      </c>
      <c r="H5806">
        <v>45</v>
      </c>
      <c r="I5806" s="2"/>
      <c r="J5806" s="2">
        <v>45786</v>
      </c>
      <c r="K5806" s="2">
        <v>45789</v>
      </c>
    </row>
    <row r="5807" spans="1:11" x14ac:dyDescent="0.25">
      <c r="A5807" s="1" t="s">
        <v>950</v>
      </c>
      <c r="B5807" s="1" t="s">
        <v>1805</v>
      </c>
      <c r="C5807" s="1" t="s">
        <v>2140</v>
      </c>
      <c r="D5807" s="1" t="s">
        <v>1998</v>
      </c>
      <c r="E5807" s="1"/>
      <c r="F5807" s="1" t="s">
        <v>11</v>
      </c>
      <c r="G5807">
        <v>60</v>
      </c>
      <c r="H5807">
        <v>60</v>
      </c>
      <c r="I5807" s="2"/>
      <c r="J5807" s="2">
        <v>45786</v>
      </c>
      <c r="K5807" s="2">
        <v>45789</v>
      </c>
    </row>
    <row r="5808" spans="1:11" x14ac:dyDescent="0.25">
      <c r="A5808" s="1" t="s">
        <v>950</v>
      </c>
      <c r="B5808" s="1" t="s">
        <v>1450</v>
      </c>
      <c r="C5808" s="1" t="s">
        <v>2388</v>
      </c>
      <c r="D5808" s="1" t="s">
        <v>1998</v>
      </c>
      <c r="E5808" s="1"/>
      <c r="F5808" s="1" t="s">
        <v>11</v>
      </c>
      <c r="G5808">
        <v>1</v>
      </c>
      <c r="H5808">
        <v>1</v>
      </c>
      <c r="I5808" s="2"/>
      <c r="J5808" s="2">
        <v>45786</v>
      </c>
      <c r="K5808" s="2">
        <v>45789</v>
      </c>
    </row>
    <row r="5809" spans="1:11" x14ac:dyDescent="0.25">
      <c r="A5809" s="1" t="s">
        <v>950</v>
      </c>
      <c r="B5809" s="1" t="s">
        <v>1806</v>
      </c>
      <c r="C5809" s="1" t="s">
        <v>2668</v>
      </c>
      <c r="D5809" s="1" t="s">
        <v>1998</v>
      </c>
      <c r="E5809" s="1"/>
      <c r="F5809" s="1" t="s">
        <v>11</v>
      </c>
      <c r="G5809">
        <v>5</v>
      </c>
      <c r="H5809">
        <v>5</v>
      </c>
      <c r="I5809" s="2"/>
      <c r="J5809" s="2">
        <v>45786</v>
      </c>
      <c r="K5809" s="2">
        <v>45789</v>
      </c>
    </row>
    <row r="5810" spans="1:11" x14ac:dyDescent="0.25">
      <c r="A5810" s="1" t="s">
        <v>951</v>
      </c>
      <c r="B5810" s="1" t="s">
        <v>1800</v>
      </c>
      <c r="C5810" s="1" t="s">
        <v>2666</v>
      </c>
      <c r="D5810" s="1" t="s">
        <v>1998</v>
      </c>
      <c r="E5810" s="1"/>
      <c r="F5810" s="1" t="s">
        <v>11</v>
      </c>
      <c r="G5810">
        <v>1</v>
      </c>
      <c r="H5810">
        <v>1</v>
      </c>
      <c r="I5810" s="2"/>
      <c r="J5810" s="2">
        <v>45786</v>
      </c>
      <c r="K5810" s="2">
        <v>45789</v>
      </c>
    </row>
    <row r="5811" spans="1:11" x14ac:dyDescent="0.25">
      <c r="A5811" s="1" t="s">
        <v>951</v>
      </c>
      <c r="B5811" s="1" t="s">
        <v>1988</v>
      </c>
      <c r="C5811" s="1" t="s">
        <v>2346</v>
      </c>
      <c r="D5811" s="1" t="s">
        <v>1998</v>
      </c>
      <c r="E5811" s="1"/>
      <c r="F5811" s="1" t="s">
        <v>11</v>
      </c>
      <c r="G5811">
        <v>80</v>
      </c>
      <c r="H5811">
        <v>80</v>
      </c>
      <c r="I5811" s="2"/>
      <c r="J5811" s="2">
        <v>45786</v>
      </c>
      <c r="K5811" s="2">
        <v>45789</v>
      </c>
    </row>
    <row r="5812" spans="1:11" x14ac:dyDescent="0.25">
      <c r="A5812" s="1" t="s">
        <v>951</v>
      </c>
      <c r="B5812" s="1" t="s">
        <v>1805</v>
      </c>
      <c r="C5812" s="1" t="s">
        <v>2140</v>
      </c>
      <c r="D5812" s="1" t="s">
        <v>1998</v>
      </c>
      <c r="E5812" s="1"/>
      <c r="F5812" s="1" t="s">
        <v>11</v>
      </c>
      <c r="G5812">
        <v>60</v>
      </c>
      <c r="H5812">
        <v>60</v>
      </c>
      <c r="I5812" s="2"/>
      <c r="J5812" s="2">
        <v>45786</v>
      </c>
      <c r="K5812" s="2">
        <v>45789</v>
      </c>
    </row>
    <row r="5813" spans="1:11" x14ac:dyDescent="0.25">
      <c r="A5813" s="1" t="s">
        <v>951</v>
      </c>
      <c r="B5813" s="1" t="s">
        <v>1450</v>
      </c>
      <c r="C5813" s="1" t="s">
        <v>2388</v>
      </c>
      <c r="D5813" s="1" t="s">
        <v>1998</v>
      </c>
      <c r="E5813" s="1"/>
      <c r="F5813" s="1" t="s">
        <v>11</v>
      </c>
      <c r="G5813">
        <v>1</v>
      </c>
      <c r="H5813">
        <v>1</v>
      </c>
      <c r="I5813" s="2"/>
      <c r="J5813" s="2">
        <v>45786</v>
      </c>
      <c r="K5813" s="2">
        <v>45789</v>
      </c>
    </row>
    <row r="5814" spans="1:11" x14ac:dyDescent="0.25">
      <c r="A5814" s="1" t="s">
        <v>951</v>
      </c>
      <c r="B5814" s="1" t="s">
        <v>1806</v>
      </c>
      <c r="C5814" s="1" t="s">
        <v>2668</v>
      </c>
      <c r="D5814" s="1" t="s">
        <v>1998</v>
      </c>
      <c r="E5814" s="1"/>
      <c r="F5814" s="1" t="s">
        <v>11</v>
      </c>
      <c r="G5814">
        <v>5</v>
      </c>
      <c r="H5814">
        <v>5</v>
      </c>
      <c r="I5814" s="2"/>
      <c r="J5814" s="2">
        <v>45786</v>
      </c>
      <c r="K5814" s="2">
        <v>45789</v>
      </c>
    </row>
    <row r="5815" spans="1:11" x14ac:dyDescent="0.25">
      <c r="A5815" s="1" t="s">
        <v>952</v>
      </c>
      <c r="B5815" s="1" t="s">
        <v>1749</v>
      </c>
      <c r="C5815" s="1" t="s">
        <v>2634</v>
      </c>
      <c r="D5815" s="1" t="s">
        <v>1998</v>
      </c>
      <c r="E5815" s="1"/>
      <c r="F5815" s="1" t="s">
        <v>11</v>
      </c>
      <c r="G5815">
        <v>15</v>
      </c>
      <c r="H5815">
        <v>15</v>
      </c>
      <c r="I5815" s="2"/>
      <c r="J5815" s="2">
        <v>45786</v>
      </c>
      <c r="K5815" s="2">
        <v>45786</v>
      </c>
    </row>
    <row r="5816" spans="1:11" x14ac:dyDescent="0.25">
      <c r="A5816" s="1" t="s">
        <v>952</v>
      </c>
      <c r="B5816" s="1" t="s">
        <v>1473</v>
      </c>
      <c r="C5816" s="1" t="s">
        <v>2410</v>
      </c>
      <c r="D5816" s="1" t="s">
        <v>1998</v>
      </c>
      <c r="E5816" s="1"/>
      <c r="F5816" s="1" t="s">
        <v>11</v>
      </c>
      <c r="G5816">
        <v>105</v>
      </c>
      <c r="H5816">
        <v>105</v>
      </c>
      <c r="I5816" s="2"/>
      <c r="J5816" s="2">
        <v>45786</v>
      </c>
      <c r="K5816" s="2">
        <v>45786</v>
      </c>
    </row>
    <row r="5817" spans="1:11" x14ac:dyDescent="0.25">
      <c r="A5817" s="1" t="s">
        <v>953</v>
      </c>
      <c r="B5817" s="1" t="s">
        <v>1811</v>
      </c>
      <c r="C5817" s="1" t="s">
        <v>2671</v>
      </c>
      <c r="D5817" s="1" t="s">
        <v>1998</v>
      </c>
      <c r="E5817" s="1"/>
      <c r="F5817" s="1" t="s">
        <v>11</v>
      </c>
      <c r="G5817">
        <v>10</v>
      </c>
      <c r="H5817">
        <v>1</v>
      </c>
      <c r="I5817" s="2"/>
      <c r="J5817" s="2">
        <v>45786</v>
      </c>
      <c r="K5817" s="2">
        <v>45789</v>
      </c>
    </row>
    <row r="5818" spans="1:11" x14ac:dyDescent="0.25">
      <c r="A5818" s="1" t="s">
        <v>953</v>
      </c>
      <c r="B5818" s="1" t="s">
        <v>1812</v>
      </c>
      <c r="C5818" s="1" t="s">
        <v>2672</v>
      </c>
      <c r="D5818" s="1" t="s">
        <v>1998</v>
      </c>
      <c r="E5818" s="1"/>
      <c r="F5818" s="1" t="s">
        <v>11</v>
      </c>
      <c r="G5818">
        <v>5</v>
      </c>
      <c r="H5818">
        <v>1</v>
      </c>
      <c r="I5818" s="2"/>
      <c r="J5818" s="2">
        <v>45786</v>
      </c>
      <c r="K5818" s="2">
        <v>45789</v>
      </c>
    </row>
    <row r="5819" spans="1:11" x14ac:dyDescent="0.25">
      <c r="A5819" s="1" t="s">
        <v>953</v>
      </c>
      <c r="B5819" s="1" t="s">
        <v>1813</v>
      </c>
      <c r="C5819" s="1" t="s">
        <v>2673</v>
      </c>
      <c r="D5819" s="1" t="s">
        <v>1998</v>
      </c>
      <c r="E5819" s="1"/>
      <c r="F5819" s="1" t="s">
        <v>11</v>
      </c>
      <c r="G5819">
        <v>20</v>
      </c>
      <c r="H5819">
        <v>20</v>
      </c>
      <c r="I5819" s="2"/>
      <c r="J5819" s="2">
        <v>45786</v>
      </c>
      <c r="K5819" s="2">
        <v>45789</v>
      </c>
    </row>
    <row r="5820" spans="1:11" x14ac:dyDescent="0.25">
      <c r="A5820" s="1" t="s">
        <v>953</v>
      </c>
      <c r="B5820" s="1" t="s">
        <v>1814</v>
      </c>
      <c r="C5820" s="1" t="s">
        <v>2674</v>
      </c>
      <c r="D5820" s="1" t="s">
        <v>1998</v>
      </c>
      <c r="E5820" s="1"/>
      <c r="F5820" s="1" t="s">
        <v>11</v>
      </c>
      <c r="G5820">
        <v>5</v>
      </c>
      <c r="H5820">
        <v>5</v>
      </c>
      <c r="I5820" s="2"/>
      <c r="J5820" s="2">
        <v>45786</v>
      </c>
      <c r="K5820" s="2">
        <v>45789</v>
      </c>
    </row>
    <row r="5821" spans="1:11" x14ac:dyDescent="0.25">
      <c r="A5821" s="1" t="s">
        <v>953</v>
      </c>
      <c r="B5821" s="1" t="s">
        <v>1815</v>
      </c>
      <c r="C5821" s="1" t="s">
        <v>2675</v>
      </c>
      <c r="D5821" s="1" t="s">
        <v>1998</v>
      </c>
      <c r="E5821" s="1"/>
      <c r="F5821" s="1" t="s">
        <v>11</v>
      </c>
      <c r="G5821">
        <v>10</v>
      </c>
      <c r="H5821">
        <v>1</v>
      </c>
      <c r="I5821" s="2"/>
      <c r="J5821" s="2">
        <v>45786</v>
      </c>
      <c r="K5821" s="2">
        <v>45789</v>
      </c>
    </row>
    <row r="5822" spans="1:11" x14ac:dyDescent="0.25">
      <c r="A5822" s="1" t="s">
        <v>953</v>
      </c>
      <c r="B5822" s="1" t="s">
        <v>1816</v>
      </c>
      <c r="C5822" s="1" t="s">
        <v>2731</v>
      </c>
      <c r="D5822" s="1" t="s">
        <v>1998</v>
      </c>
      <c r="E5822" s="1"/>
      <c r="F5822" s="1" t="s">
        <v>11</v>
      </c>
      <c r="G5822">
        <v>5</v>
      </c>
      <c r="H5822">
        <v>1</v>
      </c>
      <c r="I5822" s="2"/>
      <c r="J5822" s="2">
        <v>45786</v>
      </c>
      <c r="K5822" s="2">
        <v>45789</v>
      </c>
    </row>
    <row r="5823" spans="1:11" x14ac:dyDescent="0.25">
      <c r="A5823" s="1" t="s">
        <v>953</v>
      </c>
      <c r="B5823" s="1" t="s">
        <v>1817</v>
      </c>
      <c r="C5823" s="1" t="s">
        <v>2677</v>
      </c>
      <c r="D5823" s="1" t="s">
        <v>1998</v>
      </c>
      <c r="E5823" s="1"/>
      <c r="F5823" s="1" t="s">
        <v>11</v>
      </c>
      <c r="G5823">
        <v>12425</v>
      </c>
      <c r="H5823">
        <v>12425</v>
      </c>
      <c r="I5823" s="2"/>
      <c r="J5823" s="2">
        <v>45786</v>
      </c>
      <c r="K5823" s="2">
        <v>45789</v>
      </c>
    </row>
    <row r="5824" spans="1:11" x14ac:dyDescent="0.25">
      <c r="A5824" s="1" t="s">
        <v>953</v>
      </c>
      <c r="B5824" s="1" t="s">
        <v>1818</v>
      </c>
      <c r="C5824" s="1" t="s">
        <v>2678</v>
      </c>
      <c r="D5824" s="1" t="s">
        <v>1998</v>
      </c>
      <c r="E5824" s="1"/>
      <c r="F5824" s="1" t="s">
        <v>11</v>
      </c>
      <c r="G5824">
        <v>405</v>
      </c>
      <c r="H5824">
        <v>1</v>
      </c>
      <c r="I5824" s="2"/>
      <c r="J5824" s="2">
        <v>45786</v>
      </c>
      <c r="K5824" s="2">
        <v>45789</v>
      </c>
    </row>
    <row r="5825" spans="1:11" x14ac:dyDescent="0.25">
      <c r="A5825" s="1" t="s">
        <v>953</v>
      </c>
      <c r="B5825" s="1" t="s">
        <v>1819</v>
      </c>
      <c r="C5825" s="1" t="s">
        <v>2679</v>
      </c>
      <c r="D5825" s="1" t="s">
        <v>1998</v>
      </c>
      <c r="E5825" s="1"/>
      <c r="F5825" s="1" t="s">
        <v>11</v>
      </c>
      <c r="G5825">
        <v>135</v>
      </c>
      <c r="H5825">
        <v>135</v>
      </c>
      <c r="I5825" s="2"/>
      <c r="J5825" s="2">
        <v>45786</v>
      </c>
      <c r="K5825" s="2">
        <v>45789</v>
      </c>
    </row>
    <row r="5826" spans="1:11" x14ac:dyDescent="0.25">
      <c r="A5826" s="1" t="s">
        <v>953</v>
      </c>
      <c r="B5826" s="1" t="s">
        <v>1820</v>
      </c>
      <c r="C5826" s="1" t="s">
        <v>2596</v>
      </c>
      <c r="D5826" s="1" t="s">
        <v>1998</v>
      </c>
      <c r="E5826" s="1"/>
      <c r="F5826" s="1" t="s">
        <v>11</v>
      </c>
      <c r="G5826">
        <v>2115</v>
      </c>
      <c r="H5826">
        <v>2115</v>
      </c>
      <c r="I5826" s="2"/>
      <c r="J5826" s="2">
        <v>45786</v>
      </c>
      <c r="K5826" s="2">
        <v>45789</v>
      </c>
    </row>
    <row r="5827" spans="1:11" x14ac:dyDescent="0.25">
      <c r="A5827" s="1" t="s">
        <v>953</v>
      </c>
      <c r="B5827" s="1" t="s">
        <v>1821</v>
      </c>
      <c r="C5827" s="1" t="s">
        <v>2640</v>
      </c>
      <c r="D5827" s="1" t="s">
        <v>1998</v>
      </c>
      <c r="E5827" s="1"/>
      <c r="F5827" s="1" t="s">
        <v>11</v>
      </c>
      <c r="G5827">
        <v>5700</v>
      </c>
      <c r="H5827">
        <v>5700</v>
      </c>
      <c r="I5827" s="2"/>
      <c r="J5827" s="2">
        <v>45786</v>
      </c>
      <c r="K5827" s="2">
        <v>45789</v>
      </c>
    </row>
    <row r="5828" spans="1:11" x14ac:dyDescent="0.25">
      <c r="A5828" s="1" t="s">
        <v>953</v>
      </c>
      <c r="B5828" s="1" t="s">
        <v>1822</v>
      </c>
      <c r="C5828" s="1" t="s">
        <v>2680</v>
      </c>
      <c r="D5828" s="1" t="s">
        <v>1998</v>
      </c>
      <c r="E5828" s="1"/>
      <c r="F5828" s="1" t="s">
        <v>11</v>
      </c>
      <c r="G5828">
        <v>10</v>
      </c>
      <c r="H5828">
        <v>10</v>
      </c>
      <c r="I5828" s="2"/>
      <c r="J5828" s="2">
        <v>45786</v>
      </c>
      <c r="K5828" s="2">
        <v>45789</v>
      </c>
    </row>
    <row r="5829" spans="1:11" x14ac:dyDescent="0.25">
      <c r="A5829" s="1" t="s">
        <v>953</v>
      </c>
      <c r="B5829" s="1" t="s">
        <v>1823</v>
      </c>
      <c r="C5829" s="1" t="s">
        <v>2681</v>
      </c>
      <c r="D5829" s="1" t="s">
        <v>1998</v>
      </c>
      <c r="E5829" s="1"/>
      <c r="F5829" s="1" t="s">
        <v>11</v>
      </c>
      <c r="G5829">
        <v>50</v>
      </c>
      <c r="H5829">
        <v>50</v>
      </c>
      <c r="I5829" s="2"/>
      <c r="J5829" s="2">
        <v>45786</v>
      </c>
      <c r="K5829" s="2">
        <v>45789</v>
      </c>
    </row>
    <row r="5830" spans="1:11" x14ac:dyDescent="0.25">
      <c r="A5830" s="1" t="s">
        <v>953</v>
      </c>
      <c r="B5830" s="1" t="s">
        <v>1824</v>
      </c>
      <c r="C5830" s="1" t="s">
        <v>2682</v>
      </c>
      <c r="D5830" s="1" t="s">
        <v>1998</v>
      </c>
      <c r="E5830" s="1"/>
      <c r="F5830" s="1" t="s">
        <v>11</v>
      </c>
      <c r="G5830">
        <v>1</v>
      </c>
      <c r="H5830">
        <v>1</v>
      </c>
      <c r="I5830" s="2"/>
      <c r="J5830" s="2">
        <v>45786</v>
      </c>
      <c r="K5830" s="2">
        <v>45789</v>
      </c>
    </row>
    <row r="5831" spans="1:11" x14ac:dyDescent="0.25">
      <c r="A5831" s="1" t="s">
        <v>954</v>
      </c>
      <c r="B5831" s="1" t="s">
        <v>1755</v>
      </c>
      <c r="C5831" s="1" t="s">
        <v>2640</v>
      </c>
      <c r="D5831" s="1" t="s">
        <v>1998</v>
      </c>
      <c r="E5831" s="1"/>
      <c r="F5831" s="1" t="s">
        <v>11</v>
      </c>
      <c r="G5831">
        <v>5485</v>
      </c>
      <c r="H5831">
        <v>5485</v>
      </c>
      <c r="I5831" s="2"/>
      <c r="J5831" s="2">
        <v>45786</v>
      </c>
      <c r="K5831" s="2">
        <v>45789</v>
      </c>
    </row>
    <row r="5832" spans="1:11" x14ac:dyDescent="0.25">
      <c r="A5832" s="1" t="s">
        <v>954</v>
      </c>
      <c r="B5832" s="1" t="s">
        <v>1492</v>
      </c>
      <c r="C5832" s="1" t="s">
        <v>2429</v>
      </c>
      <c r="D5832" s="1" t="s">
        <v>1998</v>
      </c>
      <c r="E5832" s="1"/>
      <c r="F5832" s="1" t="s">
        <v>11</v>
      </c>
      <c r="G5832">
        <v>5</v>
      </c>
      <c r="H5832">
        <v>5</v>
      </c>
      <c r="I5832" s="2"/>
      <c r="J5832" s="2">
        <v>45786</v>
      </c>
      <c r="K5832" s="2">
        <v>45789</v>
      </c>
    </row>
    <row r="5833" spans="1:11" x14ac:dyDescent="0.25">
      <c r="A5833" s="1" t="s">
        <v>954</v>
      </c>
      <c r="B5833" s="1" t="s">
        <v>1493</v>
      </c>
      <c r="C5833" s="1" t="s">
        <v>2429</v>
      </c>
      <c r="D5833" s="1" t="s">
        <v>1998</v>
      </c>
      <c r="E5833" s="1"/>
      <c r="F5833" s="1" t="s">
        <v>11</v>
      </c>
      <c r="G5833">
        <v>10</v>
      </c>
      <c r="H5833">
        <v>10</v>
      </c>
      <c r="I5833" s="2"/>
      <c r="J5833" s="2">
        <v>45786</v>
      </c>
      <c r="K5833" s="2">
        <v>45789</v>
      </c>
    </row>
    <row r="5834" spans="1:11" x14ac:dyDescent="0.25">
      <c r="A5834" s="1" t="s">
        <v>954</v>
      </c>
      <c r="B5834" s="1" t="s">
        <v>1494</v>
      </c>
      <c r="C5834" s="1" t="s">
        <v>2430</v>
      </c>
      <c r="D5834" s="1" t="s">
        <v>1998</v>
      </c>
      <c r="E5834" s="1"/>
      <c r="F5834" s="1" t="s">
        <v>11</v>
      </c>
      <c r="G5834">
        <v>1</v>
      </c>
      <c r="H5834">
        <v>1</v>
      </c>
      <c r="I5834" s="2"/>
      <c r="J5834" s="2">
        <v>45786</v>
      </c>
      <c r="K5834" s="2">
        <v>45789</v>
      </c>
    </row>
    <row r="5835" spans="1:11" x14ac:dyDescent="0.25">
      <c r="A5835" s="1" t="s">
        <v>954</v>
      </c>
      <c r="B5835" s="1" t="s">
        <v>1495</v>
      </c>
      <c r="C5835" s="1" t="s">
        <v>2431</v>
      </c>
      <c r="D5835" s="1" t="s">
        <v>1998</v>
      </c>
      <c r="E5835" s="1"/>
      <c r="F5835" s="1" t="s">
        <v>11</v>
      </c>
      <c r="G5835">
        <v>1</v>
      </c>
      <c r="H5835">
        <v>1</v>
      </c>
      <c r="I5835" s="2"/>
      <c r="J5835" s="2">
        <v>45786</v>
      </c>
      <c r="K5835" s="2">
        <v>45789</v>
      </c>
    </row>
    <row r="5836" spans="1:11" x14ac:dyDescent="0.25">
      <c r="A5836" s="1" t="s">
        <v>954</v>
      </c>
      <c r="B5836" s="1" t="s">
        <v>1496</v>
      </c>
      <c r="C5836" s="1" t="s">
        <v>2432</v>
      </c>
      <c r="D5836" s="1" t="s">
        <v>1998</v>
      </c>
      <c r="E5836" s="1"/>
      <c r="F5836" s="1" t="s">
        <v>11</v>
      </c>
      <c r="G5836">
        <v>1</v>
      </c>
      <c r="H5836">
        <v>1</v>
      </c>
      <c r="I5836" s="2"/>
      <c r="J5836" s="2">
        <v>45786</v>
      </c>
      <c r="K5836" s="2">
        <v>45789</v>
      </c>
    </row>
    <row r="5837" spans="1:11" x14ac:dyDescent="0.25">
      <c r="A5837" s="1" t="s">
        <v>954</v>
      </c>
      <c r="B5837" s="1" t="s">
        <v>1497</v>
      </c>
      <c r="C5837" s="1" t="s">
        <v>2432</v>
      </c>
      <c r="D5837" s="1" t="s">
        <v>1998</v>
      </c>
      <c r="E5837" s="1"/>
      <c r="F5837" s="1" t="s">
        <v>11</v>
      </c>
      <c r="G5837">
        <v>1</v>
      </c>
      <c r="H5837">
        <v>1</v>
      </c>
      <c r="I5837" s="2"/>
      <c r="J5837" s="2">
        <v>45786</v>
      </c>
      <c r="K5837" s="2">
        <v>45789</v>
      </c>
    </row>
    <row r="5838" spans="1:11" x14ac:dyDescent="0.25">
      <c r="A5838" s="1" t="s">
        <v>954</v>
      </c>
      <c r="B5838" s="1" t="s">
        <v>1498</v>
      </c>
      <c r="C5838" s="1" t="s">
        <v>2433</v>
      </c>
      <c r="D5838" s="1" t="s">
        <v>1998</v>
      </c>
      <c r="E5838" s="1"/>
      <c r="F5838" s="1" t="s">
        <v>11</v>
      </c>
      <c r="G5838">
        <v>5</v>
      </c>
      <c r="H5838">
        <v>5</v>
      </c>
      <c r="I5838" s="2"/>
      <c r="J5838" s="2">
        <v>45786</v>
      </c>
      <c r="K5838" s="2">
        <v>45789</v>
      </c>
    </row>
    <row r="5839" spans="1:11" x14ac:dyDescent="0.25">
      <c r="A5839" s="1" t="s">
        <v>954</v>
      </c>
      <c r="B5839" s="1" t="s">
        <v>1499</v>
      </c>
      <c r="C5839" s="1" t="s">
        <v>2433</v>
      </c>
      <c r="D5839" s="1" t="s">
        <v>1998</v>
      </c>
      <c r="E5839" s="1"/>
      <c r="F5839" s="1" t="s">
        <v>11</v>
      </c>
      <c r="G5839">
        <v>5</v>
      </c>
      <c r="H5839">
        <v>5</v>
      </c>
      <c r="I5839" s="2"/>
      <c r="J5839" s="2">
        <v>45786</v>
      </c>
      <c r="K5839" s="2">
        <v>45789</v>
      </c>
    </row>
    <row r="5840" spans="1:11" x14ac:dyDescent="0.25">
      <c r="A5840" s="1" t="s">
        <v>954</v>
      </c>
      <c r="B5840" s="1" t="s">
        <v>993</v>
      </c>
      <c r="C5840" s="1" t="s">
        <v>2011</v>
      </c>
      <c r="D5840" s="1" t="s">
        <v>1998</v>
      </c>
      <c r="E5840" s="1"/>
      <c r="F5840" s="1" t="s">
        <v>11</v>
      </c>
      <c r="G5840">
        <v>1</v>
      </c>
      <c r="H5840">
        <v>1</v>
      </c>
      <c r="I5840" s="2"/>
      <c r="J5840" s="2">
        <v>45786</v>
      </c>
      <c r="K5840" s="2">
        <v>45789</v>
      </c>
    </row>
    <row r="5841" spans="1:11" x14ac:dyDescent="0.25">
      <c r="A5841" s="1" t="s">
        <v>955</v>
      </c>
      <c r="B5841" s="1" t="s">
        <v>1755</v>
      </c>
      <c r="C5841" s="1" t="s">
        <v>2640</v>
      </c>
      <c r="D5841" s="1" t="s">
        <v>1998</v>
      </c>
      <c r="E5841" s="1"/>
      <c r="F5841" s="1" t="s">
        <v>11</v>
      </c>
      <c r="G5841">
        <v>5485</v>
      </c>
      <c r="H5841">
        <v>5485</v>
      </c>
      <c r="I5841" s="2"/>
      <c r="J5841" s="2">
        <v>45786</v>
      </c>
      <c r="K5841" s="2">
        <v>45789</v>
      </c>
    </row>
    <row r="5842" spans="1:11" x14ac:dyDescent="0.25">
      <c r="A5842" s="1" t="s">
        <v>955</v>
      </c>
      <c r="B5842" s="1" t="s">
        <v>1492</v>
      </c>
      <c r="C5842" s="1" t="s">
        <v>2429</v>
      </c>
      <c r="D5842" s="1" t="s">
        <v>1998</v>
      </c>
      <c r="E5842" s="1"/>
      <c r="F5842" s="1" t="s">
        <v>11</v>
      </c>
      <c r="G5842">
        <v>5</v>
      </c>
      <c r="H5842">
        <v>5</v>
      </c>
      <c r="I5842" s="2"/>
      <c r="J5842" s="2">
        <v>45786</v>
      </c>
      <c r="K5842" s="2">
        <v>45789</v>
      </c>
    </row>
    <row r="5843" spans="1:11" x14ac:dyDescent="0.25">
      <c r="A5843" s="1" t="s">
        <v>955</v>
      </c>
      <c r="B5843" s="1" t="s">
        <v>1493</v>
      </c>
      <c r="C5843" s="1" t="s">
        <v>2429</v>
      </c>
      <c r="D5843" s="1" t="s">
        <v>1998</v>
      </c>
      <c r="E5843" s="1"/>
      <c r="F5843" s="1" t="s">
        <v>11</v>
      </c>
      <c r="G5843">
        <v>10</v>
      </c>
      <c r="H5843">
        <v>10</v>
      </c>
      <c r="I5843" s="2"/>
      <c r="J5843" s="2">
        <v>45786</v>
      </c>
      <c r="K5843" s="2">
        <v>45789</v>
      </c>
    </row>
    <row r="5844" spans="1:11" x14ac:dyDescent="0.25">
      <c r="A5844" s="1" t="s">
        <v>955</v>
      </c>
      <c r="B5844" s="1" t="s">
        <v>1494</v>
      </c>
      <c r="C5844" s="1" t="s">
        <v>2430</v>
      </c>
      <c r="D5844" s="1" t="s">
        <v>1998</v>
      </c>
      <c r="E5844" s="1"/>
      <c r="F5844" s="1" t="s">
        <v>11</v>
      </c>
      <c r="G5844">
        <v>1</v>
      </c>
      <c r="H5844">
        <v>1</v>
      </c>
      <c r="I5844" s="2"/>
      <c r="J5844" s="2">
        <v>45786</v>
      </c>
      <c r="K5844" s="2">
        <v>45789</v>
      </c>
    </row>
    <row r="5845" spans="1:11" x14ac:dyDescent="0.25">
      <c r="A5845" s="1" t="s">
        <v>955</v>
      </c>
      <c r="B5845" s="1" t="s">
        <v>1495</v>
      </c>
      <c r="C5845" s="1" t="s">
        <v>2431</v>
      </c>
      <c r="D5845" s="1" t="s">
        <v>1998</v>
      </c>
      <c r="E5845" s="1"/>
      <c r="F5845" s="1" t="s">
        <v>11</v>
      </c>
      <c r="G5845">
        <v>1</v>
      </c>
      <c r="H5845">
        <v>1</v>
      </c>
      <c r="I5845" s="2"/>
      <c r="J5845" s="2">
        <v>45786</v>
      </c>
      <c r="K5845" s="2">
        <v>45789</v>
      </c>
    </row>
    <row r="5846" spans="1:11" x14ac:dyDescent="0.25">
      <c r="A5846" s="1" t="s">
        <v>955</v>
      </c>
      <c r="B5846" s="1" t="s">
        <v>1496</v>
      </c>
      <c r="C5846" s="1" t="s">
        <v>2432</v>
      </c>
      <c r="D5846" s="1" t="s">
        <v>1998</v>
      </c>
      <c r="E5846" s="1"/>
      <c r="F5846" s="1" t="s">
        <v>11</v>
      </c>
      <c r="G5846">
        <v>1</v>
      </c>
      <c r="H5846">
        <v>1</v>
      </c>
      <c r="I5846" s="2"/>
      <c r="J5846" s="2">
        <v>45786</v>
      </c>
      <c r="K5846" s="2">
        <v>45789</v>
      </c>
    </row>
    <row r="5847" spans="1:11" x14ac:dyDescent="0.25">
      <c r="A5847" s="1" t="s">
        <v>955</v>
      </c>
      <c r="B5847" s="1" t="s">
        <v>1497</v>
      </c>
      <c r="C5847" s="1" t="s">
        <v>2432</v>
      </c>
      <c r="D5847" s="1" t="s">
        <v>1998</v>
      </c>
      <c r="E5847" s="1"/>
      <c r="F5847" s="1" t="s">
        <v>11</v>
      </c>
      <c r="G5847">
        <v>1</v>
      </c>
      <c r="H5847">
        <v>1</v>
      </c>
      <c r="I5847" s="2"/>
      <c r="J5847" s="2">
        <v>45786</v>
      </c>
      <c r="K5847" s="2">
        <v>45789</v>
      </c>
    </row>
    <row r="5848" spans="1:11" x14ac:dyDescent="0.25">
      <c r="A5848" s="1" t="s">
        <v>955</v>
      </c>
      <c r="B5848" s="1" t="s">
        <v>1498</v>
      </c>
      <c r="C5848" s="1" t="s">
        <v>2433</v>
      </c>
      <c r="D5848" s="1" t="s">
        <v>1998</v>
      </c>
      <c r="E5848" s="1"/>
      <c r="F5848" s="1" t="s">
        <v>11</v>
      </c>
      <c r="G5848">
        <v>5</v>
      </c>
      <c r="H5848">
        <v>5</v>
      </c>
      <c r="I5848" s="2"/>
      <c r="J5848" s="2">
        <v>45786</v>
      </c>
      <c r="K5848" s="2">
        <v>45789</v>
      </c>
    </row>
    <row r="5849" spans="1:11" x14ac:dyDescent="0.25">
      <c r="A5849" s="1" t="s">
        <v>955</v>
      </c>
      <c r="B5849" s="1" t="s">
        <v>1499</v>
      </c>
      <c r="C5849" s="1" t="s">
        <v>2433</v>
      </c>
      <c r="D5849" s="1" t="s">
        <v>1998</v>
      </c>
      <c r="E5849" s="1"/>
      <c r="F5849" s="1" t="s">
        <v>11</v>
      </c>
      <c r="G5849">
        <v>5</v>
      </c>
      <c r="H5849">
        <v>5</v>
      </c>
      <c r="I5849" s="2"/>
      <c r="J5849" s="2">
        <v>45786</v>
      </c>
      <c r="K5849" s="2">
        <v>45789</v>
      </c>
    </row>
    <row r="5850" spans="1:11" x14ac:dyDescent="0.25">
      <c r="A5850" s="1" t="s">
        <v>955</v>
      </c>
      <c r="B5850" s="1" t="s">
        <v>993</v>
      </c>
      <c r="C5850" s="1" t="s">
        <v>2011</v>
      </c>
      <c r="D5850" s="1" t="s">
        <v>1998</v>
      </c>
      <c r="E5850" s="1"/>
      <c r="F5850" s="1" t="s">
        <v>11</v>
      </c>
      <c r="G5850">
        <v>1</v>
      </c>
      <c r="H5850">
        <v>1</v>
      </c>
      <c r="I5850" s="2"/>
      <c r="J5850" s="2">
        <v>45786</v>
      </c>
      <c r="K5850" s="2">
        <v>45789</v>
      </c>
    </row>
    <row r="5851" spans="1:11" x14ac:dyDescent="0.25">
      <c r="A5851" s="1" t="s">
        <v>956</v>
      </c>
      <c r="B5851" s="1" t="s">
        <v>1644</v>
      </c>
      <c r="C5851" s="1" t="s">
        <v>2558</v>
      </c>
      <c r="D5851" s="1" t="s">
        <v>1998</v>
      </c>
      <c r="E5851" s="1"/>
      <c r="F5851" s="1" t="s">
        <v>11</v>
      </c>
      <c r="G5851">
        <v>50</v>
      </c>
      <c r="H5851">
        <v>50</v>
      </c>
      <c r="I5851" s="2"/>
      <c r="J5851" s="2">
        <v>45786</v>
      </c>
      <c r="K5851" s="2">
        <v>45786</v>
      </c>
    </row>
    <row r="5852" spans="1:11" x14ac:dyDescent="0.25">
      <c r="A5852" s="1" t="s">
        <v>956</v>
      </c>
      <c r="B5852" s="1" t="s">
        <v>1569</v>
      </c>
      <c r="C5852" s="1" t="s">
        <v>2490</v>
      </c>
      <c r="D5852" s="1" t="s">
        <v>1998</v>
      </c>
      <c r="E5852" s="1"/>
      <c r="F5852" s="1" t="s">
        <v>11</v>
      </c>
      <c r="G5852">
        <v>45</v>
      </c>
      <c r="H5852">
        <v>45</v>
      </c>
      <c r="I5852" s="2"/>
      <c r="J5852" s="2">
        <v>45786</v>
      </c>
      <c r="K5852" s="2">
        <v>45786</v>
      </c>
    </row>
    <row r="5853" spans="1:11" x14ac:dyDescent="0.25">
      <c r="A5853" s="1" t="s">
        <v>957</v>
      </c>
      <c r="B5853" s="1" t="s">
        <v>1008</v>
      </c>
      <c r="C5853" s="1" t="s">
        <v>2014</v>
      </c>
      <c r="D5853" s="1" t="s">
        <v>1998</v>
      </c>
      <c r="E5853" s="1"/>
      <c r="F5853" s="1" t="s">
        <v>11</v>
      </c>
      <c r="G5853">
        <v>2100</v>
      </c>
      <c r="H5853">
        <v>2100</v>
      </c>
      <c r="I5853" s="2"/>
      <c r="J5853" s="2">
        <v>45789</v>
      </c>
      <c r="K5853" s="2">
        <v>45789</v>
      </c>
    </row>
    <row r="5854" spans="1:11" x14ac:dyDescent="0.25">
      <c r="A5854" s="1" t="s">
        <v>957</v>
      </c>
      <c r="B5854" s="1" t="s">
        <v>1009</v>
      </c>
      <c r="C5854" s="1" t="s">
        <v>2026</v>
      </c>
      <c r="D5854" s="1" t="s">
        <v>1998</v>
      </c>
      <c r="E5854" s="1"/>
      <c r="F5854" s="1" t="s">
        <v>11</v>
      </c>
      <c r="G5854">
        <v>2895</v>
      </c>
      <c r="H5854">
        <v>2895</v>
      </c>
      <c r="I5854" s="2"/>
      <c r="J5854" s="2">
        <v>45789</v>
      </c>
      <c r="K5854" s="2">
        <v>45789</v>
      </c>
    </row>
    <row r="5855" spans="1:11" x14ac:dyDescent="0.25">
      <c r="A5855" s="1" t="s">
        <v>957</v>
      </c>
      <c r="B5855" s="1" t="s">
        <v>1010</v>
      </c>
      <c r="C5855" s="1" t="s">
        <v>2027</v>
      </c>
      <c r="D5855" s="1" t="s">
        <v>1998</v>
      </c>
      <c r="E5855" s="1"/>
      <c r="F5855" s="1" t="s">
        <v>11</v>
      </c>
      <c r="G5855">
        <v>1225</v>
      </c>
      <c r="H5855">
        <v>1225</v>
      </c>
      <c r="I5855" s="2"/>
      <c r="J5855" s="2">
        <v>45789</v>
      </c>
      <c r="K5855" s="2">
        <v>45789</v>
      </c>
    </row>
    <row r="5856" spans="1:11" x14ac:dyDescent="0.25">
      <c r="A5856" s="1" t="s">
        <v>957</v>
      </c>
      <c r="B5856" s="1" t="s">
        <v>1011</v>
      </c>
      <c r="C5856" s="1" t="s">
        <v>2028</v>
      </c>
      <c r="D5856" s="1" t="s">
        <v>1998</v>
      </c>
      <c r="E5856" s="1"/>
      <c r="F5856" s="1" t="s">
        <v>11</v>
      </c>
      <c r="G5856">
        <v>720</v>
      </c>
      <c r="H5856">
        <v>1</v>
      </c>
      <c r="I5856" s="2"/>
      <c r="J5856" s="2">
        <v>45789</v>
      </c>
      <c r="K5856" s="2">
        <v>45789</v>
      </c>
    </row>
    <row r="5857" spans="1:11" x14ac:dyDescent="0.25">
      <c r="A5857" s="1" t="s">
        <v>957</v>
      </c>
      <c r="B5857" s="1" t="s">
        <v>1012</v>
      </c>
      <c r="C5857" s="1" t="s">
        <v>2029</v>
      </c>
      <c r="D5857" s="1" t="s">
        <v>1998</v>
      </c>
      <c r="E5857" s="1"/>
      <c r="F5857" s="1" t="s">
        <v>11</v>
      </c>
      <c r="G5857">
        <v>330</v>
      </c>
      <c r="H5857">
        <v>1</v>
      </c>
      <c r="I5857" s="2"/>
      <c r="J5857" s="2">
        <v>45789</v>
      </c>
      <c r="K5857" s="2">
        <v>45789</v>
      </c>
    </row>
    <row r="5858" spans="1:11" x14ac:dyDescent="0.25">
      <c r="A5858" s="1" t="s">
        <v>957</v>
      </c>
      <c r="B5858" s="1" t="s">
        <v>1013</v>
      </c>
      <c r="C5858" s="1" t="s">
        <v>2030</v>
      </c>
      <c r="D5858" s="1" t="s">
        <v>1998</v>
      </c>
      <c r="E5858" s="1"/>
      <c r="F5858" s="1" t="s">
        <v>11</v>
      </c>
      <c r="G5858">
        <v>60</v>
      </c>
      <c r="H5858">
        <v>1</v>
      </c>
      <c r="I5858" s="2"/>
      <c r="J5858" s="2">
        <v>45789</v>
      </c>
      <c r="K5858" s="2">
        <v>45789</v>
      </c>
    </row>
    <row r="5859" spans="1:11" x14ac:dyDescent="0.25">
      <c r="A5859" s="1" t="s">
        <v>957</v>
      </c>
      <c r="B5859" s="1" t="s">
        <v>993</v>
      </c>
      <c r="C5859" s="1" t="s">
        <v>2011</v>
      </c>
      <c r="D5859" s="1" t="s">
        <v>1998</v>
      </c>
      <c r="E5859" s="1"/>
      <c r="F5859" s="1" t="s">
        <v>11</v>
      </c>
      <c r="G5859">
        <v>25</v>
      </c>
      <c r="H5859">
        <v>1</v>
      </c>
      <c r="I5859" s="2"/>
      <c r="J5859" s="2">
        <v>45789</v>
      </c>
      <c r="K5859" s="2">
        <v>45789</v>
      </c>
    </row>
    <row r="5860" spans="1:11" x14ac:dyDescent="0.25">
      <c r="A5860" s="1" t="s">
        <v>958</v>
      </c>
      <c r="B5860" s="1" t="s">
        <v>1008</v>
      </c>
      <c r="C5860" s="1" t="s">
        <v>2014</v>
      </c>
      <c r="D5860" s="1" t="s">
        <v>1998</v>
      </c>
      <c r="E5860" s="1"/>
      <c r="F5860" s="1" t="s">
        <v>11</v>
      </c>
      <c r="G5860">
        <v>2100</v>
      </c>
      <c r="H5860">
        <v>2100</v>
      </c>
      <c r="I5860" s="2"/>
      <c r="J5860" s="2">
        <v>45789</v>
      </c>
      <c r="K5860" s="2">
        <v>45789</v>
      </c>
    </row>
    <row r="5861" spans="1:11" x14ac:dyDescent="0.25">
      <c r="A5861" s="1" t="s">
        <v>958</v>
      </c>
      <c r="B5861" s="1" t="s">
        <v>1009</v>
      </c>
      <c r="C5861" s="1" t="s">
        <v>2026</v>
      </c>
      <c r="D5861" s="1" t="s">
        <v>1998</v>
      </c>
      <c r="E5861" s="1"/>
      <c r="F5861" s="1" t="s">
        <v>11</v>
      </c>
      <c r="G5861">
        <v>2895</v>
      </c>
      <c r="H5861">
        <v>2895</v>
      </c>
      <c r="I5861" s="2"/>
      <c r="J5861" s="2">
        <v>45789</v>
      </c>
      <c r="K5861" s="2">
        <v>45789</v>
      </c>
    </row>
    <row r="5862" spans="1:11" x14ac:dyDescent="0.25">
      <c r="A5862" s="1" t="s">
        <v>958</v>
      </c>
      <c r="B5862" s="1" t="s">
        <v>1010</v>
      </c>
      <c r="C5862" s="1" t="s">
        <v>2027</v>
      </c>
      <c r="D5862" s="1" t="s">
        <v>1998</v>
      </c>
      <c r="E5862" s="1"/>
      <c r="F5862" s="1" t="s">
        <v>11</v>
      </c>
      <c r="G5862">
        <v>1225</v>
      </c>
      <c r="H5862">
        <v>1225</v>
      </c>
      <c r="I5862" s="2"/>
      <c r="J5862" s="2">
        <v>45789</v>
      </c>
      <c r="K5862" s="2">
        <v>45789</v>
      </c>
    </row>
    <row r="5863" spans="1:11" x14ac:dyDescent="0.25">
      <c r="A5863" s="1" t="s">
        <v>958</v>
      </c>
      <c r="B5863" s="1" t="s">
        <v>1011</v>
      </c>
      <c r="C5863" s="1" t="s">
        <v>2028</v>
      </c>
      <c r="D5863" s="1" t="s">
        <v>1998</v>
      </c>
      <c r="E5863" s="1"/>
      <c r="F5863" s="1" t="s">
        <v>11</v>
      </c>
      <c r="G5863">
        <v>720</v>
      </c>
      <c r="H5863">
        <v>1</v>
      </c>
      <c r="I5863" s="2"/>
      <c r="J5863" s="2">
        <v>45789</v>
      </c>
      <c r="K5863" s="2">
        <v>45789</v>
      </c>
    </row>
    <row r="5864" spans="1:11" x14ac:dyDescent="0.25">
      <c r="A5864" s="1" t="s">
        <v>958</v>
      </c>
      <c r="B5864" s="1" t="s">
        <v>1012</v>
      </c>
      <c r="C5864" s="1" t="s">
        <v>2029</v>
      </c>
      <c r="D5864" s="1" t="s">
        <v>1998</v>
      </c>
      <c r="E5864" s="1"/>
      <c r="F5864" s="1" t="s">
        <v>11</v>
      </c>
      <c r="G5864">
        <v>330</v>
      </c>
      <c r="H5864">
        <v>1</v>
      </c>
      <c r="I5864" s="2"/>
      <c r="J5864" s="2">
        <v>45789</v>
      </c>
      <c r="K5864" s="2">
        <v>45789</v>
      </c>
    </row>
    <row r="5865" spans="1:11" x14ac:dyDescent="0.25">
      <c r="A5865" s="1" t="s">
        <v>958</v>
      </c>
      <c r="B5865" s="1" t="s">
        <v>1013</v>
      </c>
      <c r="C5865" s="1" t="s">
        <v>2030</v>
      </c>
      <c r="D5865" s="1" t="s">
        <v>1998</v>
      </c>
      <c r="E5865" s="1"/>
      <c r="F5865" s="1" t="s">
        <v>11</v>
      </c>
      <c r="G5865">
        <v>60</v>
      </c>
      <c r="H5865">
        <v>1</v>
      </c>
      <c r="I5865" s="2"/>
      <c r="J5865" s="2">
        <v>45789</v>
      </c>
      <c r="K5865" s="2">
        <v>45789</v>
      </c>
    </row>
    <row r="5866" spans="1:11" x14ac:dyDescent="0.25">
      <c r="A5866" s="1" t="s">
        <v>958</v>
      </c>
      <c r="B5866" s="1" t="s">
        <v>993</v>
      </c>
      <c r="C5866" s="1" t="s">
        <v>2011</v>
      </c>
      <c r="D5866" s="1" t="s">
        <v>1998</v>
      </c>
      <c r="E5866" s="1"/>
      <c r="F5866" s="1" t="s">
        <v>11</v>
      </c>
      <c r="G5866">
        <v>25</v>
      </c>
      <c r="H5866">
        <v>1</v>
      </c>
      <c r="I5866" s="2"/>
      <c r="J5866" s="2">
        <v>45789</v>
      </c>
      <c r="K5866" s="2">
        <v>45789</v>
      </c>
    </row>
    <row r="5867" spans="1:11" x14ac:dyDescent="0.25">
      <c r="A5867" s="1" t="s">
        <v>959</v>
      </c>
      <c r="B5867" s="1" t="s">
        <v>995</v>
      </c>
      <c r="C5867" s="1" t="s">
        <v>2013</v>
      </c>
      <c r="D5867" s="1" t="s">
        <v>1998</v>
      </c>
      <c r="E5867" s="1"/>
      <c r="F5867" s="1" t="s">
        <v>11</v>
      </c>
      <c r="G5867">
        <v>145</v>
      </c>
      <c r="H5867">
        <v>1</v>
      </c>
      <c r="I5867" s="2"/>
      <c r="J5867" s="2">
        <v>45789</v>
      </c>
      <c r="K5867" s="2">
        <v>45789</v>
      </c>
    </row>
    <row r="5868" spans="1:11" x14ac:dyDescent="0.25">
      <c r="A5868" s="1" t="s">
        <v>959</v>
      </c>
      <c r="B5868" s="1" t="s">
        <v>1075</v>
      </c>
      <c r="C5868" s="1" t="s">
        <v>2078</v>
      </c>
      <c r="D5868" s="1" t="s">
        <v>1998</v>
      </c>
      <c r="E5868" s="1"/>
      <c r="F5868" s="1" t="s">
        <v>11</v>
      </c>
      <c r="G5868">
        <v>210</v>
      </c>
      <c r="H5868">
        <v>210</v>
      </c>
      <c r="I5868" s="2"/>
      <c r="J5868" s="2">
        <v>45789</v>
      </c>
      <c r="K5868" s="2">
        <v>45789</v>
      </c>
    </row>
    <row r="5869" spans="1:11" x14ac:dyDescent="0.25">
      <c r="A5869" s="1" t="s">
        <v>959</v>
      </c>
      <c r="B5869" s="1" t="s">
        <v>1052</v>
      </c>
      <c r="C5869" s="1" t="s">
        <v>2061</v>
      </c>
      <c r="D5869" s="1" t="s">
        <v>1998</v>
      </c>
      <c r="E5869" s="1"/>
      <c r="F5869" s="1" t="s">
        <v>11</v>
      </c>
      <c r="G5869">
        <v>1945</v>
      </c>
      <c r="H5869">
        <v>1</v>
      </c>
      <c r="I5869" s="2"/>
      <c r="J5869" s="2">
        <v>45789</v>
      </c>
      <c r="K5869" s="2">
        <v>45789</v>
      </c>
    </row>
    <row r="5870" spans="1:11" x14ac:dyDescent="0.25">
      <c r="A5870" s="1" t="s">
        <v>959</v>
      </c>
      <c r="B5870" s="1" t="s">
        <v>999</v>
      </c>
      <c r="C5870" s="1" t="s">
        <v>2017</v>
      </c>
      <c r="D5870" s="1" t="s">
        <v>1998</v>
      </c>
      <c r="E5870" s="1"/>
      <c r="F5870" s="1" t="s">
        <v>11</v>
      </c>
      <c r="G5870">
        <v>1</v>
      </c>
      <c r="H5870">
        <v>1</v>
      </c>
      <c r="I5870" s="2"/>
      <c r="J5870" s="2">
        <v>45789</v>
      </c>
      <c r="K5870" s="2">
        <v>45789</v>
      </c>
    </row>
    <row r="5871" spans="1:11" x14ac:dyDescent="0.25">
      <c r="A5871" s="1" t="s">
        <v>959</v>
      </c>
      <c r="B5871" s="1" t="s">
        <v>1000</v>
      </c>
      <c r="C5871" s="1" t="s">
        <v>2018</v>
      </c>
      <c r="D5871" s="1" t="s">
        <v>1998</v>
      </c>
      <c r="E5871" s="1"/>
      <c r="F5871" s="1" t="s">
        <v>11</v>
      </c>
      <c r="G5871">
        <v>10</v>
      </c>
      <c r="H5871">
        <v>1</v>
      </c>
      <c r="I5871" s="2"/>
      <c r="J5871" s="2">
        <v>45789</v>
      </c>
      <c r="K5871" s="2">
        <v>45789</v>
      </c>
    </row>
    <row r="5872" spans="1:11" x14ac:dyDescent="0.25">
      <c r="A5872" s="1" t="s">
        <v>959</v>
      </c>
      <c r="B5872" s="1" t="s">
        <v>1001</v>
      </c>
      <c r="C5872" s="1" t="s">
        <v>2019</v>
      </c>
      <c r="D5872" s="1" t="s">
        <v>1998</v>
      </c>
      <c r="E5872" s="1"/>
      <c r="F5872" s="1" t="s">
        <v>11</v>
      </c>
      <c r="G5872">
        <v>5</v>
      </c>
      <c r="H5872">
        <v>1</v>
      </c>
      <c r="I5872" s="2"/>
      <c r="J5872" s="2">
        <v>45789</v>
      </c>
      <c r="K5872" s="2">
        <v>45789</v>
      </c>
    </row>
    <row r="5873" spans="1:11" x14ac:dyDescent="0.25">
      <c r="A5873" s="1" t="s">
        <v>959</v>
      </c>
      <c r="B5873" s="1" t="s">
        <v>1076</v>
      </c>
      <c r="C5873" s="1" t="s">
        <v>2079</v>
      </c>
      <c r="D5873" s="1" t="s">
        <v>1998</v>
      </c>
      <c r="E5873" s="1"/>
      <c r="F5873" s="1" t="s">
        <v>11</v>
      </c>
      <c r="G5873">
        <v>5520</v>
      </c>
      <c r="H5873">
        <v>5520</v>
      </c>
      <c r="I5873" s="2"/>
      <c r="J5873" s="2">
        <v>45789</v>
      </c>
      <c r="K5873" s="2">
        <v>45789</v>
      </c>
    </row>
    <row r="5874" spans="1:11" x14ac:dyDescent="0.25">
      <c r="A5874" s="1" t="s">
        <v>959</v>
      </c>
      <c r="B5874" s="1" t="s">
        <v>1077</v>
      </c>
      <c r="C5874" s="1" t="s">
        <v>2080</v>
      </c>
      <c r="D5874" s="1" t="s">
        <v>1998</v>
      </c>
      <c r="E5874" s="1"/>
      <c r="F5874" s="1" t="s">
        <v>11</v>
      </c>
      <c r="G5874">
        <v>6395</v>
      </c>
      <c r="H5874">
        <v>6395</v>
      </c>
      <c r="I5874" s="2"/>
      <c r="J5874" s="2">
        <v>45789</v>
      </c>
      <c r="K5874" s="2">
        <v>45789</v>
      </c>
    </row>
    <row r="5875" spans="1:11" x14ac:dyDescent="0.25">
      <c r="A5875" s="1" t="s">
        <v>960</v>
      </c>
      <c r="B5875" s="1" t="s">
        <v>1016</v>
      </c>
      <c r="C5875" s="1" t="s">
        <v>2033</v>
      </c>
      <c r="D5875" s="1" t="s">
        <v>1998</v>
      </c>
      <c r="E5875" s="1"/>
      <c r="F5875" s="1" t="s">
        <v>11</v>
      </c>
      <c r="G5875">
        <v>75</v>
      </c>
      <c r="H5875">
        <v>1</v>
      </c>
      <c r="I5875" s="2"/>
      <c r="J5875" s="2">
        <v>45789</v>
      </c>
      <c r="K5875" s="2">
        <v>45789</v>
      </c>
    </row>
    <row r="5876" spans="1:11" x14ac:dyDescent="0.25">
      <c r="A5876" s="1" t="s">
        <v>960</v>
      </c>
      <c r="B5876" s="1" t="s">
        <v>1017</v>
      </c>
      <c r="C5876" s="1" t="s">
        <v>2034</v>
      </c>
      <c r="D5876" s="1" t="s">
        <v>1998</v>
      </c>
      <c r="E5876" s="1"/>
      <c r="F5876" s="1" t="s">
        <v>11</v>
      </c>
      <c r="G5876">
        <v>200</v>
      </c>
      <c r="H5876">
        <v>200</v>
      </c>
      <c r="I5876" s="2"/>
      <c r="J5876" s="2">
        <v>45789</v>
      </c>
      <c r="K5876" s="2">
        <v>45789</v>
      </c>
    </row>
    <row r="5877" spans="1:11" x14ac:dyDescent="0.25">
      <c r="A5877" s="1" t="s">
        <v>960</v>
      </c>
      <c r="B5877" s="1" t="s">
        <v>1018</v>
      </c>
      <c r="C5877" s="1" t="s">
        <v>2035</v>
      </c>
      <c r="D5877" s="1" t="s">
        <v>1998</v>
      </c>
      <c r="E5877" s="1"/>
      <c r="F5877" s="1" t="s">
        <v>11</v>
      </c>
      <c r="G5877">
        <v>885</v>
      </c>
      <c r="H5877">
        <v>1090</v>
      </c>
      <c r="I5877" s="2"/>
      <c r="J5877" s="2">
        <v>45789</v>
      </c>
      <c r="K5877" s="2">
        <v>45789</v>
      </c>
    </row>
    <row r="5878" spans="1:11" x14ac:dyDescent="0.25">
      <c r="A5878" s="1" t="s">
        <v>960</v>
      </c>
      <c r="B5878" s="1" t="s">
        <v>999</v>
      </c>
      <c r="C5878" s="1" t="s">
        <v>2017</v>
      </c>
      <c r="D5878" s="1" t="s">
        <v>1998</v>
      </c>
      <c r="E5878" s="1"/>
      <c r="F5878" s="1" t="s">
        <v>11</v>
      </c>
      <c r="G5878">
        <v>1</v>
      </c>
      <c r="H5878">
        <v>1</v>
      </c>
      <c r="I5878" s="2"/>
      <c r="J5878" s="2">
        <v>45789</v>
      </c>
      <c r="K5878" s="2">
        <v>45789</v>
      </c>
    </row>
    <row r="5879" spans="1:11" x14ac:dyDescent="0.25">
      <c r="A5879" s="1" t="s">
        <v>960</v>
      </c>
      <c r="B5879" s="1" t="s">
        <v>1000</v>
      </c>
      <c r="C5879" s="1" t="s">
        <v>2018</v>
      </c>
      <c r="D5879" s="1" t="s">
        <v>1998</v>
      </c>
      <c r="E5879" s="1"/>
      <c r="F5879" s="1" t="s">
        <v>11</v>
      </c>
      <c r="G5879">
        <v>5</v>
      </c>
      <c r="H5879">
        <v>1</v>
      </c>
      <c r="I5879" s="2"/>
      <c r="J5879" s="2">
        <v>45789</v>
      </c>
      <c r="K5879" s="2">
        <v>45789</v>
      </c>
    </row>
    <row r="5880" spans="1:11" x14ac:dyDescent="0.25">
      <c r="A5880" s="1" t="s">
        <v>960</v>
      </c>
      <c r="B5880" s="1" t="s">
        <v>1001</v>
      </c>
      <c r="C5880" s="1" t="s">
        <v>2019</v>
      </c>
      <c r="D5880" s="1" t="s">
        <v>1998</v>
      </c>
      <c r="E5880" s="1"/>
      <c r="F5880" s="1" t="s">
        <v>11</v>
      </c>
      <c r="G5880">
        <v>5</v>
      </c>
      <c r="H5880">
        <v>1</v>
      </c>
      <c r="I5880" s="2"/>
      <c r="J5880" s="2">
        <v>45789</v>
      </c>
      <c r="K5880" s="2">
        <v>45789</v>
      </c>
    </row>
    <row r="5881" spans="1:11" x14ac:dyDescent="0.25">
      <c r="A5881" s="1" t="s">
        <v>960</v>
      </c>
      <c r="B5881" s="1" t="s">
        <v>1019</v>
      </c>
      <c r="C5881" s="1" t="s">
        <v>2036</v>
      </c>
      <c r="D5881" s="1" t="s">
        <v>1998</v>
      </c>
      <c r="E5881" s="1"/>
      <c r="F5881" s="1" t="s">
        <v>11</v>
      </c>
      <c r="G5881">
        <v>3135</v>
      </c>
      <c r="H5881">
        <v>3135</v>
      </c>
      <c r="I5881" s="2"/>
      <c r="J5881" s="2">
        <v>45789</v>
      </c>
      <c r="K5881" s="2">
        <v>45789</v>
      </c>
    </row>
    <row r="5882" spans="1:11" x14ac:dyDescent="0.25">
      <c r="A5882" s="1" t="s">
        <v>960</v>
      </c>
      <c r="B5882" s="1" t="s">
        <v>1020</v>
      </c>
      <c r="C5882" s="1" t="s">
        <v>2037</v>
      </c>
      <c r="D5882" s="1" t="s">
        <v>1998</v>
      </c>
      <c r="E5882" s="1"/>
      <c r="F5882" s="1" t="s">
        <v>11</v>
      </c>
      <c r="G5882">
        <v>8375</v>
      </c>
      <c r="H5882">
        <v>8375</v>
      </c>
      <c r="I5882" s="2"/>
      <c r="J5882" s="2">
        <v>45789</v>
      </c>
      <c r="K5882" s="2">
        <v>45789</v>
      </c>
    </row>
    <row r="5883" spans="1:11" x14ac:dyDescent="0.25">
      <c r="A5883" s="1" t="s">
        <v>961</v>
      </c>
      <c r="B5883" s="1" t="s">
        <v>1755</v>
      </c>
      <c r="C5883" s="1" t="s">
        <v>2640</v>
      </c>
      <c r="D5883" s="1" t="s">
        <v>1998</v>
      </c>
      <c r="E5883" s="1"/>
      <c r="F5883" s="1" t="s">
        <v>11</v>
      </c>
      <c r="G5883">
        <v>5485</v>
      </c>
      <c r="H5883">
        <v>5485</v>
      </c>
      <c r="I5883" s="2"/>
      <c r="J5883" s="2">
        <v>45789</v>
      </c>
      <c r="K5883" s="2">
        <v>45789</v>
      </c>
    </row>
    <row r="5884" spans="1:11" x14ac:dyDescent="0.25">
      <c r="A5884" s="1" t="s">
        <v>961</v>
      </c>
      <c r="B5884" s="1" t="s">
        <v>1492</v>
      </c>
      <c r="C5884" s="1" t="s">
        <v>2429</v>
      </c>
      <c r="D5884" s="1" t="s">
        <v>1998</v>
      </c>
      <c r="E5884" s="1"/>
      <c r="F5884" s="1" t="s">
        <v>11</v>
      </c>
      <c r="G5884">
        <v>5</v>
      </c>
      <c r="H5884">
        <v>1</v>
      </c>
      <c r="I5884" s="2"/>
      <c r="J5884" s="2">
        <v>45789</v>
      </c>
      <c r="K5884" s="2">
        <v>45789</v>
      </c>
    </row>
    <row r="5885" spans="1:11" x14ac:dyDescent="0.25">
      <c r="A5885" s="1" t="s">
        <v>961</v>
      </c>
      <c r="B5885" s="1" t="s">
        <v>1493</v>
      </c>
      <c r="C5885" s="1" t="s">
        <v>2429</v>
      </c>
      <c r="D5885" s="1" t="s">
        <v>1998</v>
      </c>
      <c r="E5885" s="1"/>
      <c r="F5885" s="1" t="s">
        <v>11</v>
      </c>
      <c r="G5885">
        <v>10</v>
      </c>
      <c r="H5885">
        <v>1</v>
      </c>
      <c r="I5885" s="2"/>
      <c r="J5885" s="2">
        <v>45789</v>
      </c>
      <c r="K5885" s="2">
        <v>45789</v>
      </c>
    </row>
    <row r="5886" spans="1:11" x14ac:dyDescent="0.25">
      <c r="A5886" s="1" t="s">
        <v>961</v>
      </c>
      <c r="B5886" s="1" t="s">
        <v>1494</v>
      </c>
      <c r="C5886" s="1" t="s">
        <v>2430</v>
      </c>
      <c r="D5886" s="1" t="s">
        <v>1998</v>
      </c>
      <c r="E5886" s="1"/>
      <c r="F5886" s="1" t="s">
        <v>11</v>
      </c>
      <c r="G5886">
        <v>1</v>
      </c>
      <c r="H5886">
        <v>1</v>
      </c>
      <c r="I5886" s="2"/>
      <c r="J5886" s="2">
        <v>45789</v>
      </c>
      <c r="K5886" s="2">
        <v>45789</v>
      </c>
    </row>
    <row r="5887" spans="1:11" x14ac:dyDescent="0.25">
      <c r="A5887" s="1" t="s">
        <v>961</v>
      </c>
      <c r="B5887" s="1" t="s">
        <v>1495</v>
      </c>
      <c r="C5887" s="1" t="s">
        <v>2431</v>
      </c>
      <c r="D5887" s="1" t="s">
        <v>1998</v>
      </c>
      <c r="E5887" s="1"/>
      <c r="F5887" s="1" t="s">
        <v>11</v>
      </c>
      <c r="G5887">
        <v>1</v>
      </c>
      <c r="H5887">
        <v>1</v>
      </c>
      <c r="I5887" s="2"/>
      <c r="J5887" s="2">
        <v>45789</v>
      </c>
      <c r="K5887" s="2">
        <v>45789</v>
      </c>
    </row>
    <row r="5888" spans="1:11" x14ac:dyDescent="0.25">
      <c r="A5888" s="1" t="s">
        <v>961</v>
      </c>
      <c r="B5888" s="1" t="s">
        <v>1496</v>
      </c>
      <c r="C5888" s="1" t="s">
        <v>2432</v>
      </c>
      <c r="D5888" s="1" t="s">
        <v>1998</v>
      </c>
      <c r="E5888" s="1"/>
      <c r="F5888" s="1" t="s">
        <v>11</v>
      </c>
      <c r="G5888">
        <v>1</v>
      </c>
      <c r="H5888">
        <v>1</v>
      </c>
      <c r="I5888" s="2"/>
      <c r="J5888" s="2">
        <v>45789</v>
      </c>
      <c r="K5888" s="2">
        <v>45789</v>
      </c>
    </row>
    <row r="5889" spans="1:11" x14ac:dyDescent="0.25">
      <c r="A5889" s="1" t="s">
        <v>961</v>
      </c>
      <c r="B5889" s="1" t="s">
        <v>1497</v>
      </c>
      <c r="C5889" s="1" t="s">
        <v>2432</v>
      </c>
      <c r="D5889" s="1" t="s">
        <v>1998</v>
      </c>
      <c r="E5889" s="1"/>
      <c r="F5889" s="1" t="s">
        <v>11</v>
      </c>
      <c r="G5889">
        <v>1</v>
      </c>
      <c r="H5889">
        <v>1</v>
      </c>
      <c r="I5889" s="2"/>
      <c r="J5889" s="2">
        <v>45789</v>
      </c>
      <c r="K5889" s="2">
        <v>45789</v>
      </c>
    </row>
    <row r="5890" spans="1:11" x14ac:dyDescent="0.25">
      <c r="A5890" s="1" t="s">
        <v>961</v>
      </c>
      <c r="B5890" s="1" t="s">
        <v>1498</v>
      </c>
      <c r="C5890" s="1" t="s">
        <v>2433</v>
      </c>
      <c r="D5890" s="1" t="s">
        <v>1998</v>
      </c>
      <c r="E5890" s="1"/>
      <c r="F5890" s="1" t="s">
        <v>11</v>
      </c>
      <c r="G5890">
        <v>5</v>
      </c>
      <c r="H5890">
        <v>1</v>
      </c>
      <c r="I5890" s="2"/>
      <c r="J5890" s="2">
        <v>45789</v>
      </c>
      <c r="K5890" s="2">
        <v>45789</v>
      </c>
    </row>
    <row r="5891" spans="1:11" x14ac:dyDescent="0.25">
      <c r="A5891" s="1" t="s">
        <v>961</v>
      </c>
      <c r="B5891" s="1" t="s">
        <v>1499</v>
      </c>
      <c r="C5891" s="1" t="s">
        <v>2433</v>
      </c>
      <c r="D5891" s="1" t="s">
        <v>1998</v>
      </c>
      <c r="E5891" s="1"/>
      <c r="F5891" s="1" t="s">
        <v>11</v>
      </c>
      <c r="G5891">
        <v>5</v>
      </c>
      <c r="H5891">
        <v>1</v>
      </c>
      <c r="I5891" s="2"/>
      <c r="J5891" s="2">
        <v>45789</v>
      </c>
      <c r="K5891" s="2">
        <v>45789</v>
      </c>
    </row>
    <row r="5892" spans="1:11" x14ac:dyDescent="0.25">
      <c r="A5892" s="1" t="s">
        <v>961</v>
      </c>
      <c r="B5892" s="1" t="s">
        <v>993</v>
      </c>
      <c r="C5892" s="1" t="s">
        <v>2011</v>
      </c>
      <c r="D5892" s="1" t="s">
        <v>1998</v>
      </c>
      <c r="E5892" s="1"/>
      <c r="F5892" s="1" t="s">
        <v>11</v>
      </c>
      <c r="G5892">
        <v>1</v>
      </c>
      <c r="H5892">
        <v>1</v>
      </c>
      <c r="I5892" s="2"/>
      <c r="J5892" s="2">
        <v>45789</v>
      </c>
      <c r="K5892" s="2">
        <v>45789</v>
      </c>
    </row>
    <row r="5893" spans="1:11" x14ac:dyDescent="0.25">
      <c r="A5893" s="1" t="s">
        <v>962</v>
      </c>
      <c r="B5893" s="1" t="s">
        <v>1755</v>
      </c>
      <c r="C5893" s="1" t="s">
        <v>2640</v>
      </c>
      <c r="D5893" s="1" t="s">
        <v>1998</v>
      </c>
      <c r="E5893" s="1"/>
      <c r="F5893" s="1" t="s">
        <v>11</v>
      </c>
      <c r="G5893">
        <v>5485</v>
      </c>
      <c r="H5893">
        <v>5485</v>
      </c>
      <c r="I5893" s="2"/>
      <c r="J5893" s="2">
        <v>45789</v>
      </c>
      <c r="K5893" s="2">
        <v>45789</v>
      </c>
    </row>
    <row r="5894" spans="1:11" x14ac:dyDescent="0.25">
      <c r="A5894" s="1" t="s">
        <v>962</v>
      </c>
      <c r="B5894" s="1" t="s">
        <v>1492</v>
      </c>
      <c r="C5894" s="1" t="s">
        <v>2429</v>
      </c>
      <c r="D5894" s="1" t="s">
        <v>1998</v>
      </c>
      <c r="E5894" s="1"/>
      <c r="F5894" s="1" t="s">
        <v>11</v>
      </c>
      <c r="G5894">
        <v>5</v>
      </c>
      <c r="H5894">
        <v>1</v>
      </c>
      <c r="I5894" s="2"/>
      <c r="J5894" s="2">
        <v>45789</v>
      </c>
      <c r="K5894" s="2">
        <v>45789</v>
      </c>
    </row>
    <row r="5895" spans="1:11" x14ac:dyDescent="0.25">
      <c r="A5895" s="1" t="s">
        <v>962</v>
      </c>
      <c r="B5895" s="1" t="s">
        <v>1493</v>
      </c>
      <c r="C5895" s="1" t="s">
        <v>2429</v>
      </c>
      <c r="D5895" s="1" t="s">
        <v>1998</v>
      </c>
      <c r="E5895" s="1"/>
      <c r="F5895" s="1" t="s">
        <v>11</v>
      </c>
      <c r="G5895">
        <v>10</v>
      </c>
      <c r="H5895">
        <v>1</v>
      </c>
      <c r="I5895" s="2"/>
      <c r="J5895" s="2">
        <v>45789</v>
      </c>
      <c r="K5895" s="2">
        <v>45789</v>
      </c>
    </row>
    <row r="5896" spans="1:11" x14ac:dyDescent="0.25">
      <c r="A5896" s="1" t="s">
        <v>962</v>
      </c>
      <c r="B5896" s="1" t="s">
        <v>1494</v>
      </c>
      <c r="C5896" s="1" t="s">
        <v>2430</v>
      </c>
      <c r="D5896" s="1" t="s">
        <v>1998</v>
      </c>
      <c r="E5896" s="1"/>
      <c r="F5896" s="1" t="s">
        <v>11</v>
      </c>
      <c r="G5896">
        <v>1</v>
      </c>
      <c r="H5896">
        <v>1</v>
      </c>
      <c r="I5896" s="2"/>
      <c r="J5896" s="2">
        <v>45789</v>
      </c>
      <c r="K5896" s="2">
        <v>45789</v>
      </c>
    </row>
    <row r="5897" spans="1:11" x14ac:dyDescent="0.25">
      <c r="A5897" s="1" t="s">
        <v>962</v>
      </c>
      <c r="B5897" s="1" t="s">
        <v>1495</v>
      </c>
      <c r="C5897" s="1" t="s">
        <v>2431</v>
      </c>
      <c r="D5897" s="1" t="s">
        <v>1998</v>
      </c>
      <c r="E5897" s="1"/>
      <c r="F5897" s="1" t="s">
        <v>11</v>
      </c>
      <c r="G5897">
        <v>1</v>
      </c>
      <c r="H5897">
        <v>1</v>
      </c>
      <c r="I5897" s="2"/>
      <c r="J5897" s="2">
        <v>45789</v>
      </c>
      <c r="K5897" s="2">
        <v>45789</v>
      </c>
    </row>
    <row r="5898" spans="1:11" x14ac:dyDescent="0.25">
      <c r="A5898" s="1" t="s">
        <v>962</v>
      </c>
      <c r="B5898" s="1" t="s">
        <v>1496</v>
      </c>
      <c r="C5898" s="1" t="s">
        <v>2432</v>
      </c>
      <c r="D5898" s="1" t="s">
        <v>1998</v>
      </c>
      <c r="E5898" s="1"/>
      <c r="F5898" s="1" t="s">
        <v>11</v>
      </c>
      <c r="G5898">
        <v>1</v>
      </c>
      <c r="H5898">
        <v>1</v>
      </c>
      <c r="I5898" s="2"/>
      <c r="J5898" s="2">
        <v>45789</v>
      </c>
      <c r="K5898" s="2">
        <v>45789</v>
      </c>
    </row>
    <row r="5899" spans="1:11" x14ac:dyDescent="0.25">
      <c r="A5899" s="1" t="s">
        <v>962</v>
      </c>
      <c r="B5899" s="1" t="s">
        <v>1497</v>
      </c>
      <c r="C5899" s="1" t="s">
        <v>2432</v>
      </c>
      <c r="D5899" s="1" t="s">
        <v>1998</v>
      </c>
      <c r="E5899" s="1"/>
      <c r="F5899" s="1" t="s">
        <v>11</v>
      </c>
      <c r="G5899">
        <v>1</v>
      </c>
      <c r="H5899">
        <v>1</v>
      </c>
      <c r="I5899" s="2"/>
      <c r="J5899" s="2">
        <v>45789</v>
      </c>
      <c r="K5899" s="2">
        <v>45789</v>
      </c>
    </row>
    <row r="5900" spans="1:11" x14ac:dyDescent="0.25">
      <c r="A5900" s="1" t="s">
        <v>962</v>
      </c>
      <c r="B5900" s="1" t="s">
        <v>1498</v>
      </c>
      <c r="C5900" s="1" t="s">
        <v>2433</v>
      </c>
      <c r="D5900" s="1" t="s">
        <v>1998</v>
      </c>
      <c r="E5900" s="1"/>
      <c r="F5900" s="1" t="s">
        <v>11</v>
      </c>
      <c r="G5900">
        <v>5</v>
      </c>
      <c r="H5900">
        <v>1</v>
      </c>
      <c r="I5900" s="2"/>
      <c r="J5900" s="2">
        <v>45789</v>
      </c>
      <c r="K5900" s="2">
        <v>45789</v>
      </c>
    </row>
    <row r="5901" spans="1:11" x14ac:dyDescent="0.25">
      <c r="A5901" s="1" t="s">
        <v>962</v>
      </c>
      <c r="B5901" s="1" t="s">
        <v>1499</v>
      </c>
      <c r="C5901" s="1" t="s">
        <v>2433</v>
      </c>
      <c r="D5901" s="1" t="s">
        <v>1998</v>
      </c>
      <c r="E5901" s="1"/>
      <c r="F5901" s="1" t="s">
        <v>11</v>
      </c>
      <c r="G5901">
        <v>5</v>
      </c>
      <c r="H5901">
        <v>1</v>
      </c>
      <c r="I5901" s="2"/>
      <c r="J5901" s="2">
        <v>45789</v>
      </c>
      <c r="K5901" s="2">
        <v>45789</v>
      </c>
    </row>
    <row r="5902" spans="1:11" x14ac:dyDescent="0.25">
      <c r="A5902" s="1" t="s">
        <v>962</v>
      </c>
      <c r="B5902" s="1" t="s">
        <v>993</v>
      </c>
      <c r="C5902" s="1" t="s">
        <v>2011</v>
      </c>
      <c r="D5902" s="1" t="s">
        <v>1998</v>
      </c>
      <c r="E5902" s="1"/>
      <c r="F5902" s="1" t="s">
        <v>11</v>
      </c>
      <c r="G5902">
        <v>1</v>
      </c>
      <c r="H5902">
        <v>1</v>
      </c>
      <c r="I5902" s="2"/>
      <c r="J5902" s="2">
        <v>45789</v>
      </c>
      <c r="K5902" s="2">
        <v>45789</v>
      </c>
    </row>
    <row r="5903" spans="1:11" x14ac:dyDescent="0.25">
      <c r="A5903" s="1" t="s">
        <v>963</v>
      </c>
      <c r="B5903" s="1" t="s">
        <v>1697</v>
      </c>
      <c r="C5903" s="1" t="s">
        <v>2346</v>
      </c>
      <c r="D5903" s="1" t="s">
        <v>1998</v>
      </c>
      <c r="E5903" s="1"/>
      <c r="F5903" s="1" t="s">
        <v>11</v>
      </c>
      <c r="G5903">
        <v>1880</v>
      </c>
      <c r="H5903">
        <v>1880</v>
      </c>
      <c r="I5903" s="2"/>
      <c r="J5903" s="2">
        <v>45789</v>
      </c>
      <c r="K5903" s="2">
        <v>45789</v>
      </c>
    </row>
    <row r="5904" spans="1:11" x14ac:dyDescent="0.25">
      <c r="A5904" s="1" t="s">
        <v>963</v>
      </c>
      <c r="B5904" s="1" t="s">
        <v>1669</v>
      </c>
      <c r="C5904" s="1" t="s">
        <v>2578</v>
      </c>
      <c r="D5904" s="1" t="s">
        <v>1998</v>
      </c>
      <c r="E5904" s="1"/>
      <c r="F5904" s="1" t="s">
        <v>11</v>
      </c>
      <c r="G5904">
        <v>550</v>
      </c>
      <c r="H5904">
        <v>550</v>
      </c>
      <c r="I5904" s="2"/>
      <c r="J5904" s="2">
        <v>45789</v>
      </c>
      <c r="K5904" s="2">
        <v>45789</v>
      </c>
    </row>
    <row r="5905" spans="1:11" x14ac:dyDescent="0.25">
      <c r="A5905" s="1" t="s">
        <v>963</v>
      </c>
      <c r="B5905" s="1" t="s">
        <v>1670</v>
      </c>
      <c r="C5905" s="1" t="s">
        <v>2579</v>
      </c>
      <c r="D5905" s="1" t="s">
        <v>1998</v>
      </c>
      <c r="E5905" s="1"/>
      <c r="F5905" s="1" t="s">
        <v>11</v>
      </c>
      <c r="G5905">
        <v>95</v>
      </c>
      <c r="H5905">
        <v>95</v>
      </c>
      <c r="I5905" s="2"/>
      <c r="J5905" s="2">
        <v>45789</v>
      </c>
      <c r="K5905" s="2">
        <v>45789</v>
      </c>
    </row>
    <row r="5906" spans="1:11" x14ac:dyDescent="0.25">
      <c r="A5906" s="1" t="s">
        <v>963</v>
      </c>
      <c r="B5906" s="1" t="s">
        <v>1698</v>
      </c>
      <c r="C5906" s="1" t="s">
        <v>2102</v>
      </c>
      <c r="D5906" s="1" t="s">
        <v>1998</v>
      </c>
      <c r="E5906" s="1"/>
      <c r="F5906" s="1" t="s">
        <v>11</v>
      </c>
      <c r="G5906">
        <v>405</v>
      </c>
      <c r="H5906">
        <v>405</v>
      </c>
      <c r="I5906" s="2"/>
      <c r="J5906" s="2">
        <v>45789</v>
      </c>
      <c r="K5906" s="2">
        <v>45789</v>
      </c>
    </row>
    <row r="5907" spans="1:11" x14ac:dyDescent="0.25">
      <c r="A5907" s="1" t="s">
        <v>964</v>
      </c>
      <c r="B5907" s="1" t="s">
        <v>1459</v>
      </c>
      <c r="C5907" s="1" t="s">
        <v>2396</v>
      </c>
      <c r="D5907" s="1" t="s">
        <v>1998</v>
      </c>
      <c r="E5907" s="1"/>
      <c r="F5907" s="1" t="s">
        <v>11</v>
      </c>
      <c r="G5907">
        <v>85</v>
      </c>
      <c r="H5907">
        <v>85</v>
      </c>
      <c r="I5907" s="2"/>
      <c r="J5907" s="2">
        <v>45789</v>
      </c>
      <c r="K5907" s="2">
        <v>45789</v>
      </c>
    </row>
    <row r="5908" spans="1:11" x14ac:dyDescent="0.25">
      <c r="A5908" s="1" t="s">
        <v>965</v>
      </c>
      <c r="B5908" s="1" t="s">
        <v>1459</v>
      </c>
      <c r="C5908" s="1" t="s">
        <v>2396</v>
      </c>
      <c r="D5908" s="1" t="s">
        <v>1998</v>
      </c>
      <c r="E5908" s="1"/>
      <c r="F5908" s="1" t="s">
        <v>11</v>
      </c>
      <c r="G5908">
        <v>60</v>
      </c>
      <c r="H5908">
        <v>60</v>
      </c>
      <c r="I5908" s="2"/>
      <c r="J5908" s="2">
        <v>45789</v>
      </c>
      <c r="K5908" s="2">
        <v>45789</v>
      </c>
    </row>
    <row r="5909" spans="1:11" x14ac:dyDescent="0.25">
      <c r="A5909" s="1" t="s">
        <v>965</v>
      </c>
      <c r="B5909" s="1" t="s">
        <v>1460</v>
      </c>
      <c r="C5909" s="1" t="s">
        <v>2397</v>
      </c>
      <c r="D5909" s="1" t="s">
        <v>1998</v>
      </c>
      <c r="E5909" s="1"/>
      <c r="F5909" s="1" t="s">
        <v>11</v>
      </c>
      <c r="G5909">
        <v>10</v>
      </c>
      <c r="H5909">
        <v>1</v>
      </c>
      <c r="I5909" s="2"/>
      <c r="J5909" s="2">
        <v>45789</v>
      </c>
      <c r="K5909" s="2">
        <v>45789</v>
      </c>
    </row>
    <row r="5910" spans="1:11" x14ac:dyDescent="0.25">
      <c r="A5910" s="1" t="s">
        <v>966</v>
      </c>
      <c r="B5910" s="1" t="s">
        <v>1459</v>
      </c>
      <c r="C5910" s="1" t="s">
        <v>2396</v>
      </c>
      <c r="D5910" s="1" t="s">
        <v>1998</v>
      </c>
      <c r="E5910" s="1"/>
      <c r="F5910" s="1" t="s">
        <v>11</v>
      </c>
      <c r="G5910">
        <v>85</v>
      </c>
      <c r="H5910">
        <v>85</v>
      </c>
      <c r="I5910" s="2"/>
      <c r="J5910" s="2">
        <v>45789</v>
      </c>
      <c r="K5910" s="2">
        <v>45789</v>
      </c>
    </row>
    <row r="5911" spans="1:11" x14ac:dyDescent="0.25">
      <c r="A5911" s="1" t="s">
        <v>967</v>
      </c>
      <c r="B5911" s="1" t="s">
        <v>1459</v>
      </c>
      <c r="C5911" s="1" t="s">
        <v>2396</v>
      </c>
      <c r="D5911" s="1" t="s">
        <v>1998</v>
      </c>
      <c r="E5911" s="1"/>
      <c r="F5911" s="1" t="s">
        <v>11</v>
      </c>
      <c r="G5911">
        <v>60</v>
      </c>
      <c r="H5911">
        <v>60</v>
      </c>
      <c r="I5911" s="2"/>
      <c r="J5911" s="2">
        <v>45789</v>
      </c>
      <c r="K5911" s="2">
        <v>45789</v>
      </c>
    </row>
    <row r="5912" spans="1:11" x14ac:dyDescent="0.25">
      <c r="A5912" s="1" t="s">
        <v>967</v>
      </c>
      <c r="B5912" s="1" t="s">
        <v>1460</v>
      </c>
      <c r="C5912" s="1" t="s">
        <v>2397</v>
      </c>
      <c r="D5912" s="1" t="s">
        <v>1998</v>
      </c>
      <c r="E5912" s="1"/>
      <c r="F5912" s="1" t="s">
        <v>11</v>
      </c>
      <c r="G5912">
        <v>10</v>
      </c>
      <c r="H5912">
        <v>1</v>
      </c>
      <c r="I5912" s="2"/>
      <c r="J5912" s="2">
        <v>45789</v>
      </c>
      <c r="K5912" s="2">
        <v>45789</v>
      </c>
    </row>
    <row r="5913" spans="1:11" x14ac:dyDescent="0.25">
      <c r="A5913" s="1" t="s">
        <v>968</v>
      </c>
      <c r="B5913" s="1" t="s">
        <v>1459</v>
      </c>
      <c r="C5913" s="1" t="s">
        <v>2396</v>
      </c>
      <c r="D5913" s="1" t="s">
        <v>1998</v>
      </c>
      <c r="E5913" s="1"/>
      <c r="F5913" s="1" t="s">
        <v>11</v>
      </c>
      <c r="G5913">
        <v>85</v>
      </c>
      <c r="H5913">
        <v>85</v>
      </c>
      <c r="I5913" s="2"/>
      <c r="J5913" s="2">
        <v>45789</v>
      </c>
      <c r="K5913" s="2">
        <v>45789</v>
      </c>
    </row>
    <row r="5914" spans="1:11" x14ac:dyDescent="0.25">
      <c r="A5914" s="1" t="s">
        <v>969</v>
      </c>
      <c r="B5914" s="1" t="s">
        <v>1459</v>
      </c>
      <c r="C5914" s="1" t="s">
        <v>2396</v>
      </c>
      <c r="D5914" s="1" t="s">
        <v>1998</v>
      </c>
      <c r="E5914" s="1"/>
      <c r="F5914" s="1" t="s">
        <v>11</v>
      </c>
      <c r="G5914">
        <v>60</v>
      </c>
      <c r="H5914">
        <v>60</v>
      </c>
      <c r="I5914" s="2"/>
      <c r="J5914" s="2">
        <v>45789</v>
      </c>
      <c r="K5914" s="2">
        <v>45789</v>
      </c>
    </row>
    <row r="5915" spans="1:11" x14ac:dyDescent="0.25">
      <c r="A5915" s="1" t="s">
        <v>969</v>
      </c>
      <c r="B5915" s="1" t="s">
        <v>1460</v>
      </c>
      <c r="C5915" s="1" t="s">
        <v>2397</v>
      </c>
      <c r="D5915" s="1" t="s">
        <v>1998</v>
      </c>
      <c r="E5915" s="1"/>
      <c r="F5915" s="1" t="s">
        <v>11</v>
      </c>
      <c r="G5915">
        <v>10</v>
      </c>
      <c r="H5915">
        <v>1</v>
      </c>
      <c r="I5915" s="2"/>
      <c r="J5915" s="2">
        <v>45789</v>
      </c>
      <c r="K5915" s="2">
        <v>45789</v>
      </c>
    </row>
    <row r="5916" spans="1:11" x14ac:dyDescent="0.25">
      <c r="A5916" s="1" t="s">
        <v>970</v>
      </c>
      <c r="B5916" s="1" t="s">
        <v>1459</v>
      </c>
      <c r="C5916" s="1" t="s">
        <v>2396</v>
      </c>
      <c r="D5916" s="1" t="s">
        <v>1998</v>
      </c>
      <c r="E5916" s="1"/>
      <c r="F5916" s="1" t="s">
        <v>11</v>
      </c>
      <c r="G5916">
        <v>85</v>
      </c>
      <c r="H5916">
        <v>85</v>
      </c>
      <c r="I5916" s="2"/>
      <c r="J5916" s="2">
        <v>45789</v>
      </c>
      <c r="K5916" s="2">
        <v>45789</v>
      </c>
    </row>
    <row r="5917" spans="1:11" x14ac:dyDescent="0.25">
      <c r="A5917" s="1" t="s">
        <v>971</v>
      </c>
      <c r="B5917" s="1" t="s">
        <v>1459</v>
      </c>
      <c r="C5917" s="1" t="s">
        <v>2396</v>
      </c>
      <c r="D5917" s="1" t="s">
        <v>1998</v>
      </c>
      <c r="E5917" s="1"/>
      <c r="F5917" s="1" t="s">
        <v>11</v>
      </c>
      <c r="G5917">
        <v>60</v>
      </c>
      <c r="H5917">
        <v>60</v>
      </c>
      <c r="I5917" s="2"/>
      <c r="J5917" s="2">
        <v>45789</v>
      </c>
      <c r="K5917" s="2">
        <v>45789</v>
      </c>
    </row>
    <row r="5918" spans="1:11" x14ac:dyDescent="0.25">
      <c r="A5918" s="1" t="s">
        <v>971</v>
      </c>
      <c r="B5918" s="1" t="s">
        <v>1460</v>
      </c>
      <c r="C5918" s="1" t="s">
        <v>2397</v>
      </c>
      <c r="D5918" s="1" t="s">
        <v>1998</v>
      </c>
      <c r="E5918" s="1"/>
      <c r="F5918" s="1" t="s">
        <v>11</v>
      </c>
      <c r="G5918">
        <v>10</v>
      </c>
      <c r="H5918">
        <v>1</v>
      </c>
      <c r="I5918" s="2"/>
      <c r="J5918" s="2">
        <v>45789</v>
      </c>
      <c r="K5918" s="2">
        <v>45789</v>
      </c>
    </row>
    <row r="5919" spans="1:11" x14ac:dyDescent="0.25">
      <c r="A5919" s="1" t="s">
        <v>972</v>
      </c>
      <c r="B5919" s="1" t="s">
        <v>1459</v>
      </c>
      <c r="C5919" s="1" t="s">
        <v>2396</v>
      </c>
      <c r="D5919" s="1" t="s">
        <v>1998</v>
      </c>
      <c r="E5919" s="1"/>
      <c r="F5919" s="1" t="s">
        <v>11</v>
      </c>
      <c r="G5919">
        <v>60</v>
      </c>
      <c r="H5919">
        <v>60</v>
      </c>
      <c r="I5919" s="2"/>
      <c r="J5919" s="2">
        <v>45789</v>
      </c>
      <c r="K5919" s="2">
        <v>45789</v>
      </c>
    </row>
    <row r="5920" spans="1:11" x14ac:dyDescent="0.25">
      <c r="A5920" s="1" t="s">
        <v>972</v>
      </c>
      <c r="B5920" s="1" t="s">
        <v>1460</v>
      </c>
      <c r="C5920" s="1" t="s">
        <v>2397</v>
      </c>
      <c r="D5920" s="1" t="s">
        <v>1998</v>
      </c>
      <c r="E5920" s="1"/>
      <c r="F5920" s="1" t="s">
        <v>11</v>
      </c>
      <c r="G5920">
        <v>10</v>
      </c>
      <c r="H5920">
        <v>1</v>
      </c>
      <c r="I5920" s="2"/>
      <c r="J5920" s="2">
        <v>45789</v>
      </c>
      <c r="K5920" s="2">
        <v>45789</v>
      </c>
    </row>
    <row r="5921" spans="1:11" x14ac:dyDescent="0.25">
      <c r="A5921" s="1" t="s">
        <v>973</v>
      </c>
      <c r="B5921" s="1" t="s">
        <v>1989</v>
      </c>
      <c r="C5921" s="1" t="s">
        <v>2346</v>
      </c>
      <c r="D5921" s="1" t="s">
        <v>1998</v>
      </c>
      <c r="E5921" s="1"/>
      <c r="F5921" s="1" t="s">
        <v>11</v>
      </c>
      <c r="G5921">
        <v>2670</v>
      </c>
      <c r="H5921">
        <v>2670</v>
      </c>
      <c r="I5921" s="2"/>
      <c r="J5921" s="2">
        <v>45789</v>
      </c>
      <c r="K5921" s="2">
        <v>45789</v>
      </c>
    </row>
    <row r="5922" spans="1:11" x14ac:dyDescent="0.25">
      <c r="A5922" s="1" t="s">
        <v>973</v>
      </c>
      <c r="B5922" s="1" t="s">
        <v>1990</v>
      </c>
      <c r="C5922" s="1" t="s">
        <v>2124</v>
      </c>
      <c r="D5922" s="1" t="s">
        <v>1998</v>
      </c>
      <c r="E5922" s="1"/>
      <c r="F5922" s="1" t="s">
        <v>11</v>
      </c>
      <c r="G5922">
        <v>1435</v>
      </c>
      <c r="H5922">
        <v>1435</v>
      </c>
      <c r="I5922" s="2"/>
      <c r="J5922" s="2">
        <v>45789</v>
      </c>
      <c r="K5922" s="2">
        <v>45789</v>
      </c>
    </row>
    <row r="5923" spans="1:11" x14ac:dyDescent="0.25">
      <c r="A5923" s="1" t="s">
        <v>973</v>
      </c>
      <c r="B5923" s="1" t="s">
        <v>1991</v>
      </c>
      <c r="C5923" s="1" t="s">
        <v>2805</v>
      </c>
      <c r="D5923" s="1" t="s">
        <v>1998</v>
      </c>
      <c r="E5923" s="1"/>
      <c r="F5923" s="1" t="s">
        <v>11</v>
      </c>
      <c r="G5923">
        <v>30</v>
      </c>
      <c r="H5923">
        <v>30</v>
      </c>
      <c r="I5923" s="2"/>
      <c r="J5923" s="2">
        <v>45789</v>
      </c>
      <c r="K5923" s="2">
        <v>45789</v>
      </c>
    </row>
    <row r="5924" spans="1:11" x14ac:dyDescent="0.25">
      <c r="A5924" s="1" t="s">
        <v>973</v>
      </c>
      <c r="B5924" s="1" t="s">
        <v>1992</v>
      </c>
      <c r="C5924" s="1" t="s">
        <v>2127</v>
      </c>
      <c r="D5924" s="1" t="s">
        <v>1998</v>
      </c>
      <c r="E5924" s="1"/>
      <c r="F5924" s="1" t="s">
        <v>11</v>
      </c>
      <c r="G5924">
        <v>840</v>
      </c>
      <c r="H5924">
        <v>840</v>
      </c>
      <c r="I5924" s="2"/>
      <c r="J5924" s="2">
        <v>45789</v>
      </c>
      <c r="K5924" s="2">
        <v>45789</v>
      </c>
    </row>
    <row r="5925" spans="1:11" x14ac:dyDescent="0.25">
      <c r="A5925" s="1" t="s">
        <v>974</v>
      </c>
      <c r="B5925" s="1" t="s">
        <v>1459</v>
      </c>
      <c r="C5925" s="1" t="s">
        <v>2396</v>
      </c>
      <c r="D5925" s="1" t="s">
        <v>1998</v>
      </c>
      <c r="E5925" s="1"/>
      <c r="F5925" s="1" t="s">
        <v>11</v>
      </c>
      <c r="G5925">
        <v>60</v>
      </c>
      <c r="H5925">
        <v>60</v>
      </c>
      <c r="I5925" s="2"/>
      <c r="J5925" s="2">
        <v>45789</v>
      </c>
      <c r="K5925" s="2">
        <v>45789</v>
      </c>
    </row>
    <row r="5926" spans="1:11" x14ac:dyDescent="0.25">
      <c r="A5926" s="1" t="s">
        <v>974</v>
      </c>
      <c r="B5926" s="1" t="s">
        <v>1460</v>
      </c>
      <c r="C5926" s="1" t="s">
        <v>2397</v>
      </c>
      <c r="D5926" s="1" t="s">
        <v>1998</v>
      </c>
      <c r="E5926" s="1"/>
      <c r="F5926" s="1" t="s">
        <v>11</v>
      </c>
      <c r="G5926">
        <v>10</v>
      </c>
      <c r="H5926">
        <v>1</v>
      </c>
      <c r="I5926" s="2"/>
      <c r="J5926" s="2">
        <v>45789</v>
      </c>
      <c r="K5926" s="2">
        <v>45789</v>
      </c>
    </row>
    <row r="5927" spans="1:11" x14ac:dyDescent="0.25">
      <c r="A5927" s="1" t="s">
        <v>975</v>
      </c>
      <c r="B5927" s="1" t="s">
        <v>1459</v>
      </c>
      <c r="C5927" s="1" t="s">
        <v>2396</v>
      </c>
      <c r="D5927" s="1" t="s">
        <v>1998</v>
      </c>
      <c r="E5927" s="1"/>
      <c r="F5927" s="1" t="s">
        <v>11</v>
      </c>
      <c r="G5927">
        <v>85</v>
      </c>
      <c r="H5927">
        <v>85</v>
      </c>
      <c r="I5927" s="2"/>
      <c r="J5927" s="2">
        <v>45789</v>
      </c>
      <c r="K5927" s="2">
        <v>45789</v>
      </c>
    </row>
    <row r="5928" spans="1:11" x14ac:dyDescent="0.25">
      <c r="A5928" s="1" t="s">
        <v>976</v>
      </c>
      <c r="B5928" s="1" t="s">
        <v>1904</v>
      </c>
      <c r="C5928" s="1" t="s">
        <v>2744</v>
      </c>
      <c r="D5928" s="1" t="s">
        <v>1998</v>
      </c>
      <c r="E5928" s="1"/>
      <c r="F5928" s="1" t="s">
        <v>11</v>
      </c>
      <c r="G5928">
        <v>1560</v>
      </c>
      <c r="H5928">
        <v>1560</v>
      </c>
      <c r="I5928" s="2"/>
      <c r="J5928" s="2">
        <v>45789</v>
      </c>
      <c r="K5928" s="2">
        <v>45789</v>
      </c>
    </row>
    <row r="5929" spans="1:11" x14ac:dyDescent="0.25">
      <c r="A5929" s="1" t="s">
        <v>976</v>
      </c>
      <c r="B5929" s="1" t="s">
        <v>1905</v>
      </c>
      <c r="C5929" s="1" t="s">
        <v>2745</v>
      </c>
      <c r="D5929" s="1" t="s">
        <v>1998</v>
      </c>
      <c r="E5929" s="1"/>
      <c r="F5929" s="1" t="s">
        <v>11</v>
      </c>
      <c r="G5929">
        <v>390</v>
      </c>
      <c r="H5929">
        <v>390</v>
      </c>
      <c r="I5929" s="2"/>
      <c r="J5929" s="2">
        <v>45789</v>
      </c>
      <c r="K5929" s="2">
        <v>45789</v>
      </c>
    </row>
    <row r="5930" spans="1:11" x14ac:dyDescent="0.25">
      <c r="A5930" s="1" t="s">
        <v>976</v>
      </c>
      <c r="B5930" s="1" t="s">
        <v>1906</v>
      </c>
      <c r="C5930" s="1" t="s">
        <v>2746</v>
      </c>
      <c r="D5930" s="1" t="s">
        <v>1998</v>
      </c>
      <c r="E5930" s="1"/>
      <c r="F5930" s="1" t="s">
        <v>11</v>
      </c>
      <c r="G5930">
        <v>40</v>
      </c>
      <c r="H5930">
        <v>40</v>
      </c>
      <c r="I5930" s="2"/>
      <c r="J5930" s="2">
        <v>45789</v>
      </c>
      <c r="K5930" s="2">
        <v>45789</v>
      </c>
    </row>
    <row r="5931" spans="1:11" x14ac:dyDescent="0.25">
      <c r="A5931" s="1" t="s">
        <v>976</v>
      </c>
      <c r="B5931" s="1" t="s">
        <v>1993</v>
      </c>
      <c r="C5931" s="1" t="s">
        <v>2747</v>
      </c>
      <c r="D5931" s="1" t="s">
        <v>1998</v>
      </c>
      <c r="E5931" s="1"/>
      <c r="F5931" s="1" t="s">
        <v>11</v>
      </c>
      <c r="G5931">
        <v>8080</v>
      </c>
      <c r="H5931">
        <v>8080</v>
      </c>
      <c r="I5931" s="2"/>
      <c r="J5931" s="2">
        <v>45789</v>
      </c>
      <c r="K5931" s="2">
        <v>45789</v>
      </c>
    </row>
    <row r="5932" spans="1:11" x14ac:dyDescent="0.25">
      <c r="A5932" s="1" t="s">
        <v>976</v>
      </c>
      <c r="B5932" s="1" t="s">
        <v>1994</v>
      </c>
      <c r="C5932" s="1" t="s">
        <v>2806</v>
      </c>
      <c r="D5932" s="1" t="s">
        <v>1998</v>
      </c>
      <c r="E5932" s="1"/>
      <c r="F5932" s="1" t="s">
        <v>11</v>
      </c>
      <c r="G5932">
        <v>825</v>
      </c>
      <c r="H5932">
        <v>825</v>
      </c>
      <c r="I5932" s="2"/>
      <c r="J5932" s="2">
        <v>45789</v>
      </c>
      <c r="K5932" s="2">
        <v>45789</v>
      </c>
    </row>
    <row r="5933" spans="1:11" x14ac:dyDescent="0.25">
      <c r="A5933" s="1" t="s">
        <v>976</v>
      </c>
      <c r="B5933" s="1" t="s">
        <v>1995</v>
      </c>
      <c r="C5933" s="1" t="s">
        <v>2806</v>
      </c>
      <c r="D5933" s="1" t="s">
        <v>1998</v>
      </c>
      <c r="E5933" s="1"/>
      <c r="F5933" s="1" t="s">
        <v>11</v>
      </c>
      <c r="G5933">
        <v>1525</v>
      </c>
      <c r="H5933">
        <v>1525</v>
      </c>
      <c r="I5933" s="2"/>
      <c r="J5933" s="2">
        <v>45789</v>
      </c>
      <c r="K5933" s="2">
        <v>45789</v>
      </c>
    </row>
    <row r="5934" spans="1:11" x14ac:dyDescent="0.25">
      <c r="A5934" s="1" t="s">
        <v>976</v>
      </c>
      <c r="B5934" s="1" t="s">
        <v>1910</v>
      </c>
      <c r="C5934" s="1" t="s">
        <v>2750</v>
      </c>
      <c r="D5934" s="1" t="s">
        <v>1998</v>
      </c>
      <c r="E5934" s="1"/>
      <c r="F5934" s="1" t="s">
        <v>11</v>
      </c>
      <c r="G5934">
        <v>390</v>
      </c>
      <c r="H5934">
        <v>390</v>
      </c>
      <c r="I5934" s="2"/>
      <c r="J5934" s="2">
        <v>45789</v>
      </c>
      <c r="K5934" s="2">
        <v>45789</v>
      </c>
    </row>
    <row r="5935" spans="1:11" x14ac:dyDescent="0.25">
      <c r="A5935" s="1" t="s">
        <v>977</v>
      </c>
      <c r="B5935" s="1" t="s">
        <v>1459</v>
      </c>
      <c r="C5935" s="1" t="s">
        <v>2396</v>
      </c>
      <c r="D5935" s="1" t="s">
        <v>1998</v>
      </c>
      <c r="E5935" s="1"/>
      <c r="F5935" s="1" t="s">
        <v>11</v>
      </c>
      <c r="G5935">
        <v>85</v>
      </c>
      <c r="H5935">
        <v>85</v>
      </c>
      <c r="I5935" s="2"/>
      <c r="J5935" s="2">
        <v>45789</v>
      </c>
      <c r="K5935" s="2">
        <v>45789</v>
      </c>
    </row>
    <row r="5936" spans="1:11" x14ac:dyDescent="0.25">
      <c r="A5936" s="1" t="s">
        <v>978</v>
      </c>
      <c r="B5936" s="1" t="s">
        <v>1996</v>
      </c>
      <c r="C5936" s="1" t="s">
        <v>2807</v>
      </c>
      <c r="D5936" s="1" t="s">
        <v>1998</v>
      </c>
      <c r="E5936" s="1"/>
      <c r="F5936" s="1" t="s">
        <v>11</v>
      </c>
      <c r="G5936">
        <v>45</v>
      </c>
      <c r="H5936">
        <v>1</v>
      </c>
      <c r="I5936" s="2"/>
      <c r="J5936" s="2">
        <v>45789</v>
      </c>
      <c r="K5936" s="2">
        <v>45789</v>
      </c>
    </row>
    <row r="5937" spans="1:11" x14ac:dyDescent="0.25">
      <c r="A5937" s="1" t="s">
        <v>978</v>
      </c>
      <c r="B5937" s="1" t="s">
        <v>1997</v>
      </c>
      <c r="C5937" s="1" t="s">
        <v>2223</v>
      </c>
      <c r="D5937" s="1" t="s">
        <v>1998</v>
      </c>
      <c r="E5937" s="1"/>
      <c r="F5937" s="1" t="s">
        <v>11</v>
      </c>
      <c r="G5937">
        <v>7890</v>
      </c>
      <c r="H5937">
        <v>7890</v>
      </c>
      <c r="I5937" s="2"/>
      <c r="J5937" s="2">
        <v>45789</v>
      </c>
      <c r="K5937" s="2">
        <v>45789</v>
      </c>
    </row>
    <row r="5938" spans="1:11" x14ac:dyDescent="0.25">
      <c r="A5938" s="1" t="s">
        <v>979</v>
      </c>
      <c r="B5938" s="1" t="s">
        <v>1016</v>
      </c>
      <c r="C5938" s="1" t="s">
        <v>2033</v>
      </c>
      <c r="D5938" s="1" t="s">
        <v>1998</v>
      </c>
      <c r="E5938" s="1"/>
      <c r="F5938" s="1" t="s">
        <v>11</v>
      </c>
      <c r="G5938">
        <v>75</v>
      </c>
      <c r="H5938">
        <v>1</v>
      </c>
      <c r="I5938" s="2"/>
      <c r="J5938" s="2">
        <v>45789</v>
      </c>
      <c r="K5938" s="2">
        <v>45789</v>
      </c>
    </row>
    <row r="5939" spans="1:11" x14ac:dyDescent="0.25">
      <c r="A5939" s="1" t="s">
        <v>979</v>
      </c>
      <c r="B5939" s="1" t="s">
        <v>1017</v>
      </c>
      <c r="C5939" s="1" t="s">
        <v>2034</v>
      </c>
      <c r="D5939" s="1" t="s">
        <v>1998</v>
      </c>
      <c r="E5939" s="1"/>
      <c r="F5939" s="1" t="s">
        <v>11</v>
      </c>
      <c r="G5939">
        <v>200</v>
      </c>
      <c r="H5939">
        <v>200</v>
      </c>
      <c r="I5939" s="2"/>
      <c r="J5939" s="2">
        <v>45789</v>
      </c>
      <c r="K5939" s="2">
        <v>45789</v>
      </c>
    </row>
    <row r="5940" spans="1:11" x14ac:dyDescent="0.25">
      <c r="A5940" s="1" t="s">
        <v>979</v>
      </c>
      <c r="B5940" s="1" t="s">
        <v>1018</v>
      </c>
      <c r="C5940" s="1" t="s">
        <v>2035</v>
      </c>
      <c r="D5940" s="1" t="s">
        <v>1998</v>
      </c>
      <c r="E5940" s="1"/>
      <c r="F5940" s="1" t="s">
        <v>11</v>
      </c>
      <c r="G5940">
        <v>885</v>
      </c>
      <c r="H5940">
        <v>1</v>
      </c>
      <c r="I5940" s="2"/>
      <c r="J5940" s="2">
        <v>45789</v>
      </c>
      <c r="K5940" s="2">
        <v>45789</v>
      </c>
    </row>
    <row r="5941" spans="1:11" x14ac:dyDescent="0.25">
      <c r="A5941" s="1" t="s">
        <v>979</v>
      </c>
      <c r="B5941" s="1" t="s">
        <v>999</v>
      </c>
      <c r="C5941" s="1" t="s">
        <v>2017</v>
      </c>
      <c r="D5941" s="1" t="s">
        <v>1998</v>
      </c>
      <c r="E5941" s="1"/>
      <c r="F5941" s="1" t="s">
        <v>11</v>
      </c>
      <c r="G5941">
        <v>1</v>
      </c>
      <c r="H5941">
        <v>1</v>
      </c>
      <c r="I5941" s="2"/>
      <c r="J5941" s="2">
        <v>45789</v>
      </c>
      <c r="K5941" s="2">
        <v>45789</v>
      </c>
    </row>
    <row r="5942" spans="1:11" x14ac:dyDescent="0.25">
      <c r="A5942" s="1" t="s">
        <v>979</v>
      </c>
      <c r="B5942" s="1" t="s">
        <v>1000</v>
      </c>
      <c r="C5942" s="1" t="s">
        <v>2018</v>
      </c>
      <c r="D5942" s="1" t="s">
        <v>1998</v>
      </c>
      <c r="E5942" s="1"/>
      <c r="F5942" s="1" t="s">
        <v>11</v>
      </c>
      <c r="G5942">
        <v>5</v>
      </c>
      <c r="H5942">
        <v>1</v>
      </c>
      <c r="I5942" s="2"/>
      <c r="J5942" s="2">
        <v>45789</v>
      </c>
      <c r="K5942" s="2">
        <v>45789</v>
      </c>
    </row>
    <row r="5943" spans="1:11" x14ac:dyDescent="0.25">
      <c r="A5943" s="1" t="s">
        <v>979</v>
      </c>
      <c r="B5943" s="1" t="s">
        <v>1001</v>
      </c>
      <c r="C5943" s="1" t="s">
        <v>2019</v>
      </c>
      <c r="D5943" s="1" t="s">
        <v>1998</v>
      </c>
      <c r="E5943" s="1"/>
      <c r="F5943" s="1" t="s">
        <v>11</v>
      </c>
      <c r="G5943">
        <v>5</v>
      </c>
      <c r="H5943">
        <v>1</v>
      </c>
      <c r="I5943" s="2"/>
      <c r="J5943" s="2">
        <v>45789</v>
      </c>
      <c r="K5943" s="2">
        <v>45789</v>
      </c>
    </row>
    <row r="5944" spans="1:11" x14ac:dyDescent="0.25">
      <c r="A5944" s="1" t="s">
        <v>979</v>
      </c>
      <c r="B5944" s="1" t="s">
        <v>1019</v>
      </c>
      <c r="C5944" s="1" t="s">
        <v>2036</v>
      </c>
      <c r="D5944" s="1" t="s">
        <v>1998</v>
      </c>
      <c r="E5944" s="1"/>
      <c r="F5944" s="1" t="s">
        <v>11</v>
      </c>
      <c r="G5944">
        <v>3135</v>
      </c>
      <c r="H5944">
        <v>3135</v>
      </c>
      <c r="I5944" s="2"/>
      <c r="J5944" s="2">
        <v>45789</v>
      </c>
      <c r="K5944" s="2">
        <v>45789</v>
      </c>
    </row>
    <row r="5945" spans="1:11" x14ac:dyDescent="0.25">
      <c r="A5945" s="1" t="s">
        <v>979</v>
      </c>
      <c r="B5945" s="1" t="s">
        <v>1020</v>
      </c>
      <c r="C5945" s="1" t="s">
        <v>2037</v>
      </c>
      <c r="D5945" s="1" t="s">
        <v>1998</v>
      </c>
      <c r="E5945" s="1"/>
      <c r="F5945" s="1" t="s">
        <v>11</v>
      </c>
      <c r="G5945">
        <v>8375</v>
      </c>
      <c r="H5945">
        <v>8375</v>
      </c>
      <c r="I5945" s="2"/>
      <c r="J5945" s="2">
        <v>45789</v>
      </c>
      <c r="K5945" s="2">
        <v>45789</v>
      </c>
    </row>
    <row r="5946" spans="1:11" x14ac:dyDescent="0.25">
      <c r="A5946" s="1" t="s">
        <v>980</v>
      </c>
      <c r="B5946" s="1" t="s">
        <v>1021</v>
      </c>
      <c r="C5946" s="1" t="s">
        <v>2038</v>
      </c>
      <c r="D5946" s="1" t="s">
        <v>1998</v>
      </c>
      <c r="E5946" s="1"/>
      <c r="F5946" s="1" t="s">
        <v>11</v>
      </c>
      <c r="G5946">
        <v>17915</v>
      </c>
      <c r="H5946">
        <v>17915</v>
      </c>
      <c r="I5946" s="2"/>
      <c r="J5946" s="2">
        <v>45789</v>
      </c>
      <c r="K5946" s="2">
        <v>45789</v>
      </c>
    </row>
    <row r="5947" spans="1:11" x14ac:dyDescent="0.25">
      <c r="A5947" s="1" t="s">
        <v>980</v>
      </c>
      <c r="B5947" s="1" t="s">
        <v>1022</v>
      </c>
      <c r="C5947" s="1" t="s">
        <v>2039</v>
      </c>
      <c r="D5947" s="1" t="s">
        <v>1998</v>
      </c>
      <c r="E5947" s="1"/>
      <c r="F5947" s="1" t="s">
        <v>11</v>
      </c>
      <c r="G5947">
        <v>16490</v>
      </c>
      <c r="H5947">
        <v>16490</v>
      </c>
      <c r="I5947" s="2"/>
      <c r="J5947" s="2">
        <v>45789</v>
      </c>
      <c r="K5947" s="2">
        <v>45789</v>
      </c>
    </row>
    <row r="5948" spans="1:11" x14ac:dyDescent="0.25">
      <c r="A5948" s="1" t="s">
        <v>980</v>
      </c>
      <c r="B5948" s="1" t="s">
        <v>1173</v>
      </c>
      <c r="C5948" s="1" t="s">
        <v>2167</v>
      </c>
      <c r="D5948" s="1" t="s">
        <v>1998</v>
      </c>
      <c r="E5948" s="1"/>
      <c r="F5948" s="1" t="s">
        <v>11</v>
      </c>
      <c r="G5948">
        <v>415</v>
      </c>
      <c r="H5948">
        <v>1</v>
      </c>
      <c r="I5948" s="2"/>
      <c r="J5948" s="2">
        <v>45789</v>
      </c>
      <c r="K5948" s="2">
        <v>45789</v>
      </c>
    </row>
    <row r="5949" spans="1:11" x14ac:dyDescent="0.25">
      <c r="A5949" s="1" t="s">
        <v>980</v>
      </c>
      <c r="B5949" s="1" t="s">
        <v>999</v>
      </c>
      <c r="C5949" s="1" t="s">
        <v>2017</v>
      </c>
      <c r="D5949" s="1" t="s">
        <v>1998</v>
      </c>
      <c r="E5949" s="1"/>
      <c r="F5949" s="1" t="s">
        <v>11</v>
      </c>
      <c r="G5949">
        <v>1</v>
      </c>
      <c r="H5949">
        <v>1</v>
      </c>
      <c r="I5949" s="2"/>
      <c r="J5949" s="2">
        <v>45789</v>
      </c>
      <c r="K5949" s="2">
        <v>45789</v>
      </c>
    </row>
    <row r="5950" spans="1:11" x14ac:dyDescent="0.25">
      <c r="A5950" s="1" t="s">
        <v>980</v>
      </c>
      <c r="B5950" s="1" t="s">
        <v>1000</v>
      </c>
      <c r="C5950" s="1" t="s">
        <v>2018</v>
      </c>
      <c r="D5950" s="1" t="s">
        <v>1998</v>
      </c>
      <c r="E5950" s="1"/>
      <c r="F5950" s="1" t="s">
        <v>11</v>
      </c>
      <c r="G5950">
        <v>1</v>
      </c>
      <c r="H5950">
        <v>1</v>
      </c>
      <c r="I5950" s="2"/>
      <c r="J5950" s="2">
        <v>45789</v>
      </c>
      <c r="K5950" s="2">
        <v>45789</v>
      </c>
    </row>
    <row r="5951" spans="1:11" x14ac:dyDescent="0.25">
      <c r="A5951" s="1" t="s">
        <v>980</v>
      </c>
      <c r="B5951" s="1" t="s">
        <v>1001</v>
      </c>
      <c r="C5951" s="1" t="s">
        <v>2019</v>
      </c>
      <c r="D5951" s="1" t="s">
        <v>1998</v>
      </c>
      <c r="E5951" s="1"/>
      <c r="F5951" s="1" t="s">
        <v>11</v>
      </c>
      <c r="G5951">
        <v>1</v>
      </c>
      <c r="H5951">
        <v>1</v>
      </c>
      <c r="I5951" s="2"/>
      <c r="J5951" s="2">
        <v>45789</v>
      </c>
      <c r="K5951" s="2">
        <v>45789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93391-6179-4772-AB5E-7C1052C24EA1}">
  <dimension ref="A1:N695"/>
  <sheetViews>
    <sheetView workbookViewId="0">
      <selection activeCell="H162" sqref="H162"/>
    </sheetView>
  </sheetViews>
  <sheetFormatPr defaultRowHeight="15" x14ac:dyDescent="0.25"/>
  <cols>
    <col min="1" max="1" width="11.140625" style="5" bestFit="1" customWidth="1"/>
    <col min="2" max="2" width="17.42578125" style="5" bestFit="1" customWidth="1"/>
    <col min="3" max="3" width="11.140625" style="5" customWidth="1"/>
    <col min="4" max="4" width="17.42578125" style="6" bestFit="1" customWidth="1"/>
    <col min="5" max="5" width="16.7109375" style="5" bestFit="1" customWidth="1"/>
    <col min="6" max="6" width="20.5703125" style="10" bestFit="1" customWidth="1"/>
    <col min="7" max="7" width="18.85546875" style="10" bestFit="1" customWidth="1"/>
    <col min="8" max="8" width="20.85546875" style="10" bestFit="1" customWidth="1"/>
    <col min="9" max="9" width="19.85546875" style="11" bestFit="1" customWidth="1"/>
    <col min="10" max="10" width="15.7109375" style="11" bestFit="1" customWidth="1"/>
    <col min="11" max="11" width="21.85546875" style="11" bestFit="1" customWidth="1"/>
    <col min="12" max="12" width="20.5703125" bestFit="1" customWidth="1"/>
    <col min="13" max="13" width="17.85546875" bestFit="1" customWidth="1"/>
    <col min="14" max="14" width="15.7109375" bestFit="1" customWidth="1"/>
  </cols>
  <sheetData>
    <row r="1" spans="1:14" ht="15.75" x14ac:dyDescent="0.25">
      <c r="A1" s="3" t="s">
        <v>61</v>
      </c>
      <c r="B1" s="3" t="s">
        <v>62</v>
      </c>
      <c r="C1" s="3" t="s">
        <v>63</v>
      </c>
      <c r="D1" s="4" t="s">
        <v>64</v>
      </c>
      <c r="E1" s="3" t="s">
        <v>65</v>
      </c>
      <c r="F1" s="8" t="s">
        <v>66</v>
      </c>
      <c r="G1" s="8" t="s">
        <v>67</v>
      </c>
      <c r="H1" s="8" t="s">
        <v>68</v>
      </c>
      <c r="I1" s="9" t="s">
        <v>69</v>
      </c>
      <c r="J1" s="9" t="s">
        <v>70</v>
      </c>
      <c r="K1" s="9" t="s">
        <v>71</v>
      </c>
      <c r="L1" s="36" t="s">
        <v>96</v>
      </c>
      <c r="M1" s="36" t="s">
        <v>97</v>
      </c>
      <c r="N1" s="36" t="s">
        <v>98</v>
      </c>
    </row>
    <row r="2" spans="1:14" x14ac:dyDescent="0.25">
      <c r="A2" s="5" t="str" cm="1">
        <f t="array" ref="A2:A153">_xlfn.UNIQUE(_xlfn._xlws.FILTER(MOs_Ready_to_close[Order], (MOs_Ready_to_close[Order]&lt;&gt;0) ))</f>
        <v>MO10600</v>
      </c>
      <c r="B2" s="5" t="str">
        <f>_xlfn.IFNA(VLOOKUP(A2, MOs_Ready_to_close[[Order]:[Tot Est Machine Hrs]], 2, FALSE), "")</f>
        <v>Item1126</v>
      </c>
      <c r="C2" s="5" t="str">
        <f>_xlfn.IFNA(VLOOKUP(A2, MOs_Ready_to_close[[Order]:[Tot Est Machine Hrs]], 4, FALSE), "")</f>
        <v>DeptA</v>
      </c>
      <c r="D2" s="6">
        <f>_xlfn.IFNA(VLOOKUP(A2, MOs_Ready_to_close[[Order]:[Tot Est Machine Hrs]], 8, FALSE), "")</f>
        <v>45782</v>
      </c>
      <c r="E2" s="7">
        <f>_xlfn.IFNA(VLOOKUP(A2, MOs_Ready_to_close[[Order]:[Tot Est Machine Hrs]], 9, FALSE), "")</f>
        <v>410</v>
      </c>
      <c r="F2" s="10">
        <f>SUMIF(MO_Operations[ORDER], Calculations!A2, MO_Operations[Standard Labor Hrs] )</f>
        <v>0</v>
      </c>
      <c r="G2" s="10">
        <f>SUMIF(MO_Operations[ORDER], Calculations!A2, MO_Operations[Total Act Labor Hrs] )</f>
        <v>0</v>
      </c>
      <c r="H2" s="10">
        <f>-SUMIF(MO_Operations[ORDER], Calculations!A2, MO_Operations[Total Cost Variance] )</f>
        <v>0</v>
      </c>
      <c r="I2" s="11">
        <f>SUMIF(MO_Components[Order], Calculations!A2, MO_Components[Std Cost])</f>
        <v>1810</v>
      </c>
      <c r="J2" s="11">
        <f>SUMIF(MO_Components[Order], Calculations!A2, MO_Components[Act Cost])</f>
        <v>1810</v>
      </c>
      <c r="K2" s="11">
        <f>J2-I2</f>
        <v>0</v>
      </c>
      <c r="L2" t="str">
        <f>IF(E2&lt;&gt;"", IF(E2&gt;0, "Positive", "Negative"), "")</f>
        <v>Positive</v>
      </c>
      <c r="M2" t="str">
        <f>IF(H2&lt;&gt;0, IF(H2&gt;0, "Positive", "Negative"), "")</f>
        <v/>
      </c>
      <c r="N2" t="str">
        <f>IF(K2&lt;&gt;0, IF(K2&gt;0, "Positive", "Negative"), "")</f>
        <v/>
      </c>
    </row>
    <row r="3" spans="1:14" x14ac:dyDescent="0.25">
      <c r="A3" s="5" t="str">
        <v>MO10630</v>
      </c>
      <c r="B3" s="5" t="str">
        <f>_xlfn.IFNA(VLOOKUP(A3, MOs_Ready_to_close[[Order]:[Tot Est Machine Hrs]], 2, FALSE), "")</f>
        <v>Item1127</v>
      </c>
      <c r="C3" s="5" t="str">
        <f>_xlfn.IFNA(VLOOKUP(A3, MOs_Ready_to_close[[Order]:[Tot Est Machine Hrs]], 4, FALSE), "")</f>
        <v>DeptA</v>
      </c>
      <c r="D3" s="6">
        <f>_xlfn.IFNA(VLOOKUP(A3, MOs_Ready_to_close[[Order]:[Tot Est Machine Hrs]], 8, FALSE), "")</f>
        <v>45782</v>
      </c>
      <c r="E3" s="7">
        <f>_xlfn.IFNA(VLOOKUP(A3, MOs_Ready_to_close[[Order]:[Tot Est Machine Hrs]], 9, FALSE), "")</f>
        <v>20</v>
      </c>
      <c r="F3" s="10">
        <f>SUMIF(MO_Operations[ORDER], Calculations!A3, MO_Operations[Standard Labor Hrs] )</f>
        <v>1.1000000000000001</v>
      </c>
      <c r="G3" s="10">
        <f>SUMIF(MO_Operations[ORDER], Calculations!A3, MO_Operations[Total Act Labor Hrs] )</f>
        <v>0</v>
      </c>
      <c r="H3" s="10">
        <f>-SUMIF(MO_Operations[ORDER], Calculations!A3, MO_Operations[Total Cost Variance] )</f>
        <v>-55</v>
      </c>
      <c r="I3" s="11">
        <f>SUMIF(MO_Components[Order], Calculations!A3, MO_Components[Std Cost])</f>
        <v>13</v>
      </c>
      <c r="J3" s="11">
        <f>SUMIF(MO_Components[Order], Calculations!A3, MO_Components[Act Cost])</f>
        <v>13</v>
      </c>
      <c r="K3" s="11">
        <f t="shared" ref="K3:K66" si="0">J3-I3</f>
        <v>0</v>
      </c>
      <c r="L3" t="str">
        <f t="shared" ref="L3:L66" si="1">IF(E3&lt;&gt;"", IF(E3&gt;0, "Positive", "Negative"), "")</f>
        <v>Positive</v>
      </c>
      <c r="M3" t="str">
        <f t="shared" ref="M3:M66" si="2">IF(H3&lt;&gt;0, IF(H3&gt;0, "Positive", "Negative"), "")</f>
        <v>Negative</v>
      </c>
      <c r="N3" t="str">
        <f t="shared" ref="N3:N66" si="3">IF(K3&lt;&gt;0, IF(K3&gt;0, "Positive", "Negative"), "")</f>
        <v/>
      </c>
    </row>
    <row r="4" spans="1:14" x14ac:dyDescent="0.25">
      <c r="A4" s="5" t="str">
        <v>MO10670</v>
      </c>
      <c r="B4" s="5" t="str">
        <f>_xlfn.IFNA(VLOOKUP(A4, MOs_Ready_to_close[[Order]:[Tot Est Machine Hrs]], 2, FALSE), "")</f>
        <v>Item1128</v>
      </c>
      <c r="C4" s="5" t="str">
        <f>_xlfn.IFNA(VLOOKUP(A4, MOs_Ready_to_close[[Order]:[Tot Est Machine Hrs]], 4, FALSE), "")</f>
        <v>DeptA</v>
      </c>
      <c r="D4" s="6">
        <f>_xlfn.IFNA(VLOOKUP(A4, MOs_Ready_to_close[[Order]:[Tot Est Machine Hrs]], 8, FALSE), "")</f>
        <v>45782</v>
      </c>
      <c r="E4" s="7">
        <f>_xlfn.IFNA(VLOOKUP(A4, MOs_Ready_to_close[[Order]:[Tot Est Machine Hrs]], 9, FALSE), "")</f>
        <v>15</v>
      </c>
      <c r="F4" s="10">
        <f>SUMIF(MO_Operations[ORDER], Calculations!A4, MO_Operations[Standard Labor Hrs] )</f>
        <v>4</v>
      </c>
      <c r="G4" s="10">
        <f>SUMIF(MO_Operations[ORDER], Calculations!A4, MO_Operations[Total Act Labor Hrs] )</f>
        <v>0</v>
      </c>
      <c r="H4" s="10">
        <f>-SUMIF(MO_Operations[ORDER], Calculations!A4, MO_Operations[Total Cost Variance] )</f>
        <v>-210</v>
      </c>
      <c r="I4" s="11">
        <f>SUMIF(MO_Components[Order], Calculations!A4, MO_Components[Std Cost])</f>
        <v>5</v>
      </c>
      <c r="J4" s="11">
        <f>SUMIF(MO_Components[Order], Calculations!A4, MO_Components[Act Cost])</f>
        <v>5</v>
      </c>
      <c r="K4" s="11">
        <f t="shared" si="0"/>
        <v>0</v>
      </c>
      <c r="L4" t="str">
        <f t="shared" si="1"/>
        <v>Positive</v>
      </c>
      <c r="M4" t="str">
        <f t="shared" si="2"/>
        <v>Negative</v>
      </c>
      <c r="N4" t="str">
        <f t="shared" si="3"/>
        <v/>
      </c>
    </row>
    <row r="5" spans="1:14" x14ac:dyDescent="0.25">
      <c r="A5" s="5" t="str">
        <v>MO10690</v>
      </c>
      <c r="B5" s="5" t="str">
        <f>_xlfn.IFNA(VLOOKUP(A5, MOs_Ready_to_close[[Order]:[Tot Est Machine Hrs]], 2, FALSE), "")</f>
        <v>Item1129</v>
      </c>
      <c r="C5" s="5" t="str">
        <f>_xlfn.IFNA(VLOOKUP(A5, MOs_Ready_to_close[[Order]:[Tot Est Machine Hrs]], 4, FALSE), "")</f>
        <v>DeptA</v>
      </c>
      <c r="D5" s="6">
        <f>_xlfn.IFNA(VLOOKUP(A5, MOs_Ready_to_close[[Order]:[Tot Est Machine Hrs]], 8, FALSE), "")</f>
        <v>45782</v>
      </c>
      <c r="E5" s="7">
        <f>_xlfn.IFNA(VLOOKUP(A5, MOs_Ready_to_close[[Order]:[Tot Est Machine Hrs]], 9, FALSE), "")</f>
        <v>470</v>
      </c>
      <c r="F5" s="10">
        <f>SUMIF(MO_Operations[ORDER], Calculations!A5, MO_Operations[Standard Labor Hrs] )</f>
        <v>3.9</v>
      </c>
      <c r="G5" s="10">
        <f>SUMIF(MO_Operations[ORDER], Calculations!A5, MO_Operations[Total Act Labor Hrs] )</f>
        <v>0</v>
      </c>
      <c r="H5" s="10">
        <f>-SUMIF(MO_Operations[ORDER], Calculations!A5, MO_Operations[Total Cost Variance] )</f>
        <v>145</v>
      </c>
      <c r="I5" s="11">
        <f>SUMIF(MO_Components[Order], Calculations!A5, MO_Components[Std Cost])</f>
        <v>4266</v>
      </c>
      <c r="J5" s="11">
        <f>SUMIF(MO_Components[Order], Calculations!A5, MO_Components[Act Cost])</f>
        <v>4266</v>
      </c>
      <c r="K5" s="11">
        <f t="shared" si="0"/>
        <v>0</v>
      </c>
      <c r="L5" t="str">
        <f t="shared" si="1"/>
        <v>Positive</v>
      </c>
      <c r="M5" t="str">
        <f t="shared" si="2"/>
        <v>Positive</v>
      </c>
      <c r="N5" t="str">
        <f t="shared" si="3"/>
        <v/>
      </c>
    </row>
    <row r="6" spans="1:14" x14ac:dyDescent="0.25">
      <c r="A6" s="5" t="str">
        <v>MO10710</v>
      </c>
      <c r="B6" s="5" t="str">
        <f>_xlfn.IFNA(VLOOKUP(A6, MOs_Ready_to_close[[Order]:[Tot Est Machine Hrs]], 2, FALSE), "")</f>
        <v>Item1130</v>
      </c>
      <c r="C6" s="5" t="str">
        <f>_xlfn.IFNA(VLOOKUP(A6, MOs_Ready_to_close[[Order]:[Tot Est Machine Hrs]], 4, FALSE), "")</f>
        <v>DeptB</v>
      </c>
      <c r="D6" s="6">
        <f>_xlfn.IFNA(VLOOKUP(A6, MOs_Ready_to_close[[Order]:[Tot Est Machine Hrs]], 8, FALSE), "")</f>
        <v>45768</v>
      </c>
      <c r="E6" s="7">
        <f>_xlfn.IFNA(VLOOKUP(A6, MOs_Ready_to_close[[Order]:[Tot Est Machine Hrs]], 9, FALSE), "")</f>
        <v>17310</v>
      </c>
      <c r="F6" s="10">
        <f>SUMIF(MO_Operations[ORDER], Calculations!A6, MO_Operations[Standard Labor Hrs] )</f>
        <v>0</v>
      </c>
      <c r="G6" s="10">
        <f>SUMIF(MO_Operations[ORDER], Calculations!A6, MO_Operations[Total Act Labor Hrs] )</f>
        <v>0</v>
      </c>
      <c r="H6" s="10">
        <f>-SUMIF(MO_Operations[ORDER], Calculations!A6, MO_Operations[Total Cost Variance] )</f>
        <v>0</v>
      </c>
      <c r="I6" s="11">
        <f>SUMIF(MO_Components[Order], Calculations!A6, MO_Components[Std Cost])</f>
        <v>153730</v>
      </c>
      <c r="J6" s="11">
        <f>SUMIF(MO_Components[Order], Calculations!A6, MO_Components[Act Cost])</f>
        <v>153820</v>
      </c>
      <c r="K6" s="11">
        <f t="shared" si="0"/>
        <v>90</v>
      </c>
      <c r="L6" t="str">
        <f t="shared" si="1"/>
        <v>Positive</v>
      </c>
      <c r="M6" t="str">
        <f t="shared" si="2"/>
        <v/>
      </c>
      <c r="N6" t="str">
        <f t="shared" si="3"/>
        <v>Positive</v>
      </c>
    </row>
    <row r="7" spans="1:14" x14ac:dyDescent="0.25">
      <c r="A7" s="5" t="str">
        <v>MO11390</v>
      </c>
      <c r="B7" s="5" t="str">
        <f>_xlfn.IFNA(VLOOKUP(A7, MOs_Ready_to_close[[Order]:[Tot Est Machine Hrs]], 2, FALSE), "")</f>
        <v>Item1131</v>
      </c>
      <c r="C7" s="5" t="str">
        <f>_xlfn.IFNA(VLOOKUP(A7, MOs_Ready_to_close[[Order]:[Tot Est Machine Hrs]], 4, FALSE), "")</f>
        <v>DeptB</v>
      </c>
      <c r="D7" s="6">
        <f>_xlfn.IFNA(VLOOKUP(A7, MOs_Ready_to_close[[Order]:[Tot Est Machine Hrs]], 8, FALSE), "")</f>
        <v>45783</v>
      </c>
      <c r="E7" s="7">
        <f>_xlfn.IFNA(VLOOKUP(A7, MOs_Ready_to_close[[Order]:[Tot Est Machine Hrs]], 9, FALSE), "")</f>
        <v>5505</v>
      </c>
      <c r="F7" s="10">
        <f>SUMIF(MO_Operations[ORDER], Calculations!A7, MO_Operations[Standard Labor Hrs] )</f>
        <v>78.800000000000011</v>
      </c>
      <c r="G7" s="10">
        <f>SUMIF(MO_Operations[ORDER], Calculations!A7, MO_Operations[Total Act Labor Hrs] )</f>
        <v>142.5</v>
      </c>
      <c r="H7" s="10">
        <f>-SUMIF(MO_Operations[ORDER], Calculations!A7, MO_Operations[Total Cost Variance] )</f>
        <v>1740</v>
      </c>
      <c r="I7" s="11">
        <f>SUMIF(MO_Components[Order], Calculations!A7, MO_Components[Std Cost])</f>
        <v>36398</v>
      </c>
      <c r="J7" s="11">
        <f>SUMIF(MO_Components[Order], Calculations!A7, MO_Components[Act Cost])</f>
        <v>37235</v>
      </c>
      <c r="K7" s="11">
        <f t="shared" si="0"/>
        <v>837</v>
      </c>
      <c r="L7" t="str">
        <f t="shared" si="1"/>
        <v>Positive</v>
      </c>
      <c r="M7" t="str">
        <f t="shared" si="2"/>
        <v>Positive</v>
      </c>
      <c r="N7" t="str">
        <f t="shared" si="3"/>
        <v>Positive</v>
      </c>
    </row>
    <row r="8" spans="1:14" x14ac:dyDescent="0.25">
      <c r="A8" s="5" t="str">
        <v>MO11600</v>
      </c>
      <c r="B8" s="5" t="str">
        <f>_xlfn.IFNA(VLOOKUP(A8, MOs_Ready_to_close[[Order]:[Tot Est Machine Hrs]], 2, FALSE), "")</f>
        <v>Item712</v>
      </c>
      <c r="C8" s="5" t="str">
        <f>_xlfn.IFNA(VLOOKUP(A8, MOs_Ready_to_close[[Order]:[Tot Est Machine Hrs]], 4, FALSE), "")</f>
        <v>DeptC</v>
      </c>
      <c r="D8" s="6">
        <f>_xlfn.IFNA(VLOOKUP(A8, MOs_Ready_to_close[[Order]:[Tot Est Machine Hrs]], 8, FALSE), "")</f>
        <v>45783</v>
      </c>
      <c r="E8" s="7">
        <f>_xlfn.IFNA(VLOOKUP(A8, MOs_Ready_to_close[[Order]:[Tot Est Machine Hrs]], 9, FALSE), "")</f>
        <v>110</v>
      </c>
      <c r="F8" s="10">
        <f>SUMIF(MO_Operations[ORDER], Calculations!A8, MO_Operations[Standard Labor Hrs] )</f>
        <v>12.700000000000001</v>
      </c>
      <c r="G8" s="10">
        <f>SUMIF(MO_Operations[ORDER], Calculations!A8, MO_Operations[Total Act Labor Hrs] )</f>
        <v>11.5</v>
      </c>
      <c r="H8" s="10">
        <f>-SUMIF(MO_Operations[ORDER], Calculations!A8, MO_Operations[Total Cost Variance] )</f>
        <v>-80</v>
      </c>
      <c r="I8" s="11">
        <f>SUMIF(MO_Components[Order], Calculations!A8, MO_Components[Std Cost])</f>
        <v>2215</v>
      </c>
      <c r="J8" s="11">
        <f>SUMIF(MO_Components[Order], Calculations!A8, MO_Components[Act Cost])</f>
        <v>2215</v>
      </c>
      <c r="K8" s="11">
        <f t="shared" si="0"/>
        <v>0</v>
      </c>
      <c r="L8" t="str">
        <f t="shared" si="1"/>
        <v>Positive</v>
      </c>
      <c r="M8" t="str">
        <f t="shared" si="2"/>
        <v>Negative</v>
      </c>
      <c r="N8" t="str">
        <f t="shared" si="3"/>
        <v/>
      </c>
    </row>
    <row r="9" spans="1:14" x14ac:dyDescent="0.25">
      <c r="A9" s="5" t="str">
        <v>MO11610</v>
      </c>
      <c r="B9" s="5" t="str">
        <f>_xlfn.IFNA(VLOOKUP(A9, MOs_Ready_to_close[[Order]:[Tot Est Machine Hrs]], 2, FALSE), "")</f>
        <v>Item713</v>
      </c>
      <c r="C9" s="5" t="str">
        <f>_xlfn.IFNA(VLOOKUP(A9, MOs_Ready_to_close[[Order]:[Tot Est Machine Hrs]], 4, FALSE), "")</f>
        <v>DeptC</v>
      </c>
      <c r="D9" s="6">
        <f>_xlfn.IFNA(VLOOKUP(A9, MOs_Ready_to_close[[Order]:[Tot Est Machine Hrs]], 8, FALSE), "")</f>
        <v>45783</v>
      </c>
      <c r="E9" s="7">
        <f>_xlfn.IFNA(VLOOKUP(A9, MOs_Ready_to_close[[Order]:[Tot Est Machine Hrs]], 9, FALSE), "")</f>
        <v>-210</v>
      </c>
      <c r="F9" s="10">
        <f>SUMIF(MO_Operations[ORDER], Calculations!A9, MO_Operations[Standard Labor Hrs] )</f>
        <v>12.700000000000001</v>
      </c>
      <c r="G9" s="10">
        <f>SUMIF(MO_Operations[ORDER], Calculations!A9, MO_Operations[Total Act Labor Hrs] )</f>
        <v>5.3</v>
      </c>
      <c r="H9" s="10">
        <f>-SUMIF(MO_Operations[ORDER], Calculations!A9, MO_Operations[Total Cost Variance] )</f>
        <v>-405</v>
      </c>
      <c r="I9" s="11">
        <f>SUMIF(MO_Components[Order], Calculations!A9, MO_Components[Std Cost])</f>
        <v>2075</v>
      </c>
      <c r="J9" s="11">
        <f>SUMIF(MO_Components[Order], Calculations!A9, MO_Components[Act Cost])</f>
        <v>2075</v>
      </c>
      <c r="K9" s="11">
        <f t="shared" si="0"/>
        <v>0</v>
      </c>
      <c r="L9" t="str">
        <f t="shared" si="1"/>
        <v>Negative</v>
      </c>
      <c r="M9" t="str">
        <f t="shared" si="2"/>
        <v>Negative</v>
      </c>
      <c r="N9" t="str">
        <f t="shared" si="3"/>
        <v/>
      </c>
    </row>
    <row r="10" spans="1:14" x14ac:dyDescent="0.25">
      <c r="A10" s="5" t="str">
        <v>MO11620</v>
      </c>
      <c r="B10" s="5" t="str">
        <f>_xlfn.IFNA(VLOOKUP(A10, MOs_Ready_to_close[[Order]:[Tot Est Machine Hrs]], 2, FALSE), "")</f>
        <v>Item714</v>
      </c>
      <c r="C10" s="5" t="str">
        <f>_xlfn.IFNA(VLOOKUP(A10, MOs_Ready_to_close[[Order]:[Tot Est Machine Hrs]], 4, FALSE), "")</f>
        <v>DeptC</v>
      </c>
      <c r="D10" s="6">
        <f>_xlfn.IFNA(VLOOKUP(A10, MOs_Ready_to_close[[Order]:[Tot Est Machine Hrs]], 8, FALSE), "")</f>
        <v>45783</v>
      </c>
      <c r="E10" s="7">
        <f>_xlfn.IFNA(VLOOKUP(A10, MOs_Ready_to_close[[Order]:[Tot Est Machine Hrs]], 9, FALSE), "")</f>
        <v>-170</v>
      </c>
      <c r="F10" s="10">
        <f>SUMIF(MO_Operations[ORDER], Calculations!A10, MO_Operations[Standard Labor Hrs] )</f>
        <v>12.700000000000001</v>
      </c>
      <c r="G10" s="10">
        <f>SUMIF(MO_Operations[ORDER], Calculations!A10, MO_Operations[Total Act Labor Hrs] )</f>
        <v>6.1999999999999993</v>
      </c>
      <c r="H10" s="10">
        <f>-SUMIF(MO_Operations[ORDER], Calculations!A10, MO_Operations[Total Cost Variance] )</f>
        <v>-365</v>
      </c>
      <c r="I10" s="11">
        <f>SUMIF(MO_Components[Order], Calculations!A10, MO_Components[Std Cost])</f>
        <v>2215</v>
      </c>
      <c r="J10" s="11">
        <f>SUMIF(MO_Components[Order], Calculations!A10, MO_Components[Act Cost])</f>
        <v>2215</v>
      </c>
      <c r="K10" s="11">
        <f t="shared" si="0"/>
        <v>0</v>
      </c>
      <c r="L10" t="str">
        <f t="shared" si="1"/>
        <v>Negative</v>
      </c>
      <c r="M10" t="str">
        <f t="shared" si="2"/>
        <v>Negative</v>
      </c>
      <c r="N10" t="str">
        <f t="shared" si="3"/>
        <v/>
      </c>
    </row>
    <row r="11" spans="1:14" x14ac:dyDescent="0.25">
      <c r="A11" s="5" t="str">
        <v>MO11630</v>
      </c>
      <c r="B11" s="5" t="str">
        <f>_xlfn.IFNA(VLOOKUP(A11, MOs_Ready_to_close[[Order]:[Tot Est Machine Hrs]], 2, FALSE), "")</f>
        <v>Item711</v>
      </c>
      <c r="C11" s="5" t="str">
        <f>_xlfn.IFNA(VLOOKUP(A11, MOs_Ready_to_close[[Order]:[Tot Est Machine Hrs]], 4, FALSE), "")</f>
        <v>DeptC</v>
      </c>
      <c r="D11" s="6">
        <f>_xlfn.IFNA(VLOOKUP(A11, MOs_Ready_to_close[[Order]:[Tot Est Machine Hrs]], 8, FALSE), "")</f>
        <v>45783</v>
      </c>
      <c r="E11" s="7">
        <f>_xlfn.IFNA(VLOOKUP(A11, MOs_Ready_to_close[[Order]:[Tot Est Machine Hrs]], 9, FALSE), "")</f>
        <v>0</v>
      </c>
      <c r="F11" s="10">
        <f>SUMIF(MO_Operations[ORDER], Calculations!A11, MO_Operations[Standard Labor Hrs] )</f>
        <v>12.200000000000001</v>
      </c>
      <c r="G11" s="10">
        <f>SUMIF(MO_Operations[ORDER], Calculations!A11, MO_Operations[Total Act Labor Hrs] )</f>
        <v>9.1999999999999993</v>
      </c>
      <c r="H11" s="10">
        <f>-SUMIF(MO_Operations[ORDER], Calculations!A11, MO_Operations[Total Cost Variance] )</f>
        <v>-175</v>
      </c>
      <c r="I11" s="11">
        <f>SUMIF(MO_Components[Order], Calculations!A11, MO_Components[Std Cost])</f>
        <v>2240</v>
      </c>
      <c r="J11" s="11">
        <f>SUMIF(MO_Components[Order], Calculations!A11, MO_Components[Act Cost])</f>
        <v>2240</v>
      </c>
      <c r="K11" s="11">
        <f t="shared" si="0"/>
        <v>0</v>
      </c>
      <c r="L11" t="str">
        <f t="shared" si="1"/>
        <v>Negative</v>
      </c>
      <c r="M11" t="str">
        <f t="shared" si="2"/>
        <v>Negative</v>
      </c>
      <c r="N11" t="str">
        <f t="shared" si="3"/>
        <v/>
      </c>
    </row>
    <row r="12" spans="1:14" x14ac:dyDescent="0.25">
      <c r="A12" s="5" t="str">
        <v>MO11640</v>
      </c>
      <c r="B12" s="5" t="str">
        <f>_xlfn.IFNA(VLOOKUP(A12, MOs_Ready_to_close[[Order]:[Tot Est Machine Hrs]], 2, FALSE), "")</f>
        <v>Item715</v>
      </c>
      <c r="C12" s="5" t="str">
        <f>_xlfn.IFNA(VLOOKUP(A12, MOs_Ready_to_close[[Order]:[Tot Est Machine Hrs]], 4, FALSE), "")</f>
        <v>DeptC</v>
      </c>
      <c r="D12" s="6">
        <f>_xlfn.IFNA(VLOOKUP(A12, MOs_Ready_to_close[[Order]:[Tot Est Machine Hrs]], 8, FALSE), "")</f>
        <v>45783</v>
      </c>
      <c r="E12" s="7">
        <f>_xlfn.IFNA(VLOOKUP(A12, MOs_Ready_to_close[[Order]:[Tot Est Machine Hrs]], 9, FALSE), "")</f>
        <v>600</v>
      </c>
      <c r="F12" s="10">
        <f>SUMIF(MO_Operations[ORDER], Calculations!A12, MO_Operations[Standard Labor Hrs] )</f>
        <v>19.5</v>
      </c>
      <c r="G12" s="10">
        <f>SUMIF(MO_Operations[ORDER], Calculations!A12, MO_Operations[Total Act Labor Hrs] )</f>
        <v>27.2</v>
      </c>
      <c r="H12" s="10">
        <f>-SUMIF(MO_Operations[ORDER], Calculations!A12, MO_Operations[Total Cost Variance] )</f>
        <v>405</v>
      </c>
      <c r="I12" s="11">
        <f>SUMIF(MO_Components[Order], Calculations!A12, MO_Components[Std Cost])</f>
        <v>8667</v>
      </c>
      <c r="J12" s="11">
        <f>SUMIF(MO_Components[Order], Calculations!A12, MO_Components[Act Cost])</f>
        <v>8667</v>
      </c>
      <c r="K12" s="11">
        <f t="shared" si="0"/>
        <v>0</v>
      </c>
      <c r="L12" t="str">
        <f t="shared" si="1"/>
        <v>Positive</v>
      </c>
      <c r="M12" t="str">
        <f t="shared" si="2"/>
        <v>Positive</v>
      </c>
      <c r="N12" t="str">
        <f t="shared" si="3"/>
        <v/>
      </c>
    </row>
    <row r="13" spans="1:14" x14ac:dyDescent="0.25">
      <c r="A13" s="5" t="str">
        <v>MO11820</v>
      </c>
      <c r="B13" s="5" t="str">
        <f>_xlfn.IFNA(VLOOKUP(A13, MOs_Ready_to_close[[Order]:[Tot Est Machine Hrs]], 2, FALSE), "")</f>
        <v>Item712</v>
      </c>
      <c r="C13" s="5" t="str">
        <f>_xlfn.IFNA(VLOOKUP(A13, MOs_Ready_to_close[[Order]:[Tot Est Machine Hrs]], 4, FALSE), "")</f>
        <v>DeptC</v>
      </c>
      <c r="D13" s="6">
        <f>_xlfn.IFNA(VLOOKUP(A13, MOs_Ready_to_close[[Order]:[Tot Est Machine Hrs]], 8, FALSE), "")</f>
        <v>45783</v>
      </c>
      <c r="E13" s="7">
        <f>_xlfn.IFNA(VLOOKUP(A13, MOs_Ready_to_close[[Order]:[Tot Est Machine Hrs]], 9, FALSE), "")</f>
        <v>210</v>
      </c>
      <c r="F13" s="10">
        <f>SUMIF(MO_Operations[ORDER], Calculations!A13, MO_Operations[Standard Labor Hrs] )</f>
        <v>12.700000000000001</v>
      </c>
      <c r="G13" s="10">
        <f>SUMIF(MO_Operations[ORDER], Calculations!A13, MO_Operations[Total Act Labor Hrs] )</f>
        <v>13.300000000000002</v>
      </c>
      <c r="H13" s="10">
        <f>-SUMIF(MO_Operations[ORDER], Calculations!A13, MO_Operations[Total Cost Variance] )</f>
        <v>20</v>
      </c>
      <c r="I13" s="11">
        <f>SUMIF(MO_Components[Order], Calculations!A13, MO_Components[Std Cost])</f>
        <v>2215</v>
      </c>
      <c r="J13" s="11">
        <f>SUMIF(MO_Components[Order], Calculations!A13, MO_Components[Act Cost])</f>
        <v>2215</v>
      </c>
      <c r="K13" s="11">
        <f t="shared" si="0"/>
        <v>0</v>
      </c>
      <c r="L13" t="str">
        <f t="shared" si="1"/>
        <v>Positive</v>
      </c>
      <c r="M13" t="str">
        <f t="shared" si="2"/>
        <v>Positive</v>
      </c>
      <c r="N13" t="str">
        <f t="shared" si="3"/>
        <v/>
      </c>
    </row>
    <row r="14" spans="1:14" x14ac:dyDescent="0.25">
      <c r="A14" s="5" t="str">
        <v>MO11840</v>
      </c>
      <c r="B14" s="5" t="str">
        <f>_xlfn.IFNA(VLOOKUP(A14, MOs_Ready_to_close[[Order]:[Tot Est Machine Hrs]], 2, FALSE), "")</f>
        <v>Item713</v>
      </c>
      <c r="C14" s="5" t="str">
        <f>_xlfn.IFNA(VLOOKUP(A14, MOs_Ready_to_close[[Order]:[Tot Est Machine Hrs]], 4, FALSE), "")</f>
        <v>DeptC</v>
      </c>
      <c r="D14" s="6">
        <f>_xlfn.IFNA(VLOOKUP(A14, MOs_Ready_to_close[[Order]:[Tot Est Machine Hrs]], 8, FALSE), "")</f>
        <v>45783</v>
      </c>
      <c r="E14" s="7">
        <f>_xlfn.IFNA(VLOOKUP(A14, MOs_Ready_to_close[[Order]:[Tot Est Machine Hrs]], 9, FALSE), "")</f>
        <v>-165</v>
      </c>
      <c r="F14" s="10">
        <f>SUMIF(MO_Operations[ORDER], Calculations!A14, MO_Operations[Standard Labor Hrs] )</f>
        <v>12.700000000000001</v>
      </c>
      <c r="G14" s="10">
        <f>SUMIF(MO_Operations[ORDER], Calculations!A14, MO_Operations[Total Act Labor Hrs] )</f>
        <v>6.5</v>
      </c>
      <c r="H14" s="10">
        <f>-SUMIF(MO_Operations[ORDER], Calculations!A14, MO_Operations[Total Cost Variance] )</f>
        <v>-365</v>
      </c>
      <c r="I14" s="11">
        <f>SUMIF(MO_Components[Order], Calculations!A14, MO_Components[Std Cost])</f>
        <v>2075</v>
      </c>
      <c r="J14" s="11">
        <f>SUMIF(MO_Components[Order], Calculations!A14, MO_Components[Act Cost])</f>
        <v>2075</v>
      </c>
      <c r="K14" s="11">
        <f t="shared" si="0"/>
        <v>0</v>
      </c>
      <c r="L14" t="str">
        <f t="shared" si="1"/>
        <v>Negative</v>
      </c>
      <c r="M14" t="str">
        <f t="shared" si="2"/>
        <v>Negative</v>
      </c>
      <c r="N14" t="str">
        <f t="shared" si="3"/>
        <v/>
      </c>
    </row>
    <row r="15" spans="1:14" x14ac:dyDescent="0.25">
      <c r="A15" s="5" t="str">
        <v>MO11850</v>
      </c>
      <c r="B15" s="5" t="str">
        <f>_xlfn.IFNA(VLOOKUP(A15, MOs_Ready_to_close[[Order]:[Tot Est Machine Hrs]], 2, FALSE), "")</f>
        <v>Item714</v>
      </c>
      <c r="C15" s="5" t="str">
        <f>_xlfn.IFNA(VLOOKUP(A15, MOs_Ready_to_close[[Order]:[Tot Est Machine Hrs]], 4, FALSE), "")</f>
        <v>DeptC</v>
      </c>
      <c r="D15" s="6">
        <f>_xlfn.IFNA(VLOOKUP(A15, MOs_Ready_to_close[[Order]:[Tot Est Machine Hrs]], 8, FALSE), "")</f>
        <v>45783</v>
      </c>
      <c r="E15" s="7">
        <f>_xlfn.IFNA(VLOOKUP(A15, MOs_Ready_to_close[[Order]:[Tot Est Machine Hrs]], 9, FALSE), "")</f>
        <v>-80</v>
      </c>
      <c r="F15" s="10">
        <f>SUMIF(MO_Operations[ORDER], Calculations!A15, MO_Operations[Standard Labor Hrs] )</f>
        <v>12.700000000000001</v>
      </c>
      <c r="G15" s="10">
        <f>SUMIF(MO_Operations[ORDER], Calculations!A15, MO_Operations[Total Act Labor Hrs] )</f>
        <v>7.8999999999999995</v>
      </c>
      <c r="H15" s="10">
        <f>-SUMIF(MO_Operations[ORDER], Calculations!A15, MO_Operations[Total Cost Variance] )</f>
        <v>-275</v>
      </c>
      <c r="I15" s="11">
        <f>SUMIF(MO_Components[Order], Calculations!A15, MO_Components[Std Cost])</f>
        <v>2215</v>
      </c>
      <c r="J15" s="11">
        <f>SUMIF(MO_Components[Order], Calculations!A15, MO_Components[Act Cost])</f>
        <v>2215</v>
      </c>
      <c r="K15" s="11">
        <f t="shared" si="0"/>
        <v>0</v>
      </c>
      <c r="L15" t="str">
        <f t="shared" si="1"/>
        <v>Negative</v>
      </c>
      <c r="M15" t="str">
        <f t="shared" si="2"/>
        <v>Negative</v>
      </c>
      <c r="N15" t="str">
        <f t="shared" si="3"/>
        <v/>
      </c>
    </row>
    <row r="16" spans="1:14" x14ac:dyDescent="0.25">
      <c r="A16" s="5" t="str">
        <v>MO11860</v>
      </c>
      <c r="B16" s="5" t="str">
        <f>_xlfn.IFNA(VLOOKUP(A16, MOs_Ready_to_close[[Order]:[Tot Est Machine Hrs]], 2, FALSE), "")</f>
        <v>Item715</v>
      </c>
      <c r="C16" s="5" t="str">
        <f>_xlfn.IFNA(VLOOKUP(A16, MOs_Ready_to_close[[Order]:[Tot Est Machine Hrs]], 4, FALSE), "")</f>
        <v>DeptC</v>
      </c>
      <c r="D16" s="6">
        <f>_xlfn.IFNA(VLOOKUP(A16, MOs_Ready_to_close[[Order]:[Tot Est Machine Hrs]], 8, FALSE), "")</f>
        <v>45783</v>
      </c>
      <c r="E16" s="7">
        <f>_xlfn.IFNA(VLOOKUP(A16, MOs_Ready_to_close[[Order]:[Tot Est Machine Hrs]], 9, FALSE), "")</f>
        <v>760</v>
      </c>
      <c r="F16" s="10">
        <f>SUMIF(MO_Operations[ORDER], Calculations!A16, MO_Operations[Standard Labor Hrs] )</f>
        <v>19.5</v>
      </c>
      <c r="G16" s="10">
        <f>SUMIF(MO_Operations[ORDER], Calculations!A16, MO_Operations[Total Act Labor Hrs] )</f>
        <v>29.900000000000002</v>
      </c>
      <c r="H16" s="10">
        <f>-SUMIF(MO_Operations[ORDER], Calculations!A16, MO_Operations[Total Cost Variance] )</f>
        <v>555</v>
      </c>
      <c r="I16" s="11">
        <f>SUMIF(MO_Components[Order], Calculations!A16, MO_Components[Std Cost])</f>
        <v>8667</v>
      </c>
      <c r="J16" s="11">
        <f>SUMIF(MO_Components[Order], Calculations!A16, MO_Components[Act Cost])</f>
        <v>8677</v>
      </c>
      <c r="K16" s="11">
        <f t="shared" si="0"/>
        <v>10</v>
      </c>
      <c r="L16" t="str">
        <f t="shared" si="1"/>
        <v>Positive</v>
      </c>
      <c r="M16" t="str">
        <f t="shared" si="2"/>
        <v>Positive</v>
      </c>
      <c r="N16" t="str">
        <f t="shared" si="3"/>
        <v>Positive</v>
      </c>
    </row>
    <row r="17" spans="1:14" x14ac:dyDescent="0.25">
      <c r="A17" s="5" t="str">
        <v>MO12270</v>
      </c>
      <c r="B17" s="5" t="str">
        <f>_xlfn.IFNA(VLOOKUP(A17, MOs_Ready_to_close[[Order]:[Tot Est Machine Hrs]], 2, FALSE), "")</f>
        <v>Item711</v>
      </c>
      <c r="C17" s="5" t="str">
        <f>_xlfn.IFNA(VLOOKUP(A17, MOs_Ready_to_close[[Order]:[Tot Est Machine Hrs]], 4, FALSE), "")</f>
        <v>DeptC</v>
      </c>
      <c r="D17" s="6">
        <f>_xlfn.IFNA(VLOOKUP(A17, MOs_Ready_to_close[[Order]:[Tot Est Machine Hrs]], 8, FALSE), "")</f>
        <v>45783</v>
      </c>
      <c r="E17" s="7">
        <f>_xlfn.IFNA(VLOOKUP(A17, MOs_Ready_to_close[[Order]:[Tot Est Machine Hrs]], 9, FALSE), "")</f>
        <v>-130</v>
      </c>
      <c r="F17" s="10">
        <f>SUMIF(MO_Operations[ORDER], Calculations!A17, MO_Operations[Standard Labor Hrs] )</f>
        <v>12.200000000000001</v>
      </c>
      <c r="G17" s="10">
        <f>SUMIF(MO_Operations[ORDER], Calculations!A17, MO_Operations[Total Act Labor Hrs] )</f>
        <v>6.6999999999999993</v>
      </c>
      <c r="H17" s="10">
        <f>-SUMIF(MO_Operations[ORDER], Calculations!A17, MO_Operations[Total Cost Variance] )</f>
        <v>-305</v>
      </c>
      <c r="I17" s="11">
        <f>SUMIF(MO_Components[Order], Calculations!A17, MO_Components[Std Cost])</f>
        <v>2240</v>
      </c>
      <c r="J17" s="11">
        <f>SUMIF(MO_Components[Order], Calculations!A17, MO_Components[Act Cost])</f>
        <v>2240</v>
      </c>
      <c r="K17" s="11">
        <f t="shared" si="0"/>
        <v>0</v>
      </c>
      <c r="L17" t="str">
        <f t="shared" si="1"/>
        <v>Negative</v>
      </c>
      <c r="M17" t="str">
        <f t="shared" si="2"/>
        <v>Negative</v>
      </c>
      <c r="N17" t="str">
        <f t="shared" si="3"/>
        <v/>
      </c>
    </row>
    <row r="18" spans="1:14" x14ac:dyDescent="0.25">
      <c r="A18" s="5" t="str">
        <v>MO12550</v>
      </c>
      <c r="B18" s="5" t="str">
        <f>_xlfn.IFNA(VLOOKUP(A18, MOs_Ready_to_close[[Order]:[Tot Est Machine Hrs]], 2, FALSE), "")</f>
        <v>Item1132</v>
      </c>
      <c r="C18" s="5" t="str">
        <f>_xlfn.IFNA(VLOOKUP(A18, MOs_Ready_to_close[[Order]:[Tot Est Machine Hrs]], 4, FALSE), "")</f>
        <v>DeptA</v>
      </c>
      <c r="D18" s="6">
        <f>_xlfn.IFNA(VLOOKUP(A18, MOs_Ready_to_close[[Order]:[Tot Est Machine Hrs]], 8, FALSE), "")</f>
        <v>45784</v>
      </c>
      <c r="E18" s="7">
        <f>_xlfn.IFNA(VLOOKUP(A18, MOs_Ready_to_close[[Order]:[Tot Est Machine Hrs]], 9, FALSE), "")</f>
        <v>1080</v>
      </c>
      <c r="F18" s="10">
        <f>SUMIF(MO_Operations[ORDER], Calculations!A18, MO_Operations[Standard Labor Hrs] )</f>
        <v>0</v>
      </c>
      <c r="G18" s="10">
        <f>SUMIF(MO_Operations[ORDER], Calculations!A18, MO_Operations[Total Act Labor Hrs] )</f>
        <v>0</v>
      </c>
      <c r="H18" s="10">
        <f>-SUMIF(MO_Operations[ORDER], Calculations!A18, MO_Operations[Total Cost Variance] )</f>
        <v>1060</v>
      </c>
      <c r="I18" s="11">
        <f>SUMIF(MO_Components[Order], Calculations!A18, MO_Components[Std Cost])</f>
        <v>1830</v>
      </c>
      <c r="J18" s="11">
        <f>SUMIF(MO_Components[Order], Calculations!A18, MO_Components[Act Cost])</f>
        <v>1830</v>
      </c>
      <c r="K18" s="11">
        <f t="shared" si="0"/>
        <v>0</v>
      </c>
      <c r="L18" t="str">
        <f t="shared" si="1"/>
        <v>Positive</v>
      </c>
      <c r="M18" t="str">
        <f t="shared" si="2"/>
        <v>Positive</v>
      </c>
      <c r="N18" t="str">
        <f t="shared" si="3"/>
        <v/>
      </c>
    </row>
    <row r="19" spans="1:14" x14ac:dyDescent="0.25">
      <c r="A19" s="5" t="str">
        <v>MO12570</v>
      </c>
      <c r="B19" s="5" t="str">
        <f>_xlfn.IFNA(VLOOKUP(A19, MOs_Ready_to_close[[Order]:[Tot Est Machine Hrs]], 2, FALSE), "")</f>
        <v>Item712</v>
      </c>
      <c r="C19" s="5" t="str">
        <f>_xlfn.IFNA(VLOOKUP(A19, MOs_Ready_to_close[[Order]:[Tot Est Machine Hrs]], 4, FALSE), "")</f>
        <v>DeptC</v>
      </c>
      <c r="D19" s="6">
        <f>_xlfn.IFNA(VLOOKUP(A19, MOs_Ready_to_close[[Order]:[Tot Est Machine Hrs]], 8, FALSE), "")</f>
        <v>45783</v>
      </c>
      <c r="E19" s="7">
        <f>_xlfn.IFNA(VLOOKUP(A19, MOs_Ready_to_close[[Order]:[Tot Est Machine Hrs]], 9, FALSE), "")</f>
        <v>20</v>
      </c>
      <c r="F19" s="10">
        <f>SUMIF(MO_Operations[ORDER], Calculations!A19, MO_Operations[Standard Labor Hrs] )</f>
        <v>12.700000000000001</v>
      </c>
      <c r="G19" s="10">
        <f>SUMIF(MO_Operations[ORDER], Calculations!A19, MO_Operations[Total Act Labor Hrs] )</f>
        <v>9.6999999999999993</v>
      </c>
      <c r="H19" s="10">
        <f>-SUMIF(MO_Operations[ORDER], Calculations!A19, MO_Operations[Total Cost Variance] )</f>
        <v>-170</v>
      </c>
      <c r="I19" s="11">
        <f>SUMIF(MO_Components[Order], Calculations!A19, MO_Components[Std Cost])</f>
        <v>2215</v>
      </c>
      <c r="J19" s="11">
        <f>SUMIF(MO_Components[Order], Calculations!A19, MO_Components[Act Cost])</f>
        <v>2215</v>
      </c>
      <c r="K19" s="11">
        <f t="shared" si="0"/>
        <v>0</v>
      </c>
      <c r="L19" t="str">
        <f t="shared" si="1"/>
        <v>Positive</v>
      </c>
      <c r="M19" t="str">
        <f t="shared" si="2"/>
        <v>Negative</v>
      </c>
      <c r="N19" t="str">
        <f t="shared" si="3"/>
        <v/>
      </c>
    </row>
    <row r="20" spans="1:14" x14ac:dyDescent="0.25">
      <c r="A20" s="5" t="str">
        <v>MO12580</v>
      </c>
      <c r="B20" s="5" t="str">
        <f>_xlfn.IFNA(VLOOKUP(A20, MOs_Ready_to_close[[Order]:[Tot Est Machine Hrs]], 2, FALSE), "")</f>
        <v>Item713</v>
      </c>
      <c r="C20" s="5" t="str">
        <f>_xlfn.IFNA(VLOOKUP(A20, MOs_Ready_to_close[[Order]:[Tot Est Machine Hrs]], 4, FALSE), "")</f>
        <v>DeptC</v>
      </c>
      <c r="D20" s="6">
        <f>_xlfn.IFNA(VLOOKUP(A20, MOs_Ready_to_close[[Order]:[Tot Est Machine Hrs]], 8, FALSE), "")</f>
        <v>45783</v>
      </c>
      <c r="E20" s="7">
        <f>_xlfn.IFNA(VLOOKUP(A20, MOs_Ready_to_close[[Order]:[Tot Est Machine Hrs]], 9, FALSE), "")</f>
        <v>-175</v>
      </c>
      <c r="F20" s="10">
        <f>SUMIF(MO_Operations[ORDER], Calculations!A20, MO_Operations[Standard Labor Hrs] )</f>
        <v>12.700000000000001</v>
      </c>
      <c r="G20" s="10">
        <f>SUMIF(MO_Operations[ORDER], Calculations!A20, MO_Operations[Total Act Labor Hrs] )</f>
        <v>6.1</v>
      </c>
      <c r="H20" s="10">
        <f>-SUMIF(MO_Operations[ORDER], Calculations!A20, MO_Operations[Total Cost Variance] )</f>
        <v>-370</v>
      </c>
      <c r="I20" s="11">
        <f>SUMIF(MO_Components[Order], Calculations!A20, MO_Components[Std Cost])</f>
        <v>2075</v>
      </c>
      <c r="J20" s="11">
        <f>SUMIF(MO_Components[Order], Calculations!A20, MO_Components[Act Cost])</f>
        <v>2075</v>
      </c>
      <c r="K20" s="11">
        <f t="shared" si="0"/>
        <v>0</v>
      </c>
      <c r="L20" t="str">
        <f t="shared" si="1"/>
        <v>Negative</v>
      </c>
      <c r="M20" t="str">
        <f t="shared" si="2"/>
        <v>Negative</v>
      </c>
      <c r="N20" t="str">
        <f t="shared" si="3"/>
        <v/>
      </c>
    </row>
    <row r="21" spans="1:14" x14ac:dyDescent="0.25">
      <c r="A21" s="5" t="str">
        <v>MO12590</v>
      </c>
      <c r="B21" s="5" t="str">
        <f>_xlfn.IFNA(VLOOKUP(A21, MOs_Ready_to_close[[Order]:[Tot Est Machine Hrs]], 2, FALSE), "")</f>
        <v>Item714</v>
      </c>
      <c r="C21" s="5" t="str">
        <f>_xlfn.IFNA(VLOOKUP(A21, MOs_Ready_to_close[[Order]:[Tot Est Machine Hrs]], 4, FALSE), "")</f>
        <v>DeptC</v>
      </c>
      <c r="D21" s="6">
        <f>_xlfn.IFNA(VLOOKUP(A21, MOs_Ready_to_close[[Order]:[Tot Est Machine Hrs]], 8, FALSE), "")</f>
        <v>45783</v>
      </c>
      <c r="E21" s="7">
        <f>_xlfn.IFNA(VLOOKUP(A21, MOs_Ready_to_close[[Order]:[Tot Est Machine Hrs]], 9, FALSE), "")</f>
        <v>-215</v>
      </c>
      <c r="F21" s="10">
        <f>SUMIF(MO_Operations[ORDER], Calculations!A21, MO_Operations[Standard Labor Hrs] )</f>
        <v>12.700000000000001</v>
      </c>
      <c r="G21" s="10">
        <f>SUMIF(MO_Operations[ORDER], Calculations!A21, MO_Operations[Total Act Labor Hrs] )</f>
        <v>5.5</v>
      </c>
      <c r="H21" s="10">
        <f>-SUMIF(MO_Operations[ORDER], Calculations!A21, MO_Operations[Total Cost Variance] )</f>
        <v>-410</v>
      </c>
      <c r="I21" s="11">
        <f>SUMIF(MO_Components[Order], Calculations!A21, MO_Components[Std Cost])</f>
        <v>2215</v>
      </c>
      <c r="J21" s="11">
        <f>SUMIF(MO_Components[Order], Calculations!A21, MO_Components[Act Cost])</f>
        <v>2215</v>
      </c>
      <c r="K21" s="11">
        <f t="shared" si="0"/>
        <v>0</v>
      </c>
      <c r="L21" t="str">
        <f t="shared" si="1"/>
        <v>Negative</v>
      </c>
      <c r="M21" t="str">
        <f t="shared" si="2"/>
        <v>Negative</v>
      </c>
      <c r="N21" t="str">
        <f t="shared" si="3"/>
        <v/>
      </c>
    </row>
    <row r="22" spans="1:14" x14ac:dyDescent="0.25">
      <c r="A22" s="5" t="str">
        <v>MO12600</v>
      </c>
      <c r="B22" s="5" t="str">
        <f>_xlfn.IFNA(VLOOKUP(A22, MOs_Ready_to_close[[Order]:[Tot Est Machine Hrs]], 2, FALSE), "")</f>
        <v>Item715</v>
      </c>
      <c r="C22" s="5" t="str">
        <f>_xlfn.IFNA(VLOOKUP(A22, MOs_Ready_to_close[[Order]:[Tot Est Machine Hrs]], 4, FALSE), "")</f>
        <v>DeptC</v>
      </c>
      <c r="D22" s="6">
        <f>_xlfn.IFNA(VLOOKUP(A22, MOs_Ready_to_close[[Order]:[Tot Est Machine Hrs]], 8, FALSE), "")</f>
        <v>45783</v>
      </c>
      <c r="E22" s="7">
        <f>_xlfn.IFNA(VLOOKUP(A22, MOs_Ready_to_close[[Order]:[Tot Est Machine Hrs]], 9, FALSE), "")</f>
        <v>530</v>
      </c>
      <c r="F22" s="10">
        <f>SUMIF(MO_Operations[ORDER], Calculations!A22, MO_Operations[Standard Labor Hrs] )</f>
        <v>19.5</v>
      </c>
      <c r="G22" s="10">
        <f>SUMIF(MO_Operations[ORDER], Calculations!A22, MO_Operations[Total Act Labor Hrs] )</f>
        <v>26.099999999999998</v>
      </c>
      <c r="H22" s="10">
        <f>-SUMIF(MO_Operations[ORDER], Calculations!A22, MO_Operations[Total Cost Variance] )</f>
        <v>335</v>
      </c>
      <c r="I22" s="11">
        <f>SUMIF(MO_Components[Order], Calculations!A22, MO_Components[Std Cost])</f>
        <v>8667</v>
      </c>
      <c r="J22" s="11">
        <f>SUMIF(MO_Components[Order], Calculations!A22, MO_Components[Act Cost])</f>
        <v>8667</v>
      </c>
      <c r="K22" s="11">
        <f t="shared" si="0"/>
        <v>0</v>
      </c>
      <c r="L22" t="str">
        <f t="shared" si="1"/>
        <v>Positive</v>
      </c>
      <c r="M22" t="str">
        <f t="shared" si="2"/>
        <v>Positive</v>
      </c>
      <c r="N22" t="str">
        <f t="shared" si="3"/>
        <v/>
      </c>
    </row>
    <row r="23" spans="1:14" x14ac:dyDescent="0.25">
      <c r="A23" s="5" t="str">
        <v>MO12650</v>
      </c>
      <c r="B23" s="5" t="str">
        <f>_xlfn.IFNA(VLOOKUP(A23, MOs_Ready_to_close[[Order]:[Tot Est Machine Hrs]], 2, FALSE), "")</f>
        <v>Item1133</v>
      </c>
      <c r="C23" s="5" t="str">
        <f>_xlfn.IFNA(VLOOKUP(A23, MOs_Ready_to_close[[Order]:[Tot Est Machine Hrs]], 4, FALSE), "")</f>
        <v>DeptA</v>
      </c>
      <c r="D23" s="6">
        <f>_xlfn.IFNA(VLOOKUP(A23, MOs_Ready_to_close[[Order]:[Tot Est Machine Hrs]], 8, FALSE), "")</f>
        <v>45782</v>
      </c>
      <c r="E23" s="7">
        <f>_xlfn.IFNA(VLOOKUP(A23, MOs_Ready_to_close[[Order]:[Tot Est Machine Hrs]], 9, FALSE), "")</f>
        <v>210</v>
      </c>
      <c r="F23" s="10">
        <f>SUMIF(MO_Operations[ORDER], Calculations!A23, MO_Operations[Standard Labor Hrs] )</f>
        <v>6.5</v>
      </c>
      <c r="G23" s="10">
        <f>SUMIF(MO_Operations[ORDER], Calculations!A23, MO_Operations[Total Act Labor Hrs] )</f>
        <v>10.1</v>
      </c>
      <c r="H23" s="10">
        <f>-SUMIF(MO_Operations[ORDER], Calculations!A23, MO_Operations[Total Cost Variance] )</f>
        <v>165</v>
      </c>
      <c r="I23" s="11">
        <f>SUMIF(MO_Components[Order], Calculations!A23, MO_Components[Std Cost])</f>
        <v>2020</v>
      </c>
      <c r="J23" s="11">
        <f>SUMIF(MO_Components[Order], Calculations!A23, MO_Components[Act Cost])</f>
        <v>2020</v>
      </c>
      <c r="K23" s="11">
        <f t="shared" si="0"/>
        <v>0</v>
      </c>
      <c r="L23" t="str">
        <f t="shared" si="1"/>
        <v>Positive</v>
      </c>
      <c r="M23" t="str">
        <f t="shared" si="2"/>
        <v>Positive</v>
      </c>
      <c r="N23" t="str">
        <f t="shared" si="3"/>
        <v/>
      </c>
    </row>
    <row r="24" spans="1:14" x14ac:dyDescent="0.25">
      <c r="A24" s="5" t="str">
        <v>MO12680</v>
      </c>
      <c r="B24" s="5" t="str">
        <f>_xlfn.IFNA(VLOOKUP(A24, MOs_Ready_to_close[[Order]:[Tot Est Machine Hrs]], 2, FALSE), "")</f>
        <v>Item624</v>
      </c>
      <c r="C24" s="5" t="str">
        <f>_xlfn.IFNA(VLOOKUP(A24, MOs_Ready_to_close[[Order]:[Tot Est Machine Hrs]], 4, FALSE), "")</f>
        <v>DeptA</v>
      </c>
      <c r="D24" s="6">
        <f>_xlfn.IFNA(VLOOKUP(A24, MOs_Ready_to_close[[Order]:[Tot Est Machine Hrs]], 8, FALSE), "")</f>
        <v>45782</v>
      </c>
      <c r="E24" s="7">
        <f>_xlfn.IFNA(VLOOKUP(A24, MOs_Ready_to_close[[Order]:[Tot Est Machine Hrs]], 9, FALSE), "")</f>
        <v>-155</v>
      </c>
      <c r="F24" s="10">
        <f>SUMIF(MO_Operations[ORDER], Calculations!A24, MO_Operations[Standard Labor Hrs] )</f>
        <v>13.100000000000001</v>
      </c>
      <c r="G24" s="10">
        <f>SUMIF(MO_Operations[ORDER], Calculations!A24, MO_Operations[Total Act Labor Hrs] )</f>
        <v>8.2000000000000011</v>
      </c>
      <c r="H24" s="10">
        <f>-SUMIF(MO_Operations[ORDER], Calculations!A24, MO_Operations[Total Cost Variance] )</f>
        <v>-255</v>
      </c>
      <c r="I24" s="11">
        <f>SUMIF(MO_Components[Order], Calculations!A24, MO_Components[Std Cost])</f>
        <v>70</v>
      </c>
      <c r="J24" s="11">
        <f>SUMIF(MO_Components[Order], Calculations!A24, MO_Components[Act Cost])</f>
        <v>70</v>
      </c>
      <c r="K24" s="11">
        <f t="shared" si="0"/>
        <v>0</v>
      </c>
      <c r="L24" t="str">
        <f t="shared" si="1"/>
        <v>Negative</v>
      </c>
      <c r="M24" t="str">
        <f t="shared" si="2"/>
        <v>Negative</v>
      </c>
      <c r="N24" t="str">
        <f t="shared" si="3"/>
        <v/>
      </c>
    </row>
    <row r="25" spans="1:14" x14ac:dyDescent="0.25">
      <c r="A25" s="5" t="str">
        <v>MO13040</v>
      </c>
      <c r="B25" s="5" t="str">
        <f>_xlfn.IFNA(VLOOKUP(A25, MOs_Ready_to_close[[Order]:[Tot Est Machine Hrs]], 2, FALSE), "")</f>
        <v>Item837</v>
      </c>
      <c r="C25" s="5" t="str">
        <f>_xlfn.IFNA(VLOOKUP(A25, MOs_Ready_to_close[[Order]:[Tot Est Machine Hrs]], 4, FALSE), "")</f>
        <v>DeptD</v>
      </c>
      <c r="D25" s="6">
        <f>_xlfn.IFNA(VLOOKUP(A25, MOs_Ready_to_close[[Order]:[Tot Est Machine Hrs]], 8, FALSE), "")</f>
        <v>45787</v>
      </c>
      <c r="E25" s="7">
        <f>_xlfn.IFNA(VLOOKUP(A25, MOs_Ready_to_close[[Order]:[Tot Est Machine Hrs]], 9, FALSE), "")</f>
        <v>550</v>
      </c>
      <c r="F25" s="10">
        <f>SUMIF(MO_Operations[ORDER], Calculations!A25, MO_Operations[Standard Labor Hrs] )</f>
        <v>4.9000000000000004</v>
      </c>
      <c r="G25" s="10">
        <f>SUMIF(MO_Operations[ORDER], Calculations!A25, MO_Operations[Total Act Labor Hrs] )</f>
        <v>32.099999999999994</v>
      </c>
      <c r="H25" s="10">
        <f>-SUMIF(MO_Operations[ORDER], Calculations!A25, MO_Operations[Total Cost Variance] )</f>
        <v>1670</v>
      </c>
      <c r="I25" s="11">
        <f>SUMIF(MO_Components[Order], Calculations!A25, MO_Components[Std Cost])</f>
        <v>10974</v>
      </c>
      <c r="J25" s="11">
        <f>SUMIF(MO_Components[Order], Calculations!A25, MO_Components[Act Cost])</f>
        <v>10974</v>
      </c>
      <c r="K25" s="11">
        <f t="shared" si="0"/>
        <v>0</v>
      </c>
      <c r="L25" t="str">
        <f t="shared" si="1"/>
        <v>Positive</v>
      </c>
      <c r="M25" t="str">
        <f t="shared" si="2"/>
        <v>Positive</v>
      </c>
      <c r="N25" t="str">
        <f t="shared" si="3"/>
        <v/>
      </c>
    </row>
    <row r="26" spans="1:14" x14ac:dyDescent="0.25">
      <c r="A26" s="5" t="str">
        <v>MO13050</v>
      </c>
      <c r="B26" s="5" t="str">
        <f>_xlfn.IFNA(VLOOKUP(A26, MOs_Ready_to_close[[Order]:[Tot Est Machine Hrs]], 2, FALSE), "")</f>
        <v>Item837</v>
      </c>
      <c r="C26" s="5" t="str">
        <f>_xlfn.IFNA(VLOOKUP(A26, MOs_Ready_to_close[[Order]:[Tot Est Machine Hrs]], 4, FALSE), "")</f>
        <v>DeptD</v>
      </c>
      <c r="D26" s="6">
        <f>_xlfn.IFNA(VLOOKUP(A26, MOs_Ready_to_close[[Order]:[Tot Est Machine Hrs]], 8, FALSE), "")</f>
        <v>45787</v>
      </c>
      <c r="E26" s="7">
        <f>_xlfn.IFNA(VLOOKUP(A26, MOs_Ready_to_close[[Order]:[Tot Est Machine Hrs]], 9, FALSE), "")</f>
        <v>680</v>
      </c>
      <c r="F26" s="10">
        <f>SUMIF(MO_Operations[ORDER], Calculations!A26, MO_Operations[Standard Labor Hrs] )</f>
        <v>4.9000000000000004</v>
      </c>
      <c r="G26" s="10">
        <f>SUMIF(MO_Operations[ORDER], Calculations!A26, MO_Operations[Total Act Labor Hrs] )</f>
        <v>34.299999999999997</v>
      </c>
      <c r="H26" s="10">
        <f>-SUMIF(MO_Operations[ORDER], Calculations!A26, MO_Operations[Total Cost Variance] )</f>
        <v>1805</v>
      </c>
      <c r="I26" s="11">
        <f>SUMIF(MO_Components[Order], Calculations!A26, MO_Components[Std Cost])</f>
        <v>10974</v>
      </c>
      <c r="J26" s="11">
        <f>SUMIF(MO_Components[Order], Calculations!A26, MO_Components[Act Cost])</f>
        <v>10974</v>
      </c>
      <c r="K26" s="11">
        <f t="shared" si="0"/>
        <v>0</v>
      </c>
      <c r="L26" t="str">
        <f t="shared" si="1"/>
        <v>Positive</v>
      </c>
      <c r="M26" t="str">
        <f t="shared" si="2"/>
        <v>Positive</v>
      </c>
      <c r="N26" t="str">
        <f t="shared" si="3"/>
        <v/>
      </c>
    </row>
    <row r="27" spans="1:14" x14ac:dyDescent="0.25">
      <c r="A27" s="5" t="str">
        <v>MO13060</v>
      </c>
      <c r="B27" s="5" t="str">
        <f>_xlfn.IFNA(VLOOKUP(A27, MOs_Ready_to_close[[Order]:[Tot Est Machine Hrs]], 2, FALSE), "")</f>
        <v>Item837</v>
      </c>
      <c r="C27" s="5" t="str">
        <f>_xlfn.IFNA(VLOOKUP(A27, MOs_Ready_to_close[[Order]:[Tot Est Machine Hrs]], 4, FALSE), "")</f>
        <v>DeptD</v>
      </c>
      <c r="D27" s="6">
        <f>_xlfn.IFNA(VLOOKUP(A27, MOs_Ready_to_close[[Order]:[Tot Est Machine Hrs]], 8, FALSE), "")</f>
        <v>45772</v>
      </c>
      <c r="E27" s="7">
        <f>_xlfn.IFNA(VLOOKUP(A27, MOs_Ready_to_close[[Order]:[Tot Est Machine Hrs]], 9, FALSE), "")</f>
        <v>-85</v>
      </c>
      <c r="F27" s="10">
        <f>SUMIF(MO_Operations[ORDER], Calculations!A27, MO_Operations[Standard Labor Hrs] )</f>
        <v>4.9000000000000004</v>
      </c>
      <c r="G27" s="10">
        <f>SUMIF(MO_Operations[ORDER], Calculations!A27, MO_Operations[Total Act Labor Hrs] )</f>
        <v>22.099999999999994</v>
      </c>
      <c r="H27" s="10">
        <f>-SUMIF(MO_Operations[ORDER], Calculations!A27, MO_Operations[Total Cost Variance] )</f>
        <v>1035</v>
      </c>
      <c r="I27" s="11">
        <f>SUMIF(MO_Components[Order], Calculations!A27, MO_Components[Std Cost])</f>
        <v>10974</v>
      </c>
      <c r="J27" s="11">
        <f>SUMIF(MO_Components[Order], Calculations!A27, MO_Components[Act Cost])</f>
        <v>10974</v>
      </c>
      <c r="K27" s="11">
        <f t="shared" si="0"/>
        <v>0</v>
      </c>
      <c r="L27" t="str">
        <f t="shared" si="1"/>
        <v>Negative</v>
      </c>
      <c r="M27" t="str">
        <f t="shared" si="2"/>
        <v>Positive</v>
      </c>
      <c r="N27" t="str">
        <f t="shared" si="3"/>
        <v/>
      </c>
    </row>
    <row r="28" spans="1:14" x14ac:dyDescent="0.25">
      <c r="A28" s="5" t="str">
        <v>MO13240</v>
      </c>
      <c r="B28" s="5" t="str">
        <f>_xlfn.IFNA(VLOOKUP(A28, MOs_Ready_to_close[[Order]:[Tot Est Machine Hrs]], 2, FALSE), "")</f>
        <v>Item1134</v>
      </c>
      <c r="C28" s="5" t="str">
        <f>_xlfn.IFNA(VLOOKUP(A28, MOs_Ready_to_close[[Order]:[Tot Est Machine Hrs]], 4, FALSE), "")</f>
        <v>DeptA</v>
      </c>
      <c r="D28" s="6">
        <f>_xlfn.IFNA(VLOOKUP(A28, MOs_Ready_to_close[[Order]:[Tot Est Machine Hrs]], 8, FALSE), "")</f>
        <v>45775</v>
      </c>
      <c r="E28" s="7">
        <f>_xlfn.IFNA(VLOOKUP(A28, MOs_Ready_to_close[[Order]:[Tot Est Machine Hrs]], 9, FALSE), "")</f>
        <v>-75</v>
      </c>
      <c r="F28" s="10">
        <f>SUMIF(MO_Operations[ORDER], Calculations!A28, MO_Operations[Standard Labor Hrs] )</f>
        <v>34.699999999999996</v>
      </c>
      <c r="G28" s="10">
        <f>SUMIF(MO_Operations[ORDER], Calculations!A28, MO_Operations[Total Act Labor Hrs] )</f>
        <v>24.3</v>
      </c>
      <c r="H28" s="10">
        <f>-SUMIF(MO_Operations[ORDER], Calculations!A28, MO_Operations[Total Cost Variance] )</f>
        <v>-390</v>
      </c>
      <c r="I28" s="11">
        <f>SUMIF(MO_Components[Order], Calculations!A28, MO_Components[Std Cost])</f>
        <v>2890</v>
      </c>
      <c r="J28" s="11">
        <f>SUMIF(MO_Components[Order], Calculations!A28, MO_Components[Act Cost])</f>
        <v>2775</v>
      </c>
      <c r="K28" s="11">
        <f t="shared" si="0"/>
        <v>-115</v>
      </c>
      <c r="L28" t="str">
        <f t="shared" si="1"/>
        <v>Negative</v>
      </c>
      <c r="M28" t="str">
        <f t="shared" si="2"/>
        <v>Negative</v>
      </c>
      <c r="N28" t="str">
        <f t="shared" si="3"/>
        <v>Negative</v>
      </c>
    </row>
    <row r="29" spans="1:14" x14ac:dyDescent="0.25">
      <c r="A29" s="5" t="str">
        <v>MO13250</v>
      </c>
      <c r="B29" s="5" t="str">
        <f>_xlfn.IFNA(VLOOKUP(A29, MOs_Ready_to_close[[Order]:[Tot Est Machine Hrs]], 2, FALSE), "")</f>
        <v>Item1135</v>
      </c>
      <c r="C29" s="5" t="str">
        <f>_xlfn.IFNA(VLOOKUP(A29, MOs_Ready_to_close[[Order]:[Tot Est Machine Hrs]], 4, FALSE), "")</f>
        <v>DeptA</v>
      </c>
      <c r="D29" s="6">
        <f>_xlfn.IFNA(VLOOKUP(A29, MOs_Ready_to_close[[Order]:[Tot Est Machine Hrs]], 8, FALSE), "")</f>
        <v>45782</v>
      </c>
      <c r="E29" s="7">
        <f>_xlfn.IFNA(VLOOKUP(A29, MOs_Ready_to_close[[Order]:[Tot Est Machine Hrs]], 9, FALSE), "")</f>
        <v>245</v>
      </c>
      <c r="F29" s="10">
        <f>SUMIF(MO_Operations[ORDER], Calculations!A29, MO_Operations[Standard Labor Hrs] )</f>
        <v>7.8</v>
      </c>
      <c r="G29" s="10">
        <f>SUMIF(MO_Operations[ORDER], Calculations!A29, MO_Operations[Total Act Labor Hrs] )</f>
        <v>13.5</v>
      </c>
      <c r="H29" s="10">
        <f>-SUMIF(MO_Operations[ORDER], Calculations!A29, MO_Operations[Total Cost Variance] )</f>
        <v>270</v>
      </c>
      <c r="I29" s="11">
        <f>SUMIF(MO_Components[Order], Calculations!A29, MO_Components[Std Cost])</f>
        <v>50</v>
      </c>
      <c r="J29" s="11">
        <f>SUMIF(MO_Components[Order], Calculations!A29, MO_Components[Act Cost])</f>
        <v>50</v>
      </c>
      <c r="K29" s="11">
        <f t="shared" si="0"/>
        <v>0</v>
      </c>
      <c r="L29" t="str">
        <f t="shared" si="1"/>
        <v>Positive</v>
      </c>
      <c r="M29" t="str">
        <f t="shared" si="2"/>
        <v>Positive</v>
      </c>
      <c r="N29" t="str">
        <f t="shared" si="3"/>
        <v/>
      </c>
    </row>
    <row r="30" spans="1:14" x14ac:dyDescent="0.25">
      <c r="A30" s="5" t="str">
        <v>MO13320</v>
      </c>
      <c r="B30" s="5" t="str">
        <f>_xlfn.IFNA(VLOOKUP(A30, MOs_Ready_to_close[[Order]:[Tot Est Machine Hrs]], 2, FALSE), "")</f>
        <v>Item1136</v>
      </c>
      <c r="C30" s="5" t="str">
        <f>_xlfn.IFNA(VLOOKUP(A30, MOs_Ready_to_close[[Order]:[Tot Est Machine Hrs]], 4, FALSE), "")</f>
        <v>DeptA</v>
      </c>
      <c r="D30" s="6">
        <f>_xlfn.IFNA(VLOOKUP(A30, MOs_Ready_to_close[[Order]:[Tot Est Machine Hrs]], 8, FALSE), "")</f>
        <v>45782</v>
      </c>
      <c r="E30" s="7">
        <f>_xlfn.IFNA(VLOOKUP(A30, MOs_Ready_to_close[[Order]:[Tot Est Machine Hrs]], 9, FALSE), "")</f>
        <v>-410</v>
      </c>
      <c r="F30" s="10">
        <f>SUMIF(MO_Operations[ORDER], Calculations!A30, MO_Operations[Standard Labor Hrs] )</f>
        <v>34.700000000000003</v>
      </c>
      <c r="G30" s="10">
        <f>SUMIF(MO_Operations[ORDER], Calculations!A30, MO_Operations[Total Act Labor Hrs] )</f>
        <v>27.7</v>
      </c>
      <c r="H30" s="10">
        <f>-SUMIF(MO_Operations[ORDER], Calculations!A30, MO_Operations[Total Cost Variance] )</f>
        <v>-340</v>
      </c>
      <c r="I30" s="11">
        <f>SUMIF(MO_Components[Order], Calculations!A30, MO_Components[Std Cost])</f>
        <v>9775</v>
      </c>
      <c r="J30" s="11">
        <f>SUMIF(MO_Components[Order], Calculations!A30, MO_Components[Act Cost])</f>
        <v>9775</v>
      </c>
      <c r="K30" s="11">
        <f t="shared" si="0"/>
        <v>0</v>
      </c>
      <c r="L30" t="str">
        <f t="shared" si="1"/>
        <v>Negative</v>
      </c>
      <c r="M30" t="str">
        <f t="shared" si="2"/>
        <v>Negative</v>
      </c>
      <c r="N30" t="str">
        <f t="shared" si="3"/>
        <v/>
      </c>
    </row>
    <row r="31" spans="1:14" x14ac:dyDescent="0.25">
      <c r="A31" s="5" t="str">
        <v>MO13530</v>
      </c>
      <c r="B31" s="5" t="str">
        <f>_xlfn.IFNA(VLOOKUP(A31, MOs_Ready_to_close[[Order]:[Tot Est Machine Hrs]], 2, FALSE), "")</f>
        <v>Item1137</v>
      </c>
      <c r="C31" s="5" t="str">
        <f>_xlfn.IFNA(VLOOKUP(A31, MOs_Ready_to_close[[Order]:[Tot Est Machine Hrs]], 4, FALSE), "")</f>
        <v>DeptA</v>
      </c>
      <c r="D31" s="6">
        <f>_xlfn.IFNA(VLOOKUP(A31, MOs_Ready_to_close[[Order]:[Tot Est Machine Hrs]], 8, FALSE), "")</f>
        <v>45782</v>
      </c>
      <c r="E31" s="7">
        <f>_xlfn.IFNA(VLOOKUP(A31, MOs_Ready_to_close[[Order]:[Tot Est Machine Hrs]], 9, FALSE), "")</f>
        <v>-180</v>
      </c>
      <c r="F31" s="10">
        <f>SUMIF(MO_Operations[ORDER], Calculations!A31, MO_Operations[Standard Labor Hrs] )</f>
        <v>25.8</v>
      </c>
      <c r="G31" s="10">
        <f>SUMIF(MO_Operations[ORDER], Calculations!A31, MO_Operations[Total Act Labor Hrs] )</f>
        <v>17.599999999999998</v>
      </c>
      <c r="H31" s="10">
        <f>-SUMIF(MO_Operations[ORDER], Calculations!A31, MO_Operations[Total Cost Variance] )</f>
        <v>-410</v>
      </c>
      <c r="I31" s="11">
        <f>SUMIF(MO_Components[Order], Calculations!A31, MO_Components[Std Cost])</f>
        <v>5340</v>
      </c>
      <c r="J31" s="11">
        <f>SUMIF(MO_Components[Order], Calculations!A31, MO_Components[Act Cost])</f>
        <v>5340</v>
      </c>
      <c r="K31" s="11">
        <f t="shared" si="0"/>
        <v>0</v>
      </c>
      <c r="L31" t="str">
        <f t="shared" si="1"/>
        <v>Negative</v>
      </c>
      <c r="M31" t="str">
        <f t="shared" si="2"/>
        <v>Negative</v>
      </c>
      <c r="N31" t="str">
        <f t="shared" si="3"/>
        <v/>
      </c>
    </row>
    <row r="32" spans="1:14" x14ac:dyDescent="0.25">
      <c r="A32" s="5" t="str">
        <v>MO10570</v>
      </c>
      <c r="B32" s="5" t="str">
        <f>_xlfn.IFNA(VLOOKUP(A32, MOs_Ready_to_close[[Order]:[Tot Est Machine Hrs]], 2, FALSE), "")</f>
        <v>Item1138</v>
      </c>
      <c r="C32" s="5" t="str">
        <f>_xlfn.IFNA(VLOOKUP(A32, MOs_Ready_to_close[[Order]:[Tot Est Machine Hrs]], 4, FALSE), "")</f>
        <v>DeptA</v>
      </c>
      <c r="D32" s="6">
        <f>_xlfn.IFNA(VLOOKUP(A32, MOs_Ready_to_close[[Order]:[Tot Est Machine Hrs]], 8, FALSE), "")</f>
        <v>45775</v>
      </c>
      <c r="E32" s="7">
        <f>_xlfn.IFNA(VLOOKUP(A32, MOs_Ready_to_close[[Order]:[Tot Est Machine Hrs]], 9, FALSE), "")</f>
        <v>150</v>
      </c>
      <c r="F32" s="10">
        <f>SUMIF(MO_Operations[ORDER], Calculations!A32, MO_Operations[Standard Labor Hrs] )</f>
        <v>0.1</v>
      </c>
      <c r="G32" s="10">
        <f>SUMIF(MO_Operations[ORDER], Calculations!A32, MO_Operations[Total Act Labor Hrs] )</f>
        <v>1</v>
      </c>
      <c r="H32" s="10">
        <f>-SUMIF(MO_Operations[ORDER], Calculations!A32, MO_Operations[Total Cost Variance] )</f>
        <v>55</v>
      </c>
      <c r="I32" s="11">
        <f>SUMIF(MO_Components[Order], Calculations!A32, MO_Components[Std Cost])</f>
        <v>70</v>
      </c>
      <c r="J32" s="11">
        <f>SUMIF(MO_Components[Order], Calculations!A32, MO_Components[Act Cost])</f>
        <v>70</v>
      </c>
      <c r="K32" s="11">
        <f t="shared" si="0"/>
        <v>0</v>
      </c>
      <c r="L32" t="str">
        <f t="shared" si="1"/>
        <v>Positive</v>
      </c>
      <c r="M32" t="str">
        <f t="shared" si="2"/>
        <v>Positive</v>
      </c>
      <c r="N32" t="str">
        <f t="shared" si="3"/>
        <v/>
      </c>
    </row>
    <row r="33" spans="1:14" x14ac:dyDescent="0.25">
      <c r="A33" s="5" t="str">
        <v>MO13620</v>
      </c>
      <c r="B33" s="5" t="str">
        <f>_xlfn.IFNA(VLOOKUP(A33, MOs_Ready_to_close[[Order]:[Tot Est Machine Hrs]], 2, FALSE), "")</f>
        <v>Item595</v>
      </c>
      <c r="C33" s="5" t="str">
        <f>_xlfn.IFNA(VLOOKUP(A33, MOs_Ready_to_close[[Order]:[Tot Est Machine Hrs]], 4, FALSE), "")</f>
        <v>DeptE</v>
      </c>
      <c r="D33" s="6">
        <f>_xlfn.IFNA(VLOOKUP(A33, MOs_Ready_to_close[[Order]:[Tot Est Machine Hrs]], 8, FALSE), "")</f>
        <v>45782</v>
      </c>
      <c r="E33" s="7">
        <f>_xlfn.IFNA(VLOOKUP(A33, MOs_Ready_to_close[[Order]:[Tot Est Machine Hrs]], 9, FALSE), "")</f>
        <v>535</v>
      </c>
      <c r="F33" s="10">
        <f>SUMIF(MO_Operations[ORDER], Calculations!A33, MO_Operations[Standard Labor Hrs] )</f>
        <v>0.2</v>
      </c>
      <c r="G33" s="10">
        <f>SUMIF(MO_Operations[ORDER], Calculations!A33, MO_Operations[Total Act Labor Hrs] )</f>
        <v>10.799999999999999</v>
      </c>
      <c r="H33" s="10">
        <f>-SUMIF(MO_Operations[ORDER], Calculations!A33, MO_Operations[Total Cost Variance] )</f>
        <v>460</v>
      </c>
      <c r="I33" s="11">
        <f>SUMIF(MO_Components[Order], Calculations!A33, MO_Components[Std Cost])</f>
        <v>32</v>
      </c>
      <c r="J33" s="11">
        <f>SUMIF(MO_Components[Order], Calculations!A33, MO_Components[Act Cost])</f>
        <v>47</v>
      </c>
      <c r="K33" s="11">
        <f t="shared" si="0"/>
        <v>15</v>
      </c>
      <c r="L33" t="str">
        <f t="shared" si="1"/>
        <v>Positive</v>
      </c>
      <c r="M33" t="str">
        <f t="shared" si="2"/>
        <v>Positive</v>
      </c>
      <c r="N33" t="str">
        <f t="shared" si="3"/>
        <v>Positive</v>
      </c>
    </row>
    <row r="34" spans="1:14" x14ac:dyDescent="0.25">
      <c r="A34" s="5" t="str">
        <v>MO13630</v>
      </c>
      <c r="B34" s="5" t="str">
        <f>_xlfn.IFNA(VLOOKUP(A34, MOs_Ready_to_close[[Order]:[Tot Est Machine Hrs]], 2, FALSE), "")</f>
        <v>Item720</v>
      </c>
      <c r="C34" s="5" t="str">
        <f>_xlfn.IFNA(VLOOKUP(A34, MOs_Ready_to_close[[Order]:[Tot Est Machine Hrs]], 4, FALSE), "")</f>
        <v>DeptB</v>
      </c>
      <c r="D34" s="6">
        <f>_xlfn.IFNA(VLOOKUP(A34, MOs_Ready_to_close[[Order]:[Tot Est Machine Hrs]], 8, FALSE), "")</f>
        <v>45783</v>
      </c>
      <c r="E34" s="7">
        <f>_xlfn.IFNA(VLOOKUP(A34, MOs_Ready_to_close[[Order]:[Tot Est Machine Hrs]], 9, FALSE), "")</f>
        <v>10</v>
      </c>
      <c r="F34" s="10">
        <f>SUMIF(MO_Operations[ORDER], Calculations!A34, MO_Operations[Standard Labor Hrs] )</f>
        <v>1.5</v>
      </c>
      <c r="G34" s="10">
        <f>SUMIF(MO_Operations[ORDER], Calculations!A34, MO_Operations[Total Act Labor Hrs] )</f>
        <v>2.0999999999999996</v>
      </c>
      <c r="H34" s="10">
        <f>-SUMIF(MO_Operations[ORDER], Calculations!A34, MO_Operations[Total Cost Variance] )</f>
        <v>-20</v>
      </c>
      <c r="I34" s="11">
        <f>SUMIF(MO_Components[Order], Calculations!A34, MO_Components[Std Cost])</f>
        <v>1352</v>
      </c>
      <c r="J34" s="11">
        <f>SUMIF(MO_Components[Order], Calculations!A34, MO_Components[Act Cost])</f>
        <v>1336</v>
      </c>
      <c r="K34" s="11">
        <f t="shared" si="0"/>
        <v>-16</v>
      </c>
      <c r="L34" t="str">
        <f t="shared" si="1"/>
        <v>Positive</v>
      </c>
      <c r="M34" t="str">
        <f t="shared" si="2"/>
        <v>Negative</v>
      </c>
      <c r="N34" t="str">
        <f t="shared" si="3"/>
        <v>Negative</v>
      </c>
    </row>
    <row r="35" spans="1:14" x14ac:dyDescent="0.25">
      <c r="A35" s="5" t="str">
        <v>MO13750</v>
      </c>
      <c r="B35" s="5" t="str">
        <f>_xlfn.IFNA(VLOOKUP(A35, MOs_Ready_to_close[[Order]:[Tot Est Machine Hrs]], 2, FALSE), "")</f>
        <v>Item1139</v>
      </c>
      <c r="C35" s="5" t="str">
        <f>_xlfn.IFNA(VLOOKUP(A35, MOs_Ready_to_close[[Order]:[Tot Est Machine Hrs]], 4, FALSE), "")</f>
        <v>DeptA</v>
      </c>
      <c r="D35" s="6">
        <f>_xlfn.IFNA(VLOOKUP(A35, MOs_Ready_to_close[[Order]:[Tot Est Machine Hrs]], 8, FALSE), "")</f>
        <v>45784</v>
      </c>
      <c r="E35" s="7">
        <f>_xlfn.IFNA(VLOOKUP(A35, MOs_Ready_to_close[[Order]:[Tot Est Machine Hrs]], 9, FALSE), "")</f>
        <v>285</v>
      </c>
      <c r="F35" s="10">
        <f>SUMIF(MO_Operations[ORDER], Calculations!A35, MO_Operations[Standard Labor Hrs] )</f>
        <v>5</v>
      </c>
      <c r="G35" s="10">
        <f>SUMIF(MO_Operations[ORDER], Calculations!A35, MO_Operations[Total Act Labor Hrs] )</f>
        <v>4.3</v>
      </c>
      <c r="H35" s="10">
        <f>-SUMIF(MO_Operations[ORDER], Calculations!A35, MO_Operations[Total Cost Variance] )</f>
        <v>-35</v>
      </c>
      <c r="I35" s="11">
        <f>SUMIF(MO_Components[Order], Calculations!A35, MO_Components[Std Cost])</f>
        <v>7</v>
      </c>
      <c r="J35" s="11">
        <f>SUMIF(MO_Components[Order], Calculations!A35, MO_Components[Act Cost])</f>
        <v>7</v>
      </c>
      <c r="K35" s="11">
        <f t="shared" si="0"/>
        <v>0</v>
      </c>
      <c r="L35" t="str">
        <f t="shared" si="1"/>
        <v>Positive</v>
      </c>
      <c r="M35" t="str">
        <f t="shared" si="2"/>
        <v>Negative</v>
      </c>
      <c r="N35" t="str">
        <f t="shared" si="3"/>
        <v/>
      </c>
    </row>
    <row r="36" spans="1:14" x14ac:dyDescent="0.25">
      <c r="A36" s="5" t="str">
        <v>MO13950</v>
      </c>
      <c r="B36" s="5" t="str">
        <f>_xlfn.IFNA(VLOOKUP(A36, MOs_Ready_to_close[[Order]:[Tot Est Machine Hrs]], 2, FALSE), "")</f>
        <v>Item1140</v>
      </c>
      <c r="C36" s="5" t="str">
        <f>_xlfn.IFNA(VLOOKUP(A36, MOs_Ready_to_close[[Order]:[Tot Est Machine Hrs]], 4, FALSE), "")</f>
        <v>DeptA</v>
      </c>
      <c r="D36" s="6">
        <f>_xlfn.IFNA(VLOOKUP(A36, MOs_Ready_to_close[[Order]:[Tot Est Machine Hrs]], 8, FALSE), "")</f>
        <v>45789</v>
      </c>
      <c r="E36" s="7">
        <f>_xlfn.IFNA(VLOOKUP(A36, MOs_Ready_to_close[[Order]:[Tot Est Machine Hrs]], 9, FALSE), "")</f>
        <v>-340</v>
      </c>
      <c r="F36" s="10">
        <f>SUMIF(MO_Operations[ORDER], Calculations!A36, MO_Operations[Standard Labor Hrs] )</f>
        <v>1.7</v>
      </c>
      <c r="G36" s="10">
        <f>SUMIF(MO_Operations[ORDER], Calculations!A36, MO_Operations[Total Act Labor Hrs] )</f>
        <v>0</v>
      </c>
      <c r="H36" s="10">
        <f>-SUMIF(MO_Operations[ORDER], Calculations!A36, MO_Operations[Total Cost Variance] )</f>
        <v>-305</v>
      </c>
      <c r="I36" s="11">
        <f>SUMIF(MO_Components[Order], Calculations!A36, MO_Components[Std Cost])</f>
        <v>10</v>
      </c>
      <c r="J36" s="11">
        <f>SUMIF(MO_Components[Order], Calculations!A36, MO_Components[Act Cost])</f>
        <v>10</v>
      </c>
      <c r="K36" s="11">
        <f t="shared" si="0"/>
        <v>0</v>
      </c>
      <c r="L36" t="str">
        <f t="shared" si="1"/>
        <v>Negative</v>
      </c>
      <c r="M36" t="str">
        <f t="shared" si="2"/>
        <v>Negative</v>
      </c>
      <c r="N36" t="str">
        <f t="shared" si="3"/>
        <v/>
      </c>
    </row>
    <row r="37" spans="1:14" x14ac:dyDescent="0.25">
      <c r="A37" s="5" t="str">
        <v>MO10530</v>
      </c>
      <c r="B37" s="5" t="str">
        <f>_xlfn.IFNA(VLOOKUP(A37, MOs_Ready_to_close[[Order]:[Tot Est Machine Hrs]], 2, FALSE), "")</f>
        <v>Item120</v>
      </c>
      <c r="C37" s="5" t="str">
        <f>_xlfn.IFNA(VLOOKUP(A37, MOs_Ready_to_close[[Order]:[Tot Est Machine Hrs]], 4, FALSE), "")</f>
        <v>DeptA</v>
      </c>
      <c r="D37" s="6">
        <f>_xlfn.IFNA(VLOOKUP(A37, MOs_Ready_to_close[[Order]:[Tot Est Machine Hrs]], 8, FALSE), "")</f>
        <v>45768</v>
      </c>
      <c r="E37" s="7">
        <f>_xlfn.IFNA(VLOOKUP(A37, MOs_Ready_to_close[[Order]:[Tot Est Machine Hrs]], 9, FALSE), "")</f>
        <v>55</v>
      </c>
      <c r="F37" s="10">
        <f>SUMIF(MO_Operations[ORDER], Calculations!A37, MO_Operations[Standard Labor Hrs] )</f>
        <v>0.6</v>
      </c>
      <c r="G37" s="10">
        <f>SUMIF(MO_Operations[ORDER], Calculations!A37, MO_Operations[Total Act Labor Hrs] )</f>
        <v>0.7</v>
      </c>
      <c r="H37" s="10">
        <f>-SUMIF(MO_Operations[ORDER], Calculations!A37, MO_Operations[Total Cost Variance] )</f>
        <v>0</v>
      </c>
      <c r="I37" s="11">
        <f>SUMIF(MO_Components[Order], Calculations!A37, MO_Components[Std Cost])</f>
        <v>120</v>
      </c>
      <c r="J37" s="11">
        <f>SUMIF(MO_Components[Order], Calculations!A37, MO_Components[Act Cost])</f>
        <v>120</v>
      </c>
      <c r="K37" s="11">
        <f t="shared" si="0"/>
        <v>0</v>
      </c>
      <c r="L37" t="str">
        <f t="shared" si="1"/>
        <v>Positive</v>
      </c>
      <c r="M37" t="str">
        <f t="shared" si="2"/>
        <v/>
      </c>
      <c r="N37" t="str">
        <f t="shared" si="3"/>
        <v/>
      </c>
    </row>
    <row r="38" spans="1:14" x14ac:dyDescent="0.25">
      <c r="A38" s="5" t="str">
        <v>MO14120</v>
      </c>
      <c r="B38" s="5" t="str">
        <f>_xlfn.IFNA(VLOOKUP(A38, MOs_Ready_to_close[[Order]:[Tot Est Machine Hrs]], 2, FALSE), "")</f>
        <v>Item1141</v>
      </c>
      <c r="C38" s="5" t="str">
        <f>_xlfn.IFNA(VLOOKUP(A38, MOs_Ready_to_close[[Order]:[Tot Est Machine Hrs]], 4, FALSE), "")</f>
        <v>DeptA</v>
      </c>
      <c r="D38" s="6">
        <f>_xlfn.IFNA(VLOOKUP(A38, MOs_Ready_to_close[[Order]:[Tot Est Machine Hrs]], 8, FALSE), "")</f>
        <v>45784</v>
      </c>
      <c r="E38" s="7">
        <f>_xlfn.IFNA(VLOOKUP(A38, MOs_Ready_to_close[[Order]:[Tot Est Machine Hrs]], 9, FALSE), "")</f>
        <v>55</v>
      </c>
      <c r="F38" s="10">
        <f>SUMIF(MO_Operations[ORDER], Calculations!A38, MO_Operations[Standard Labor Hrs] )</f>
        <v>9.0000000000000018</v>
      </c>
      <c r="G38" s="10">
        <f>SUMIF(MO_Operations[ORDER], Calculations!A38, MO_Operations[Total Act Labor Hrs] )</f>
        <v>9.7000000000000011</v>
      </c>
      <c r="H38" s="10">
        <f>-SUMIF(MO_Operations[ORDER], Calculations!A38, MO_Operations[Total Cost Variance] )</f>
        <v>30</v>
      </c>
      <c r="I38" s="11">
        <f>SUMIF(MO_Components[Order], Calculations!A38, MO_Components[Std Cost])</f>
        <v>2305</v>
      </c>
      <c r="J38" s="11">
        <f>SUMIF(MO_Components[Order], Calculations!A38, MO_Components[Act Cost])</f>
        <v>2305</v>
      </c>
      <c r="K38" s="11">
        <f t="shared" si="0"/>
        <v>0</v>
      </c>
      <c r="L38" t="str">
        <f t="shared" si="1"/>
        <v>Positive</v>
      </c>
      <c r="M38" t="str">
        <f t="shared" si="2"/>
        <v>Positive</v>
      </c>
      <c r="N38" t="str">
        <f t="shared" si="3"/>
        <v/>
      </c>
    </row>
    <row r="39" spans="1:14" x14ac:dyDescent="0.25">
      <c r="A39" s="5" t="str">
        <v>MO14200</v>
      </c>
      <c r="B39" s="5" t="str">
        <f>_xlfn.IFNA(VLOOKUP(A39, MOs_Ready_to_close[[Order]:[Tot Est Machine Hrs]], 2, FALSE), "")</f>
        <v>Item1142</v>
      </c>
      <c r="C39" s="5" t="str">
        <f>_xlfn.IFNA(VLOOKUP(A39, MOs_Ready_to_close[[Order]:[Tot Est Machine Hrs]], 4, FALSE), "")</f>
        <v>DeptA</v>
      </c>
      <c r="D39" s="6">
        <f>_xlfn.IFNA(VLOOKUP(A39, MOs_Ready_to_close[[Order]:[Tot Est Machine Hrs]], 8, FALSE), "")</f>
        <v>45782</v>
      </c>
      <c r="E39" s="7">
        <f>_xlfn.IFNA(VLOOKUP(A39, MOs_Ready_to_close[[Order]:[Tot Est Machine Hrs]], 9, FALSE), "")</f>
        <v>155</v>
      </c>
      <c r="F39" s="10">
        <f>SUMIF(MO_Operations[ORDER], Calculations!A39, MO_Operations[Standard Labor Hrs] )</f>
        <v>4.3</v>
      </c>
      <c r="G39" s="10">
        <f>SUMIF(MO_Operations[ORDER], Calculations!A39, MO_Operations[Total Act Labor Hrs] )</f>
        <v>7</v>
      </c>
      <c r="H39" s="10">
        <f>-SUMIF(MO_Operations[ORDER], Calculations!A39, MO_Operations[Total Cost Variance] )</f>
        <v>130</v>
      </c>
      <c r="I39" s="11">
        <f>SUMIF(MO_Components[Order], Calculations!A39, MO_Components[Std Cost])</f>
        <v>1630</v>
      </c>
      <c r="J39" s="11">
        <f>SUMIF(MO_Components[Order], Calculations!A39, MO_Components[Act Cost])</f>
        <v>1630</v>
      </c>
      <c r="K39" s="11">
        <f t="shared" si="0"/>
        <v>0</v>
      </c>
      <c r="L39" t="str">
        <f t="shared" si="1"/>
        <v>Positive</v>
      </c>
      <c r="M39" t="str">
        <f t="shared" si="2"/>
        <v>Positive</v>
      </c>
      <c r="N39" t="str">
        <f t="shared" si="3"/>
        <v/>
      </c>
    </row>
    <row r="40" spans="1:14" x14ac:dyDescent="0.25">
      <c r="A40" s="5" t="str">
        <v>MO14230</v>
      </c>
      <c r="B40" s="5" t="str">
        <f>_xlfn.IFNA(VLOOKUP(A40, MOs_Ready_to_close[[Order]:[Tot Est Machine Hrs]], 2, FALSE), "")</f>
        <v>Item1143</v>
      </c>
      <c r="C40" s="5" t="str">
        <f>_xlfn.IFNA(VLOOKUP(A40, MOs_Ready_to_close[[Order]:[Tot Est Machine Hrs]], 4, FALSE), "")</f>
        <v>DeptA</v>
      </c>
      <c r="D40" s="6">
        <f>_xlfn.IFNA(VLOOKUP(A40, MOs_Ready_to_close[[Order]:[Tot Est Machine Hrs]], 8, FALSE), "")</f>
        <v>45789</v>
      </c>
      <c r="E40" s="7">
        <f>_xlfn.IFNA(VLOOKUP(A40, MOs_Ready_to_close[[Order]:[Tot Est Machine Hrs]], 9, FALSE), "")</f>
        <v>-125</v>
      </c>
      <c r="F40" s="10">
        <f>SUMIF(MO_Operations[ORDER], Calculations!A40, MO_Operations[Standard Labor Hrs] )</f>
        <v>16.5</v>
      </c>
      <c r="G40" s="10">
        <f>SUMIF(MO_Operations[ORDER], Calculations!A40, MO_Operations[Total Act Labor Hrs] )</f>
        <v>15.6</v>
      </c>
      <c r="H40" s="10">
        <f>-SUMIF(MO_Operations[ORDER], Calculations!A40, MO_Operations[Total Cost Variance] )</f>
        <v>-55</v>
      </c>
      <c r="I40" s="11">
        <f>SUMIF(MO_Components[Order], Calculations!A40, MO_Components[Std Cost])</f>
        <v>6985</v>
      </c>
      <c r="J40" s="11">
        <f>SUMIF(MO_Components[Order], Calculations!A40, MO_Components[Act Cost])</f>
        <v>6985</v>
      </c>
      <c r="K40" s="11">
        <f t="shared" si="0"/>
        <v>0</v>
      </c>
      <c r="L40" t="str">
        <f t="shared" si="1"/>
        <v>Negative</v>
      </c>
      <c r="M40" t="str">
        <f t="shared" si="2"/>
        <v>Negative</v>
      </c>
      <c r="N40" t="str">
        <f t="shared" si="3"/>
        <v/>
      </c>
    </row>
    <row r="41" spans="1:14" x14ac:dyDescent="0.25">
      <c r="A41" s="5" t="str">
        <v>MO10510</v>
      </c>
      <c r="B41" s="5" t="str">
        <f>_xlfn.IFNA(VLOOKUP(A41, MOs_Ready_to_close[[Order]:[Tot Est Machine Hrs]], 2, FALSE), "")</f>
        <v>Item118</v>
      </c>
      <c r="C41" s="5" t="str">
        <f>_xlfn.IFNA(VLOOKUP(A41, MOs_Ready_to_close[[Order]:[Tot Est Machine Hrs]], 4, FALSE), "")</f>
        <v>DeptA</v>
      </c>
      <c r="D41" s="6">
        <f>_xlfn.IFNA(VLOOKUP(A41, MOs_Ready_to_close[[Order]:[Tot Est Machine Hrs]], 8, FALSE), "")</f>
        <v>45768</v>
      </c>
      <c r="E41" s="7">
        <f>_xlfn.IFNA(VLOOKUP(A41, MOs_Ready_to_close[[Order]:[Tot Est Machine Hrs]], 9, FALSE), "")</f>
        <v>275</v>
      </c>
      <c r="F41" s="10">
        <f>SUMIF(MO_Operations[ORDER], Calculations!A41, MO_Operations[Standard Labor Hrs] )</f>
        <v>0</v>
      </c>
      <c r="G41" s="10">
        <f>SUMIF(MO_Operations[ORDER], Calculations!A41, MO_Operations[Total Act Labor Hrs] )</f>
        <v>5.3</v>
      </c>
      <c r="H41" s="10">
        <f>-SUMIF(MO_Operations[ORDER], Calculations!A41, MO_Operations[Total Cost Variance] )</f>
        <v>255</v>
      </c>
      <c r="I41" s="11">
        <f>SUMIF(MO_Components[Order], Calculations!A41, MO_Components[Std Cost])</f>
        <v>27870</v>
      </c>
      <c r="J41" s="11">
        <f>SUMIF(MO_Components[Order], Calculations!A41, MO_Components[Act Cost])</f>
        <v>27870</v>
      </c>
      <c r="K41" s="11">
        <f t="shared" si="0"/>
        <v>0</v>
      </c>
      <c r="L41" t="str">
        <f t="shared" si="1"/>
        <v>Positive</v>
      </c>
      <c r="M41" t="str">
        <f t="shared" si="2"/>
        <v>Positive</v>
      </c>
      <c r="N41" t="str">
        <f t="shared" si="3"/>
        <v/>
      </c>
    </row>
    <row r="42" spans="1:14" x14ac:dyDescent="0.25">
      <c r="A42" s="5" t="str">
        <v>MO14470</v>
      </c>
      <c r="B42" s="5" t="str">
        <f>_xlfn.IFNA(VLOOKUP(A42, MOs_Ready_to_close[[Order]:[Tot Est Machine Hrs]], 2, FALSE), "")</f>
        <v>Item673</v>
      </c>
      <c r="C42" s="5" t="str">
        <f>_xlfn.IFNA(VLOOKUP(A42, MOs_Ready_to_close[[Order]:[Tot Est Machine Hrs]], 4, FALSE), "")</f>
        <v>DeptC</v>
      </c>
      <c r="D42" s="6">
        <f>_xlfn.IFNA(VLOOKUP(A42, MOs_Ready_to_close[[Order]:[Tot Est Machine Hrs]], 8, FALSE), "")</f>
        <v>45783</v>
      </c>
      <c r="E42" s="7">
        <f>_xlfn.IFNA(VLOOKUP(A42, MOs_Ready_to_close[[Order]:[Tot Est Machine Hrs]], 9, FALSE), "")</f>
        <v>380</v>
      </c>
      <c r="F42" s="10">
        <f>SUMIF(MO_Operations[ORDER], Calculations!A42, MO_Operations[Standard Labor Hrs] )</f>
        <v>5</v>
      </c>
      <c r="G42" s="10">
        <f>SUMIF(MO_Operations[ORDER], Calculations!A42, MO_Operations[Total Act Labor Hrs] )</f>
        <v>9.7000000000000011</v>
      </c>
      <c r="H42" s="10">
        <f>-SUMIF(MO_Operations[ORDER], Calculations!A42, MO_Operations[Total Cost Variance] )</f>
        <v>470</v>
      </c>
      <c r="I42" s="11">
        <f>SUMIF(MO_Components[Order], Calculations!A42, MO_Components[Std Cost])</f>
        <v>17577</v>
      </c>
      <c r="J42" s="11">
        <f>SUMIF(MO_Components[Order], Calculations!A42, MO_Components[Act Cost])</f>
        <v>17577</v>
      </c>
      <c r="K42" s="11">
        <f t="shared" si="0"/>
        <v>0</v>
      </c>
      <c r="L42" t="str">
        <f t="shared" si="1"/>
        <v>Positive</v>
      </c>
      <c r="M42" t="str">
        <f t="shared" si="2"/>
        <v>Positive</v>
      </c>
      <c r="N42" t="str">
        <f t="shared" si="3"/>
        <v/>
      </c>
    </row>
    <row r="43" spans="1:14" x14ac:dyDescent="0.25">
      <c r="A43" s="5" t="str">
        <v>MO14670</v>
      </c>
      <c r="B43" s="5" t="str">
        <f>_xlfn.IFNA(VLOOKUP(A43, MOs_Ready_to_close[[Order]:[Tot Est Machine Hrs]], 2, FALSE), "")</f>
        <v>Item501</v>
      </c>
      <c r="C43" s="5" t="str">
        <f>_xlfn.IFNA(VLOOKUP(A43, MOs_Ready_to_close[[Order]:[Tot Est Machine Hrs]], 4, FALSE), "")</f>
        <v>DeptE</v>
      </c>
      <c r="D43" s="6">
        <f>_xlfn.IFNA(VLOOKUP(A43, MOs_Ready_to_close[[Order]:[Tot Est Machine Hrs]], 8, FALSE), "")</f>
        <v>45785</v>
      </c>
      <c r="E43" s="7">
        <f>_xlfn.IFNA(VLOOKUP(A43, MOs_Ready_to_close[[Order]:[Tot Est Machine Hrs]], 9, FALSE), "")</f>
        <v>600</v>
      </c>
      <c r="F43" s="10">
        <f>SUMIF(MO_Operations[ORDER], Calculations!A43, MO_Operations[Standard Labor Hrs] )</f>
        <v>1</v>
      </c>
      <c r="G43" s="10">
        <f>SUMIF(MO_Operations[ORDER], Calculations!A43, MO_Operations[Total Act Labor Hrs] )</f>
        <v>15</v>
      </c>
      <c r="H43" s="10">
        <f>-SUMIF(MO_Operations[ORDER], Calculations!A43, MO_Operations[Total Cost Variance] )</f>
        <v>575</v>
      </c>
      <c r="I43" s="11">
        <f>SUMIF(MO_Components[Order], Calculations!A43, MO_Components[Std Cost])</f>
        <v>267</v>
      </c>
      <c r="J43" s="11">
        <f>SUMIF(MO_Components[Order], Calculations!A43, MO_Components[Act Cost])</f>
        <v>331</v>
      </c>
      <c r="K43" s="11">
        <f t="shared" si="0"/>
        <v>64</v>
      </c>
      <c r="L43" t="str">
        <f t="shared" si="1"/>
        <v>Positive</v>
      </c>
      <c r="M43" t="str">
        <f t="shared" si="2"/>
        <v>Positive</v>
      </c>
      <c r="N43" t="str">
        <f t="shared" si="3"/>
        <v>Positive</v>
      </c>
    </row>
    <row r="44" spans="1:14" x14ac:dyDescent="0.25">
      <c r="A44" s="5" t="str">
        <v>MO14800</v>
      </c>
      <c r="B44" s="5" t="str">
        <f>_xlfn.IFNA(VLOOKUP(A44, MOs_Ready_to_close[[Order]:[Tot Est Machine Hrs]], 2, FALSE), "")</f>
        <v>Item1144</v>
      </c>
      <c r="C44" s="5" t="str">
        <f>_xlfn.IFNA(VLOOKUP(A44, MOs_Ready_to_close[[Order]:[Tot Est Machine Hrs]], 4, FALSE), "")</f>
        <v>DeptA</v>
      </c>
      <c r="D44" s="6">
        <f>_xlfn.IFNA(VLOOKUP(A44, MOs_Ready_to_close[[Order]:[Tot Est Machine Hrs]], 8, FALSE), "")</f>
        <v>45782</v>
      </c>
      <c r="E44" s="7">
        <f>_xlfn.IFNA(VLOOKUP(A44, MOs_Ready_to_close[[Order]:[Tot Est Machine Hrs]], 9, FALSE), "")</f>
        <v>-665</v>
      </c>
      <c r="F44" s="10">
        <f>SUMIF(MO_Operations[ORDER], Calculations!A44, MO_Operations[Standard Labor Hrs] )</f>
        <v>20.6</v>
      </c>
      <c r="G44" s="10">
        <f>SUMIF(MO_Operations[ORDER], Calculations!A44, MO_Operations[Total Act Labor Hrs] )</f>
        <v>6.2</v>
      </c>
      <c r="H44" s="10">
        <f>-SUMIF(MO_Operations[ORDER], Calculations!A44, MO_Operations[Total Cost Variance] )</f>
        <v>-715</v>
      </c>
      <c r="I44" s="11">
        <f>SUMIF(MO_Components[Order], Calculations!A44, MO_Components[Std Cost])</f>
        <v>3315</v>
      </c>
      <c r="J44" s="11">
        <f>SUMIF(MO_Components[Order], Calculations!A44, MO_Components[Act Cost])</f>
        <v>3315</v>
      </c>
      <c r="K44" s="11">
        <f t="shared" si="0"/>
        <v>0</v>
      </c>
      <c r="L44" t="str">
        <f t="shared" si="1"/>
        <v>Negative</v>
      </c>
      <c r="M44" t="str">
        <f t="shared" si="2"/>
        <v>Negative</v>
      </c>
      <c r="N44" t="str">
        <f t="shared" si="3"/>
        <v/>
      </c>
    </row>
    <row r="45" spans="1:14" x14ac:dyDescent="0.25">
      <c r="A45" s="5" t="str">
        <v>MO14830</v>
      </c>
      <c r="B45" s="5" t="str">
        <f>_xlfn.IFNA(VLOOKUP(A45, MOs_Ready_to_close[[Order]:[Tot Est Machine Hrs]], 2, FALSE), "")</f>
        <v>Item365</v>
      </c>
      <c r="C45" s="5" t="str">
        <f>_xlfn.IFNA(VLOOKUP(A45, MOs_Ready_to_close[[Order]:[Tot Est Machine Hrs]], 4, FALSE), "")</f>
        <v>DeptE</v>
      </c>
      <c r="D45" s="6">
        <f>_xlfn.IFNA(VLOOKUP(A45, MOs_Ready_to_close[[Order]:[Tot Est Machine Hrs]], 8, FALSE), "")</f>
        <v>45782</v>
      </c>
      <c r="E45" s="7">
        <f>_xlfn.IFNA(VLOOKUP(A45, MOs_Ready_to_close[[Order]:[Tot Est Machine Hrs]], 9, FALSE), "")</f>
        <v>-90</v>
      </c>
      <c r="F45" s="10">
        <f>SUMIF(MO_Operations[ORDER], Calculations!A45, MO_Operations[Standard Labor Hrs] )</f>
        <v>3.3</v>
      </c>
      <c r="G45" s="10">
        <f>SUMIF(MO_Operations[ORDER], Calculations!A45, MO_Operations[Total Act Labor Hrs] )</f>
        <v>6.2</v>
      </c>
      <c r="H45" s="10">
        <f>-SUMIF(MO_Operations[ORDER], Calculations!A45, MO_Operations[Total Cost Variance] )</f>
        <v>-25</v>
      </c>
      <c r="I45" s="11">
        <f>SUMIF(MO_Components[Order], Calculations!A45, MO_Components[Std Cost])</f>
        <v>103</v>
      </c>
      <c r="J45" s="11">
        <f>SUMIF(MO_Components[Order], Calculations!A45, MO_Components[Act Cost])</f>
        <v>147</v>
      </c>
      <c r="K45" s="11">
        <f t="shared" si="0"/>
        <v>44</v>
      </c>
      <c r="L45" t="str">
        <f t="shared" si="1"/>
        <v>Negative</v>
      </c>
      <c r="M45" t="str">
        <f t="shared" si="2"/>
        <v>Negative</v>
      </c>
      <c r="N45" t="str">
        <f t="shared" si="3"/>
        <v>Positive</v>
      </c>
    </row>
    <row r="46" spans="1:14" x14ac:dyDescent="0.25">
      <c r="A46" s="5" t="str">
        <v>MO14850</v>
      </c>
      <c r="B46" s="5" t="str">
        <f>_xlfn.IFNA(VLOOKUP(A46, MOs_Ready_to_close[[Order]:[Tot Est Machine Hrs]], 2, FALSE), "")</f>
        <v>Item1145</v>
      </c>
      <c r="C46" s="5" t="str">
        <f>_xlfn.IFNA(VLOOKUP(A46, MOs_Ready_to_close[[Order]:[Tot Est Machine Hrs]], 4, FALSE), "")</f>
        <v>DeptA</v>
      </c>
      <c r="D46" s="6">
        <f>_xlfn.IFNA(VLOOKUP(A46, MOs_Ready_to_close[[Order]:[Tot Est Machine Hrs]], 8, FALSE), "")</f>
        <v>45782</v>
      </c>
      <c r="E46" s="7">
        <f>_xlfn.IFNA(VLOOKUP(A46, MOs_Ready_to_close[[Order]:[Tot Est Machine Hrs]], 9, FALSE), "")</f>
        <v>-880</v>
      </c>
      <c r="F46" s="10">
        <f>SUMIF(MO_Operations[ORDER], Calculations!A46, MO_Operations[Standard Labor Hrs] )</f>
        <v>20.8</v>
      </c>
      <c r="G46" s="10">
        <f>SUMIF(MO_Operations[ORDER], Calculations!A46, MO_Operations[Total Act Labor Hrs] )</f>
        <v>9.1000000000000014</v>
      </c>
      <c r="H46" s="10">
        <f>-SUMIF(MO_Operations[ORDER], Calculations!A46, MO_Operations[Total Cost Variance] )</f>
        <v>-580</v>
      </c>
      <c r="I46" s="11">
        <f>SUMIF(MO_Components[Order], Calculations!A46, MO_Components[Std Cost])</f>
        <v>3215</v>
      </c>
      <c r="J46" s="11">
        <f>SUMIF(MO_Components[Order], Calculations!A46, MO_Components[Act Cost])</f>
        <v>3215</v>
      </c>
      <c r="K46" s="11">
        <f t="shared" si="0"/>
        <v>0</v>
      </c>
      <c r="L46" t="str">
        <f t="shared" si="1"/>
        <v>Negative</v>
      </c>
      <c r="M46" t="str">
        <f t="shared" si="2"/>
        <v>Negative</v>
      </c>
      <c r="N46" t="str">
        <f t="shared" si="3"/>
        <v/>
      </c>
    </row>
    <row r="47" spans="1:14" x14ac:dyDescent="0.25">
      <c r="A47" s="5" t="str">
        <v>MO14860</v>
      </c>
      <c r="B47" s="5" t="str">
        <f>_xlfn.IFNA(VLOOKUP(A47, MOs_Ready_to_close[[Order]:[Tot Est Machine Hrs]], 2, FALSE), "")</f>
        <v>Item1146</v>
      </c>
      <c r="C47" s="5" t="str">
        <f>_xlfn.IFNA(VLOOKUP(A47, MOs_Ready_to_close[[Order]:[Tot Est Machine Hrs]], 4, FALSE), "")</f>
        <v>DeptA</v>
      </c>
      <c r="D47" s="6">
        <f>_xlfn.IFNA(VLOOKUP(A47, MOs_Ready_to_close[[Order]:[Tot Est Machine Hrs]], 8, FALSE), "")</f>
        <v>45782</v>
      </c>
      <c r="E47" s="7">
        <f>_xlfn.IFNA(VLOOKUP(A47, MOs_Ready_to_close[[Order]:[Tot Est Machine Hrs]], 9, FALSE), "")</f>
        <v>-30</v>
      </c>
      <c r="F47" s="10">
        <f>SUMIF(MO_Operations[ORDER], Calculations!A47, MO_Operations[Standard Labor Hrs] )</f>
        <v>4.5</v>
      </c>
      <c r="G47" s="10">
        <f>SUMIF(MO_Operations[ORDER], Calculations!A47, MO_Operations[Total Act Labor Hrs] )</f>
        <v>2.7</v>
      </c>
      <c r="H47" s="10">
        <f>-SUMIF(MO_Operations[ORDER], Calculations!A47, MO_Operations[Total Cost Variance] )</f>
        <v>-95</v>
      </c>
      <c r="I47" s="11">
        <f>SUMIF(MO_Components[Order], Calculations!A47, MO_Components[Std Cost])</f>
        <v>2635</v>
      </c>
      <c r="J47" s="11">
        <f>SUMIF(MO_Components[Order], Calculations!A47, MO_Components[Act Cost])</f>
        <v>2635</v>
      </c>
      <c r="K47" s="11">
        <f t="shared" si="0"/>
        <v>0</v>
      </c>
      <c r="L47" t="str">
        <f t="shared" si="1"/>
        <v>Negative</v>
      </c>
      <c r="M47" t="str">
        <f t="shared" si="2"/>
        <v>Negative</v>
      </c>
      <c r="N47" t="str">
        <f t="shared" si="3"/>
        <v/>
      </c>
    </row>
    <row r="48" spans="1:14" x14ac:dyDescent="0.25">
      <c r="A48" s="5" t="str">
        <v>MO14880</v>
      </c>
      <c r="B48" s="5" t="str">
        <f>_xlfn.IFNA(VLOOKUP(A48, MOs_Ready_to_close[[Order]:[Tot Est Machine Hrs]], 2, FALSE), "")</f>
        <v>Item1147</v>
      </c>
      <c r="C48" s="5" t="str">
        <f>_xlfn.IFNA(VLOOKUP(A48, MOs_Ready_to_close[[Order]:[Tot Est Machine Hrs]], 4, FALSE), "")</f>
        <v>DeptA</v>
      </c>
      <c r="D48" s="6">
        <f>_xlfn.IFNA(VLOOKUP(A48, MOs_Ready_to_close[[Order]:[Tot Est Machine Hrs]], 8, FALSE), "")</f>
        <v>45782</v>
      </c>
      <c r="E48" s="7">
        <f>_xlfn.IFNA(VLOOKUP(A48, MOs_Ready_to_close[[Order]:[Tot Est Machine Hrs]], 9, FALSE), "")</f>
        <v>-210</v>
      </c>
      <c r="F48" s="10">
        <f>SUMIF(MO_Operations[ORDER], Calculations!A48, MO_Operations[Standard Labor Hrs] )</f>
        <v>11.700000000000001</v>
      </c>
      <c r="G48" s="10">
        <f>SUMIF(MO_Operations[ORDER], Calculations!A48, MO_Operations[Total Act Labor Hrs] )</f>
        <v>11.1</v>
      </c>
      <c r="H48" s="10">
        <f>-SUMIF(MO_Operations[ORDER], Calculations!A48, MO_Operations[Total Cost Variance] )</f>
        <v>-35</v>
      </c>
      <c r="I48" s="11">
        <f>SUMIF(MO_Components[Order], Calculations!A48, MO_Components[Std Cost])</f>
        <v>1242</v>
      </c>
      <c r="J48" s="11">
        <f>SUMIF(MO_Components[Order], Calculations!A48, MO_Components[Act Cost])</f>
        <v>1242</v>
      </c>
      <c r="K48" s="11">
        <f t="shared" si="0"/>
        <v>0</v>
      </c>
      <c r="L48" t="str">
        <f t="shared" si="1"/>
        <v>Negative</v>
      </c>
      <c r="M48" t="str">
        <f t="shared" si="2"/>
        <v>Negative</v>
      </c>
      <c r="N48" t="str">
        <f t="shared" si="3"/>
        <v/>
      </c>
    </row>
    <row r="49" spans="1:14" x14ac:dyDescent="0.25">
      <c r="A49" s="5" t="str">
        <v>MO14890</v>
      </c>
      <c r="B49" s="5" t="str">
        <f>_xlfn.IFNA(VLOOKUP(A49, MOs_Ready_to_close[[Order]:[Tot Est Machine Hrs]], 2, FALSE), "")</f>
        <v>Item1148</v>
      </c>
      <c r="C49" s="5" t="str">
        <f>_xlfn.IFNA(VLOOKUP(A49, MOs_Ready_to_close[[Order]:[Tot Est Machine Hrs]], 4, FALSE), "")</f>
        <v>DeptA</v>
      </c>
      <c r="D49" s="6">
        <f>_xlfn.IFNA(VLOOKUP(A49, MOs_Ready_to_close[[Order]:[Tot Est Machine Hrs]], 8, FALSE), "")</f>
        <v>45785</v>
      </c>
      <c r="E49" s="7">
        <f>_xlfn.IFNA(VLOOKUP(A49, MOs_Ready_to_close[[Order]:[Tot Est Machine Hrs]], 9, FALSE), "")</f>
        <v>-2190</v>
      </c>
      <c r="F49" s="10">
        <f>SUMIF(MO_Operations[ORDER], Calculations!A49, MO_Operations[Standard Labor Hrs] )</f>
        <v>1.3</v>
      </c>
      <c r="G49" s="10">
        <f>SUMIF(MO_Operations[ORDER], Calculations!A49, MO_Operations[Total Act Labor Hrs] )</f>
        <v>0</v>
      </c>
      <c r="H49" s="10">
        <f>-SUMIF(MO_Operations[ORDER], Calculations!A49, MO_Operations[Total Cost Variance] )</f>
        <v>-2090</v>
      </c>
      <c r="I49" s="11">
        <f>SUMIF(MO_Components[Order], Calculations!A49, MO_Components[Std Cost])</f>
        <v>125</v>
      </c>
      <c r="J49" s="11">
        <f>SUMIF(MO_Components[Order], Calculations!A49, MO_Components[Act Cost])</f>
        <v>125</v>
      </c>
      <c r="K49" s="11">
        <f t="shared" si="0"/>
        <v>0</v>
      </c>
      <c r="L49" t="str">
        <f t="shared" si="1"/>
        <v>Negative</v>
      </c>
      <c r="M49" t="str">
        <f t="shared" si="2"/>
        <v>Negative</v>
      </c>
      <c r="N49" t="str">
        <f t="shared" si="3"/>
        <v/>
      </c>
    </row>
    <row r="50" spans="1:14" x14ac:dyDescent="0.25">
      <c r="A50" s="5" t="str">
        <v>MO14910</v>
      </c>
      <c r="B50" s="5" t="str">
        <f>_xlfn.IFNA(VLOOKUP(A50, MOs_Ready_to_close[[Order]:[Tot Est Machine Hrs]], 2, FALSE), "")</f>
        <v>Item1149</v>
      </c>
      <c r="C50" s="5" t="str">
        <f>_xlfn.IFNA(VLOOKUP(A50, MOs_Ready_to_close[[Order]:[Tot Est Machine Hrs]], 4, FALSE), "")</f>
        <v>DeptC</v>
      </c>
      <c r="D50" s="6">
        <f>_xlfn.IFNA(VLOOKUP(A50, MOs_Ready_to_close[[Order]:[Tot Est Machine Hrs]], 8, FALSE), "")</f>
        <v>45783</v>
      </c>
      <c r="E50" s="7">
        <f>_xlfn.IFNA(VLOOKUP(A50, MOs_Ready_to_close[[Order]:[Tot Est Machine Hrs]], 9, FALSE), "")</f>
        <v>-220</v>
      </c>
      <c r="F50" s="10">
        <f>SUMIF(MO_Operations[ORDER], Calculations!A50, MO_Operations[Standard Labor Hrs] )</f>
        <v>4.5</v>
      </c>
      <c r="G50" s="10">
        <f>SUMIF(MO_Operations[ORDER], Calculations!A50, MO_Operations[Total Act Labor Hrs] )</f>
        <v>0.1</v>
      </c>
      <c r="H50" s="10">
        <f>-SUMIF(MO_Operations[ORDER], Calculations!A50, MO_Operations[Total Cost Variance] )</f>
        <v>-245</v>
      </c>
      <c r="I50" s="11">
        <f>SUMIF(MO_Components[Order], Calculations!A50, MO_Components[Std Cost])</f>
        <v>20395</v>
      </c>
      <c r="J50" s="11">
        <f>SUMIF(MO_Components[Order], Calculations!A50, MO_Components[Act Cost])</f>
        <v>20395</v>
      </c>
      <c r="K50" s="11">
        <f t="shared" si="0"/>
        <v>0</v>
      </c>
      <c r="L50" t="str">
        <f t="shared" si="1"/>
        <v>Negative</v>
      </c>
      <c r="M50" t="str">
        <f t="shared" si="2"/>
        <v>Negative</v>
      </c>
      <c r="N50" t="str">
        <f t="shared" si="3"/>
        <v/>
      </c>
    </row>
    <row r="51" spans="1:14" x14ac:dyDescent="0.25">
      <c r="A51" s="5" t="str">
        <v>MO15110</v>
      </c>
      <c r="B51" s="5" t="str">
        <f>_xlfn.IFNA(VLOOKUP(A51, MOs_Ready_to_close[[Order]:[Tot Est Machine Hrs]], 2, FALSE), "")</f>
        <v>Item124</v>
      </c>
      <c r="C51" s="5" t="str">
        <f>_xlfn.IFNA(VLOOKUP(A51, MOs_Ready_to_close[[Order]:[Tot Est Machine Hrs]], 4, FALSE), "")</f>
        <v>DeptA</v>
      </c>
      <c r="D51" s="6">
        <f>_xlfn.IFNA(VLOOKUP(A51, MOs_Ready_to_close[[Order]:[Tot Est Machine Hrs]], 8, FALSE), "")</f>
        <v>45782</v>
      </c>
      <c r="E51" s="7">
        <f>_xlfn.IFNA(VLOOKUP(A51, MOs_Ready_to_close[[Order]:[Tot Est Machine Hrs]], 9, FALSE), "")</f>
        <v>-900</v>
      </c>
      <c r="F51" s="10">
        <f>SUMIF(MO_Operations[ORDER], Calculations!A51, MO_Operations[Standard Labor Hrs] )</f>
        <v>35.599999999999994</v>
      </c>
      <c r="G51" s="10">
        <f>SUMIF(MO_Operations[ORDER], Calculations!A51, MO_Operations[Total Act Labor Hrs] )</f>
        <v>19.400000000000002</v>
      </c>
      <c r="H51" s="10">
        <f>-SUMIF(MO_Operations[ORDER], Calculations!A51, MO_Operations[Total Cost Variance] )</f>
        <v>-810</v>
      </c>
      <c r="I51" s="11">
        <f>SUMIF(MO_Components[Order], Calculations!A51, MO_Components[Std Cost])</f>
        <v>4045</v>
      </c>
      <c r="J51" s="11">
        <f>SUMIF(MO_Components[Order], Calculations!A51, MO_Components[Act Cost])</f>
        <v>4045</v>
      </c>
      <c r="K51" s="11">
        <f t="shared" si="0"/>
        <v>0</v>
      </c>
      <c r="L51" t="str">
        <f t="shared" si="1"/>
        <v>Negative</v>
      </c>
      <c r="M51" t="str">
        <f t="shared" si="2"/>
        <v>Negative</v>
      </c>
      <c r="N51" t="str">
        <f t="shared" si="3"/>
        <v/>
      </c>
    </row>
    <row r="52" spans="1:14" x14ac:dyDescent="0.25">
      <c r="A52" s="5" t="str">
        <v>MO15120</v>
      </c>
      <c r="B52" s="5" t="str">
        <f>_xlfn.IFNA(VLOOKUP(A52, MOs_Ready_to_close[[Order]:[Tot Est Machine Hrs]], 2, FALSE), "")</f>
        <v>Item1150</v>
      </c>
      <c r="C52" s="5" t="str">
        <f>_xlfn.IFNA(VLOOKUP(A52, MOs_Ready_to_close[[Order]:[Tot Est Machine Hrs]], 4, FALSE), "")</f>
        <v>DeptA</v>
      </c>
      <c r="D52" s="6">
        <f>_xlfn.IFNA(VLOOKUP(A52, MOs_Ready_to_close[[Order]:[Tot Est Machine Hrs]], 8, FALSE), "")</f>
        <v>45782</v>
      </c>
      <c r="E52" s="7">
        <f>_xlfn.IFNA(VLOOKUP(A52, MOs_Ready_to_close[[Order]:[Tot Est Machine Hrs]], 9, FALSE), "")</f>
        <v>90</v>
      </c>
      <c r="F52" s="10">
        <f>SUMIF(MO_Operations[ORDER], Calculations!A52, MO_Operations[Standard Labor Hrs] )</f>
        <v>0.6</v>
      </c>
      <c r="G52" s="10">
        <f>SUMIF(MO_Operations[ORDER], Calculations!A52, MO_Operations[Total Act Labor Hrs] )</f>
        <v>0</v>
      </c>
      <c r="H52" s="10">
        <f>-SUMIF(MO_Operations[ORDER], Calculations!A52, MO_Operations[Total Cost Variance] )</f>
        <v>70</v>
      </c>
      <c r="I52" s="11">
        <f>SUMIF(MO_Components[Order], Calculations!A52, MO_Components[Std Cost])</f>
        <v>55</v>
      </c>
      <c r="J52" s="11">
        <f>SUMIF(MO_Components[Order], Calculations!A52, MO_Components[Act Cost])</f>
        <v>55</v>
      </c>
      <c r="K52" s="11">
        <f t="shared" si="0"/>
        <v>0</v>
      </c>
      <c r="L52" t="str">
        <f t="shared" si="1"/>
        <v>Positive</v>
      </c>
      <c r="M52" t="str">
        <f t="shared" si="2"/>
        <v>Positive</v>
      </c>
      <c r="N52" t="str">
        <f t="shared" si="3"/>
        <v/>
      </c>
    </row>
    <row r="53" spans="1:14" x14ac:dyDescent="0.25">
      <c r="A53" s="5" t="str">
        <v>MO15130</v>
      </c>
      <c r="B53" s="5" t="str">
        <f>_xlfn.IFNA(VLOOKUP(A53, MOs_Ready_to_close[[Order]:[Tot Est Machine Hrs]], 2, FALSE), "")</f>
        <v>Item1151</v>
      </c>
      <c r="C53" s="5" t="str">
        <f>_xlfn.IFNA(VLOOKUP(A53, MOs_Ready_to_close[[Order]:[Tot Est Machine Hrs]], 4, FALSE), "")</f>
        <v>DeptA</v>
      </c>
      <c r="D53" s="6">
        <f>_xlfn.IFNA(VLOOKUP(A53, MOs_Ready_to_close[[Order]:[Tot Est Machine Hrs]], 8, FALSE), "")</f>
        <v>45782</v>
      </c>
      <c r="E53" s="7">
        <f>_xlfn.IFNA(VLOOKUP(A53, MOs_Ready_to_close[[Order]:[Tot Est Machine Hrs]], 9, FALSE), "")</f>
        <v>-605</v>
      </c>
      <c r="F53" s="10">
        <f>SUMIF(MO_Operations[ORDER], Calculations!A53, MO_Operations[Standard Labor Hrs] )</f>
        <v>20.8</v>
      </c>
      <c r="G53" s="10">
        <f>SUMIF(MO_Operations[ORDER], Calculations!A53, MO_Operations[Total Act Labor Hrs] )</f>
        <v>10.199999999999999</v>
      </c>
      <c r="H53" s="10">
        <f>-SUMIF(MO_Operations[ORDER], Calculations!A53, MO_Operations[Total Cost Variance] )</f>
        <v>-520</v>
      </c>
      <c r="I53" s="11">
        <f>SUMIF(MO_Components[Order], Calculations!A53, MO_Components[Std Cost])</f>
        <v>2955</v>
      </c>
      <c r="J53" s="11">
        <f>SUMIF(MO_Components[Order], Calculations!A53, MO_Components[Act Cost])</f>
        <v>2955</v>
      </c>
      <c r="K53" s="11">
        <f t="shared" si="0"/>
        <v>0</v>
      </c>
      <c r="L53" t="str">
        <f t="shared" si="1"/>
        <v>Negative</v>
      </c>
      <c r="M53" t="str">
        <f t="shared" si="2"/>
        <v>Negative</v>
      </c>
      <c r="N53" t="str">
        <f t="shared" si="3"/>
        <v/>
      </c>
    </row>
    <row r="54" spans="1:14" x14ac:dyDescent="0.25">
      <c r="A54" s="5" t="str">
        <v>MO15140</v>
      </c>
      <c r="B54" s="5" t="str">
        <f>_xlfn.IFNA(VLOOKUP(A54, MOs_Ready_to_close[[Order]:[Tot Est Machine Hrs]], 2, FALSE), "")</f>
        <v>Item1151</v>
      </c>
      <c r="C54" s="5" t="str">
        <f>_xlfn.IFNA(VLOOKUP(A54, MOs_Ready_to_close[[Order]:[Tot Est Machine Hrs]], 4, FALSE), "")</f>
        <v>DeptA</v>
      </c>
      <c r="D54" s="6">
        <f>_xlfn.IFNA(VLOOKUP(A54, MOs_Ready_to_close[[Order]:[Tot Est Machine Hrs]], 8, FALSE), "")</f>
        <v>45782</v>
      </c>
      <c r="E54" s="7">
        <f>_xlfn.IFNA(VLOOKUP(A54, MOs_Ready_to_close[[Order]:[Tot Est Machine Hrs]], 9, FALSE), "")</f>
        <v>-805</v>
      </c>
      <c r="F54" s="10">
        <f>SUMIF(MO_Operations[ORDER], Calculations!A54, MO_Operations[Standard Labor Hrs] )</f>
        <v>20.8</v>
      </c>
      <c r="G54" s="10">
        <f>SUMIF(MO_Operations[ORDER], Calculations!A54, MO_Operations[Total Act Labor Hrs] )</f>
        <v>6.8000000000000007</v>
      </c>
      <c r="H54" s="10">
        <f>-SUMIF(MO_Operations[ORDER], Calculations!A54, MO_Operations[Total Cost Variance] )</f>
        <v>-690</v>
      </c>
      <c r="I54" s="11">
        <f>SUMIF(MO_Components[Order], Calculations!A54, MO_Components[Std Cost])</f>
        <v>2930</v>
      </c>
      <c r="J54" s="11">
        <f>SUMIF(MO_Components[Order], Calculations!A54, MO_Components[Act Cost])</f>
        <v>2930</v>
      </c>
      <c r="K54" s="11">
        <f t="shared" si="0"/>
        <v>0</v>
      </c>
      <c r="L54" t="str">
        <f t="shared" si="1"/>
        <v>Negative</v>
      </c>
      <c r="M54" t="str">
        <f t="shared" si="2"/>
        <v>Negative</v>
      </c>
      <c r="N54" t="str">
        <f t="shared" si="3"/>
        <v/>
      </c>
    </row>
    <row r="55" spans="1:14" x14ac:dyDescent="0.25">
      <c r="A55" s="5" t="str">
        <v>MO15150</v>
      </c>
      <c r="B55" s="5" t="str">
        <f>_xlfn.IFNA(VLOOKUP(A55, MOs_Ready_to_close[[Order]:[Tot Est Machine Hrs]], 2, FALSE), "")</f>
        <v>Item840</v>
      </c>
      <c r="C55" s="5" t="str">
        <f>_xlfn.IFNA(VLOOKUP(A55, MOs_Ready_to_close[[Order]:[Tot Est Machine Hrs]], 4, FALSE), "")</f>
        <v>DeptD</v>
      </c>
      <c r="D55" s="6">
        <f>_xlfn.IFNA(VLOOKUP(A55, MOs_Ready_to_close[[Order]:[Tot Est Machine Hrs]], 8, FALSE), "")</f>
        <v>45780</v>
      </c>
      <c r="E55" s="7">
        <f>_xlfn.IFNA(VLOOKUP(A55, MOs_Ready_to_close[[Order]:[Tot Est Machine Hrs]], 9, FALSE), "")</f>
        <v>-95</v>
      </c>
      <c r="F55" s="10">
        <f>SUMIF(MO_Operations[ORDER], Calculations!A55, MO_Operations[Standard Labor Hrs] )</f>
        <v>4.5999999999999996</v>
      </c>
      <c r="G55" s="10">
        <f>SUMIF(MO_Operations[ORDER], Calculations!A55, MO_Operations[Total Act Labor Hrs] )</f>
        <v>3.3999999999999995</v>
      </c>
      <c r="H55" s="10">
        <f>-SUMIF(MO_Operations[ORDER], Calculations!A55, MO_Operations[Total Cost Variance] )</f>
        <v>-90</v>
      </c>
      <c r="I55" s="11">
        <f>SUMIF(MO_Components[Order], Calculations!A55, MO_Components[Std Cost])</f>
        <v>1794</v>
      </c>
      <c r="J55" s="11">
        <f>SUMIF(MO_Components[Order], Calculations!A55, MO_Components[Act Cost])</f>
        <v>1794</v>
      </c>
      <c r="K55" s="11">
        <f t="shared" si="0"/>
        <v>0</v>
      </c>
      <c r="L55" t="str">
        <f t="shared" si="1"/>
        <v>Negative</v>
      </c>
      <c r="M55" t="str">
        <f t="shared" si="2"/>
        <v>Negative</v>
      </c>
      <c r="N55" t="str">
        <f t="shared" si="3"/>
        <v/>
      </c>
    </row>
    <row r="56" spans="1:14" x14ac:dyDescent="0.25">
      <c r="A56" s="5" t="str">
        <v>MO15160</v>
      </c>
      <c r="B56" s="5" t="str">
        <f>_xlfn.IFNA(VLOOKUP(A56, MOs_Ready_to_close[[Order]:[Tot Est Machine Hrs]], 2, FALSE), "")</f>
        <v>Item1152</v>
      </c>
      <c r="C56" s="5" t="str">
        <f>_xlfn.IFNA(VLOOKUP(A56, MOs_Ready_to_close[[Order]:[Tot Est Machine Hrs]], 4, FALSE), "")</f>
        <v>DeptD</v>
      </c>
      <c r="D56" s="6">
        <f>_xlfn.IFNA(VLOOKUP(A56, MOs_Ready_to_close[[Order]:[Tot Est Machine Hrs]], 8, FALSE), "")</f>
        <v>45780</v>
      </c>
      <c r="E56" s="7">
        <f>_xlfn.IFNA(VLOOKUP(A56, MOs_Ready_to_close[[Order]:[Tot Est Machine Hrs]], 9, FALSE), "")</f>
        <v>-105</v>
      </c>
      <c r="F56" s="10">
        <f>SUMIF(MO_Operations[ORDER], Calculations!A56, MO_Operations[Standard Labor Hrs] )</f>
        <v>4.5999999999999996</v>
      </c>
      <c r="G56" s="10">
        <f>SUMIF(MO_Operations[ORDER], Calculations!A56, MO_Operations[Total Act Labor Hrs] )</f>
        <v>3.2999999999999994</v>
      </c>
      <c r="H56" s="10">
        <f>-SUMIF(MO_Operations[ORDER], Calculations!A56, MO_Operations[Total Cost Variance] )</f>
        <v>-95</v>
      </c>
      <c r="I56" s="11">
        <f>SUMIF(MO_Components[Order], Calculations!A56, MO_Components[Std Cost])</f>
        <v>1794</v>
      </c>
      <c r="J56" s="11">
        <f>SUMIF(MO_Components[Order], Calculations!A56, MO_Components[Act Cost])</f>
        <v>1794</v>
      </c>
      <c r="K56" s="11">
        <f t="shared" si="0"/>
        <v>0</v>
      </c>
      <c r="L56" t="str">
        <f t="shared" si="1"/>
        <v>Negative</v>
      </c>
      <c r="M56" t="str">
        <f t="shared" si="2"/>
        <v>Negative</v>
      </c>
      <c r="N56" t="str">
        <f t="shared" si="3"/>
        <v/>
      </c>
    </row>
    <row r="57" spans="1:14" x14ac:dyDescent="0.25">
      <c r="A57" s="5" t="str">
        <v>MO15170</v>
      </c>
      <c r="B57" s="5" t="str">
        <f>_xlfn.IFNA(VLOOKUP(A57, MOs_Ready_to_close[[Order]:[Tot Est Machine Hrs]], 2, FALSE), "")</f>
        <v>Item840</v>
      </c>
      <c r="C57" s="5" t="str">
        <f>_xlfn.IFNA(VLOOKUP(A57, MOs_Ready_to_close[[Order]:[Tot Est Machine Hrs]], 4, FALSE), "")</f>
        <v>DeptD</v>
      </c>
      <c r="D57" s="6">
        <f>_xlfn.IFNA(VLOOKUP(A57, MOs_Ready_to_close[[Order]:[Tot Est Machine Hrs]], 8, FALSE), "")</f>
        <v>45780</v>
      </c>
      <c r="E57" s="7">
        <f>_xlfn.IFNA(VLOOKUP(A57, MOs_Ready_to_close[[Order]:[Tot Est Machine Hrs]], 9, FALSE), "")</f>
        <v>-105</v>
      </c>
      <c r="F57" s="10">
        <f>SUMIF(MO_Operations[ORDER], Calculations!A57, MO_Operations[Standard Labor Hrs] )</f>
        <v>4.5999999999999996</v>
      </c>
      <c r="G57" s="10">
        <f>SUMIF(MO_Operations[ORDER], Calculations!A57, MO_Operations[Total Act Labor Hrs] )</f>
        <v>3.3</v>
      </c>
      <c r="H57" s="10">
        <f>-SUMIF(MO_Operations[ORDER], Calculations!A57, MO_Operations[Total Cost Variance] )</f>
        <v>-100</v>
      </c>
      <c r="I57" s="11">
        <f>SUMIF(MO_Components[Order], Calculations!A57, MO_Components[Std Cost])</f>
        <v>1794</v>
      </c>
      <c r="J57" s="11">
        <f>SUMIF(MO_Components[Order], Calculations!A57, MO_Components[Act Cost])</f>
        <v>1794</v>
      </c>
      <c r="K57" s="11">
        <f t="shared" si="0"/>
        <v>0</v>
      </c>
      <c r="L57" t="str">
        <f t="shared" si="1"/>
        <v>Negative</v>
      </c>
      <c r="M57" t="str">
        <f t="shared" si="2"/>
        <v>Negative</v>
      </c>
      <c r="N57" t="str">
        <f t="shared" si="3"/>
        <v/>
      </c>
    </row>
    <row r="58" spans="1:14" x14ac:dyDescent="0.25">
      <c r="A58" s="5" t="str">
        <v>MO15180</v>
      </c>
      <c r="B58" s="5" t="str">
        <f>_xlfn.IFNA(VLOOKUP(A58, MOs_Ready_to_close[[Order]:[Tot Est Machine Hrs]], 2, FALSE), "")</f>
        <v>Item840</v>
      </c>
      <c r="C58" s="5" t="str">
        <f>_xlfn.IFNA(VLOOKUP(A58, MOs_Ready_to_close[[Order]:[Tot Est Machine Hrs]], 4, FALSE), "")</f>
        <v>DeptD</v>
      </c>
      <c r="D58" s="6">
        <f>_xlfn.IFNA(VLOOKUP(A58, MOs_Ready_to_close[[Order]:[Tot Est Machine Hrs]], 8, FALSE), "")</f>
        <v>45780</v>
      </c>
      <c r="E58" s="7">
        <f>_xlfn.IFNA(VLOOKUP(A58, MOs_Ready_to_close[[Order]:[Tot Est Machine Hrs]], 9, FALSE), "")</f>
        <v>-100</v>
      </c>
      <c r="F58" s="10">
        <f>SUMIF(MO_Operations[ORDER], Calculations!A58, MO_Operations[Standard Labor Hrs] )</f>
        <v>4.5999999999999996</v>
      </c>
      <c r="G58" s="10">
        <f>SUMIF(MO_Operations[ORDER], Calculations!A58, MO_Operations[Total Act Labor Hrs] )</f>
        <v>3.3</v>
      </c>
      <c r="H58" s="10">
        <f>-SUMIF(MO_Operations[ORDER], Calculations!A58, MO_Operations[Total Cost Variance] )</f>
        <v>-95</v>
      </c>
      <c r="I58" s="11">
        <f>SUMIF(MO_Components[Order], Calculations!A58, MO_Components[Std Cost])</f>
        <v>1794</v>
      </c>
      <c r="J58" s="11">
        <f>SUMIF(MO_Components[Order], Calculations!A58, MO_Components[Act Cost])</f>
        <v>1794</v>
      </c>
      <c r="K58" s="11">
        <f t="shared" si="0"/>
        <v>0</v>
      </c>
      <c r="L58" t="str">
        <f t="shared" si="1"/>
        <v>Negative</v>
      </c>
      <c r="M58" t="str">
        <f t="shared" si="2"/>
        <v>Negative</v>
      </c>
      <c r="N58" t="str">
        <f t="shared" si="3"/>
        <v/>
      </c>
    </row>
    <row r="59" spans="1:14" x14ac:dyDescent="0.25">
      <c r="A59" s="5" t="str">
        <v>MO15190</v>
      </c>
      <c r="B59" s="5" t="str">
        <f>_xlfn.IFNA(VLOOKUP(A59, MOs_Ready_to_close[[Order]:[Tot Est Machine Hrs]], 2, FALSE), "")</f>
        <v>Item840</v>
      </c>
      <c r="C59" s="5" t="str">
        <f>_xlfn.IFNA(VLOOKUP(A59, MOs_Ready_to_close[[Order]:[Tot Est Machine Hrs]], 4, FALSE), "")</f>
        <v>DeptD</v>
      </c>
      <c r="D59" s="6">
        <f>_xlfn.IFNA(VLOOKUP(A59, MOs_Ready_to_close[[Order]:[Tot Est Machine Hrs]], 8, FALSE), "")</f>
        <v>45780</v>
      </c>
      <c r="E59" s="7">
        <f>_xlfn.IFNA(VLOOKUP(A59, MOs_Ready_to_close[[Order]:[Tot Est Machine Hrs]], 9, FALSE), "")</f>
        <v>-5</v>
      </c>
      <c r="F59" s="10">
        <f>SUMIF(MO_Operations[ORDER], Calculations!A59, MO_Operations[Standard Labor Hrs] )</f>
        <v>4.5999999999999996</v>
      </c>
      <c r="G59" s="10">
        <f>SUMIF(MO_Operations[ORDER], Calculations!A59, MO_Operations[Total Act Labor Hrs] )</f>
        <v>4.8000000000000007</v>
      </c>
      <c r="H59" s="10">
        <f>-SUMIF(MO_Operations[ORDER], Calculations!A59, MO_Operations[Total Cost Variance] )</f>
        <v>-10</v>
      </c>
      <c r="I59" s="11">
        <f>SUMIF(MO_Components[Order], Calculations!A59, MO_Components[Std Cost])</f>
        <v>1794</v>
      </c>
      <c r="J59" s="11">
        <f>SUMIF(MO_Components[Order], Calculations!A59, MO_Components[Act Cost])</f>
        <v>1802</v>
      </c>
      <c r="K59" s="11">
        <f t="shared" si="0"/>
        <v>8</v>
      </c>
      <c r="L59" t="str">
        <f t="shared" si="1"/>
        <v>Negative</v>
      </c>
      <c r="M59" t="str">
        <f t="shared" si="2"/>
        <v>Negative</v>
      </c>
      <c r="N59" t="str">
        <f t="shared" si="3"/>
        <v>Positive</v>
      </c>
    </row>
    <row r="60" spans="1:14" x14ac:dyDescent="0.25">
      <c r="A60" s="5" t="str">
        <v>MO15200</v>
      </c>
      <c r="B60" s="5" t="str">
        <f>_xlfn.IFNA(VLOOKUP(A60, MOs_Ready_to_close[[Order]:[Tot Est Machine Hrs]], 2, FALSE), "")</f>
        <v>Item840</v>
      </c>
      <c r="C60" s="5" t="str">
        <f>_xlfn.IFNA(VLOOKUP(A60, MOs_Ready_to_close[[Order]:[Tot Est Machine Hrs]], 4, FALSE), "")</f>
        <v>DeptD</v>
      </c>
      <c r="D60" s="6">
        <f>_xlfn.IFNA(VLOOKUP(A60, MOs_Ready_to_close[[Order]:[Tot Est Machine Hrs]], 8, FALSE), "")</f>
        <v>45780</v>
      </c>
      <c r="E60" s="7">
        <f>_xlfn.IFNA(VLOOKUP(A60, MOs_Ready_to_close[[Order]:[Tot Est Machine Hrs]], 9, FALSE), "")</f>
        <v>-45</v>
      </c>
      <c r="F60" s="10">
        <f>SUMIF(MO_Operations[ORDER], Calculations!A60, MO_Operations[Standard Labor Hrs] )</f>
        <v>4.5999999999999996</v>
      </c>
      <c r="G60" s="10">
        <f>SUMIF(MO_Operations[ORDER], Calculations!A60, MO_Operations[Total Act Labor Hrs] )</f>
        <v>4.1000000000000005</v>
      </c>
      <c r="H60" s="10">
        <f>-SUMIF(MO_Operations[ORDER], Calculations!A60, MO_Operations[Total Cost Variance] )</f>
        <v>-50</v>
      </c>
      <c r="I60" s="11">
        <f>SUMIF(MO_Components[Order], Calculations!A60, MO_Components[Std Cost])</f>
        <v>1794</v>
      </c>
      <c r="J60" s="11">
        <f>SUMIF(MO_Components[Order], Calculations!A60, MO_Components[Act Cost])</f>
        <v>1802</v>
      </c>
      <c r="K60" s="11">
        <f t="shared" si="0"/>
        <v>8</v>
      </c>
      <c r="L60" t="str">
        <f t="shared" si="1"/>
        <v>Negative</v>
      </c>
      <c r="M60" t="str">
        <f t="shared" si="2"/>
        <v>Negative</v>
      </c>
      <c r="N60" t="str">
        <f t="shared" si="3"/>
        <v>Positive</v>
      </c>
    </row>
    <row r="61" spans="1:14" x14ac:dyDescent="0.25">
      <c r="A61" s="5" t="str">
        <v>MO15210</v>
      </c>
      <c r="B61" s="5" t="str">
        <f>_xlfn.IFNA(VLOOKUP(A61, MOs_Ready_to_close[[Order]:[Tot Est Machine Hrs]], 2, FALSE), "")</f>
        <v>Item840</v>
      </c>
      <c r="C61" s="5" t="str">
        <f>_xlfn.IFNA(VLOOKUP(A61, MOs_Ready_to_close[[Order]:[Tot Est Machine Hrs]], 4, FALSE), "")</f>
        <v>DeptD</v>
      </c>
      <c r="D61" s="6">
        <f>_xlfn.IFNA(VLOOKUP(A61, MOs_Ready_to_close[[Order]:[Tot Est Machine Hrs]], 8, FALSE), "")</f>
        <v>45780</v>
      </c>
      <c r="E61" s="7">
        <f>_xlfn.IFNA(VLOOKUP(A61, MOs_Ready_to_close[[Order]:[Tot Est Machine Hrs]], 9, FALSE), "")</f>
        <v>-170</v>
      </c>
      <c r="F61" s="10">
        <f>SUMIF(MO_Operations[ORDER], Calculations!A61, MO_Operations[Standard Labor Hrs] )</f>
        <v>4.5999999999999996</v>
      </c>
      <c r="G61" s="10">
        <f>SUMIF(MO_Operations[ORDER], Calculations!A61, MO_Operations[Total Act Labor Hrs] )</f>
        <v>2.3000000000000003</v>
      </c>
      <c r="H61" s="10">
        <f>-SUMIF(MO_Operations[ORDER], Calculations!A61, MO_Operations[Total Cost Variance] )</f>
        <v>-170</v>
      </c>
      <c r="I61" s="11">
        <f>SUMIF(MO_Components[Order], Calculations!A61, MO_Components[Std Cost])</f>
        <v>1794</v>
      </c>
      <c r="J61" s="11">
        <f>SUMIF(MO_Components[Order], Calculations!A61, MO_Components[Act Cost])</f>
        <v>1794</v>
      </c>
      <c r="K61" s="11">
        <f t="shared" si="0"/>
        <v>0</v>
      </c>
      <c r="L61" t="str">
        <f t="shared" si="1"/>
        <v>Negative</v>
      </c>
      <c r="M61" t="str">
        <f t="shared" si="2"/>
        <v>Negative</v>
      </c>
      <c r="N61" t="str">
        <f t="shared" si="3"/>
        <v/>
      </c>
    </row>
    <row r="62" spans="1:14" x14ac:dyDescent="0.25">
      <c r="A62" s="5" t="str">
        <v>MO15220</v>
      </c>
      <c r="B62" s="5" t="str">
        <f>_xlfn.IFNA(VLOOKUP(A62, MOs_Ready_to_close[[Order]:[Tot Est Machine Hrs]], 2, FALSE), "")</f>
        <v>Item840</v>
      </c>
      <c r="C62" s="5" t="str">
        <f>_xlfn.IFNA(VLOOKUP(A62, MOs_Ready_to_close[[Order]:[Tot Est Machine Hrs]], 4, FALSE), "")</f>
        <v>DeptD</v>
      </c>
      <c r="D62" s="6">
        <f>_xlfn.IFNA(VLOOKUP(A62, MOs_Ready_to_close[[Order]:[Tot Est Machine Hrs]], 8, FALSE), "")</f>
        <v>45780</v>
      </c>
      <c r="E62" s="7">
        <f>_xlfn.IFNA(VLOOKUP(A62, MOs_Ready_to_close[[Order]:[Tot Est Machine Hrs]], 9, FALSE), "")</f>
        <v>-210</v>
      </c>
      <c r="F62" s="10">
        <f>SUMIF(MO_Operations[ORDER], Calculations!A62, MO_Operations[Standard Labor Hrs] )</f>
        <v>4.5999999999999996</v>
      </c>
      <c r="G62" s="10">
        <f>SUMIF(MO_Operations[ORDER], Calculations!A62, MO_Operations[Total Act Labor Hrs] )</f>
        <v>1.7</v>
      </c>
      <c r="H62" s="10">
        <f>-SUMIF(MO_Operations[ORDER], Calculations!A62, MO_Operations[Total Cost Variance] )</f>
        <v>-210</v>
      </c>
      <c r="I62" s="11">
        <f>SUMIF(MO_Components[Order], Calculations!A62, MO_Components[Std Cost])</f>
        <v>1794</v>
      </c>
      <c r="J62" s="11">
        <f>SUMIF(MO_Components[Order], Calculations!A62, MO_Components[Act Cost])</f>
        <v>1794</v>
      </c>
      <c r="K62" s="11">
        <f t="shared" si="0"/>
        <v>0</v>
      </c>
      <c r="L62" t="str">
        <f t="shared" si="1"/>
        <v>Negative</v>
      </c>
      <c r="M62" t="str">
        <f t="shared" si="2"/>
        <v>Negative</v>
      </c>
      <c r="N62" t="str">
        <f t="shared" si="3"/>
        <v/>
      </c>
    </row>
    <row r="63" spans="1:14" x14ac:dyDescent="0.25">
      <c r="A63" s="5" t="str">
        <v>MO15270</v>
      </c>
      <c r="B63" s="5" t="str">
        <f>_xlfn.IFNA(VLOOKUP(A63, MOs_Ready_to_close[[Order]:[Tot Est Machine Hrs]], 2, FALSE), "")</f>
        <v>Item1151</v>
      </c>
      <c r="C63" s="5" t="str">
        <f>_xlfn.IFNA(VLOOKUP(A63, MOs_Ready_to_close[[Order]:[Tot Est Machine Hrs]], 4, FALSE), "")</f>
        <v>DeptA</v>
      </c>
      <c r="D63" s="6">
        <f>_xlfn.IFNA(VLOOKUP(A63, MOs_Ready_to_close[[Order]:[Tot Est Machine Hrs]], 8, FALSE), "")</f>
        <v>45782</v>
      </c>
      <c r="E63" s="7">
        <f>_xlfn.IFNA(VLOOKUP(A63, MOs_Ready_to_close[[Order]:[Tot Est Machine Hrs]], 9, FALSE), "")</f>
        <v>-765</v>
      </c>
      <c r="F63" s="10">
        <f>SUMIF(MO_Operations[ORDER], Calculations!A63, MO_Operations[Standard Labor Hrs] )</f>
        <v>20.8</v>
      </c>
      <c r="G63" s="10">
        <f>SUMIF(MO_Operations[ORDER], Calculations!A63, MO_Operations[Total Act Labor Hrs] )</f>
        <v>7.1</v>
      </c>
      <c r="H63" s="10">
        <f>-SUMIF(MO_Operations[ORDER], Calculations!A63, MO_Operations[Total Cost Variance] )</f>
        <v>-670</v>
      </c>
      <c r="I63" s="11">
        <f>SUMIF(MO_Components[Order], Calculations!A63, MO_Components[Std Cost])</f>
        <v>2955</v>
      </c>
      <c r="J63" s="11">
        <f>SUMIF(MO_Components[Order], Calculations!A63, MO_Components[Act Cost])</f>
        <v>2955</v>
      </c>
      <c r="K63" s="11">
        <f t="shared" si="0"/>
        <v>0</v>
      </c>
      <c r="L63" t="str">
        <f t="shared" si="1"/>
        <v>Negative</v>
      </c>
      <c r="M63" t="str">
        <f t="shared" si="2"/>
        <v>Negative</v>
      </c>
      <c r="N63" t="str">
        <f t="shared" si="3"/>
        <v/>
      </c>
    </row>
    <row r="64" spans="1:14" x14ac:dyDescent="0.25">
      <c r="A64" s="5" t="str">
        <v>MO15290</v>
      </c>
      <c r="B64" s="5" t="str">
        <f>_xlfn.IFNA(VLOOKUP(A64, MOs_Ready_to_close[[Order]:[Tot Est Machine Hrs]], 2, FALSE), "")</f>
        <v>Item1153</v>
      </c>
      <c r="C64" s="5" t="str">
        <f>_xlfn.IFNA(VLOOKUP(A64, MOs_Ready_to_close[[Order]:[Tot Est Machine Hrs]], 4, FALSE), "")</f>
        <v>DeptA</v>
      </c>
      <c r="D64" s="6">
        <f>_xlfn.IFNA(VLOOKUP(A64, MOs_Ready_to_close[[Order]:[Tot Est Machine Hrs]], 8, FALSE), "")</f>
        <v>45782</v>
      </c>
      <c r="E64" s="7">
        <f>_xlfn.IFNA(VLOOKUP(A64, MOs_Ready_to_close[[Order]:[Tot Est Machine Hrs]], 9, FALSE), "")</f>
        <v>-1790</v>
      </c>
      <c r="F64" s="10">
        <f>SUMIF(MO_Operations[ORDER], Calculations!A64, MO_Operations[Standard Labor Hrs] )</f>
        <v>16.700000000000003</v>
      </c>
      <c r="G64" s="10">
        <f>SUMIF(MO_Operations[ORDER], Calculations!A64, MO_Operations[Total Act Labor Hrs] )</f>
        <v>16.2</v>
      </c>
      <c r="H64" s="10">
        <f>-SUMIF(MO_Operations[ORDER], Calculations!A64, MO_Operations[Total Cost Variance] )</f>
        <v>-30</v>
      </c>
      <c r="I64" s="11">
        <f>SUMIF(MO_Components[Order], Calculations!A64, MO_Components[Std Cost])</f>
        <v>6242</v>
      </c>
      <c r="J64" s="11">
        <f>SUMIF(MO_Components[Order], Calculations!A64, MO_Components[Act Cost])</f>
        <v>6242</v>
      </c>
      <c r="K64" s="11">
        <f t="shared" si="0"/>
        <v>0</v>
      </c>
      <c r="L64" t="str">
        <f t="shared" si="1"/>
        <v>Negative</v>
      </c>
      <c r="M64" t="str">
        <f t="shared" si="2"/>
        <v>Negative</v>
      </c>
      <c r="N64" t="str">
        <f t="shared" si="3"/>
        <v/>
      </c>
    </row>
    <row r="65" spans="1:14" x14ac:dyDescent="0.25">
      <c r="A65" s="5" t="str">
        <v>MO15310</v>
      </c>
      <c r="B65" s="5" t="str">
        <f>_xlfn.IFNA(VLOOKUP(A65, MOs_Ready_to_close[[Order]:[Tot Est Machine Hrs]], 2, FALSE), "")</f>
        <v>Item1154</v>
      </c>
      <c r="C65" s="5" t="str">
        <f>_xlfn.IFNA(VLOOKUP(A65, MOs_Ready_to_close[[Order]:[Tot Est Machine Hrs]], 4, FALSE), "")</f>
        <v>DeptA</v>
      </c>
      <c r="D65" s="6">
        <f>_xlfn.IFNA(VLOOKUP(A65, MOs_Ready_to_close[[Order]:[Tot Est Machine Hrs]], 8, FALSE), "")</f>
        <v>45784</v>
      </c>
      <c r="E65" s="7">
        <f>_xlfn.IFNA(VLOOKUP(A65, MOs_Ready_to_close[[Order]:[Tot Est Machine Hrs]], 9, FALSE), "")</f>
        <v>-100</v>
      </c>
      <c r="F65" s="10">
        <f>SUMIF(MO_Operations[ORDER], Calculations!A65, MO_Operations[Standard Labor Hrs] )</f>
        <v>11.899999999999999</v>
      </c>
      <c r="G65" s="10">
        <f>SUMIF(MO_Operations[ORDER], Calculations!A65, MO_Operations[Total Act Labor Hrs] )</f>
        <v>21.5</v>
      </c>
      <c r="H65" s="10">
        <f>-SUMIF(MO_Operations[ORDER], Calculations!A65, MO_Operations[Total Cost Variance] )</f>
        <v>450</v>
      </c>
      <c r="I65" s="11">
        <f>SUMIF(MO_Components[Order], Calculations!A65, MO_Components[Std Cost])</f>
        <v>5546</v>
      </c>
      <c r="J65" s="11">
        <f>SUMIF(MO_Components[Order], Calculations!A65, MO_Components[Act Cost])</f>
        <v>5546</v>
      </c>
      <c r="K65" s="11">
        <f t="shared" si="0"/>
        <v>0</v>
      </c>
      <c r="L65" t="str">
        <f t="shared" si="1"/>
        <v>Negative</v>
      </c>
      <c r="M65" t="str">
        <f t="shared" si="2"/>
        <v>Positive</v>
      </c>
      <c r="N65" t="str">
        <f t="shared" si="3"/>
        <v/>
      </c>
    </row>
    <row r="66" spans="1:14" x14ac:dyDescent="0.25">
      <c r="A66" s="5" t="str">
        <v>MO15330</v>
      </c>
      <c r="B66" s="5" t="str">
        <f>_xlfn.IFNA(VLOOKUP(A66, MOs_Ready_to_close[[Order]:[Tot Est Machine Hrs]], 2, FALSE), "")</f>
        <v>Item1155</v>
      </c>
      <c r="C66" s="5" t="str">
        <f>_xlfn.IFNA(VLOOKUP(A66, MOs_Ready_to_close[[Order]:[Tot Est Machine Hrs]], 4, FALSE), "")</f>
        <v>DeptA</v>
      </c>
      <c r="D66" s="6">
        <f>_xlfn.IFNA(VLOOKUP(A66, MOs_Ready_to_close[[Order]:[Tot Est Machine Hrs]], 8, FALSE), "")</f>
        <v>45782</v>
      </c>
      <c r="E66" s="7">
        <f>_xlfn.IFNA(VLOOKUP(A66, MOs_Ready_to_close[[Order]:[Tot Est Machine Hrs]], 9, FALSE), "")</f>
        <v>35</v>
      </c>
      <c r="F66" s="10">
        <f>SUMIF(MO_Operations[ORDER], Calculations!A66, MO_Operations[Standard Labor Hrs] )</f>
        <v>2</v>
      </c>
      <c r="G66" s="10">
        <f>SUMIF(MO_Operations[ORDER], Calculations!A66, MO_Operations[Total Act Labor Hrs] )</f>
        <v>1.8</v>
      </c>
      <c r="H66" s="10">
        <f>-SUMIF(MO_Operations[ORDER], Calculations!A66, MO_Operations[Total Cost Variance] )</f>
        <v>-15</v>
      </c>
      <c r="I66" s="11">
        <f>SUMIF(MO_Components[Order], Calculations!A66, MO_Components[Std Cost])</f>
        <v>465</v>
      </c>
      <c r="J66" s="11">
        <f>SUMIF(MO_Components[Order], Calculations!A66, MO_Components[Act Cost])</f>
        <v>465</v>
      </c>
      <c r="K66" s="11">
        <f t="shared" si="0"/>
        <v>0</v>
      </c>
      <c r="L66" t="str">
        <f t="shared" si="1"/>
        <v>Positive</v>
      </c>
      <c r="M66" t="str">
        <f t="shared" si="2"/>
        <v>Negative</v>
      </c>
      <c r="N66" t="str">
        <f t="shared" si="3"/>
        <v/>
      </c>
    </row>
    <row r="67" spans="1:14" x14ac:dyDescent="0.25">
      <c r="A67" s="5" t="str">
        <v>MO15340</v>
      </c>
      <c r="B67" s="5" t="str">
        <f>_xlfn.IFNA(VLOOKUP(A67, MOs_Ready_to_close[[Order]:[Tot Est Machine Hrs]], 2, FALSE), "")</f>
        <v>Item1156</v>
      </c>
      <c r="C67" s="5" t="str">
        <f>_xlfn.IFNA(VLOOKUP(A67, MOs_Ready_to_close[[Order]:[Tot Est Machine Hrs]], 4, FALSE), "")</f>
        <v>DeptA</v>
      </c>
      <c r="D67" s="6">
        <f>_xlfn.IFNA(VLOOKUP(A67, MOs_Ready_to_close[[Order]:[Tot Est Machine Hrs]], 8, FALSE), "")</f>
        <v>45782</v>
      </c>
      <c r="E67" s="7">
        <f>_xlfn.IFNA(VLOOKUP(A67, MOs_Ready_to_close[[Order]:[Tot Est Machine Hrs]], 9, FALSE), "")</f>
        <v>60</v>
      </c>
      <c r="F67" s="10">
        <f>SUMIF(MO_Operations[ORDER], Calculations!A67, MO_Operations[Standard Labor Hrs] )</f>
        <v>4.8</v>
      </c>
      <c r="G67" s="10">
        <f>SUMIF(MO_Operations[ORDER], Calculations!A67, MO_Operations[Total Act Labor Hrs] )</f>
        <v>6.6000000000000005</v>
      </c>
      <c r="H67" s="10">
        <f>-SUMIF(MO_Operations[ORDER], Calculations!A67, MO_Operations[Total Cost Variance] )</f>
        <v>85</v>
      </c>
      <c r="I67" s="11">
        <f>SUMIF(MO_Components[Order], Calculations!A67, MO_Components[Std Cost])</f>
        <v>2085</v>
      </c>
      <c r="J67" s="11">
        <f>SUMIF(MO_Components[Order], Calculations!A67, MO_Components[Act Cost])</f>
        <v>2085</v>
      </c>
      <c r="K67" s="11">
        <f t="shared" ref="K67:K130" si="4">J67-I67</f>
        <v>0</v>
      </c>
      <c r="L67" t="str">
        <f t="shared" ref="L67:L130" si="5">IF(E67&lt;&gt;"", IF(E67&gt;0, "Positive", "Negative"), "")</f>
        <v>Positive</v>
      </c>
      <c r="M67" t="str">
        <f t="shared" ref="M67:M130" si="6">IF(H67&lt;&gt;0, IF(H67&gt;0, "Positive", "Negative"), "")</f>
        <v>Positive</v>
      </c>
      <c r="N67" t="str">
        <f t="shared" ref="N67:N130" si="7">IF(K67&lt;&gt;0, IF(K67&gt;0, "Positive", "Negative"), "")</f>
        <v/>
      </c>
    </row>
    <row r="68" spans="1:14" x14ac:dyDescent="0.25">
      <c r="A68" s="5" t="str">
        <v>MO15350</v>
      </c>
      <c r="B68" s="5" t="str">
        <f>_xlfn.IFNA(VLOOKUP(A68, MOs_Ready_to_close[[Order]:[Tot Est Machine Hrs]], 2, FALSE), "")</f>
        <v>Item1157</v>
      </c>
      <c r="C68" s="5" t="str">
        <f>_xlfn.IFNA(VLOOKUP(A68, MOs_Ready_to_close[[Order]:[Tot Est Machine Hrs]], 4, FALSE), "")</f>
        <v>DeptA</v>
      </c>
      <c r="D68" s="6">
        <f>_xlfn.IFNA(VLOOKUP(A68, MOs_Ready_to_close[[Order]:[Tot Est Machine Hrs]], 8, FALSE), "")</f>
        <v>45782</v>
      </c>
      <c r="E68" s="7">
        <f>_xlfn.IFNA(VLOOKUP(A68, MOs_Ready_to_close[[Order]:[Tot Est Machine Hrs]], 9, FALSE), "")</f>
        <v>-305</v>
      </c>
      <c r="F68" s="10">
        <f>SUMIF(MO_Operations[ORDER], Calculations!A68, MO_Operations[Standard Labor Hrs] )</f>
        <v>13.600000000000001</v>
      </c>
      <c r="G68" s="10">
        <f>SUMIF(MO_Operations[ORDER], Calculations!A68, MO_Operations[Total Act Labor Hrs] )</f>
        <v>24.799999999999997</v>
      </c>
      <c r="H68" s="10">
        <f>-SUMIF(MO_Operations[ORDER], Calculations!A68, MO_Operations[Total Cost Variance] )</f>
        <v>540</v>
      </c>
      <c r="I68" s="11">
        <f>SUMIF(MO_Components[Order], Calculations!A68, MO_Components[Std Cost])</f>
        <v>12015</v>
      </c>
      <c r="J68" s="11">
        <f>SUMIF(MO_Components[Order], Calculations!A68, MO_Components[Act Cost])</f>
        <v>12015</v>
      </c>
      <c r="K68" s="11">
        <f t="shared" si="4"/>
        <v>0</v>
      </c>
      <c r="L68" t="str">
        <f t="shared" si="5"/>
        <v>Negative</v>
      </c>
      <c r="M68" t="str">
        <f t="shared" si="6"/>
        <v>Positive</v>
      </c>
      <c r="N68" t="str">
        <f t="shared" si="7"/>
        <v/>
      </c>
    </row>
    <row r="69" spans="1:14" x14ac:dyDescent="0.25">
      <c r="A69" s="5" t="str">
        <v>MO15370</v>
      </c>
      <c r="B69" s="5" t="str">
        <f>_xlfn.IFNA(VLOOKUP(A69, MOs_Ready_to_close[[Order]:[Tot Est Machine Hrs]], 2, FALSE), "")</f>
        <v>Item1158</v>
      </c>
      <c r="C69" s="5" t="str">
        <f>_xlfn.IFNA(VLOOKUP(A69, MOs_Ready_to_close[[Order]:[Tot Est Machine Hrs]], 4, FALSE), "")</f>
        <v>DeptA</v>
      </c>
      <c r="D69" s="6">
        <f>_xlfn.IFNA(VLOOKUP(A69, MOs_Ready_to_close[[Order]:[Tot Est Machine Hrs]], 8, FALSE), "")</f>
        <v>45784</v>
      </c>
      <c r="E69" s="7">
        <f>_xlfn.IFNA(VLOOKUP(A69, MOs_Ready_to_close[[Order]:[Tot Est Machine Hrs]], 9, FALSE), "")</f>
        <v>-505</v>
      </c>
      <c r="F69" s="10">
        <f>SUMIF(MO_Operations[ORDER], Calculations!A69, MO_Operations[Standard Labor Hrs] )</f>
        <v>13.1</v>
      </c>
      <c r="G69" s="10">
        <f>SUMIF(MO_Operations[ORDER], Calculations!A69, MO_Operations[Total Act Labor Hrs] )</f>
        <v>11.5</v>
      </c>
      <c r="H69" s="10">
        <f>-SUMIF(MO_Operations[ORDER], Calculations!A69, MO_Operations[Total Cost Variance] )</f>
        <v>-85</v>
      </c>
      <c r="I69" s="11">
        <f>SUMIF(MO_Components[Order], Calculations!A69, MO_Components[Std Cost])</f>
        <v>9800</v>
      </c>
      <c r="J69" s="11">
        <f>SUMIF(MO_Components[Order], Calculations!A69, MO_Components[Act Cost])</f>
        <v>9800</v>
      </c>
      <c r="K69" s="11">
        <f t="shared" si="4"/>
        <v>0</v>
      </c>
      <c r="L69" t="str">
        <f t="shared" si="5"/>
        <v>Negative</v>
      </c>
      <c r="M69" t="str">
        <f t="shared" si="6"/>
        <v>Negative</v>
      </c>
      <c r="N69" t="str">
        <f t="shared" si="7"/>
        <v/>
      </c>
    </row>
    <row r="70" spans="1:14" x14ac:dyDescent="0.25">
      <c r="A70" s="5" t="str">
        <v>MO15380</v>
      </c>
      <c r="B70" s="5" t="str">
        <f>_xlfn.IFNA(VLOOKUP(A70, MOs_Ready_to_close[[Order]:[Tot Est Machine Hrs]], 2, FALSE), "")</f>
        <v>Item1151</v>
      </c>
      <c r="C70" s="5" t="str">
        <f>_xlfn.IFNA(VLOOKUP(A70, MOs_Ready_to_close[[Order]:[Tot Est Machine Hrs]], 4, FALSE), "")</f>
        <v>DeptA</v>
      </c>
      <c r="D70" s="6">
        <f>_xlfn.IFNA(VLOOKUP(A70, MOs_Ready_to_close[[Order]:[Tot Est Machine Hrs]], 8, FALSE), "")</f>
        <v>45782</v>
      </c>
      <c r="E70" s="7">
        <f>_xlfn.IFNA(VLOOKUP(A70, MOs_Ready_to_close[[Order]:[Tot Est Machine Hrs]], 9, FALSE), "")</f>
        <v>-755</v>
      </c>
      <c r="F70" s="10">
        <f>SUMIF(MO_Operations[ORDER], Calculations!A70, MO_Operations[Standard Labor Hrs] )</f>
        <v>20.8</v>
      </c>
      <c r="G70" s="10">
        <f>SUMIF(MO_Operations[ORDER], Calculations!A70, MO_Operations[Total Act Labor Hrs] )</f>
        <v>7.8000000000000007</v>
      </c>
      <c r="H70" s="10">
        <f>-SUMIF(MO_Operations[ORDER], Calculations!A70, MO_Operations[Total Cost Variance] )</f>
        <v>-635</v>
      </c>
      <c r="I70" s="11">
        <f>SUMIF(MO_Components[Order], Calculations!A70, MO_Components[Std Cost])</f>
        <v>2931</v>
      </c>
      <c r="J70" s="11">
        <f>SUMIF(MO_Components[Order], Calculations!A70, MO_Components[Act Cost])</f>
        <v>2931</v>
      </c>
      <c r="K70" s="11">
        <f t="shared" si="4"/>
        <v>0</v>
      </c>
      <c r="L70" t="str">
        <f t="shared" si="5"/>
        <v>Negative</v>
      </c>
      <c r="M70" t="str">
        <f t="shared" si="6"/>
        <v>Negative</v>
      </c>
      <c r="N70" t="str">
        <f t="shared" si="7"/>
        <v/>
      </c>
    </row>
    <row r="71" spans="1:14" x14ac:dyDescent="0.25">
      <c r="A71" s="5" t="str">
        <v>MO15390</v>
      </c>
      <c r="B71" s="5" t="str">
        <f>_xlfn.IFNA(VLOOKUP(A71, MOs_Ready_to_close[[Order]:[Tot Est Machine Hrs]], 2, FALSE), "")</f>
        <v>Item1159</v>
      </c>
      <c r="C71" s="5" t="str">
        <f>_xlfn.IFNA(VLOOKUP(A71, MOs_Ready_to_close[[Order]:[Tot Est Machine Hrs]], 4, FALSE), "")</f>
        <v>DeptA</v>
      </c>
      <c r="D71" s="6">
        <f>_xlfn.IFNA(VLOOKUP(A71, MOs_Ready_to_close[[Order]:[Tot Est Machine Hrs]], 8, FALSE), "")</f>
        <v>45782</v>
      </c>
      <c r="E71" s="7">
        <f>_xlfn.IFNA(VLOOKUP(A71, MOs_Ready_to_close[[Order]:[Tot Est Machine Hrs]], 9, FALSE), "")</f>
        <v>40</v>
      </c>
      <c r="F71" s="10">
        <f>SUMIF(MO_Operations[ORDER], Calculations!A71, MO_Operations[Standard Labor Hrs] )</f>
        <v>2</v>
      </c>
      <c r="G71" s="10">
        <f>SUMIF(MO_Operations[ORDER], Calculations!A71, MO_Operations[Total Act Labor Hrs] )</f>
        <v>1.7</v>
      </c>
      <c r="H71" s="10">
        <f>-SUMIF(MO_Operations[ORDER], Calculations!A71, MO_Operations[Total Cost Variance] )</f>
        <v>-20</v>
      </c>
      <c r="I71" s="11">
        <f>SUMIF(MO_Components[Order], Calculations!A71, MO_Components[Std Cost])</f>
        <v>506</v>
      </c>
      <c r="J71" s="11">
        <f>SUMIF(MO_Components[Order], Calculations!A71, MO_Components[Act Cost])</f>
        <v>506</v>
      </c>
      <c r="K71" s="11">
        <f t="shared" si="4"/>
        <v>0</v>
      </c>
      <c r="L71" t="str">
        <f t="shared" si="5"/>
        <v>Positive</v>
      </c>
      <c r="M71" t="str">
        <f t="shared" si="6"/>
        <v>Negative</v>
      </c>
      <c r="N71" t="str">
        <f t="shared" si="7"/>
        <v/>
      </c>
    </row>
    <row r="72" spans="1:14" x14ac:dyDescent="0.25">
      <c r="A72" s="5" t="str">
        <v>MO15410</v>
      </c>
      <c r="B72" s="5" t="str">
        <f>_xlfn.IFNA(VLOOKUP(A72, MOs_Ready_to_close[[Order]:[Tot Est Machine Hrs]], 2, FALSE), "")</f>
        <v>Item1155</v>
      </c>
      <c r="C72" s="5" t="str">
        <f>_xlfn.IFNA(VLOOKUP(A72, MOs_Ready_to_close[[Order]:[Tot Est Machine Hrs]], 4, FALSE), "")</f>
        <v>DeptA</v>
      </c>
      <c r="D72" s="6">
        <f>_xlfn.IFNA(VLOOKUP(A72, MOs_Ready_to_close[[Order]:[Tot Est Machine Hrs]], 8, FALSE), "")</f>
        <v>45782</v>
      </c>
      <c r="E72" s="7">
        <f>_xlfn.IFNA(VLOOKUP(A72, MOs_Ready_to_close[[Order]:[Tot Est Machine Hrs]], 9, FALSE), "")</f>
        <v>165</v>
      </c>
      <c r="F72" s="10">
        <f>SUMIF(MO_Operations[ORDER], Calculations!A72, MO_Operations[Standard Labor Hrs] )</f>
        <v>3.3</v>
      </c>
      <c r="G72" s="10">
        <f>SUMIF(MO_Operations[ORDER], Calculations!A72, MO_Operations[Total Act Labor Hrs] )</f>
        <v>6.2</v>
      </c>
      <c r="H72" s="10">
        <f>-SUMIF(MO_Operations[ORDER], Calculations!A72, MO_Operations[Total Cost Variance] )</f>
        <v>135</v>
      </c>
      <c r="I72" s="11">
        <f>SUMIF(MO_Components[Order], Calculations!A72, MO_Components[Std Cost])</f>
        <v>1125</v>
      </c>
      <c r="J72" s="11">
        <f>SUMIF(MO_Components[Order], Calculations!A72, MO_Components[Act Cost])</f>
        <v>1125</v>
      </c>
      <c r="K72" s="11">
        <f t="shared" si="4"/>
        <v>0</v>
      </c>
      <c r="L72" t="str">
        <f t="shared" si="5"/>
        <v>Positive</v>
      </c>
      <c r="M72" t="str">
        <f t="shared" si="6"/>
        <v>Positive</v>
      </c>
      <c r="N72" t="str">
        <f t="shared" si="7"/>
        <v/>
      </c>
    </row>
    <row r="73" spans="1:14" x14ac:dyDescent="0.25">
      <c r="A73" s="5" t="str">
        <v>MO15430</v>
      </c>
      <c r="B73" s="5" t="str">
        <f>_xlfn.IFNA(VLOOKUP(A73, MOs_Ready_to_close[[Order]:[Tot Est Machine Hrs]], 2, FALSE), "")</f>
        <v>Item1137</v>
      </c>
      <c r="C73" s="5" t="str">
        <f>_xlfn.IFNA(VLOOKUP(A73, MOs_Ready_to_close[[Order]:[Tot Est Machine Hrs]], 4, FALSE), "")</f>
        <v>DeptA</v>
      </c>
      <c r="D73" s="6">
        <f>_xlfn.IFNA(VLOOKUP(A73, MOs_Ready_to_close[[Order]:[Tot Est Machine Hrs]], 8, FALSE), "")</f>
        <v>45785</v>
      </c>
      <c r="E73" s="7">
        <f>_xlfn.IFNA(VLOOKUP(A73, MOs_Ready_to_close[[Order]:[Tot Est Machine Hrs]], 9, FALSE), "")</f>
        <v>-590</v>
      </c>
      <c r="F73" s="10">
        <f>SUMIF(MO_Operations[ORDER], Calculations!A73, MO_Operations[Standard Labor Hrs] )</f>
        <v>25.8</v>
      </c>
      <c r="G73" s="10">
        <f>SUMIF(MO_Operations[ORDER], Calculations!A73, MO_Operations[Total Act Labor Hrs] )</f>
        <v>9.1000000000000014</v>
      </c>
      <c r="H73" s="10">
        <f>-SUMIF(MO_Operations[ORDER], Calculations!A73, MO_Operations[Total Cost Variance] )</f>
        <v>-815</v>
      </c>
      <c r="I73" s="11">
        <f>SUMIF(MO_Components[Order], Calculations!A73, MO_Components[Std Cost])</f>
        <v>5340</v>
      </c>
      <c r="J73" s="11">
        <f>SUMIF(MO_Components[Order], Calculations!A73, MO_Components[Act Cost])</f>
        <v>5340</v>
      </c>
      <c r="K73" s="11">
        <f t="shared" si="4"/>
        <v>0</v>
      </c>
      <c r="L73" t="str">
        <f t="shared" si="5"/>
        <v>Negative</v>
      </c>
      <c r="M73" t="str">
        <f t="shared" si="6"/>
        <v>Negative</v>
      </c>
      <c r="N73" t="str">
        <f t="shared" si="7"/>
        <v/>
      </c>
    </row>
    <row r="74" spans="1:14" x14ac:dyDescent="0.25">
      <c r="A74" s="5" t="str">
        <v>MO15440</v>
      </c>
      <c r="B74" s="5" t="str">
        <f>_xlfn.IFNA(VLOOKUP(A74, MOs_Ready_to_close[[Order]:[Tot Est Machine Hrs]], 2, FALSE), "")</f>
        <v>Item1160</v>
      </c>
      <c r="C74" s="5" t="str">
        <f>_xlfn.IFNA(VLOOKUP(A74, MOs_Ready_to_close[[Order]:[Tot Est Machine Hrs]], 4, FALSE), "")</f>
        <v>DeptA</v>
      </c>
      <c r="D74" s="6">
        <f>_xlfn.IFNA(VLOOKUP(A74, MOs_Ready_to_close[[Order]:[Tot Est Machine Hrs]], 8, FALSE), "")</f>
        <v>45786</v>
      </c>
      <c r="E74" s="7">
        <f>_xlfn.IFNA(VLOOKUP(A74, MOs_Ready_to_close[[Order]:[Tot Est Machine Hrs]], 9, FALSE), "")</f>
        <v>1075</v>
      </c>
      <c r="F74" s="10">
        <f>SUMIF(MO_Operations[ORDER], Calculations!A74, MO_Operations[Standard Labor Hrs] )</f>
        <v>20.5</v>
      </c>
      <c r="G74" s="10">
        <f>SUMIF(MO_Operations[ORDER], Calculations!A74, MO_Operations[Total Act Labor Hrs] )</f>
        <v>35.1</v>
      </c>
      <c r="H74" s="10">
        <f>-SUMIF(MO_Operations[ORDER], Calculations!A74, MO_Operations[Total Cost Variance] )</f>
        <v>710</v>
      </c>
      <c r="I74" s="11">
        <f>SUMIF(MO_Components[Order], Calculations!A74, MO_Components[Std Cost])</f>
        <v>7410</v>
      </c>
      <c r="J74" s="11">
        <f>SUMIF(MO_Components[Order], Calculations!A74, MO_Components[Act Cost])</f>
        <v>7925</v>
      </c>
      <c r="K74" s="11">
        <f t="shared" si="4"/>
        <v>515</v>
      </c>
      <c r="L74" t="str">
        <f t="shared" si="5"/>
        <v>Positive</v>
      </c>
      <c r="M74" t="str">
        <f t="shared" si="6"/>
        <v>Positive</v>
      </c>
      <c r="N74" t="str">
        <f t="shared" si="7"/>
        <v>Positive</v>
      </c>
    </row>
    <row r="75" spans="1:14" x14ac:dyDescent="0.25">
      <c r="A75" s="5" t="str">
        <v>MO15460</v>
      </c>
      <c r="B75" s="5" t="str">
        <f>_xlfn.IFNA(VLOOKUP(A75, MOs_Ready_to_close[[Order]:[Tot Est Machine Hrs]], 2, FALSE), "")</f>
        <v>Item1161</v>
      </c>
      <c r="C75" s="5" t="str">
        <f>_xlfn.IFNA(VLOOKUP(A75, MOs_Ready_to_close[[Order]:[Tot Est Machine Hrs]], 4, FALSE), "")</f>
        <v>DeptA</v>
      </c>
      <c r="D75" s="6">
        <f>_xlfn.IFNA(VLOOKUP(A75, MOs_Ready_to_close[[Order]:[Tot Est Machine Hrs]], 8, FALSE), "")</f>
        <v>45784</v>
      </c>
      <c r="E75" s="7">
        <f>_xlfn.IFNA(VLOOKUP(A75, MOs_Ready_to_close[[Order]:[Tot Est Machine Hrs]], 9, FALSE), "")</f>
        <v>-985</v>
      </c>
      <c r="F75" s="10">
        <f>SUMIF(MO_Operations[ORDER], Calculations!A75, MO_Operations[Standard Labor Hrs] )</f>
        <v>30.6</v>
      </c>
      <c r="G75" s="10">
        <f>SUMIF(MO_Operations[ORDER], Calculations!A75, MO_Operations[Total Act Labor Hrs] )</f>
        <v>23.5</v>
      </c>
      <c r="H75" s="10">
        <f>-SUMIF(MO_Operations[ORDER], Calculations!A75, MO_Operations[Total Cost Variance] )</f>
        <v>-355</v>
      </c>
      <c r="I75" s="11">
        <f>SUMIF(MO_Components[Order], Calculations!A75, MO_Components[Std Cost])</f>
        <v>3510</v>
      </c>
      <c r="J75" s="11">
        <f>SUMIF(MO_Components[Order], Calculations!A75, MO_Components[Act Cost])</f>
        <v>3510</v>
      </c>
      <c r="K75" s="11">
        <f t="shared" si="4"/>
        <v>0</v>
      </c>
      <c r="L75" t="str">
        <f t="shared" si="5"/>
        <v>Negative</v>
      </c>
      <c r="M75" t="str">
        <f t="shared" si="6"/>
        <v>Negative</v>
      </c>
      <c r="N75" t="str">
        <f t="shared" si="7"/>
        <v/>
      </c>
    </row>
    <row r="76" spans="1:14" x14ac:dyDescent="0.25">
      <c r="A76" s="5" t="str">
        <v>MO15470</v>
      </c>
      <c r="B76" s="5" t="str">
        <f>_xlfn.IFNA(VLOOKUP(A76, MOs_Ready_to_close[[Order]:[Tot Est Machine Hrs]], 2, FALSE), "")</f>
        <v>Item490</v>
      </c>
      <c r="C76" s="5" t="str">
        <f>_xlfn.IFNA(VLOOKUP(A76, MOs_Ready_to_close[[Order]:[Tot Est Machine Hrs]], 4, FALSE), "")</f>
        <v>DeptE</v>
      </c>
      <c r="D76" s="6">
        <f>_xlfn.IFNA(VLOOKUP(A76, MOs_Ready_to_close[[Order]:[Tot Est Machine Hrs]], 8, FALSE), "")</f>
        <v>45775</v>
      </c>
      <c r="E76" s="7">
        <f>_xlfn.IFNA(VLOOKUP(A76, MOs_Ready_to_close[[Order]:[Tot Est Machine Hrs]], 9, FALSE), "")</f>
        <v>-235</v>
      </c>
      <c r="F76" s="10">
        <f>SUMIF(MO_Operations[ORDER], Calculations!A76, MO_Operations[Standard Labor Hrs] )</f>
        <v>3</v>
      </c>
      <c r="G76" s="10">
        <f>SUMIF(MO_Operations[ORDER], Calculations!A76, MO_Operations[Total Act Labor Hrs] )</f>
        <v>0</v>
      </c>
      <c r="H76" s="10">
        <f>-SUMIF(MO_Operations[ORDER], Calculations!A76, MO_Operations[Total Cost Variance] )</f>
        <v>-250</v>
      </c>
      <c r="I76" s="11">
        <f>SUMIF(MO_Components[Order], Calculations!A76, MO_Components[Std Cost])</f>
        <v>120</v>
      </c>
      <c r="J76" s="11">
        <f>SUMIF(MO_Components[Order], Calculations!A76, MO_Components[Act Cost])</f>
        <v>120</v>
      </c>
      <c r="K76" s="11">
        <f t="shared" si="4"/>
        <v>0</v>
      </c>
      <c r="L76" t="str">
        <f t="shared" si="5"/>
        <v>Negative</v>
      </c>
      <c r="M76" t="str">
        <f t="shared" si="6"/>
        <v>Negative</v>
      </c>
      <c r="N76" t="str">
        <f t="shared" si="7"/>
        <v/>
      </c>
    </row>
    <row r="77" spans="1:14" x14ac:dyDescent="0.25">
      <c r="A77" s="5" t="str">
        <v>MO15480</v>
      </c>
      <c r="B77" s="5" t="str">
        <f>_xlfn.IFNA(VLOOKUP(A77, MOs_Ready_to_close[[Order]:[Tot Est Machine Hrs]], 2, FALSE), "")</f>
        <v>Item837</v>
      </c>
      <c r="C77" s="5" t="str">
        <f>_xlfn.IFNA(VLOOKUP(A77, MOs_Ready_to_close[[Order]:[Tot Est Machine Hrs]], 4, FALSE), "")</f>
        <v>DeptD</v>
      </c>
      <c r="D77" s="6">
        <f>_xlfn.IFNA(VLOOKUP(A77, MOs_Ready_to_close[[Order]:[Tot Est Machine Hrs]], 8, FALSE), "")</f>
        <v>45780</v>
      </c>
      <c r="E77" s="7">
        <f>_xlfn.IFNA(VLOOKUP(A77, MOs_Ready_to_close[[Order]:[Tot Est Machine Hrs]], 9, FALSE), "")</f>
        <v>170</v>
      </c>
      <c r="F77" s="10">
        <f>SUMIF(MO_Operations[ORDER], Calculations!A77, MO_Operations[Standard Labor Hrs] )</f>
        <v>4.9000000000000004</v>
      </c>
      <c r="G77" s="10">
        <f>SUMIF(MO_Operations[ORDER], Calculations!A77, MO_Operations[Total Act Labor Hrs] )</f>
        <v>26.1</v>
      </c>
      <c r="H77" s="10">
        <f>-SUMIF(MO_Operations[ORDER], Calculations!A77, MO_Operations[Total Cost Variance] )</f>
        <v>1285</v>
      </c>
      <c r="I77" s="11">
        <f>SUMIF(MO_Components[Order], Calculations!A77, MO_Components[Std Cost])</f>
        <v>10974</v>
      </c>
      <c r="J77" s="11">
        <f>SUMIF(MO_Components[Order], Calculations!A77, MO_Components[Act Cost])</f>
        <v>10974</v>
      </c>
      <c r="K77" s="11">
        <f t="shared" si="4"/>
        <v>0</v>
      </c>
      <c r="L77" t="str">
        <f t="shared" si="5"/>
        <v>Positive</v>
      </c>
      <c r="M77" t="str">
        <f t="shared" si="6"/>
        <v>Positive</v>
      </c>
      <c r="N77" t="str">
        <f t="shared" si="7"/>
        <v/>
      </c>
    </row>
    <row r="78" spans="1:14" x14ac:dyDescent="0.25">
      <c r="A78" s="5" t="str">
        <v>MO15510</v>
      </c>
      <c r="B78" s="5" t="str">
        <f>_xlfn.IFNA(VLOOKUP(A78, MOs_Ready_to_close[[Order]:[Tot Est Machine Hrs]], 2, FALSE), "")</f>
        <v>Item837</v>
      </c>
      <c r="C78" s="5" t="str">
        <f>_xlfn.IFNA(VLOOKUP(A78, MOs_Ready_to_close[[Order]:[Tot Est Machine Hrs]], 4, FALSE), "")</f>
        <v>DeptD</v>
      </c>
      <c r="D78" s="6">
        <f>_xlfn.IFNA(VLOOKUP(A78, MOs_Ready_to_close[[Order]:[Tot Est Machine Hrs]], 8, FALSE), "")</f>
        <v>45787</v>
      </c>
      <c r="E78" s="7">
        <f>_xlfn.IFNA(VLOOKUP(A78, MOs_Ready_to_close[[Order]:[Tot Est Machine Hrs]], 9, FALSE), "")</f>
        <v>-100</v>
      </c>
      <c r="F78" s="10">
        <f>SUMIF(MO_Operations[ORDER], Calculations!A78, MO_Operations[Standard Labor Hrs] )</f>
        <v>4.9000000000000004</v>
      </c>
      <c r="G78" s="10">
        <f>SUMIF(MO_Operations[ORDER], Calculations!A78, MO_Operations[Total Act Labor Hrs] )</f>
        <v>21.8</v>
      </c>
      <c r="H78" s="10">
        <f>-SUMIF(MO_Operations[ORDER], Calculations!A78, MO_Operations[Total Cost Variance] )</f>
        <v>1020</v>
      </c>
      <c r="I78" s="11">
        <f>SUMIF(MO_Components[Order], Calculations!A78, MO_Components[Std Cost])</f>
        <v>10974</v>
      </c>
      <c r="J78" s="11">
        <f>SUMIF(MO_Components[Order], Calculations!A78, MO_Components[Act Cost])</f>
        <v>10974</v>
      </c>
      <c r="K78" s="11">
        <f t="shared" si="4"/>
        <v>0</v>
      </c>
      <c r="L78" t="str">
        <f t="shared" si="5"/>
        <v>Negative</v>
      </c>
      <c r="M78" t="str">
        <f t="shared" si="6"/>
        <v>Positive</v>
      </c>
      <c r="N78" t="str">
        <f t="shared" si="7"/>
        <v/>
      </c>
    </row>
    <row r="79" spans="1:14" x14ac:dyDescent="0.25">
      <c r="A79" s="5" t="str">
        <v>MO15520</v>
      </c>
      <c r="B79" s="5" t="str">
        <f>_xlfn.IFNA(VLOOKUP(A79, MOs_Ready_to_close[[Order]:[Tot Est Machine Hrs]], 2, FALSE), "")</f>
        <v>Item837</v>
      </c>
      <c r="C79" s="5" t="str">
        <f>_xlfn.IFNA(VLOOKUP(A79, MOs_Ready_to_close[[Order]:[Tot Est Machine Hrs]], 4, FALSE), "")</f>
        <v>DeptD</v>
      </c>
      <c r="D79" s="6">
        <f>_xlfn.IFNA(VLOOKUP(A79, MOs_Ready_to_close[[Order]:[Tot Est Machine Hrs]], 8, FALSE), "")</f>
        <v>45787</v>
      </c>
      <c r="E79" s="7">
        <f>_xlfn.IFNA(VLOOKUP(A79, MOs_Ready_to_close[[Order]:[Tot Est Machine Hrs]], 9, FALSE), "")</f>
        <v>85</v>
      </c>
      <c r="F79" s="10">
        <f>SUMIF(MO_Operations[ORDER], Calculations!A79, MO_Operations[Standard Labor Hrs] )</f>
        <v>4.9000000000000004</v>
      </c>
      <c r="G79" s="10">
        <f>SUMIF(MO_Operations[ORDER], Calculations!A79, MO_Operations[Total Act Labor Hrs] )</f>
        <v>24.899999999999995</v>
      </c>
      <c r="H79" s="10">
        <f>-SUMIF(MO_Operations[ORDER], Calculations!A79, MO_Operations[Total Cost Variance] )</f>
        <v>1195</v>
      </c>
      <c r="I79" s="11">
        <f>SUMIF(MO_Components[Order], Calculations!A79, MO_Components[Std Cost])</f>
        <v>10974</v>
      </c>
      <c r="J79" s="11">
        <f>SUMIF(MO_Components[Order], Calculations!A79, MO_Components[Act Cost])</f>
        <v>10974</v>
      </c>
      <c r="K79" s="11">
        <f t="shared" si="4"/>
        <v>0</v>
      </c>
      <c r="L79" t="str">
        <f t="shared" si="5"/>
        <v>Positive</v>
      </c>
      <c r="M79" t="str">
        <f t="shared" si="6"/>
        <v>Positive</v>
      </c>
      <c r="N79" t="str">
        <f t="shared" si="7"/>
        <v/>
      </c>
    </row>
    <row r="80" spans="1:14" x14ac:dyDescent="0.25">
      <c r="A80" s="5" t="str">
        <v>MO15530</v>
      </c>
      <c r="B80" s="5" t="str">
        <f>_xlfn.IFNA(VLOOKUP(A80, MOs_Ready_to_close[[Order]:[Tot Est Machine Hrs]], 2, FALSE), "")</f>
        <v>Item858</v>
      </c>
      <c r="C80" s="5" t="str">
        <f>_xlfn.IFNA(VLOOKUP(A80, MOs_Ready_to_close[[Order]:[Tot Est Machine Hrs]], 4, FALSE), "")</f>
        <v>DeptD</v>
      </c>
      <c r="D80" s="6">
        <f>_xlfn.IFNA(VLOOKUP(A80, MOs_Ready_to_close[[Order]:[Tot Est Machine Hrs]], 8, FALSE), "")</f>
        <v>45780</v>
      </c>
      <c r="E80" s="7">
        <f>_xlfn.IFNA(VLOOKUP(A80, MOs_Ready_to_close[[Order]:[Tot Est Machine Hrs]], 9, FALSE), "")</f>
        <v>200</v>
      </c>
      <c r="F80" s="10">
        <f>SUMIF(MO_Operations[ORDER], Calculations!A80, MO_Operations[Standard Labor Hrs] )</f>
        <v>6.6999999999999993</v>
      </c>
      <c r="G80" s="10">
        <f>SUMIF(MO_Operations[ORDER], Calculations!A80, MO_Operations[Total Act Labor Hrs] )</f>
        <v>10.799999999999999</v>
      </c>
      <c r="H80" s="10">
        <f>-SUMIF(MO_Operations[ORDER], Calculations!A80, MO_Operations[Total Cost Variance] )</f>
        <v>230</v>
      </c>
      <c r="I80" s="11">
        <f>SUMIF(MO_Components[Order], Calculations!A80, MO_Components[Std Cost])</f>
        <v>8600</v>
      </c>
      <c r="J80" s="11">
        <f>SUMIF(MO_Components[Order], Calculations!A80, MO_Components[Act Cost])</f>
        <v>8600</v>
      </c>
      <c r="K80" s="11">
        <f t="shared" si="4"/>
        <v>0</v>
      </c>
      <c r="L80" t="str">
        <f t="shared" si="5"/>
        <v>Positive</v>
      </c>
      <c r="M80" t="str">
        <f t="shared" si="6"/>
        <v>Positive</v>
      </c>
      <c r="N80" t="str">
        <f t="shared" si="7"/>
        <v/>
      </c>
    </row>
    <row r="81" spans="1:14" x14ac:dyDescent="0.25">
      <c r="A81" s="5" t="str">
        <v>MO15540</v>
      </c>
      <c r="B81" s="5" t="str">
        <f>_xlfn.IFNA(VLOOKUP(A81, MOs_Ready_to_close[[Order]:[Tot Est Machine Hrs]], 2, FALSE), "")</f>
        <v>Item858</v>
      </c>
      <c r="C81" s="5" t="str">
        <f>_xlfn.IFNA(VLOOKUP(A81, MOs_Ready_to_close[[Order]:[Tot Est Machine Hrs]], 4, FALSE), "")</f>
        <v>DeptD</v>
      </c>
      <c r="D81" s="6">
        <f>_xlfn.IFNA(VLOOKUP(A81, MOs_Ready_to_close[[Order]:[Tot Est Machine Hrs]], 8, FALSE), "")</f>
        <v>45780</v>
      </c>
      <c r="E81" s="7">
        <f>_xlfn.IFNA(VLOOKUP(A81, MOs_Ready_to_close[[Order]:[Tot Est Machine Hrs]], 9, FALSE), "")</f>
        <v>185</v>
      </c>
      <c r="F81" s="10">
        <f>SUMIF(MO_Operations[ORDER], Calculations!A81, MO_Operations[Standard Labor Hrs] )</f>
        <v>6.6999999999999993</v>
      </c>
      <c r="G81" s="10">
        <f>SUMIF(MO_Operations[ORDER], Calculations!A81, MO_Operations[Total Act Labor Hrs] )</f>
        <v>10.700000000000001</v>
      </c>
      <c r="H81" s="10">
        <f>-SUMIF(MO_Operations[ORDER], Calculations!A81, MO_Operations[Total Cost Variance] )</f>
        <v>230</v>
      </c>
      <c r="I81" s="11">
        <f>SUMIF(MO_Components[Order], Calculations!A81, MO_Components[Std Cost])</f>
        <v>8600</v>
      </c>
      <c r="J81" s="11">
        <f>SUMIF(MO_Components[Order], Calculations!A81, MO_Components[Act Cost])</f>
        <v>8600</v>
      </c>
      <c r="K81" s="11">
        <f t="shared" si="4"/>
        <v>0</v>
      </c>
      <c r="L81" t="str">
        <f t="shared" si="5"/>
        <v>Positive</v>
      </c>
      <c r="M81" t="str">
        <f t="shared" si="6"/>
        <v>Positive</v>
      </c>
      <c r="N81" t="str">
        <f t="shared" si="7"/>
        <v/>
      </c>
    </row>
    <row r="82" spans="1:14" x14ac:dyDescent="0.25">
      <c r="A82" s="5" t="str">
        <v>MO15550</v>
      </c>
      <c r="B82" s="5" t="str">
        <f>_xlfn.IFNA(VLOOKUP(A82, MOs_Ready_to_close[[Order]:[Tot Est Machine Hrs]], 2, FALSE), "")</f>
        <v>Item858</v>
      </c>
      <c r="C82" s="5" t="str">
        <f>_xlfn.IFNA(VLOOKUP(A82, MOs_Ready_to_close[[Order]:[Tot Est Machine Hrs]], 4, FALSE), "")</f>
        <v>DeptD</v>
      </c>
      <c r="D82" s="6">
        <f>_xlfn.IFNA(VLOOKUP(A82, MOs_Ready_to_close[[Order]:[Tot Est Machine Hrs]], 8, FALSE), "")</f>
        <v>45780</v>
      </c>
      <c r="E82" s="7">
        <f>_xlfn.IFNA(VLOOKUP(A82, MOs_Ready_to_close[[Order]:[Tot Est Machine Hrs]], 9, FALSE), "")</f>
        <v>85</v>
      </c>
      <c r="F82" s="10">
        <f>SUMIF(MO_Operations[ORDER], Calculations!A82, MO_Operations[Standard Labor Hrs] )</f>
        <v>6.6999999999999993</v>
      </c>
      <c r="G82" s="10">
        <f>SUMIF(MO_Operations[ORDER], Calculations!A82, MO_Operations[Total Act Labor Hrs] )</f>
        <v>9</v>
      </c>
      <c r="H82" s="10">
        <f>-SUMIF(MO_Operations[ORDER], Calculations!A82, MO_Operations[Total Cost Variance] )</f>
        <v>120</v>
      </c>
      <c r="I82" s="11">
        <f>SUMIF(MO_Components[Order], Calculations!A82, MO_Components[Std Cost])</f>
        <v>8600</v>
      </c>
      <c r="J82" s="11">
        <f>SUMIF(MO_Components[Order], Calculations!A82, MO_Components[Act Cost])</f>
        <v>8600</v>
      </c>
      <c r="K82" s="11">
        <f t="shared" si="4"/>
        <v>0</v>
      </c>
      <c r="L82" t="str">
        <f t="shared" si="5"/>
        <v>Positive</v>
      </c>
      <c r="M82" t="str">
        <f t="shared" si="6"/>
        <v>Positive</v>
      </c>
      <c r="N82" t="str">
        <f t="shared" si="7"/>
        <v/>
      </c>
    </row>
    <row r="83" spans="1:14" x14ac:dyDescent="0.25">
      <c r="A83" s="5" t="str">
        <v>MO15560</v>
      </c>
      <c r="B83" s="5" t="str">
        <f>_xlfn.IFNA(VLOOKUP(A83, MOs_Ready_to_close[[Order]:[Tot Est Machine Hrs]], 2, FALSE), "")</f>
        <v>Item858</v>
      </c>
      <c r="C83" s="5" t="str">
        <f>_xlfn.IFNA(VLOOKUP(A83, MOs_Ready_to_close[[Order]:[Tot Est Machine Hrs]], 4, FALSE), "")</f>
        <v>DeptD</v>
      </c>
      <c r="D83" s="6">
        <f>_xlfn.IFNA(VLOOKUP(A83, MOs_Ready_to_close[[Order]:[Tot Est Machine Hrs]], 8, FALSE), "")</f>
        <v>45780</v>
      </c>
      <c r="E83" s="7">
        <f>_xlfn.IFNA(VLOOKUP(A83, MOs_Ready_to_close[[Order]:[Tot Est Machine Hrs]], 9, FALSE), "")</f>
        <v>665</v>
      </c>
      <c r="F83" s="10">
        <f>SUMIF(MO_Operations[ORDER], Calculations!A83, MO_Operations[Standard Labor Hrs] )</f>
        <v>6.6999999999999993</v>
      </c>
      <c r="G83" s="10">
        <f>SUMIF(MO_Operations[ORDER], Calculations!A83, MO_Operations[Total Act Labor Hrs] )</f>
        <v>18.3</v>
      </c>
      <c r="H83" s="10">
        <f>-SUMIF(MO_Operations[ORDER], Calculations!A83, MO_Operations[Total Cost Variance] )</f>
        <v>695</v>
      </c>
      <c r="I83" s="11">
        <f>SUMIF(MO_Components[Order], Calculations!A83, MO_Components[Std Cost])</f>
        <v>8600</v>
      </c>
      <c r="J83" s="11">
        <f>SUMIF(MO_Components[Order], Calculations!A83, MO_Components[Act Cost])</f>
        <v>8600</v>
      </c>
      <c r="K83" s="11">
        <f t="shared" si="4"/>
        <v>0</v>
      </c>
      <c r="L83" t="str">
        <f t="shared" si="5"/>
        <v>Positive</v>
      </c>
      <c r="M83" t="str">
        <f t="shared" si="6"/>
        <v>Positive</v>
      </c>
      <c r="N83" t="str">
        <f t="shared" si="7"/>
        <v/>
      </c>
    </row>
    <row r="84" spans="1:14" x14ac:dyDescent="0.25">
      <c r="A84" s="5" t="str">
        <v>MO15570</v>
      </c>
      <c r="B84" s="5" t="str">
        <f>_xlfn.IFNA(VLOOKUP(A84, MOs_Ready_to_close[[Order]:[Tot Est Machine Hrs]], 2, FALSE), "")</f>
        <v>Item1151</v>
      </c>
      <c r="C84" s="5" t="str">
        <f>_xlfn.IFNA(VLOOKUP(A84, MOs_Ready_to_close[[Order]:[Tot Est Machine Hrs]], 4, FALSE), "")</f>
        <v>DeptA</v>
      </c>
      <c r="D84" s="6">
        <f>_xlfn.IFNA(VLOOKUP(A84, MOs_Ready_to_close[[Order]:[Tot Est Machine Hrs]], 8, FALSE), "")</f>
        <v>45784</v>
      </c>
      <c r="E84" s="7">
        <f>_xlfn.IFNA(VLOOKUP(A84, MOs_Ready_to_close[[Order]:[Tot Est Machine Hrs]], 9, FALSE), "")</f>
        <v>-770</v>
      </c>
      <c r="F84" s="10">
        <f>SUMIF(MO_Operations[ORDER], Calculations!A84, MO_Operations[Standard Labor Hrs] )</f>
        <v>20.8</v>
      </c>
      <c r="G84" s="10">
        <f>SUMIF(MO_Operations[ORDER], Calculations!A84, MO_Operations[Total Act Labor Hrs] )</f>
        <v>7.4</v>
      </c>
      <c r="H84" s="10">
        <f>-SUMIF(MO_Operations[ORDER], Calculations!A84, MO_Operations[Total Cost Variance] )</f>
        <v>-655</v>
      </c>
      <c r="I84" s="11">
        <f>SUMIF(MO_Components[Order], Calculations!A84, MO_Components[Std Cost])</f>
        <v>2930</v>
      </c>
      <c r="J84" s="11">
        <f>SUMIF(MO_Components[Order], Calculations!A84, MO_Components[Act Cost])</f>
        <v>2930</v>
      </c>
      <c r="K84" s="11">
        <f t="shared" si="4"/>
        <v>0</v>
      </c>
      <c r="L84" t="str">
        <f t="shared" si="5"/>
        <v>Negative</v>
      </c>
      <c r="M84" t="str">
        <f t="shared" si="6"/>
        <v>Negative</v>
      </c>
      <c r="N84" t="str">
        <f t="shared" si="7"/>
        <v/>
      </c>
    </row>
    <row r="85" spans="1:14" x14ac:dyDescent="0.25">
      <c r="A85" s="5" t="str">
        <v>MO15580</v>
      </c>
      <c r="B85" s="5" t="str">
        <f>_xlfn.IFNA(VLOOKUP(A85, MOs_Ready_to_close[[Order]:[Tot Est Machine Hrs]], 2, FALSE), "")</f>
        <v>Item1151</v>
      </c>
      <c r="C85" s="5" t="str">
        <f>_xlfn.IFNA(VLOOKUP(A85, MOs_Ready_to_close[[Order]:[Tot Est Machine Hrs]], 4, FALSE), "")</f>
        <v>DeptA</v>
      </c>
      <c r="D85" s="6">
        <f>_xlfn.IFNA(VLOOKUP(A85, MOs_Ready_to_close[[Order]:[Tot Est Machine Hrs]], 8, FALSE), "")</f>
        <v>45784</v>
      </c>
      <c r="E85" s="7">
        <f>_xlfn.IFNA(VLOOKUP(A85, MOs_Ready_to_close[[Order]:[Tot Est Machine Hrs]], 9, FALSE), "")</f>
        <v>-855</v>
      </c>
      <c r="F85" s="10">
        <f>SUMIF(MO_Operations[ORDER], Calculations!A85, MO_Operations[Standard Labor Hrs] )</f>
        <v>20.8</v>
      </c>
      <c r="G85" s="10">
        <f>SUMIF(MO_Operations[ORDER], Calculations!A85, MO_Operations[Total Act Labor Hrs] )</f>
        <v>5.5</v>
      </c>
      <c r="H85" s="10">
        <f>-SUMIF(MO_Operations[ORDER], Calculations!A85, MO_Operations[Total Cost Variance] )</f>
        <v>-745</v>
      </c>
      <c r="I85" s="11">
        <f>SUMIF(MO_Components[Order], Calculations!A85, MO_Components[Std Cost])</f>
        <v>2940</v>
      </c>
      <c r="J85" s="11">
        <f>SUMIF(MO_Components[Order], Calculations!A85, MO_Components[Act Cost])</f>
        <v>2940</v>
      </c>
      <c r="K85" s="11">
        <f t="shared" si="4"/>
        <v>0</v>
      </c>
      <c r="L85" t="str">
        <f t="shared" si="5"/>
        <v>Negative</v>
      </c>
      <c r="M85" t="str">
        <f t="shared" si="6"/>
        <v>Negative</v>
      </c>
      <c r="N85" t="str">
        <f t="shared" si="7"/>
        <v/>
      </c>
    </row>
    <row r="86" spans="1:14" x14ac:dyDescent="0.25">
      <c r="A86" s="5" t="str">
        <v>MO15630</v>
      </c>
      <c r="B86" s="5" t="str">
        <f>_xlfn.IFNA(VLOOKUP(A86, MOs_Ready_to_close[[Order]:[Tot Est Machine Hrs]], 2, FALSE), "")</f>
        <v>Item220</v>
      </c>
      <c r="C86" s="5" t="str">
        <f>_xlfn.IFNA(VLOOKUP(A86, MOs_Ready_to_close[[Order]:[Tot Est Machine Hrs]], 4, FALSE), "")</f>
        <v>DeptE</v>
      </c>
      <c r="D86" s="6">
        <f>_xlfn.IFNA(VLOOKUP(A86, MOs_Ready_to_close[[Order]:[Tot Est Machine Hrs]], 8, FALSE), "")</f>
        <v>45789</v>
      </c>
      <c r="E86" s="7">
        <f>_xlfn.IFNA(VLOOKUP(A86, MOs_Ready_to_close[[Order]:[Tot Est Machine Hrs]], 9, FALSE), "")</f>
        <v>5</v>
      </c>
      <c r="F86" s="10">
        <f>SUMIF(MO_Operations[ORDER], Calculations!A86, MO_Operations[Standard Labor Hrs] )</f>
        <v>0.7</v>
      </c>
      <c r="G86" s="10">
        <f>SUMIF(MO_Operations[ORDER], Calculations!A86, MO_Operations[Total Act Labor Hrs] )</f>
        <v>0.60000000000000009</v>
      </c>
      <c r="H86" s="10">
        <f>-SUMIF(MO_Operations[ORDER], Calculations!A86, MO_Operations[Total Cost Variance] )</f>
        <v>-25</v>
      </c>
      <c r="I86" s="11">
        <f>SUMIF(MO_Components[Order], Calculations!A86, MO_Components[Std Cost])</f>
        <v>1036</v>
      </c>
      <c r="J86" s="11">
        <f>SUMIF(MO_Components[Order], Calculations!A86, MO_Components[Act Cost])</f>
        <v>1036</v>
      </c>
      <c r="K86" s="11">
        <f t="shared" si="4"/>
        <v>0</v>
      </c>
      <c r="L86" t="str">
        <f t="shared" si="5"/>
        <v>Positive</v>
      </c>
      <c r="M86" t="str">
        <f t="shared" si="6"/>
        <v>Negative</v>
      </c>
      <c r="N86" t="str">
        <f t="shared" si="7"/>
        <v/>
      </c>
    </row>
    <row r="87" spans="1:14" x14ac:dyDescent="0.25">
      <c r="A87" s="5" t="str">
        <v>MO15640</v>
      </c>
      <c r="B87" s="5" t="str">
        <f>_xlfn.IFNA(VLOOKUP(A87, MOs_Ready_to_close[[Order]:[Tot Est Machine Hrs]], 2, FALSE), "")</f>
        <v>Item220</v>
      </c>
      <c r="C87" s="5" t="str">
        <f>_xlfn.IFNA(VLOOKUP(A87, MOs_Ready_to_close[[Order]:[Tot Est Machine Hrs]], 4, FALSE), "")</f>
        <v>DeptE</v>
      </c>
      <c r="D87" s="6">
        <f>_xlfn.IFNA(VLOOKUP(A87, MOs_Ready_to_close[[Order]:[Tot Est Machine Hrs]], 8, FALSE), "")</f>
        <v>45789</v>
      </c>
      <c r="E87" s="7">
        <f>_xlfn.IFNA(VLOOKUP(A87, MOs_Ready_to_close[[Order]:[Tot Est Machine Hrs]], 9, FALSE), "")</f>
        <v>40</v>
      </c>
      <c r="F87" s="10">
        <f>SUMIF(MO_Operations[ORDER], Calculations!A87, MO_Operations[Standard Labor Hrs] )</f>
        <v>0.7</v>
      </c>
      <c r="G87" s="10">
        <f>SUMIF(MO_Operations[ORDER], Calculations!A87, MO_Operations[Total Act Labor Hrs] )</f>
        <v>1.1000000000000001</v>
      </c>
      <c r="H87" s="10">
        <f>-SUMIF(MO_Operations[ORDER], Calculations!A87, MO_Operations[Total Cost Variance] )</f>
        <v>5</v>
      </c>
      <c r="I87" s="11">
        <f>SUMIF(MO_Components[Order], Calculations!A87, MO_Components[Std Cost])</f>
        <v>1036</v>
      </c>
      <c r="J87" s="11">
        <f>SUMIF(MO_Components[Order], Calculations!A87, MO_Components[Act Cost])</f>
        <v>1036</v>
      </c>
      <c r="K87" s="11">
        <f t="shared" si="4"/>
        <v>0</v>
      </c>
      <c r="L87" t="str">
        <f t="shared" si="5"/>
        <v>Positive</v>
      </c>
      <c r="M87" t="str">
        <f t="shared" si="6"/>
        <v>Positive</v>
      </c>
      <c r="N87" t="str">
        <f t="shared" si="7"/>
        <v/>
      </c>
    </row>
    <row r="88" spans="1:14" x14ac:dyDescent="0.25">
      <c r="A88" s="5" t="str">
        <v>MO15650</v>
      </c>
      <c r="B88" s="5" t="str">
        <f>_xlfn.IFNA(VLOOKUP(A88, MOs_Ready_to_close[[Order]:[Tot Est Machine Hrs]], 2, FALSE), "")</f>
        <v>Item841</v>
      </c>
      <c r="C88" s="5" t="str">
        <f>_xlfn.IFNA(VLOOKUP(A88, MOs_Ready_to_close[[Order]:[Tot Est Machine Hrs]], 4, FALSE), "")</f>
        <v>DeptD</v>
      </c>
      <c r="D88" s="6">
        <f>_xlfn.IFNA(VLOOKUP(A88, MOs_Ready_to_close[[Order]:[Tot Est Machine Hrs]], 8, FALSE), "")</f>
        <v>45780</v>
      </c>
      <c r="E88" s="7">
        <f>_xlfn.IFNA(VLOOKUP(A88, MOs_Ready_to_close[[Order]:[Tot Est Machine Hrs]], 9, FALSE), "")</f>
        <v>70</v>
      </c>
      <c r="F88" s="10">
        <f>SUMIF(MO_Operations[ORDER], Calculations!A88, MO_Operations[Standard Labor Hrs] )</f>
        <v>4.4000000000000004</v>
      </c>
      <c r="G88" s="10">
        <f>SUMIF(MO_Operations[ORDER], Calculations!A88, MO_Operations[Total Act Labor Hrs] )</f>
        <v>3.6</v>
      </c>
      <c r="H88" s="10">
        <f>-SUMIF(MO_Operations[ORDER], Calculations!A88, MO_Operations[Total Cost Variance] )</f>
        <v>-60</v>
      </c>
      <c r="I88" s="11">
        <f>SUMIF(MO_Components[Order], Calculations!A88, MO_Components[Std Cost])</f>
        <v>5530</v>
      </c>
      <c r="J88" s="11">
        <f>SUMIF(MO_Components[Order], Calculations!A88, MO_Components[Act Cost])</f>
        <v>5530</v>
      </c>
      <c r="K88" s="11">
        <f t="shared" si="4"/>
        <v>0</v>
      </c>
      <c r="L88" t="str">
        <f t="shared" si="5"/>
        <v>Positive</v>
      </c>
      <c r="M88" t="str">
        <f t="shared" si="6"/>
        <v>Negative</v>
      </c>
      <c r="N88" t="str">
        <f t="shared" si="7"/>
        <v/>
      </c>
    </row>
    <row r="89" spans="1:14" x14ac:dyDescent="0.25">
      <c r="A89" s="5" t="str">
        <v>MO15660</v>
      </c>
      <c r="B89" s="5" t="str">
        <f>_xlfn.IFNA(VLOOKUP(A89, MOs_Ready_to_close[[Order]:[Tot Est Machine Hrs]], 2, FALSE), "")</f>
        <v>Item841</v>
      </c>
      <c r="C89" s="5" t="str">
        <f>_xlfn.IFNA(VLOOKUP(A89, MOs_Ready_to_close[[Order]:[Tot Est Machine Hrs]], 4, FALSE), "")</f>
        <v>DeptD</v>
      </c>
      <c r="D89" s="6">
        <f>_xlfn.IFNA(VLOOKUP(A89, MOs_Ready_to_close[[Order]:[Tot Est Machine Hrs]], 8, FALSE), "")</f>
        <v>45780</v>
      </c>
      <c r="E89" s="7">
        <f>_xlfn.IFNA(VLOOKUP(A89, MOs_Ready_to_close[[Order]:[Tot Est Machine Hrs]], 9, FALSE), "")</f>
        <v>40</v>
      </c>
      <c r="F89" s="10">
        <f>SUMIF(MO_Operations[ORDER], Calculations!A89, MO_Operations[Standard Labor Hrs] )</f>
        <v>4.4000000000000004</v>
      </c>
      <c r="G89" s="10">
        <f>SUMIF(MO_Operations[ORDER], Calculations!A89, MO_Operations[Total Act Labor Hrs] )</f>
        <v>3.1000000000000005</v>
      </c>
      <c r="H89" s="10">
        <f>-SUMIF(MO_Operations[ORDER], Calculations!A89, MO_Operations[Total Cost Variance] )</f>
        <v>-95</v>
      </c>
      <c r="I89" s="11">
        <f>SUMIF(MO_Components[Order], Calculations!A89, MO_Components[Std Cost])</f>
        <v>5530</v>
      </c>
      <c r="J89" s="11">
        <f>SUMIF(MO_Components[Order], Calculations!A89, MO_Components[Act Cost])</f>
        <v>5530</v>
      </c>
      <c r="K89" s="11">
        <f t="shared" si="4"/>
        <v>0</v>
      </c>
      <c r="L89" t="str">
        <f t="shared" si="5"/>
        <v>Positive</v>
      </c>
      <c r="M89" t="str">
        <f t="shared" si="6"/>
        <v>Negative</v>
      </c>
      <c r="N89" t="str">
        <f t="shared" si="7"/>
        <v/>
      </c>
    </row>
    <row r="90" spans="1:14" x14ac:dyDescent="0.25">
      <c r="A90" s="5" t="str">
        <v>MO15670</v>
      </c>
      <c r="B90" s="5" t="str">
        <f>_xlfn.IFNA(VLOOKUP(A90, MOs_Ready_to_close[[Order]:[Tot Est Machine Hrs]], 2, FALSE), "")</f>
        <v>Item1162</v>
      </c>
      <c r="C90" s="5" t="str">
        <f>_xlfn.IFNA(VLOOKUP(A90, MOs_Ready_to_close[[Order]:[Tot Est Machine Hrs]], 4, FALSE), "")</f>
        <v>DeptA</v>
      </c>
      <c r="D90" s="6">
        <f>_xlfn.IFNA(VLOOKUP(A90, MOs_Ready_to_close[[Order]:[Tot Est Machine Hrs]], 8, FALSE), "")</f>
        <v>45784</v>
      </c>
      <c r="E90" s="7">
        <f>_xlfn.IFNA(VLOOKUP(A90, MOs_Ready_to_close[[Order]:[Tot Est Machine Hrs]], 9, FALSE), "")</f>
        <v>135</v>
      </c>
      <c r="F90" s="10">
        <f>SUMIF(MO_Operations[ORDER], Calculations!A90, MO_Operations[Standard Labor Hrs] )</f>
        <v>2.6999999999999997</v>
      </c>
      <c r="G90" s="10">
        <f>SUMIF(MO_Operations[ORDER], Calculations!A90, MO_Operations[Total Act Labor Hrs] )</f>
        <v>4.9000000000000004</v>
      </c>
      <c r="H90" s="10">
        <f>-SUMIF(MO_Operations[ORDER], Calculations!A90, MO_Operations[Total Cost Variance] )</f>
        <v>100</v>
      </c>
      <c r="I90" s="11">
        <f>SUMIF(MO_Components[Order], Calculations!A90, MO_Components[Std Cost])</f>
        <v>690</v>
      </c>
      <c r="J90" s="11">
        <f>SUMIF(MO_Components[Order], Calculations!A90, MO_Components[Act Cost])</f>
        <v>690</v>
      </c>
      <c r="K90" s="11">
        <f t="shared" si="4"/>
        <v>0</v>
      </c>
      <c r="L90" t="str">
        <f t="shared" si="5"/>
        <v>Positive</v>
      </c>
      <c r="M90" t="str">
        <f t="shared" si="6"/>
        <v>Positive</v>
      </c>
      <c r="N90" t="str">
        <f t="shared" si="7"/>
        <v/>
      </c>
    </row>
    <row r="91" spans="1:14" x14ac:dyDescent="0.25">
      <c r="A91" s="5" t="str">
        <v>MO15720</v>
      </c>
      <c r="B91" s="5" t="str">
        <f>_xlfn.IFNA(VLOOKUP(A91, MOs_Ready_to_close[[Order]:[Tot Est Machine Hrs]], 2, FALSE), "")</f>
        <v>Item1163</v>
      </c>
      <c r="C91" s="5" t="str">
        <f>_xlfn.IFNA(VLOOKUP(A91, MOs_Ready_to_close[[Order]:[Tot Est Machine Hrs]], 4, FALSE), "")</f>
        <v>DeptA</v>
      </c>
      <c r="D91" s="6">
        <f>_xlfn.IFNA(VLOOKUP(A91, MOs_Ready_to_close[[Order]:[Tot Est Machine Hrs]], 8, FALSE), "")</f>
        <v>45784</v>
      </c>
      <c r="E91" s="7">
        <f>_xlfn.IFNA(VLOOKUP(A91, MOs_Ready_to_close[[Order]:[Tot Est Machine Hrs]], 9, FALSE), "")</f>
        <v>50</v>
      </c>
      <c r="F91" s="10">
        <f>SUMIF(MO_Operations[ORDER], Calculations!A91, MO_Operations[Standard Labor Hrs] )</f>
        <v>2.4999999999999996</v>
      </c>
      <c r="G91" s="10">
        <f>SUMIF(MO_Operations[ORDER], Calculations!A91, MO_Operations[Total Act Labor Hrs] )</f>
        <v>4.7</v>
      </c>
      <c r="H91" s="10">
        <f>-SUMIF(MO_Operations[ORDER], Calculations!A91, MO_Operations[Total Cost Variance] )</f>
        <v>110</v>
      </c>
      <c r="I91" s="11">
        <f>SUMIF(MO_Components[Order], Calculations!A91, MO_Components[Std Cost])</f>
        <v>1185</v>
      </c>
      <c r="J91" s="11">
        <f>SUMIF(MO_Components[Order], Calculations!A91, MO_Components[Act Cost])</f>
        <v>1185</v>
      </c>
      <c r="K91" s="11">
        <f t="shared" si="4"/>
        <v>0</v>
      </c>
      <c r="L91" t="str">
        <f t="shared" si="5"/>
        <v>Positive</v>
      </c>
      <c r="M91" t="str">
        <f t="shared" si="6"/>
        <v>Positive</v>
      </c>
      <c r="N91" t="str">
        <f t="shared" si="7"/>
        <v/>
      </c>
    </row>
    <row r="92" spans="1:14" x14ac:dyDescent="0.25">
      <c r="A92" s="5" t="str">
        <v>MO15760</v>
      </c>
      <c r="B92" s="5" t="str">
        <f>_xlfn.IFNA(VLOOKUP(A92, MOs_Ready_to_close[[Order]:[Tot Est Machine Hrs]], 2, FALSE), "")</f>
        <v>Item882</v>
      </c>
      <c r="C92" s="5" t="str">
        <f>_xlfn.IFNA(VLOOKUP(A92, MOs_Ready_to_close[[Order]:[Tot Est Machine Hrs]], 4, FALSE), "")</f>
        <v>DeptE</v>
      </c>
      <c r="D92" s="6">
        <f>_xlfn.IFNA(VLOOKUP(A92, MOs_Ready_to_close[[Order]:[Tot Est Machine Hrs]], 8, FALSE), "")</f>
        <v>45782</v>
      </c>
      <c r="E92" s="7">
        <f>_xlfn.IFNA(VLOOKUP(A92, MOs_Ready_to_close[[Order]:[Tot Est Machine Hrs]], 9, FALSE), "")</f>
        <v>25</v>
      </c>
      <c r="F92" s="10">
        <f>SUMIF(MO_Operations[ORDER], Calculations!A92, MO_Operations[Standard Labor Hrs] )</f>
        <v>0.7</v>
      </c>
      <c r="G92" s="10">
        <f>SUMIF(MO_Operations[ORDER], Calculations!A92, MO_Operations[Total Act Labor Hrs] )</f>
        <v>0.89999999999999991</v>
      </c>
      <c r="H92" s="10">
        <f>-SUMIF(MO_Operations[ORDER], Calculations!A92, MO_Operations[Total Cost Variance] )</f>
        <v>-10</v>
      </c>
      <c r="I92" s="11">
        <f>SUMIF(MO_Components[Order], Calculations!A92, MO_Components[Std Cost])</f>
        <v>838</v>
      </c>
      <c r="J92" s="11">
        <f>SUMIF(MO_Components[Order], Calculations!A92, MO_Components[Act Cost])</f>
        <v>838</v>
      </c>
      <c r="K92" s="11">
        <f t="shared" si="4"/>
        <v>0</v>
      </c>
      <c r="L92" t="str">
        <f t="shared" si="5"/>
        <v>Positive</v>
      </c>
      <c r="M92" t="str">
        <f t="shared" si="6"/>
        <v>Negative</v>
      </c>
      <c r="N92" t="str">
        <f t="shared" si="7"/>
        <v/>
      </c>
    </row>
    <row r="93" spans="1:14" x14ac:dyDescent="0.25">
      <c r="A93" s="5" t="str">
        <v>MO15770</v>
      </c>
      <c r="B93" s="5" t="str">
        <f>_xlfn.IFNA(VLOOKUP(A93, MOs_Ready_to_close[[Order]:[Tot Est Machine Hrs]], 2, FALSE), "")</f>
        <v>Item1164</v>
      </c>
      <c r="C93" s="5" t="str">
        <f>_xlfn.IFNA(VLOOKUP(A93, MOs_Ready_to_close[[Order]:[Tot Est Machine Hrs]], 4, FALSE), "")</f>
        <v>DeptA</v>
      </c>
      <c r="D93" s="6">
        <f>_xlfn.IFNA(VLOOKUP(A93, MOs_Ready_to_close[[Order]:[Tot Est Machine Hrs]], 8, FALSE), "")</f>
        <v>45784</v>
      </c>
      <c r="E93" s="7">
        <f>_xlfn.IFNA(VLOOKUP(A93, MOs_Ready_to_close[[Order]:[Tot Est Machine Hrs]], 9, FALSE), "")</f>
        <v>-155</v>
      </c>
      <c r="F93" s="10">
        <f>SUMIF(MO_Operations[ORDER], Calculations!A93, MO_Operations[Standard Labor Hrs] )</f>
        <v>1.9000000000000001</v>
      </c>
      <c r="G93" s="10">
        <f>SUMIF(MO_Operations[ORDER], Calculations!A93, MO_Operations[Total Act Labor Hrs] )</f>
        <v>2.9</v>
      </c>
      <c r="H93" s="10">
        <f>-SUMIF(MO_Operations[ORDER], Calculations!A93, MO_Operations[Total Cost Variance] )</f>
        <v>40</v>
      </c>
      <c r="I93" s="11">
        <f>SUMIF(MO_Components[Order], Calculations!A93, MO_Components[Std Cost])</f>
        <v>831</v>
      </c>
      <c r="J93" s="11">
        <f>SUMIF(MO_Components[Order], Calculations!A93, MO_Components[Act Cost])</f>
        <v>831</v>
      </c>
      <c r="K93" s="11">
        <f t="shared" si="4"/>
        <v>0</v>
      </c>
      <c r="L93" t="str">
        <f t="shared" si="5"/>
        <v>Negative</v>
      </c>
      <c r="M93" t="str">
        <f t="shared" si="6"/>
        <v>Positive</v>
      </c>
      <c r="N93" t="str">
        <f t="shared" si="7"/>
        <v/>
      </c>
    </row>
    <row r="94" spans="1:14" x14ac:dyDescent="0.25">
      <c r="A94" s="5" t="str">
        <v>MO15780</v>
      </c>
      <c r="B94" s="5" t="str">
        <f>_xlfn.IFNA(VLOOKUP(A94, MOs_Ready_to_close[[Order]:[Tot Est Machine Hrs]], 2, FALSE), "")</f>
        <v>Item1165</v>
      </c>
      <c r="C94" s="5" t="str">
        <f>_xlfn.IFNA(VLOOKUP(A94, MOs_Ready_to_close[[Order]:[Tot Est Machine Hrs]], 4, FALSE), "")</f>
        <v>DeptA</v>
      </c>
      <c r="D94" s="6">
        <f>_xlfn.IFNA(VLOOKUP(A94, MOs_Ready_to_close[[Order]:[Tot Est Machine Hrs]], 8, FALSE), "")</f>
        <v>45784</v>
      </c>
      <c r="E94" s="7">
        <f>_xlfn.IFNA(VLOOKUP(A94, MOs_Ready_to_close[[Order]:[Tot Est Machine Hrs]], 9, FALSE), "")</f>
        <v>-25</v>
      </c>
      <c r="F94" s="10">
        <f>SUMIF(MO_Operations[ORDER], Calculations!A94, MO_Operations[Standard Labor Hrs] )</f>
        <v>14.100000000000001</v>
      </c>
      <c r="G94" s="10">
        <f>SUMIF(MO_Operations[ORDER], Calculations!A94, MO_Operations[Total Act Labor Hrs] )</f>
        <v>14.1</v>
      </c>
      <c r="H94" s="10">
        <f>-SUMIF(MO_Operations[ORDER], Calculations!A94, MO_Operations[Total Cost Variance] )</f>
        <v>-5</v>
      </c>
      <c r="I94" s="11">
        <f>SUMIF(MO_Components[Order], Calculations!A94, MO_Components[Std Cost])</f>
        <v>4201</v>
      </c>
      <c r="J94" s="11">
        <f>SUMIF(MO_Components[Order], Calculations!A94, MO_Components[Act Cost])</f>
        <v>4201</v>
      </c>
      <c r="K94" s="11">
        <f t="shared" si="4"/>
        <v>0</v>
      </c>
      <c r="L94" t="str">
        <f t="shared" si="5"/>
        <v>Negative</v>
      </c>
      <c r="M94" t="str">
        <f t="shared" si="6"/>
        <v>Negative</v>
      </c>
      <c r="N94" t="str">
        <f t="shared" si="7"/>
        <v/>
      </c>
    </row>
    <row r="95" spans="1:14" x14ac:dyDescent="0.25">
      <c r="A95" s="5" t="str">
        <v>MO15790</v>
      </c>
      <c r="B95" s="5" t="str">
        <f>_xlfn.IFNA(VLOOKUP(A95, MOs_Ready_to_close[[Order]:[Tot Est Machine Hrs]], 2, FALSE), "")</f>
        <v>Item1166</v>
      </c>
      <c r="C95" s="5" t="str">
        <f>_xlfn.IFNA(VLOOKUP(A95, MOs_Ready_to_close[[Order]:[Tot Est Machine Hrs]], 4, FALSE), "")</f>
        <v>DeptA</v>
      </c>
      <c r="D95" s="6">
        <f>_xlfn.IFNA(VLOOKUP(A95, MOs_Ready_to_close[[Order]:[Tot Est Machine Hrs]], 8, FALSE), "")</f>
        <v>45784</v>
      </c>
      <c r="E95" s="7">
        <f>_xlfn.IFNA(VLOOKUP(A95, MOs_Ready_to_close[[Order]:[Tot Est Machine Hrs]], 9, FALSE), "")</f>
        <v>195</v>
      </c>
      <c r="F95" s="10">
        <f>SUMIF(MO_Operations[ORDER], Calculations!A95, MO_Operations[Standard Labor Hrs] )</f>
        <v>1.6</v>
      </c>
      <c r="G95" s="10">
        <f>SUMIF(MO_Operations[ORDER], Calculations!A95, MO_Operations[Total Act Labor Hrs] )</f>
        <v>2.6</v>
      </c>
      <c r="H95" s="10">
        <f>-SUMIF(MO_Operations[ORDER], Calculations!A95, MO_Operations[Total Cost Variance] )</f>
        <v>45</v>
      </c>
      <c r="I95" s="11">
        <f>SUMIF(MO_Components[Order], Calculations!A95, MO_Components[Std Cost])</f>
        <v>677</v>
      </c>
      <c r="J95" s="11">
        <f>SUMIF(MO_Components[Order], Calculations!A95, MO_Components[Act Cost])</f>
        <v>677</v>
      </c>
      <c r="K95" s="11">
        <f t="shared" si="4"/>
        <v>0</v>
      </c>
      <c r="L95" t="str">
        <f t="shared" si="5"/>
        <v>Positive</v>
      </c>
      <c r="M95" t="str">
        <f t="shared" si="6"/>
        <v>Positive</v>
      </c>
      <c r="N95" t="str">
        <f t="shared" si="7"/>
        <v/>
      </c>
    </row>
    <row r="96" spans="1:14" x14ac:dyDescent="0.25">
      <c r="A96" s="5" t="str">
        <v>MO15800</v>
      </c>
      <c r="B96" s="5" t="str">
        <f>_xlfn.IFNA(VLOOKUP(A96, MOs_Ready_to_close[[Order]:[Tot Est Machine Hrs]], 2, FALSE), "")</f>
        <v>Item1167</v>
      </c>
      <c r="C96" s="5" t="str">
        <f>_xlfn.IFNA(VLOOKUP(A96, MOs_Ready_to_close[[Order]:[Tot Est Machine Hrs]], 4, FALSE), "")</f>
        <v>DeptA</v>
      </c>
      <c r="D96" s="6">
        <f>_xlfn.IFNA(VLOOKUP(A96, MOs_Ready_to_close[[Order]:[Tot Est Machine Hrs]], 8, FALSE), "")</f>
        <v>45784</v>
      </c>
      <c r="E96" s="7">
        <f>_xlfn.IFNA(VLOOKUP(A96, MOs_Ready_to_close[[Order]:[Tot Est Machine Hrs]], 9, FALSE), "")</f>
        <v>95</v>
      </c>
      <c r="F96" s="10">
        <f>SUMIF(MO_Operations[ORDER], Calculations!A96, MO_Operations[Standard Labor Hrs] )</f>
        <v>7.6</v>
      </c>
      <c r="G96" s="10">
        <f>SUMIF(MO_Operations[ORDER], Calculations!A96, MO_Operations[Total Act Labor Hrs] )</f>
        <v>7.4999999999999991</v>
      </c>
      <c r="H96" s="10">
        <f>-SUMIF(MO_Operations[ORDER], Calculations!A96, MO_Operations[Total Cost Variance] )</f>
        <v>-15</v>
      </c>
      <c r="I96" s="11">
        <f>SUMIF(MO_Components[Order], Calculations!A96, MO_Components[Std Cost])</f>
        <v>2157</v>
      </c>
      <c r="J96" s="11">
        <f>SUMIF(MO_Components[Order], Calculations!A96, MO_Components[Act Cost])</f>
        <v>2157</v>
      </c>
      <c r="K96" s="11">
        <f t="shared" si="4"/>
        <v>0</v>
      </c>
      <c r="L96" t="str">
        <f t="shared" si="5"/>
        <v>Positive</v>
      </c>
      <c r="M96" t="str">
        <f t="shared" si="6"/>
        <v>Negative</v>
      </c>
      <c r="N96" t="str">
        <f t="shared" si="7"/>
        <v/>
      </c>
    </row>
    <row r="97" spans="1:14" x14ac:dyDescent="0.25">
      <c r="A97" s="5" t="str">
        <v>MO15840</v>
      </c>
      <c r="B97" s="5" t="str">
        <f>_xlfn.IFNA(VLOOKUP(A97, MOs_Ready_to_close[[Order]:[Tot Est Machine Hrs]], 2, FALSE), "")</f>
        <v>Item1165</v>
      </c>
      <c r="C97" s="5" t="str">
        <f>_xlfn.IFNA(VLOOKUP(A97, MOs_Ready_to_close[[Order]:[Tot Est Machine Hrs]], 4, FALSE), "")</f>
        <v>DeptA</v>
      </c>
      <c r="D97" s="6">
        <f>_xlfn.IFNA(VLOOKUP(A97, MOs_Ready_to_close[[Order]:[Tot Est Machine Hrs]], 8, FALSE), "")</f>
        <v>45784</v>
      </c>
      <c r="E97" s="7">
        <f>_xlfn.IFNA(VLOOKUP(A97, MOs_Ready_to_close[[Order]:[Tot Est Machine Hrs]], 9, FALSE), "")</f>
        <v>825</v>
      </c>
      <c r="F97" s="10">
        <f>SUMIF(MO_Operations[ORDER], Calculations!A97, MO_Operations[Standard Labor Hrs] )</f>
        <v>14.100000000000001</v>
      </c>
      <c r="G97" s="10">
        <f>SUMIF(MO_Operations[ORDER], Calculations!A97, MO_Operations[Total Act Labor Hrs] )</f>
        <v>29.2</v>
      </c>
      <c r="H97" s="10">
        <f>-SUMIF(MO_Operations[ORDER], Calculations!A97, MO_Operations[Total Cost Variance] )</f>
        <v>730</v>
      </c>
      <c r="I97" s="11">
        <f>SUMIF(MO_Components[Order], Calculations!A97, MO_Components[Std Cost])</f>
        <v>4317</v>
      </c>
      <c r="J97" s="11">
        <f>SUMIF(MO_Components[Order], Calculations!A97, MO_Components[Act Cost])</f>
        <v>4317</v>
      </c>
      <c r="K97" s="11">
        <f t="shared" si="4"/>
        <v>0</v>
      </c>
      <c r="L97" t="str">
        <f t="shared" si="5"/>
        <v>Positive</v>
      </c>
      <c r="M97" t="str">
        <f t="shared" si="6"/>
        <v>Positive</v>
      </c>
      <c r="N97" t="str">
        <f t="shared" si="7"/>
        <v/>
      </c>
    </row>
    <row r="98" spans="1:14" x14ac:dyDescent="0.25">
      <c r="A98" s="5" t="str">
        <v>MO15850</v>
      </c>
      <c r="B98" s="5" t="str">
        <f>_xlfn.IFNA(VLOOKUP(A98, MOs_Ready_to_close[[Order]:[Tot Est Machine Hrs]], 2, FALSE), "")</f>
        <v>Item1166</v>
      </c>
      <c r="C98" s="5" t="str">
        <f>_xlfn.IFNA(VLOOKUP(A98, MOs_Ready_to_close[[Order]:[Tot Est Machine Hrs]], 4, FALSE), "")</f>
        <v>DeptA</v>
      </c>
      <c r="D98" s="6">
        <f>_xlfn.IFNA(VLOOKUP(A98, MOs_Ready_to_close[[Order]:[Tot Est Machine Hrs]], 8, FALSE), "")</f>
        <v>45784</v>
      </c>
      <c r="E98" s="7">
        <f>_xlfn.IFNA(VLOOKUP(A98, MOs_Ready_to_close[[Order]:[Tot Est Machine Hrs]], 9, FALSE), "")</f>
        <v>15</v>
      </c>
      <c r="F98" s="10">
        <f>SUMIF(MO_Operations[ORDER], Calculations!A98, MO_Operations[Standard Labor Hrs] )</f>
        <v>1.6</v>
      </c>
      <c r="G98" s="10">
        <f>SUMIF(MO_Operations[ORDER], Calculations!A98, MO_Operations[Total Act Labor Hrs] )</f>
        <v>1</v>
      </c>
      <c r="H98" s="10">
        <f>-SUMIF(MO_Operations[ORDER], Calculations!A98, MO_Operations[Total Cost Variance] )</f>
        <v>-35</v>
      </c>
      <c r="I98" s="11">
        <f>SUMIF(MO_Components[Order], Calculations!A98, MO_Components[Std Cost])</f>
        <v>577</v>
      </c>
      <c r="J98" s="11">
        <f>SUMIF(MO_Components[Order], Calculations!A98, MO_Components[Act Cost])</f>
        <v>577</v>
      </c>
      <c r="K98" s="11">
        <f t="shared" si="4"/>
        <v>0</v>
      </c>
      <c r="L98" t="str">
        <f t="shared" si="5"/>
        <v>Positive</v>
      </c>
      <c r="M98" t="str">
        <f t="shared" si="6"/>
        <v>Negative</v>
      </c>
      <c r="N98" t="str">
        <f t="shared" si="7"/>
        <v/>
      </c>
    </row>
    <row r="99" spans="1:14" x14ac:dyDescent="0.25">
      <c r="A99" s="5" t="str">
        <v>MO15950</v>
      </c>
      <c r="B99" s="5" t="str">
        <f>_xlfn.IFNA(VLOOKUP(A99, MOs_Ready_to_close[[Order]:[Tot Est Machine Hrs]], 2, FALSE), "")</f>
        <v>Item1168</v>
      </c>
      <c r="C99" s="5" t="str">
        <f>_xlfn.IFNA(VLOOKUP(A99, MOs_Ready_to_close[[Order]:[Tot Est Machine Hrs]], 4, FALSE), "")</f>
        <v>DeptA</v>
      </c>
      <c r="D99" s="6">
        <f>_xlfn.IFNA(VLOOKUP(A99, MOs_Ready_to_close[[Order]:[Tot Est Machine Hrs]], 8, FALSE), "")</f>
        <v>45784</v>
      </c>
      <c r="E99" s="7">
        <f>_xlfn.IFNA(VLOOKUP(A99, MOs_Ready_to_close[[Order]:[Tot Est Machine Hrs]], 9, FALSE), "")</f>
        <v>-95</v>
      </c>
      <c r="F99" s="10">
        <f>SUMIF(MO_Operations[ORDER], Calculations!A99, MO_Operations[Standard Labor Hrs] )</f>
        <v>6.7</v>
      </c>
      <c r="G99" s="10">
        <f>SUMIF(MO_Operations[ORDER], Calculations!A99, MO_Operations[Total Act Labor Hrs] )</f>
        <v>3.3</v>
      </c>
      <c r="H99" s="10">
        <f>-SUMIF(MO_Operations[ORDER], Calculations!A99, MO_Operations[Total Cost Variance] )</f>
        <v>-175</v>
      </c>
      <c r="I99" s="11">
        <f>SUMIF(MO_Components[Order], Calculations!A99, MO_Components[Std Cost])</f>
        <v>1235</v>
      </c>
      <c r="J99" s="11">
        <f>SUMIF(MO_Components[Order], Calculations!A99, MO_Components[Act Cost])</f>
        <v>1235</v>
      </c>
      <c r="K99" s="11">
        <f t="shared" si="4"/>
        <v>0</v>
      </c>
      <c r="L99" t="str">
        <f t="shared" si="5"/>
        <v>Negative</v>
      </c>
      <c r="M99" t="str">
        <f t="shared" si="6"/>
        <v>Negative</v>
      </c>
      <c r="N99" t="str">
        <f t="shared" si="7"/>
        <v/>
      </c>
    </row>
    <row r="100" spans="1:14" x14ac:dyDescent="0.25">
      <c r="A100" s="5" t="str">
        <v>MO16010</v>
      </c>
      <c r="B100" s="5" t="str">
        <f>_xlfn.IFNA(VLOOKUP(A100, MOs_Ready_to_close[[Order]:[Tot Est Machine Hrs]], 2, FALSE), "")</f>
        <v>Item1169</v>
      </c>
      <c r="C100" s="5" t="str">
        <f>_xlfn.IFNA(VLOOKUP(A100, MOs_Ready_to_close[[Order]:[Tot Est Machine Hrs]], 4, FALSE), "")</f>
        <v>DeptA</v>
      </c>
      <c r="D100" s="6">
        <f>_xlfn.IFNA(VLOOKUP(A100, MOs_Ready_to_close[[Order]:[Tot Est Machine Hrs]], 8, FALSE), "")</f>
        <v>45784</v>
      </c>
      <c r="E100" s="7">
        <f>_xlfn.IFNA(VLOOKUP(A100, MOs_Ready_to_close[[Order]:[Tot Est Machine Hrs]], 9, FALSE), "")</f>
        <v>125</v>
      </c>
      <c r="F100" s="10">
        <f>SUMIF(MO_Operations[ORDER], Calculations!A100, MO_Operations[Standard Labor Hrs] )</f>
        <v>1.6</v>
      </c>
      <c r="G100" s="10">
        <f>SUMIF(MO_Operations[ORDER], Calculations!A100, MO_Operations[Total Act Labor Hrs] )</f>
        <v>2.6999999999999997</v>
      </c>
      <c r="H100" s="10">
        <f>-SUMIF(MO_Operations[ORDER], Calculations!A100, MO_Operations[Total Cost Variance] )</f>
        <v>45</v>
      </c>
      <c r="I100" s="11">
        <f>SUMIF(MO_Components[Order], Calculations!A100, MO_Components[Std Cost])</f>
        <v>235</v>
      </c>
      <c r="J100" s="11">
        <f>SUMIF(MO_Components[Order], Calculations!A100, MO_Components[Act Cost])</f>
        <v>235</v>
      </c>
      <c r="K100" s="11">
        <f t="shared" si="4"/>
        <v>0</v>
      </c>
      <c r="L100" t="str">
        <f t="shared" si="5"/>
        <v>Positive</v>
      </c>
      <c r="M100" t="str">
        <f t="shared" si="6"/>
        <v>Positive</v>
      </c>
      <c r="N100" t="str">
        <f t="shared" si="7"/>
        <v/>
      </c>
    </row>
    <row r="101" spans="1:14" x14ac:dyDescent="0.25">
      <c r="A101" s="5" t="str">
        <v>MO10470</v>
      </c>
      <c r="B101" s="5" t="str">
        <f>_xlfn.IFNA(VLOOKUP(A101, MOs_Ready_to_close[[Order]:[Tot Est Machine Hrs]], 2, FALSE), "")</f>
        <v>Item115</v>
      </c>
      <c r="C101" s="5" t="str">
        <f>_xlfn.IFNA(VLOOKUP(A101, MOs_Ready_to_close[[Order]:[Tot Est Machine Hrs]], 4, FALSE), "")</f>
        <v>DeptA</v>
      </c>
      <c r="D101" s="6">
        <f>_xlfn.IFNA(VLOOKUP(A101, MOs_Ready_to_close[[Order]:[Tot Est Machine Hrs]], 8, FALSE), "")</f>
        <v>45784</v>
      </c>
      <c r="E101" s="7">
        <f>_xlfn.IFNA(VLOOKUP(A101, MOs_Ready_to_close[[Order]:[Tot Est Machine Hrs]], 9, FALSE), "")</f>
        <v>30</v>
      </c>
      <c r="F101" s="10">
        <f>SUMIF(MO_Operations[ORDER], Calculations!A101, MO_Operations[Standard Labor Hrs] )</f>
        <v>0</v>
      </c>
      <c r="G101" s="10">
        <f>SUMIF(MO_Operations[ORDER], Calculations!A101, MO_Operations[Total Act Labor Hrs] )</f>
        <v>0.2</v>
      </c>
      <c r="H101" s="10">
        <f>-SUMIF(MO_Operations[ORDER], Calculations!A101, MO_Operations[Total Cost Variance] )</f>
        <v>10</v>
      </c>
      <c r="I101" s="11">
        <f>SUMIF(MO_Components[Order], Calculations!A101, MO_Components[Std Cost])</f>
        <v>110</v>
      </c>
      <c r="J101" s="11">
        <f>SUMIF(MO_Components[Order], Calculations!A101, MO_Components[Act Cost])</f>
        <v>110</v>
      </c>
      <c r="K101" s="11">
        <f t="shared" si="4"/>
        <v>0</v>
      </c>
      <c r="L101" t="str">
        <f t="shared" si="5"/>
        <v>Positive</v>
      </c>
      <c r="M101" t="str">
        <f t="shared" si="6"/>
        <v>Positive</v>
      </c>
      <c r="N101" t="str">
        <f t="shared" si="7"/>
        <v/>
      </c>
    </row>
    <row r="102" spans="1:14" x14ac:dyDescent="0.25">
      <c r="A102" s="5" t="str">
        <v>MO16040</v>
      </c>
      <c r="B102" s="5" t="str">
        <f>_xlfn.IFNA(VLOOKUP(A102, MOs_Ready_to_close[[Order]:[Tot Est Machine Hrs]], 2, FALSE), "")</f>
        <v>Item1170</v>
      </c>
      <c r="C102" s="5" t="str">
        <f>_xlfn.IFNA(VLOOKUP(A102, MOs_Ready_to_close[[Order]:[Tot Est Machine Hrs]], 4, FALSE), "")</f>
        <v>DeptA</v>
      </c>
      <c r="D102" s="6">
        <f>_xlfn.IFNA(VLOOKUP(A102, MOs_Ready_to_close[[Order]:[Tot Est Machine Hrs]], 8, FALSE), "")</f>
        <v>45789</v>
      </c>
      <c r="E102" s="7">
        <f>_xlfn.IFNA(VLOOKUP(A102, MOs_Ready_to_close[[Order]:[Tot Est Machine Hrs]], 9, FALSE), "")</f>
        <v>240</v>
      </c>
      <c r="F102" s="10">
        <f>SUMIF(MO_Operations[ORDER], Calculations!A102, MO_Operations[Standard Labor Hrs] )</f>
        <v>3.7</v>
      </c>
      <c r="G102" s="10">
        <f>SUMIF(MO_Operations[ORDER], Calculations!A102, MO_Operations[Total Act Labor Hrs] )</f>
        <v>1</v>
      </c>
      <c r="H102" s="10">
        <f>-SUMIF(MO_Operations[ORDER], Calculations!A102, MO_Operations[Total Cost Variance] )</f>
        <v>-140</v>
      </c>
      <c r="I102" s="11">
        <f>SUMIF(MO_Components[Order], Calculations!A102, MO_Components[Std Cost])</f>
        <v>118</v>
      </c>
      <c r="J102" s="11">
        <f>SUMIF(MO_Components[Order], Calculations!A102, MO_Components[Act Cost])</f>
        <v>173</v>
      </c>
      <c r="K102" s="11">
        <f t="shared" si="4"/>
        <v>55</v>
      </c>
      <c r="L102" t="str">
        <f t="shared" si="5"/>
        <v>Positive</v>
      </c>
      <c r="M102" t="str">
        <f t="shared" si="6"/>
        <v>Negative</v>
      </c>
      <c r="N102" t="str">
        <f t="shared" si="7"/>
        <v>Positive</v>
      </c>
    </row>
    <row r="103" spans="1:14" x14ac:dyDescent="0.25">
      <c r="A103" s="5" t="str">
        <v>MO16050</v>
      </c>
      <c r="B103" s="5" t="str">
        <f>_xlfn.IFNA(VLOOKUP(A103, MOs_Ready_to_close[[Order]:[Tot Est Machine Hrs]], 2, FALSE), "")</f>
        <v>Item1171</v>
      </c>
      <c r="C103" s="5" t="str">
        <f>_xlfn.IFNA(VLOOKUP(A103, MOs_Ready_to_close[[Order]:[Tot Est Machine Hrs]], 4, FALSE), "")</f>
        <v>DeptA</v>
      </c>
      <c r="D103" s="6">
        <f>_xlfn.IFNA(VLOOKUP(A103, MOs_Ready_to_close[[Order]:[Tot Est Machine Hrs]], 8, FALSE), "")</f>
        <v>45784</v>
      </c>
      <c r="E103" s="7">
        <f>_xlfn.IFNA(VLOOKUP(A103, MOs_Ready_to_close[[Order]:[Tot Est Machine Hrs]], 9, FALSE), "")</f>
        <v>20</v>
      </c>
      <c r="F103" s="10">
        <f>SUMIF(MO_Operations[ORDER], Calculations!A103, MO_Operations[Standard Labor Hrs] )</f>
        <v>3.9</v>
      </c>
      <c r="G103" s="10">
        <f>SUMIF(MO_Operations[ORDER], Calculations!A103, MO_Operations[Total Act Labor Hrs] )</f>
        <v>0.3</v>
      </c>
      <c r="H103" s="10">
        <f>-SUMIF(MO_Operations[ORDER], Calculations!A103, MO_Operations[Total Cost Variance] )</f>
        <v>-185</v>
      </c>
      <c r="I103" s="11">
        <f>SUMIF(MO_Components[Order], Calculations!A103, MO_Components[Std Cost])</f>
        <v>112</v>
      </c>
      <c r="J103" s="11">
        <f>SUMIF(MO_Components[Order], Calculations!A103, MO_Components[Act Cost])</f>
        <v>112</v>
      </c>
      <c r="K103" s="11">
        <f t="shared" si="4"/>
        <v>0</v>
      </c>
      <c r="L103" t="str">
        <f t="shared" si="5"/>
        <v>Positive</v>
      </c>
      <c r="M103" t="str">
        <f t="shared" si="6"/>
        <v>Negative</v>
      </c>
      <c r="N103" t="str">
        <f t="shared" si="7"/>
        <v/>
      </c>
    </row>
    <row r="104" spans="1:14" x14ac:dyDescent="0.25">
      <c r="A104" s="5" t="str">
        <v>MO16070</v>
      </c>
      <c r="B104" s="5" t="str">
        <f>_xlfn.IFNA(VLOOKUP(A104, MOs_Ready_to_close[[Order]:[Tot Est Machine Hrs]], 2, FALSE), "")</f>
        <v>Item1145</v>
      </c>
      <c r="C104" s="5" t="str">
        <f>_xlfn.IFNA(VLOOKUP(A104, MOs_Ready_to_close[[Order]:[Tot Est Machine Hrs]], 4, FALSE), "")</f>
        <v>DeptA</v>
      </c>
      <c r="D104" s="6">
        <f>_xlfn.IFNA(VLOOKUP(A104, MOs_Ready_to_close[[Order]:[Tot Est Machine Hrs]], 8, FALSE), "")</f>
        <v>45784</v>
      </c>
      <c r="E104" s="7">
        <f>_xlfn.IFNA(VLOOKUP(A104, MOs_Ready_to_close[[Order]:[Tot Est Machine Hrs]], 9, FALSE), "")</f>
        <v>-960</v>
      </c>
      <c r="F104" s="10">
        <f>SUMIF(MO_Operations[ORDER], Calculations!A104, MO_Operations[Standard Labor Hrs] )</f>
        <v>20.8</v>
      </c>
      <c r="G104" s="10">
        <f>SUMIF(MO_Operations[ORDER], Calculations!A104, MO_Operations[Total Act Labor Hrs] )</f>
        <v>7.5</v>
      </c>
      <c r="H104" s="10">
        <f>-SUMIF(MO_Operations[ORDER], Calculations!A104, MO_Operations[Total Cost Variance] )</f>
        <v>-650</v>
      </c>
      <c r="I104" s="11">
        <f>SUMIF(MO_Components[Order], Calculations!A104, MO_Components[Std Cost])</f>
        <v>3210</v>
      </c>
      <c r="J104" s="11">
        <f>SUMIF(MO_Components[Order], Calculations!A104, MO_Components[Act Cost])</f>
        <v>3210</v>
      </c>
      <c r="K104" s="11">
        <f t="shared" si="4"/>
        <v>0</v>
      </c>
      <c r="L104" t="str">
        <f t="shared" si="5"/>
        <v>Negative</v>
      </c>
      <c r="M104" t="str">
        <f t="shared" si="6"/>
        <v>Negative</v>
      </c>
      <c r="N104" t="str">
        <f t="shared" si="7"/>
        <v/>
      </c>
    </row>
    <row r="105" spans="1:14" x14ac:dyDescent="0.25">
      <c r="A105" s="5" t="str">
        <v>MO10560</v>
      </c>
      <c r="B105" s="5" t="str">
        <f>_xlfn.IFNA(VLOOKUP(A105, MOs_Ready_to_close[[Order]:[Tot Est Machine Hrs]], 2, FALSE), "")</f>
        <v>Item124</v>
      </c>
      <c r="C105" s="5" t="str">
        <f>_xlfn.IFNA(VLOOKUP(A105, MOs_Ready_to_close[[Order]:[Tot Est Machine Hrs]], 4, FALSE), "")</f>
        <v>DeptA</v>
      </c>
      <c r="D105" s="6">
        <f>_xlfn.IFNA(VLOOKUP(A105, MOs_Ready_to_close[[Order]:[Tot Est Machine Hrs]], 8, FALSE), "")</f>
        <v>45785</v>
      </c>
      <c r="E105" s="7">
        <f>_xlfn.IFNA(VLOOKUP(A105, MOs_Ready_to_close[[Order]:[Tot Est Machine Hrs]], 9, FALSE), "")</f>
        <v>150</v>
      </c>
      <c r="F105" s="10">
        <f>SUMIF(MO_Operations[ORDER], Calculations!A105, MO_Operations[Standard Labor Hrs] )</f>
        <v>0</v>
      </c>
      <c r="G105" s="10">
        <f>SUMIF(MO_Operations[ORDER], Calculations!A105, MO_Operations[Total Act Labor Hrs] )</f>
        <v>1.4</v>
      </c>
      <c r="H105" s="10">
        <f>-SUMIF(MO_Operations[ORDER], Calculations!A105, MO_Operations[Total Cost Variance] )</f>
        <v>60</v>
      </c>
      <c r="I105" s="11">
        <f>SUMIF(MO_Components[Order], Calculations!A105, MO_Components[Std Cost])</f>
        <v>276</v>
      </c>
      <c r="J105" s="11">
        <f>SUMIF(MO_Components[Order], Calculations!A105, MO_Components[Act Cost])</f>
        <v>276</v>
      </c>
      <c r="K105" s="11">
        <f t="shared" si="4"/>
        <v>0</v>
      </c>
      <c r="L105" t="str">
        <f t="shared" si="5"/>
        <v>Positive</v>
      </c>
      <c r="M105" t="str">
        <f t="shared" si="6"/>
        <v>Positive</v>
      </c>
      <c r="N105" t="str">
        <f t="shared" si="7"/>
        <v/>
      </c>
    </row>
    <row r="106" spans="1:14" x14ac:dyDescent="0.25">
      <c r="A106" s="5" t="str">
        <v>MO16080</v>
      </c>
      <c r="B106" s="5" t="str">
        <f>_xlfn.IFNA(VLOOKUP(A106, MOs_Ready_to_close[[Order]:[Tot Est Machine Hrs]], 2, FALSE), "")</f>
        <v>Item124</v>
      </c>
      <c r="C106" s="5" t="str">
        <f>_xlfn.IFNA(VLOOKUP(A106, MOs_Ready_to_close[[Order]:[Tot Est Machine Hrs]], 4, FALSE), "")</f>
        <v>DeptA</v>
      </c>
      <c r="D106" s="6">
        <f>_xlfn.IFNA(VLOOKUP(A106, MOs_Ready_to_close[[Order]:[Tot Est Machine Hrs]], 8, FALSE), "")</f>
        <v>45784</v>
      </c>
      <c r="E106" s="7">
        <f>_xlfn.IFNA(VLOOKUP(A106, MOs_Ready_to_close[[Order]:[Tot Est Machine Hrs]], 9, FALSE), "")</f>
        <v>-990</v>
      </c>
      <c r="F106" s="10">
        <f>SUMIF(MO_Operations[ORDER], Calculations!A106, MO_Operations[Standard Labor Hrs] )</f>
        <v>35.599999999999994</v>
      </c>
      <c r="G106" s="10">
        <f>SUMIF(MO_Operations[ORDER], Calculations!A106, MO_Operations[Total Act Labor Hrs] )</f>
        <v>15.999999999999998</v>
      </c>
      <c r="H106" s="10">
        <f>-SUMIF(MO_Operations[ORDER], Calculations!A106, MO_Operations[Total Cost Variance] )</f>
        <v>-975</v>
      </c>
      <c r="I106" s="11">
        <f>SUMIF(MO_Components[Order], Calculations!A106, MO_Components[Std Cost])</f>
        <v>4116</v>
      </c>
      <c r="J106" s="11">
        <f>SUMIF(MO_Components[Order], Calculations!A106, MO_Components[Act Cost])</f>
        <v>4116</v>
      </c>
      <c r="K106" s="11">
        <f t="shared" si="4"/>
        <v>0</v>
      </c>
      <c r="L106" t="str">
        <f t="shared" si="5"/>
        <v>Negative</v>
      </c>
      <c r="M106" t="str">
        <f t="shared" si="6"/>
        <v>Negative</v>
      </c>
      <c r="N106" t="str">
        <f t="shared" si="7"/>
        <v/>
      </c>
    </row>
    <row r="107" spans="1:14" x14ac:dyDescent="0.25">
      <c r="A107" s="5" t="str">
        <v>MO16090</v>
      </c>
      <c r="B107" s="5" t="str">
        <f>_xlfn.IFNA(VLOOKUP(A107, MOs_Ready_to_close[[Order]:[Tot Est Machine Hrs]], 2, FALSE), "")</f>
        <v>Item1172</v>
      </c>
      <c r="C107" s="5" t="str">
        <f>_xlfn.IFNA(VLOOKUP(A107, MOs_Ready_to_close[[Order]:[Tot Est Machine Hrs]], 4, FALSE), "")</f>
        <v>DeptA</v>
      </c>
      <c r="D107" s="6">
        <f>_xlfn.IFNA(VLOOKUP(A107, MOs_Ready_to_close[[Order]:[Tot Est Machine Hrs]], 8, FALSE), "")</f>
        <v>45784</v>
      </c>
      <c r="E107" s="7">
        <f>_xlfn.IFNA(VLOOKUP(A107, MOs_Ready_to_close[[Order]:[Tot Est Machine Hrs]], 9, FALSE), "")</f>
        <v>-480</v>
      </c>
      <c r="F107" s="10">
        <f>SUMIF(MO_Operations[ORDER], Calculations!A107, MO_Operations[Standard Labor Hrs] )</f>
        <v>15.200000000000001</v>
      </c>
      <c r="G107" s="10">
        <f>SUMIF(MO_Operations[ORDER], Calculations!A107, MO_Operations[Total Act Labor Hrs] )</f>
        <v>9.2999999999999989</v>
      </c>
      <c r="H107" s="10">
        <f>-SUMIF(MO_Operations[ORDER], Calculations!A107, MO_Operations[Total Cost Variance] )</f>
        <v>-300</v>
      </c>
      <c r="I107" s="11">
        <f>SUMIF(MO_Components[Order], Calculations!A107, MO_Components[Std Cost])</f>
        <v>1552</v>
      </c>
      <c r="J107" s="11">
        <f>SUMIF(MO_Components[Order], Calculations!A107, MO_Components[Act Cost])</f>
        <v>1552</v>
      </c>
      <c r="K107" s="11">
        <f t="shared" si="4"/>
        <v>0</v>
      </c>
      <c r="L107" t="str">
        <f t="shared" si="5"/>
        <v>Negative</v>
      </c>
      <c r="M107" t="str">
        <f t="shared" si="6"/>
        <v>Negative</v>
      </c>
      <c r="N107" t="str">
        <f t="shared" si="7"/>
        <v/>
      </c>
    </row>
    <row r="108" spans="1:14" x14ac:dyDescent="0.25">
      <c r="A108" s="5" t="str">
        <v>MO16100</v>
      </c>
      <c r="B108" s="5" t="str">
        <f>_xlfn.IFNA(VLOOKUP(A108, MOs_Ready_to_close[[Order]:[Tot Est Machine Hrs]], 2, FALSE), "")</f>
        <v>Item1173</v>
      </c>
      <c r="C108" s="5" t="str">
        <f>_xlfn.IFNA(VLOOKUP(A108, MOs_Ready_to_close[[Order]:[Tot Est Machine Hrs]], 4, FALSE), "")</f>
        <v>DeptA</v>
      </c>
      <c r="D108" s="6">
        <f>_xlfn.IFNA(VLOOKUP(A108, MOs_Ready_to_close[[Order]:[Tot Est Machine Hrs]], 8, FALSE), "")</f>
        <v>45784</v>
      </c>
      <c r="E108" s="7">
        <f>_xlfn.IFNA(VLOOKUP(A108, MOs_Ready_to_close[[Order]:[Tot Est Machine Hrs]], 9, FALSE), "")</f>
        <v>-355</v>
      </c>
      <c r="F108" s="10">
        <f>SUMIF(MO_Operations[ORDER], Calculations!A108, MO_Operations[Standard Labor Hrs] )</f>
        <v>6.4</v>
      </c>
      <c r="G108" s="10">
        <f>SUMIF(MO_Operations[ORDER], Calculations!A108, MO_Operations[Total Act Labor Hrs] )</f>
        <v>3.5999999999999996</v>
      </c>
      <c r="H108" s="10">
        <f>-SUMIF(MO_Operations[ORDER], Calculations!A108, MO_Operations[Total Cost Variance] )</f>
        <v>-145</v>
      </c>
      <c r="I108" s="11">
        <f>SUMIF(MO_Components[Order], Calculations!A108, MO_Components[Std Cost])</f>
        <v>1930</v>
      </c>
      <c r="J108" s="11">
        <f>SUMIF(MO_Components[Order], Calculations!A108, MO_Components[Act Cost])</f>
        <v>1930</v>
      </c>
      <c r="K108" s="11">
        <f t="shared" si="4"/>
        <v>0</v>
      </c>
      <c r="L108" t="str">
        <f t="shared" si="5"/>
        <v>Negative</v>
      </c>
      <c r="M108" t="str">
        <f t="shared" si="6"/>
        <v>Negative</v>
      </c>
      <c r="N108" t="str">
        <f t="shared" si="7"/>
        <v/>
      </c>
    </row>
    <row r="109" spans="1:14" x14ac:dyDescent="0.25">
      <c r="A109" s="5" t="str">
        <v>MO16130</v>
      </c>
      <c r="B109" s="5" t="str">
        <f>_xlfn.IFNA(VLOOKUP(A109, MOs_Ready_to_close[[Order]:[Tot Est Machine Hrs]], 2, FALSE), "")</f>
        <v>Item1174</v>
      </c>
      <c r="C109" s="5" t="str">
        <f>_xlfn.IFNA(VLOOKUP(A109, MOs_Ready_to_close[[Order]:[Tot Est Machine Hrs]], 4, FALSE), "")</f>
        <v>DeptD</v>
      </c>
      <c r="D109" s="6">
        <f>_xlfn.IFNA(VLOOKUP(A109, MOs_Ready_to_close[[Order]:[Tot Est Machine Hrs]], 8, FALSE), "")</f>
        <v>45780</v>
      </c>
      <c r="E109" s="7">
        <f>_xlfn.IFNA(VLOOKUP(A109, MOs_Ready_to_close[[Order]:[Tot Est Machine Hrs]], 9, FALSE), "")</f>
        <v>-245</v>
      </c>
      <c r="F109" s="10">
        <f>SUMIF(MO_Operations[ORDER], Calculations!A109, MO_Operations[Standard Labor Hrs] )</f>
        <v>6</v>
      </c>
      <c r="G109" s="10">
        <f>SUMIF(MO_Operations[ORDER], Calculations!A109, MO_Operations[Total Act Labor Hrs] )</f>
        <v>9.9999999999999982</v>
      </c>
      <c r="H109" s="10">
        <f>-SUMIF(MO_Operations[ORDER], Calculations!A109, MO_Operations[Total Cost Variance] )</f>
        <v>70</v>
      </c>
      <c r="I109" s="11">
        <f>SUMIF(MO_Components[Order], Calculations!A109, MO_Components[Std Cost])</f>
        <v>20896</v>
      </c>
      <c r="J109" s="11">
        <f>SUMIF(MO_Components[Order], Calculations!A109, MO_Components[Act Cost])</f>
        <v>20896</v>
      </c>
      <c r="K109" s="11">
        <f t="shared" si="4"/>
        <v>0</v>
      </c>
      <c r="L109" t="str">
        <f t="shared" si="5"/>
        <v>Negative</v>
      </c>
      <c r="M109" t="str">
        <f t="shared" si="6"/>
        <v>Positive</v>
      </c>
      <c r="N109" t="str">
        <f t="shared" si="7"/>
        <v/>
      </c>
    </row>
    <row r="110" spans="1:14" x14ac:dyDescent="0.25">
      <c r="A110" s="5" t="str">
        <v>MO16160</v>
      </c>
      <c r="B110" s="5" t="str">
        <f>_xlfn.IFNA(VLOOKUP(A110, MOs_Ready_to_close[[Order]:[Tot Est Machine Hrs]], 2, FALSE), "")</f>
        <v>Item1175</v>
      </c>
      <c r="C110" s="5" t="str">
        <f>_xlfn.IFNA(VLOOKUP(A110, MOs_Ready_to_close[[Order]:[Tot Est Machine Hrs]], 4, FALSE), "")</f>
        <v>DeptC</v>
      </c>
      <c r="D110" s="6">
        <f>_xlfn.IFNA(VLOOKUP(A110, MOs_Ready_to_close[[Order]:[Tot Est Machine Hrs]], 8, FALSE), "")</f>
        <v>45783</v>
      </c>
      <c r="E110" s="7">
        <f>_xlfn.IFNA(VLOOKUP(A110, MOs_Ready_to_close[[Order]:[Tot Est Machine Hrs]], 9, FALSE), "")</f>
        <v>-2635</v>
      </c>
      <c r="F110" s="10">
        <f>SUMIF(MO_Operations[ORDER], Calculations!A110, MO_Operations[Standard Labor Hrs] )</f>
        <v>62.800000000000004</v>
      </c>
      <c r="G110" s="10">
        <f>SUMIF(MO_Operations[ORDER], Calculations!A110, MO_Operations[Total Act Labor Hrs] )</f>
        <v>45.4</v>
      </c>
      <c r="H110" s="10">
        <f>-SUMIF(MO_Operations[ORDER], Calculations!A110, MO_Operations[Total Cost Variance] )</f>
        <v>-525</v>
      </c>
      <c r="I110" s="11">
        <f>SUMIF(MO_Components[Order], Calculations!A110, MO_Components[Std Cost])</f>
        <v>4555</v>
      </c>
      <c r="J110" s="11">
        <f>SUMIF(MO_Components[Order], Calculations!A110, MO_Components[Act Cost])</f>
        <v>4555</v>
      </c>
      <c r="K110" s="11">
        <f t="shared" si="4"/>
        <v>0</v>
      </c>
      <c r="L110" t="str">
        <f t="shared" si="5"/>
        <v>Negative</v>
      </c>
      <c r="M110" t="str">
        <f t="shared" si="6"/>
        <v>Negative</v>
      </c>
      <c r="N110" t="str">
        <f t="shared" si="7"/>
        <v/>
      </c>
    </row>
    <row r="111" spans="1:14" x14ac:dyDescent="0.25">
      <c r="A111" s="5" t="str">
        <v>MO16170</v>
      </c>
      <c r="B111" s="5" t="str">
        <f>_xlfn.IFNA(VLOOKUP(A111, MOs_Ready_to_close[[Order]:[Tot Est Machine Hrs]], 2, FALSE), "")</f>
        <v>Item1176</v>
      </c>
      <c r="C111" s="5" t="str">
        <f>_xlfn.IFNA(VLOOKUP(A111, MOs_Ready_to_close[[Order]:[Tot Est Machine Hrs]], 4, FALSE), "")</f>
        <v>DeptD</v>
      </c>
      <c r="D111" s="6">
        <f>_xlfn.IFNA(VLOOKUP(A111, MOs_Ready_to_close[[Order]:[Tot Est Machine Hrs]], 8, FALSE), "")</f>
        <v>45780</v>
      </c>
      <c r="E111" s="7">
        <f>_xlfn.IFNA(VLOOKUP(A111, MOs_Ready_to_close[[Order]:[Tot Est Machine Hrs]], 9, FALSE), "")</f>
        <v>90</v>
      </c>
      <c r="F111" s="10">
        <f>SUMIF(MO_Operations[ORDER], Calculations!A111, MO_Operations[Standard Labor Hrs] )</f>
        <v>6</v>
      </c>
      <c r="G111" s="10">
        <f>SUMIF(MO_Operations[ORDER], Calculations!A111, MO_Operations[Total Act Labor Hrs] )</f>
        <v>16.399999999999999</v>
      </c>
      <c r="H111" s="10">
        <f>-SUMIF(MO_Operations[ORDER], Calculations!A111, MO_Operations[Total Cost Variance] )</f>
        <v>415</v>
      </c>
      <c r="I111" s="11">
        <f>SUMIF(MO_Components[Order], Calculations!A111, MO_Components[Std Cost])</f>
        <v>34042</v>
      </c>
      <c r="J111" s="11">
        <f>SUMIF(MO_Components[Order], Calculations!A111, MO_Components[Act Cost])</f>
        <v>34032</v>
      </c>
      <c r="K111" s="11">
        <f t="shared" si="4"/>
        <v>-10</v>
      </c>
      <c r="L111" t="str">
        <f t="shared" si="5"/>
        <v>Positive</v>
      </c>
      <c r="M111" t="str">
        <f t="shared" si="6"/>
        <v>Positive</v>
      </c>
      <c r="N111" t="str">
        <f t="shared" si="7"/>
        <v>Negative</v>
      </c>
    </row>
    <row r="112" spans="1:14" x14ac:dyDescent="0.25">
      <c r="A112" s="5" t="str">
        <v>MO10460</v>
      </c>
      <c r="B112" s="5" t="str">
        <f>_xlfn.IFNA(VLOOKUP(A112, MOs_Ready_to_close[[Order]:[Tot Est Machine Hrs]], 2, FALSE), "")</f>
        <v>Item114</v>
      </c>
      <c r="C112" s="5" t="str">
        <f>_xlfn.IFNA(VLOOKUP(A112, MOs_Ready_to_close[[Order]:[Tot Est Machine Hrs]], 4, FALSE), "")</f>
        <v>DeptA</v>
      </c>
      <c r="D112" s="6">
        <f>_xlfn.IFNA(VLOOKUP(A112, MOs_Ready_to_close[[Order]:[Tot Est Machine Hrs]], 8, FALSE), "")</f>
        <v>45784</v>
      </c>
      <c r="E112" s="7">
        <f>_xlfn.IFNA(VLOOKUP(A112, MOs_Ready_to_close[[Order]:[Tot Est Machine Hrs]], 9, FALSE), "")</f>
        <v>20</v>
      </c>
      <c r="F112" s="10">
        <f>SUMIF(MO_Operations[ORDER], Calculations!A112, MO_Operations[Standard Labor Hrs] )</f>
        <v>0</v>
      </c>
      <c r="G112" s="10">
        <f>SUMIF(MO_Operations[ORDER], Calculations!A112, MO_Operations[Total Act Labor Hrs] )</f>
        <v>0.1</v>
      </c>
      <c r="H112" s="10">
        <f>-SUMIF(MO_Operations[ORDER], Calculations!A112, MO_Operations[Total Cost Variance] )</f>
        <v>0</v>
      </c>
      <c r="I112" s="11">
        <f>SUMIF(MO_Components[Order], Calculations!A112, MO_Components[Std Cost])</f>
        <v>40</v>
      </c>
      <c r="J112" s="11">
        <f>SUMIF(MO_Components[Order], Calculations!A112, MO_Components[Act Cost])</f>
        <v>40</v>
      </c>
      <c r="K112" s="11">
        <f t="shared" si="4"/>
        <v>0</v>
      </c>
      <c r="L112" t="str">
        <f t="shared" si="5"/>
        <v>Positive</v>
      </c>
      <c r="M112" t="str">
        <f t="shared" si="6"/>
        <v/>
      </c>
      <c r="N112" t="str">
        <f t="shared" si="7"/>
        <v/>
      </c>
    </row>
    <row r="113" spans="1:14" x14ac:dyDescent="0.25">
      <c r="A113" s="5" t="str">
        <v>MO16190</v>
      </c>
      <c r="B113" s="5" t="str">
        <f>_xlfn.IFNA(VLOOKUP(A113, MOs_Ready_to_close[[Order]:[Tot Est Machine Hrs]], 2, FALSE), "")</f>
        <v>Item1177</v>
      </c>
      <c r="C113" s="5" t="str">
        <f>_xlfn.IFNA(VLOOKUP(A113, MOs_Ready_to_close[[Order]:[Tot Est Machine Hrs]], 4, FALSE), "")</f>
        <v>DeptA</v>
      </c>
      <c r="D113" s="6">
        <f>_xlfn.IFNA(VLOOKUP(A113, MOs_Ready_to_close[[Order]:[Tot Est Machine Hrs]], 8, FALSE), "")</f>
        <v>45784</v>
      </c>
      <c r="E113" s="7">
        <f>_xlfn.IFNA(VLOOKUP(A113, MOs_Ready_to_close[[Order]:[Tot Est Machine Hrs]], 9, FALSE), "")</f>
        <v>700</v>
      </c>
      <c r="F113" s="10">
        <f>SUMIF(MO_Operations[ORDER], Calculations!A113, MO_Operations[Standard Labor Hrs] )</f>
        <v>16</v>
      </c>
      <c r="G113" s="10">
        <f>SUMIF(MO_Operations[ORDER], Calculations!A113, MO_Operations[Total Act Labor Hrs] )</f>
        <v>41.2</v>
      </c>
      <c r="H113" s="10">
        <f>-SUMIF(MO_Operations[ORDER], Calculations!A113, MO_Operations[Total Cost Variance] )</f>
        <v>1220</v>
      </c>
      <c r="I113" s="11">
        <f>SUMIF(MO_Components[Order], Calculations!A113, MO_Components[Std Cost])</f>
        <v>21390</v>
      </c>
      <c r="J113" s="11">
        <f>SUMIF(MO_Components[Order], Calculations!A113, MO_Components[Act Cost])</f>
        <v>21390</v>
      </c>
      <c r="K113" s="11">
        <f t="shared" si="4"/>
        <v>0</v>
      </c>
      <c r="L113" t="str">
        <f t="shared" si="5"/>
        <v>Positive</v>
      </c>
      <c r="M113" t="str">
        <f t="shared" si="6"/>
        <v>Positive</v>
      </c>
      <c r="N113" t="str">
        <f t="shared" si="7"/>
        <v/>
      </c>
    </row>
    <row r="114" spans="1:14" x14ac:dyDescent="0.25">
      <c r="A114" s="5" t="str">
        <v>MO16200</v>
      </c>
      <c r="B114" s="5" t="str">
        <f>_xlfn.IFNA(VLOOKUP(A114, MOs_Ready_to_close[[Order]:[Tot Est Machine Hrs]], 2, FALSE), "")</f>
        <v>Item568</v>
      </c>
      <c r="C114" s="5" t="str">
        <f>_xlfn.IFNA(VLOOKUP(A114, MOs_Ready_to_close[[Order]:[Tot Est Machine Hrs]], 4, FALSE), "")</f>
        <v>DeptA</v>
      </c>
      <c r="D114" s="6">
        <f>_xlfn.IFNA(VLOOKUP(A114, MOs_Ready_to_close[[Order]:[Tot Est Machine Hrs]], 8, FALSE), "")</f>
        <v>45784</v>
      </c>
      <c r="E114" s="7">
        <f>_xlfn.IFNA(VLOOKUP(A114, MOs_Ready_to_close[[Order]:[Tot Est Machine Hrs]], 9, FALSE), "")</f>
        <v>335</v>
      </c>
      <c r="F114" s="10">
        <f>SUMIF(MO_Operations[ORDER], Calculations!A114, MO_Operations[Standard Labor Hrs] )</f>
        <v>7.4</v>
      </c>
      <c r="G114" s="10">
        <f>SUMIF(MO_Operations[ORDER], Calculations!A114, MO_Operations[Total Act Labor Hrs] )</f>
        <v>12.599999999999998</v>
      </c>
      <c r="H114" s="10">
        <f>-SUMIF(MO_Operations[ORDER], Calculations!A114, MO_Operations[Total Cost Variance] )</f>
        <v>235</v>
      </c>
      <c r="I114" s="11">
        <f>SUMIF(MO_Components[Order], Calculations!A114, MO_Components[Std Cost])</f>
        <v>220</v>
      </c>
      <c r="J114" s="11">
        <f>SUMIF(MO_Components[Order], Calculations!A114, MO_Components[Act Cost])</f>
        <v>220</v>
      </c>
      <c r="K114" s="11">
        <f t="shared" si="4"/>
        <v>0</v>
      </c>
      <c r="L114" t="str">
        <f t="shared" si="5"/>
        <v>Positive</v>
      </c>
      <c r="M114" t="str">
        <f t="shared" si="6"/>
        <v>Positive</v>
      </c>
      <c r="N114" t="str">
        <f t="shared" si="7"/>
        <v/>
      </c>
    </row>
    <row r="115" spans="1:14" x14ac:dyDescent="0.25">
      <c r="A115" s="5" t="str">
        <v>MO16210</v>
      </c>
      <c r="B115" s="5" t="str">
        <f>_xlfn.IFNA(VLOOKUP(A115, MOs_Ready_to_close[[Order]:[Tot Est Machine Hrs]], 2, FALSE), "")</f>
        <v>Item1178</v>
      </c>
      <c r="C115" s="5" t="str">
        <f>_xlfn.IFNA(VLOOKUP(A115, MOs_Ready_to_close[[Order]:[Tot Est Machine Hrs]], 4, FALSE), "")</f>
        <v>DeptA</v>
      </c>
      <c r="D115" s="6">
        <f>_xlfn.IFNA(VLOOKUP(A115, MOs_Ready_to_close[[Order]:[Tot Est Machine Hrs]], 8, FALSE), "")</f>
        <v>45784</v>
      </c>
      <c r="E115" s="7">
        <f>_xlfn.IFNA(VLOOKUP(A115, MOs_Ready_to_close[[Order]:[Tot Est Machine Hrs]], 9, FALSE), "")</f>
        <v>135</v>
      </c>
      <c r="F115" s="10">
        <f>SUMIF(MO_Operations[ORDER], Calculations!A115, MO_Operations[Standard Labor Hrs] )</f>
        <v>4.8</v>
      </c>
      <c r="G115" s="10">
        <f>SUMIF(MO_Operations[ORDER], Calculations!A115, MO_Operations[Total Act Labor Hrs] )</f>
        <v>6.1</v>
      </c>
      <c r="H115" s="10">
        <f>-SUMIF(MO_Operations[ORDER], Calculations!A115, MO_Operations[Total Cost Variance] )</f>
        <v>55</v>
      </c>
      <c r="I115" s="11">
        <f>SUMIF(MO_Components[Order], Calculations!A115, MO_Components[Std Cost])</f>
        <v>1245</v>
      </c>
      <c r="J115" s="11">
        <f>SUMIF(MO_Components[Order], Calculations!A115, MO_Components[Act Cost])</f>
        <v>1245</v>
      </c>
      <c r="K115" s="11">
        <f t="shared" si="4"/>
        <v>0</v>
      </c>
      <c r="L115" t="str">
        <f t="shared" si="5"/>
        <v>Positive</v>
      </c>
      <c r="M115" t="str">
        <f t="shared" si="6"/>
        <v>Positive</v>
      </c>
      <c r="N115" t="str">
        <f t="shared" si="7"/>
        <v/>
      </c>
    </row>
    <row r="116" spans="1:14" x14ac:dyDescent="0.25">
      <c r="A116" s="5" t="str">
        <v>MO16320</v>
      </c>
      <c r="B116" s="5" t="str">
        <f>_xlfn.IFNA(VLOOKUP(A116, MOs_Ready_to_close[[Order]:[Tot Est Machine Hrs]], 2, FALSE), "")</f>
        <v>Item1179</v>
      </c>
      <c r="C116" s="5" t="str">
        <f>_xlfn.IFNA(VLOOKUP(A116, MOs_Ready_to_close[[Order]:[Tot Est Machine Hrs]], 4, FALSE), "")</f>
        <v>DeptA</v>
      </c>
      <c r="D116" s="6">
        <f>_xlfn.IFNA(VLOOKUP(A116, MOs_Ready_to_close[[Order]:[Tot Est Machine Hrs]], 8, FALSE), "")</f>
        <v>45784</v>
      </c>
      <c r="E116" s="7">
        <f>_xlfn.IFNA(VLOOKUP(A116, MOs_Ready_to_close[[Order]:[Tot Est Machine Hrs]], 9, FALSE), "")</f>
        <v>-515</v>
      </c>
      <c r="F116" s="10">
        <f>SUMIF(MO_Operations[ORDER], Calculations!A116, MO_Operations[Standard Labor Hrs] )</f>
        <v>16.700000000000003</v>
      </c>
      <c r="G116" s="10">
        <f>SUMIF(MO_Operations[ORDER], Calculations!A116, MO_Operations[Total Act Labor Hrs] )</f>
        <v>19.3</v>
      </c>
      <c r="H116" s="10">
        <f>-SUMIF(MO_Operations[ORDER], Calculations!A116, MO_Operations[Total Cost Variance] )</f>
        <v>120</v>
      </c>
      <c r="I116" s="11">
        <f>SUMIF(MO_Components[Order], Calculations!A116, MO_Components[Std Cost])</f>
        <v>2675</v>
      </c>
      <c r="J116" s="11">
        <f>SUMIF(MO_Components[Order], Calculations!A116, MO_Components[Act Cost])</f>
        <v>2675</v>
      </c>
      <c r="K116" s="11">
        <f t="shared" si="4"/>
        <v>0</v>
      </c>
      <c r="L116" t="str">
        <f t="shared" si="5"/>
        <v>Negative</v>
      </c>
      <c r="M116" t="str">
        <f t="shared" si="6"/>
        <v>Positive</v>
      </c>
      <c r="N116" t="str">
        <f t="shared" si="7"/>
        <v/>
      </c>
    </row>
    <row r="117" spans="1:14" x14ac:dyDescent="0.25">
      <c r="A117" s="5" t="str">
        <v>MO16360</v>
      </c>
      <c r="B117" s="5" t="str">
        <f>_xlfn.IFNA(VLOOKUP(A117, MOs_Ready_to_close[[Order]:[Tot Est Machine Hrs]], 2, FALSE), "")</f>
        <v>Item361</v>
      </c>
      <c r="C117" s="5" t="str">
        <f>_xlfn.IFNA(VLOOKUP(A117, MOs_Ready_to_close[[Order]:[Tot Est Machine Hrs]], 4, FALSE), "")</f>
        <v>DeptE</v>
      </c>
      <c r="D117" s="6">
        <f>_xlfn.IFNA(VLOOKUP(A117, MOs_Ready_to_close[[Order]:[Tot Est Machine Hrs]], 8, FALSE), "")</f>
        <v>45782</v>
      </c>
      <c r="E117" s="7">
        <f>_xlfn.IFNA(VLOOKUP(A117, MOs_Ready_to_close[[Order]:[Tot Est Machine Hrs]], 9, FALSE), "")</f>
        <v>225</v>
      </c>
      <c r="F117" s="10">
        <f>SUMIF(MO_Operations[ORDER], Calculations!A117, MO_Operations[Standard Labor Hrs] )</f>
        <v>0.7</v>
      </c>
      <c r="G117" s="10">
        <f>SUMIF(MO_Operations[ORDER], Calculations!A117, MO_Operations[Total Act Labor Hrs] )</f>
        <v>4.4000000000000004</v>
      </c>
      <c r="H117" s="10">
        <f>-SUMIF(MO_Operations[ORDER], Calculations!A117, MO_Operations[Total Cost Variance] )</f>
        <v>195</v>
      </c>
      <c r="I117" s="11">
        <f>SUMIF(MO_Components[Order], Calculations!A117, MO_Components[Std Cost])</f>
        <v>855</v>
      </c>
      <c r="J117" s="11">
        <f>SUMIF(MO_Components[Order], Calculations!A117, MO_Components[Act Cost])</f>
        <v>855</v>
      </c>
      <c r="K117" s="11">
        <f t="shared" si="4"/>
        <v>0</v>
      </c>
      <c r="L117" t="str">
        <f t="shared" si="5"/>
        <v>Positive</v>
      </c>
      <c r="M117" t="str">
        <f t="shared" si="6"/>
        <v>Positive</v>
      </c>
      <c r="N117" t="str">
        <f t="shared" si="7"/>
        <v/>
      </c>
    </row>
    <row r="118" spans="1:14" x14ac:dyDescent="0.25">
      <c r="A118" s="5" t="str">
        <v>MO16380</v>
      </c>
      <c r="B118" s="5" t="str">
        <f>_xlfn.IFNA(VLOOKUP(A118, MOs_Ready_to_close[[Order]:[Tot Est Machine Hrs]], 2, FALSE), "")</f>
        <v>Item114</v>
      </c>
      <c r="C118" s="5" t="str">
        <f>_xlfn.IFNA(VLOOKUP(A118, MOs_Ready_to_close[[Order]:[Tot Est Machine Hrs]], 4, FALSE), "")</f>
        <v>DeptA</v>
      </c>
      <c r="D118" s="6">
        <f>_xlfn.IFNA(VLOOKUP(A118, MOs_Ready_to_close[[Order]:[Tot Est Machine Hrs]], 8, FALSE), "")</f>
        <v>45785</v>
      </c>
      <c r="E118" s="7">
        <f>_xlfn.IFNA(VLOOKUP(A118, MOs_Ready_to_close[[Order]:[Tot Est Machine Hrs]], 9, FALSE), "")</f>
        <v>-85</v>
      </c>
      <c r="F118" s="10">
        <f>SUMIF(MO_Operations[ORDER], Calculations!A118, MO_Operations[Standard Labor Hrs] )</f>
        <v>8.8000000000000007</v>
      </c>
      <c r="G118" s="10">
        <f>SUMIF(MO_Operations[ORDER], Calculations!A118, MO_Operations[Total Act Labor Hrs] )</f>
        <v>2.5000000000000004</v>
      </c>
      <c r="H118" s="10">
        <f>-SUMIF(MO_Operations[ORDER], Calculations!A118, MO_Operations[Total Cost Variance] )</f>
        <v>-295</v>
      </c>
      <c r="I118" s="11">
        <f>SUMIF(MO_Components[Order], Calculations!A118, MO_Components[Std Cost])</f>
        <v>630</v>
      </c>
      <c r="J118" s="11">
        <f>SUMIF(MO_Components[Order], Calculations!A118, MO_Components[Act Cost])</f>
        <v>630</v>
      </c>
      <c r="K118" s="11">
        <f t="shared" si="4"/>
        <v>0</v>
      </c>
      <c r="L118" t="str">
        <f t="shared" si="5"/>
        <v>Negative</v>
      </c>
      <c r="M118" t="str">
        <f t="shared" si="6"/>
        <v>Negative</v>
      </c>
      <c r="N118" t="str">
        <f t="shared" si="7"/>
        <v/>
      </c>
    </row>
    <row r="119" spans="1:14" x14ac:dyDescent="0.25">
      <c r="A119" s="5" t="str">
        <v>MO16390</v>
      </c>
      <c r="B119" s="5" t="str">
        <f>_xlfn.IFNA(VLOOKUP(A119, MOs_Ready_to_close[[Order]:[Tot Est Machine Hrs]], 2, FALSE), "")</f>
        <v>Item1151</v>
      </c>
      <c r="C119" s="5" t="str">
        <f>_xlfn.IFNA(VLOOKUP(A119, MOs_Ready_to_close[[Order]:[Tot Est Machine Hrs]], 4, FALSE), "")</f>
        <v>DeptA</v>
      </c>
      <c r="D119" s="6">
        <f>_xlfn.IFNA(VLOOKUP(A119, MOs_Ready_to_close[[Order]:[Tot Est Machine Hrs]], 8, FALSE), "")</f>
        <v>45784</v>
      </c>
      <c r="E119" s="7">
        <f>_xlfn.IFNA(VLOOKUP(A119, MOs_Ready_to_close[[Order]:[Tot Est Machine Hrs]], 9, FALSE), "")</f>
        <v>-790</v>
      </c>
      <c r="F119" s="10">
        <f>SUMIF(MO_Operations[ORDER], Calculations!A119, MO_Operations[Standard Labor Hrs] )</f>
        <v>20.8</v>
      </c>
      <c r="G119" s="10">
        <f>SUMIF(MO_Operations[ORDER], Calculations!A119, MO_Operations[Total Act Labor Hrs] )</f>
        <v>7.1</v>
      </c>
      <c r="H119" s="10">
        <f>-SUMIF(MO_Operations[ORDER], Calculations!A119, MO_Operations[Total Cost Variance] )</f>
        <v>-675</v>
      </c>
      <c r="I119" s="11">
        <f>SUMIF(MO_Components[Order], Calculations!A119, MO_Components[Std Cost])</f>
        <v>2930</v>
      </c>
      <c r="J119" s="11">
        <f>SUMIF(MO_Components[Order], Calculations!A119, MO_Components[Act Cost])</f>
        <v>2930</v>
      </c>
      <c r="K119" s="11">
        <f t="shared" si="4"/>
        <v>0</v>
      </c>
      <c r="L119" t="str">
        <f t="shared" si="5"/>
        <v>Negative</v>
      </c>
      <c r="M119" t="str">
        <f t="shared" si="6"/>
        <v>Negative</v>
      </c>
      <c r="N119" t="str">
        <f t="shared" si="7"/>
        <v/>
      </c>
    </row>
    <row r="120" spans="1:14" x14ac:dyDescent="0.25">
      <c r="A120" s="5" t="str">
        <v>MO16400</v>
      </c>
      <c r="B120" s="5" t="str">
        <f>_xlfn.IFNA(VLOOKUP(A120, MOs_Ready_to_close[[Order]:[Tot Est Machine Hrs]], 2, FALSE), "")</f>
        <v>Item1180</v>
      </c>
      <c r="C120" s="5" t="str">
        <f>_xlfn.IFNA(VLOOKUP(A120, MOs_Ready_to_close[[Order]:[Tot Est Machine Hrs]], 4, FALSE), "")</f>
        <v>DeptA</v>
      </c>
      <c r="D120" s="6">
        <f>_xlfn.IFNA(VLOOKUP(A120, MOs_Ready_to_close[[Order]:[Tot Est Machine Hrs]], 8, FALSE), "")</f>
        <v>45784</v>
      </c>
      <c r="E120" s="7">
        <f>_xlfn.IFNA(VLOOKUP(A120, MOs_Ready_to_close[[Order]:[Tot Est Machine Hrs]], 9, FALSE), "")</f>
        <v>235</v>
      </c>
      <c r="F120" s="10">
        <f>SUMIF(MO_Operations[ORDER], Calculations!A120, MO_Operations[Standard Labor Hrs] )</f>
        <v>10.700000000000001</v>
      </c>
      <c r="G120" s="10">
        <f>SUMIF(MO_Operations[ORDER], Calculations!A120, MO_Operations[Total Act Labor Hrs] )</f>
        <v>15</v>
      </c>
      <c r="H120" s="10">
        <f>-SUMIF(MO_Operations[ORDER], Calculations!A120, MO_Operations[Total Cost Variance] )</f>
        <v>200</v>
      </c>
      <c r="I120" s="11">
        <f>SUMIF(MO_Components[Order], Calculations!A120, MO_Components[Std Cost])</f>
        <v>1600</v>
      </c>
      <c r="J120" s="11">
        <f>SUMIF(MO_Components[Order], Calculations!A120, MO_Components[Act Cost])</f>
        <v>1600</v>
      </c>
      <c r="K120" s="11">
        <f t="shared" si="4"/>
        <v>0</v>
      </c>
      <c r="L120" t="str">
        <f t="shared" si="5"/>
        <v>Positive</v>
      </c>
      <c r="M120" t="str">
        <f t="shared" si="6"/>
        <v>Positive</v>
      </c>
      <c r="N120" t="str">
        <f t="shared" si="7"/>
        <v/>
      </c>
    </row>
    <row r="121" spans="1:14" x14ac:dyDescent="0.25">
      <c r="A121" s="5" t="str">
        <v>MO16410</v>
      </c>
      <c r="B121" s="5" t="str">
        <f>_xlfn.IFNA(VLOOKUP(A121, MOs_Ready_to_close[[Order]:[Tot Est Machine Hrs]], 2, FALSE), "")</f>
        <v>Item1181</v>
      </c>
      <c r="C121" s="5" t="str">
        <f>_xlfn.IFNA(VLOOKUP(A121, MOs_Ready_to_close[[Order]:[Tot Est Machine Hrs]], 4, FALSE), "")</f>
        <v>DeptA</v>
      </c>
      <c r="D121" s="6">
        <f>_xlfn.IFNA(VLOOKUP(A121, MOs_Ready_to_close[[Order]:[Tot Est Machine Hrs]], 8, FALSE), "")</f>
        <v>45785</v>
      </c>
      <c r="E121" s="7">
        <f>_xlfn.IFNA(VLOOKUP(A121, MOs_Ready_to_close[[Order]:[Tot Est Machine Hrs]], 9, FALSE), "")</f>
        <v>240</v>
      </c>
      <c r="F121" s="10">
        <f>SUMIF(MO_Operations[ORDER], Calculations!A121, MO_Operations[Standard Labor Hrs] )</f>
        <v>4.8</v>
      </c>
      <c r="G121" s="10">
        <f>SUMIF(MO_Operations[ORDER], Calculations!A121, MO_Operations[Total Act Labor Hrs] )</f>
        <v>10.299999999999999</v>
      </c>
      <c r="H121" s="10">
        <f>-SUMIF(MO_Operations[ORDER], Calculations!A121, MO_Operations[Total Cost Variance] )</f>
        <v>265</v>
      </c>
      <c r="I121" s="11">
        <f>SUMIF(MO_Components[Order], Calculations!A121, MO_Components[Std Cost])</f>
        <v>965</v>
      </c>
      <c r="J121" s="11">
        <f>SUMIF(MO_Components[Order], Calculations!A121, MO_Components[Act Cost])</f>
        <v>965</v>
      </c>
      <c r="K121" s="11">
        <f t="shared" si="4"/>
        <v>0</v>
      </c>
      <c r="L121" t="str">
        <f t="shared" si="5"/>
        <v>Positive</v>
      </c>
      <c r="M121" t="str">
        <f t="shared" si="6"/>
        <v>Positive</v>
      </c>
      <c r="N121" t="str">
        <f t="shared" si="7"/>
        <v/>
      </c>
    </row>
    <row r="122" spans="1:14" x14ac:dyDescent="0.25">
      <c r="A122" s="5" t="str">
        <v>MO16420</v>
      </c>
      <c r="B122" s="5" t="str">
        <f>_xlfn.IFNA(VLOOKUP(A122, MOs_Ready_to_close[[Order]:[Tot Est Machine Hrs]], 2, FALSE), "")</f>
        <v>Item1172</v>
      </c>
      <c r="C122" s="5" t="str">
        <f>_xlfn.IFNA(VLOOKUP(A122, MOs_Ready_to_close[[Order]:[Tot Est Machine Hrs]], 4, FALSE), "")</f>
        <v>DeptA</v>
      </c>
      <c r="D122" s="6">
        <f>_xlfn.IFNA(VLOOKUP(A122, MOs_Ready_to_close[[Order]:[Tot Est Machine Hrs]], 8, FALSE), "")</f>
        <v>45785</v>
      </c>
      <c r="E122" s="7">
        <f>_xlfn.IFNA(VLOOKUP(A122, MOs_Ready_to_close[[Order]:[Tot Est Machine Hrs]], 9, FALSE), "")</f>
        <v>-1620</v>
      </c>
      <c r="F122" s="10">
        <f>SUMIF(MO_Operations[ORDER], Calculations!A122, MO_Operations[Standard Labor Hrs] )</f>
        <v>58.7</v>
      </c>
      <c r="G122" s="10">
        <f>SUMIF(MO_Operations[ORDER], Calculations!A122, MO_Operations[Total Act Labor Hrs] )</f>
        <v>53.300000000000004</v>
      </c>
      <c r="H122" s="10">
        <f>-SUMIF(MO_Operations[ORDER], Calculations!A122, MO_Operations[Total Cost Variance] )</f>
        <v>-265</v>
      </c>
      <c r="I122" s="11">
        <f>SUMIF(MO_Components[Order], Calculations!A122, MO_Components[Std Cost])</f>
        <v>6800</v>
      </c>
      <c r="J122" s="11">
        <f>SUMIF(MO_Components[Order], Calculations!A122, MO_Components[Act Cost])</f>
        <v>6880</v>
      </c>
      <c r="K122" s="11">
        <f t="shared" si="4"/>
        <v>80</v>
      </c>
      <c r="L122" t="str">
        <f t="shared" si="5"/>
        <v>Negative</v>
      </c>
      <c r="M122" t="str">
        <f t="shared" si="6"/>
        <v>Negative</v>
      </c>
      <c r="N122" t="str">
        <f t="shared" si="7"/>
        <v>Positive</v>
      </c>
    </row>
    <row r="123" spans="1:14" x14ac:dyDescent="0.25">
      <c r="A123" s="5" t="str">
        <v>MO16680</v>
      </c>
      <c r="B123" s="5" t="str">
        <f>_xlfn.IFNA(VLOOKUP(A123, MOs_Ready_to_close[[Order]:[Tot Est Machine Hrs]], 2, FALSE), "")</f>
        <v>Item1174</v>
      </c>
      <c r="C123" s="5" t="str">
        <f>_xlfn.IFNA(VLOOKUP(A123, MOs_Ready_to_close[[Order]:[Tot Est Machine Hrs]], 4, FALSE), "")</f>
        <v>DeptD</v>
      </c>
      <c r="D123" s="6">
        <f>_xlfn.IFNA(VLOOKUP(A123, MOs_Ready_to_close[[Order]:[Tot Est Machine Hrs]], 8, FALSE), "")</f>
        <v>45780</v>
      </c>
      <c r="E123" s="7">
        <f>_xlfn.IFNA(VLOOKUP(A123, MOs_Ready_to_close[[Order]:[Tot Est Machine Hrs]], 9, FALSE), "")</f>
        <v>-70</v>
      </c>
      <c r="F123" s="10">
        <f>SUMIF(MO_Operations[ORDER], Calculations!A123, MO_Operations[Standard Labor Hrs] )</f>
        <v>6</v>
      </c>
      <c r="G123" s="10">
        <f>SUMIF(MO_Operations[ORDER], Calculations!A123, MO_Operations[Total Act Labor Hrs] )</f>
        <v>12.1</v>
      </c>
      <c r="H123" s="10">
        <f>-SUMIF(MO_Operations[ORDER], Calculations!A123, MO_Operations[Total Cost Variance] )</f>
        <v>250</v>
      </c>
      <c r="I123" s="11">
        <f>SUMIF(MO_Components[Order], Calculations!A123, MO_Components[Std Cost])</f>
        <v>20896</v>
      </c>
      <c r="J123" s="11">
        <f>SUMIF(MO_Components[Order], Calculations!A123, MO_Components[Act Cost])</f>
        <v>20896</v>
      </c>
      <c r="K123" s="11">
        <f t="shared" si="4"/>
        <v>0</v>
      </c>
      <c r="L123" t="str">
        <f t="shared" si="5"/>
        <v>Negative</v>
      </c>
      <c r="M123" t="str">
        <f t="shared" si="6"/>
        <v>Positive</v>
      </c>
      <c r="N123" t="str">
        <f t="shared" si="7"/>
        <v/>
      </c>
    </row>
    <row r="124" spans="1:14" x14ac:dyDescent="0.25">
      <c r="A124" s="5" t="str">
        <v>MO16690</v>
      </c>
      <c r="B124" s="5" t="str">
        <f>_xlfn.IFNA(VLOOKUP(A124, MOs_Ready_to_close[[Order]:[Tot Est Machine Hrs]], 2, FALSE), "")</f>
        <v>Item840</v>
      </c>
      <c r="C124" s="5" t="str">
        <f>_xlfn.IFNA(VLOOKUP(A124, MOs_Ready_to_close[[Order]:[Tot Est Machine Hrs]], 4, FALSE), "")</f>
        <v>DeptD</v>
      </c>
      <c r="D124" s="6">
        <f>_xlfn.IFNA(VLOOKUP(A124, MOs_Ready_to_close[[Order]:[Tot Est Machine Hrs]], 8, FALSE), "")</f>
        <v>45780</v>
      </c>
      <c r="E124" s="7">
        <f>_xlfn.IFNA(VLOOKUP(A124, MOs_Ready_to_close[[Order]:[Tot Est Machine Hrs]], 9, FALSE), "")</f>
        <v>-150</v>
      </c>
      <c r="F124" s="10">
        <f>SUMIF(MO_Operations[ORDER], Calculations!A124, MO_Operations[Standard Labor Hrs] )</f>
        <v>4.5999999999999996</v>
      </c>
      <c r="G124" s="10">
        <f>SUMIF(MO_Operations[ORDER], Calculations!A124, MO_Operations[Total Act Labor Hrs] )</f>
        <v>2.1</v>
      </c>
      <c r="H124" s="10">
        <f>-SUMIF(MO_Operations[ORDER], Calculations!A124, MO_Operations[Total Cost Variance] )</f>
        <v>-170</v>
      </c>
      <c r="I124" s="11">
        <f>SUMIF(MO_Components[Order], Calculations!A124, MO_Components[Std Cost])</f>
        <v>1815</v>
      </c>
      <c r="J124" s="11">
        <f>SUMIF(MO_Components[Order], Calculations!A124, MO_Components[Act Cost])</f>
        <v>1815</v>
      </c>
      <c r="K124" s="11">
        <f t="shared" si="4"/>
        <v>0</v>
      </c>
      <c r="L124" t="str">
        <f t="shared" si="5"/>
        <v>Negative</v>
      </c>
      <c r="M124" t="str">
        <f t="shared" si="6"/>
        <v>Negative</v>
      </c>
      <c r="N124" t="str">
        <f t="shared" si="7"/>
        <v/>
      </c>
    </row>
    <row r="125" spans="1:14" x14ac:dyDescent="0.25">
      <c r="A125" s="5" t="str">
        <v>MO16700</v>
      </c>
      <c r="B125" s="5" t="str">
        <f>_xlfn.IFNA(VLOOKUP(A125, MOs_Ready_to_close[[Order]:[Tot Est Machine Hrs]], 2, FALSE), "")</f>
        <v>Item840</v>
      </c>
      <c r="C125" s="5" t="str">
        <f>_xlfn.IFNA(VLOOKUP(A125, MOs_Ready_to_close[[Order]:[Tot Est Machine Hrs]], 4, FALSE), "")</f>
        <v>DeptD</v>
      </c>
      <c r="D125" s="6">
        <f>_xlfn.IFNA(VLOOKUP(A125, MOs_Ready_to_close[[Order]:[Tot Est Machine Hrs]], 8, FALSE), "")</f>
        <v>45780</v>
      </c>
      <c r="E125" s="7">
        <f>_xlfn.IFNA(VLOOKUP(A125, MOs_Ready_to_close[[Order]:[Tot Est Machine Hrs]], 9, FALSE), "")</f>
        <v>-150</v>
      </c>
      <c r="F125" s="10">
        <f>SUMIF(MO_Operations[ORDER], Calculations!A125, MO_Operations[Standard Labor Hrs] )</f>
        <v>4.5999999999999996</v>
      </c>
      <c r="G125" s="10">
        <f>SUMIF(MO_Operations[ORDER], Calculations!A125, MO_Operations[Total Act Labor Hrs] )</f>
        <v>2.2000000000000002</v>
      </c>
      <c r="H125" s="10">
        <f>-SUMIF(MO_Operations[ORDER], Calculations!A125, MO_Operations[Total Cost Variance] )</f>
        <v>-170</v>
      </c>
      <c r="I125" s="11">
        <f>SUMIF(MO_Components[Order], Calculations!A125, MO_Components[Std Cost])</f>
        <v>1815</v>
      </c>
      <c r="J125" s="11">
        <f>SUMIF(MO_Components[Order], Calculations!A125, MO_Components[Act Cost])</f>
        <v>1815</v>
      </c>
      <c r="K125" s="11">
        <f t="shared" si="4"/>
        <v>0</v>
      </c>
      <c r="L125" t="str">
        <f t="shared" si="5"/>
        <v>Negative</v>
      </c>
      <c r="M125" t="str">
        <f t="shared" si="6"/>
        <v>Negative</v>
      </c>
      <c r="N125" t="str">
        <f t="shared" si="7"/>
        <v/>
      </c>
    </row>
    <row r="126" spans="1:14" x14ac:dyDescent="0.25">
      <c r="A126" s="5" t="str">
        <v>MO16710</v>
      </c>
      <c r="B126" s="5" t="str">
        <f>_xlfn.IFNA(VLOOKUP(A126, MOs_Ready_to_close[[Order]:[Tot Est Machine Hrs]], 2, FALSE), "")</f>
        <v>Item1168</v>
      </c>
      <c r="C126" s="5" t="str">
        <f>_xlfn.IFNA(VLOOKUP(A126, MOs_Ready_to_close[[Order]:[Tot Est Machine Hrs]], 4, FALSE), "")</f>
        <v>DeptA</v>
      </c>
      <c r="D126" s="6">
        <f>_xlfn.IFNA(VLOOKUP(A126, MOs_Ready_to_close[[Order]:[Tot Est Machine Hrs]], 8, FALSE), "")</f>
        <v>45785</v>
      </c>
      <c r="E126" s="7">
        <f>_xlfn.IFNA(VLOOKUP(A126, MOs_Ready_to_close[[Order]:[Tot Est Machine Hrs]], 9, FALSE), "")</f>
        <v>-90</v>
      </c>
      <c r="F126" s="10">
        <f>SUMIF(MO_Operations[ORDER], Calculations!A126, MO_Operations[Standard Labor Hrs] )</f>
        <v>11.899999999999999</v>
      </c>
      <c r="G126" s="10">
        <f>SUMIF(MO_Operations[ORDER], Calculations!A126, MO_Operations[Total Act Labor Hrs] )</f>
        <v>10.8</v>
      </c>
      <c r="H126" s="10">
        <f>-SUMIF(MO_Operations[ORDER], Calculations!A126, MO_Operations[Total Cost Variance] )</f>
        <v>-65</v>
      </c>
      <c r="I126" s="11">
        <f>SUMIF(MO_Components[Order], Calculations!A126, MO_Components[Std Cost])</f>
        <v>2385</v>
      </c>
      <c r="J126" s="11">
        <f>SUMIF(MO_Components[Order], Calculations!A126, MO_Components[Act Cost])</f>
        <v>2385</v>
      </c>
      <c r="K126" s="11">
        <f t="shared" si="4"/>
        <v>0</v>
      </c>
      <c r="L126" t="str">
        <f t="shared" si="5"/>
        <v>Negative</v>
      </c>
      <c r="M126" t="str">
        <f t="shared" si="6"/>
        <v>Negative</v>
      </c>
      <c r="N126" t="str">
        <f t="shared" si="7"/>
        <v/>
      </c>
    </row>
    <row r="127" spans="1:14" x14ac:dyDescent="0.25">
      <c r="A127" s="5" t="str">
        <v>MO16730</v>
      </c>
      <c r="B127" s="5" t="str">
        <f>_xlfn.IFNA(VLOOKUP(A127, MOs_Ready_to_close[[Order]:[Tot Est Machine Hrs]], 2, FALSE), "")</f>
        <v>Item1182</v>
      </c>
      <c r="C127" s="5" t="str">
        <f>_xlfn.IFNA(VLOOKUP(A127, MOs_Ready_to_close[[Order]:[Tot Est Machine Hrs]], 4, FALSE), "")</f>
        <v>DeptA</v>
      </c>
      <c r="D127" s="6">
        <f>_xlfn.IFNA(VLOOKUP(A127, MOs_Ready_to_close[[Order]:[Tot Est Machine Hrs]], 8, FALSE), "")</f>
        <v>45785</v>
      </c>
      <c r="E127" s="7">
        <f>_xlfn.IFNA(VLOOKUP(A127, MOs_Ready_to_close[[Order]:[Tot Est Machine Hrs]], 9, FALSE), "")</f>
        <v>-340</v>
      </c>
      <c r="F127" s="10">
        <f>SUMIF(MO_Operations[ORDER], Calculations!A127, MO_Operations[Standard Labor Hrs] )</f>
        <v>13.500000000000002</v>
      </c>
      <c r="G127" s="10">
        <f>SUMIF(MO_Operations[ORDER], Calculations!A127, MO_Operations[Total Act Labor Hrs] )</f>
        <v>9.6</v>
      </c>
      <c r="H127" s="10">
        <f>-SUMIF(MO_Operations[ORDER], Calculations!A127, MO_Operations[Total Cost Variance] )</f>
        <v>-190</v>
      </c>
      <c r="I127" s="11">
        <f>SUMIF(MO_Components[Order], Calculations!A127, MO_Components[Std Cost])</f>
        <v>5096</v>
      </c>
      <c r="J127" s="11">
        <f>SUMIF(MO_Components[Order], Calculations!A127, MO_Components[Act Cost])</f>
        <v>5096</v>
      </c>
      <c r="K127" s="11">
        <f t="shared" si="4"/>
        <v>0</v>
      </c>
      <c r="L127" t="str">
        <f t="shared" si="5"/>
        <v>Negative</v>
      </c>
      <c r="M127" t="str">
        <f t="shared" si="6"/>
        <v>Negative</v>
      </c>
      <c r="N127" t="str">
        <f t="shared" si="7"/>
        <v/>
      </c>
    </row>
    <row r="128" spans="1:14" x14ac:dyDescent="0.25">
      <c r="A128" s="5" t="str">
        <v>MO16820</v>
      </c>
      <c r="B128" s="5" t="str">
        <f>_xlfn.IFNA(VLOOKUP(A128, MOs_Ready_to_close[[Order]:[Tot Est Machine Hrs]], 2, FALSE), "")</f>
        <v>Item1174</v>
      </c>
      <c r="C128" s="5" t="str">
        <f>_xlfn.IFNA(VLOOKUP(A128, MOs_Ready_to_close[[Order]:[Tot Est Machine Hrs]], 4, FALSE), "")</f>
        <v>DeptD</v>
      </c>
      <c r="D128" s="6">
        <f>_xlfn.IFNA(VLOOKUP(A128, MOs_Ready_to_close[[Order]:[Tot Est Machine Hrs]], 8, FALSE), "")</f>
        <v>45780</v>
      </c>
      <c r="E128" s="7">
        <f>_xlfn.IFNA(VLOOKUP(A128, MOs_Ready_to_close[[Order]:[Tot Est Machine Hrs]], 9, FALSE), "")</f>
        <v>70</v>
      </c>
      <c r="F128" s="10">
        <f>SUMIF(MO_Operations[ORDER], Calculations!A128, MO_Operations[Standard Labor Hrs] )</f>
        <v>6</v>
      </c>
      <c r="G128" s="10">
        <f>SUMIF(MO_Operations[ORDER], Calculations!A128, MO_Operations[Total Act Labor Hrs] )</f>
        <v>13.4</v>
      </c>
      <c r="H128" s="10">
        <f>-SUMIF(MO_Operations[ORDER], Calculations!A128, MO_Operations[Total Cost Variance] )</f>
        <v>385</v>
      </c>
      <c r="I128" s="11">
        <f>SUMIF(MO_Components[Order], Calculations!A128, MO_Components[Std Cost])</f>
        <v>20896</v>
      </c>
      <c r="J128" s="11">
        <f>SUMIF(MO_Components[Order], Calculations!A128, MO_Components[Act Cost])</f>
        <v>20896</v>
      </c>
      <c r="K128" s="11">
        <f t="shared" si="4"/>
        <v>0</v>
      </c>
      <c r="L128" t="str">
        <f t="shared" si="5"/>
        <v>Positive</v>
      </c>
      <c r="M128" t="str">
        <f t="shared" si="6"/>
        <v>Positive</v>
      </c>
      <c r="N128" t="str">
        <f t="shared" si="7"/>
        <v/>
      </c>
    </row>
    <row r="129" spans="1:14" x14ac:dyDescent="0.25">
      <c r="A129" s="5" t="str">
        <v>MO16830</v>
      </c>
      <c r="B129" s="5" t="str">
        <f>_xlfn.IFNA(VLOOKUP(A129, MOs_Ready_to_close[[Order]:[Tot Est Machine Hrs]], 2, FALSE), "")</f>
        <v>Item841</v>
      </c>
      <c r="C129" s="5" t="str">
        <f>_xlfn.IFNA(VLOOKUP(A129, MOs_Ready_to_close[[Order]:[Tot Est Machine Hrs]], 4, FALSE), "")</f>
        <v>DeptD</v>
      </c>
      <c r="D129" s="6">
        <f>_xlfn.IFNA(VLOOKUP(A129, MOs_Ready_to_close[[Order]:[Tot Est Machine Hrs]], 8, FALSE), "")</f>
        <v>45787</v>
      </c>
      <c r="E129" s="7">
        <f>_xlfn.IFNA(VLOOKUP(A129, MOs_Ready_to_close[[Order]:[Tot Est Machine Hrs]], 9, FALSE), "")</f>
        <v>-15</v>
      </c>
      <c r="F129" s="10">
        <f>SUMIF(MO_Operations[ORDER], Calculations!A129, MO_Operations[Standard Labor Hrs] )</f>
        <v>4.4000000000000004</v>
      </c>
      <c r="G129" s="10">
        <f>SUMIF(MO_Operations[ORDER], Calculations!A129, MO_Operations[Total Act Labor Hrs] )</f>
        <v>2.5</v>
      </c>
      <c r="H129" s="10">
        <f>-SUMIF(MO_Operations[ORDER], Calculations!A129, MO_Operations[Total Cost Variance] )</f>
        <v>-135</v>
      </c>
      <c r="I129" s="11">
        <f>SUMIF(MO_Components[Order], Calculations!A129, MO_Components[Std Cost])</f>
        <v>5515</v>
      </c>
      <c r="J129" s="11">
        <f>SUMIF(MO_Components[Order], Calculations!A129, MO_Components[Act Cost])</f>
        <v>5515</v>
      </c>
      <c r="K129" s="11">
        <f t="shared" si="4"/>
        <v>0</v>
      </c>
      <c r="L129" t="str">
        <f t="shared" si="5"/>
        <v>Negative</v>
      </c>
      <c r="M129" t="str">
        <f t="shared" si="6"/>
        <v>Negative</v>
      </c>
      <c r="N129" t="str">
        <f t="shared" si="7"/>
        <v/>
      </c>
    </row>
    <row r="130" spans="1:14" x14ac:dyDescent="0.25">
      <c r="A130" s="5" t="str">
        <v>MO16840</v>
      </c>
      <c r="B130" s="5" t="str">
        <f>_xlfn.IFNA(VLOOKUP(A130, MOs_Ready_to_close[[Order]:[Tot Est Machine Hrs]], 2, FALSE), "")</f>
        <v>Item841</v>
      </c>
      <c r="C130" s="5" t="str">
        <f>_xlfn.IFNA(VLOOKUP(A130, MOs_Ready_to_close[[Order]:[Tot Est Machine Hrs]], 4, FALSE), "")</f>
        <v>DeptD</v>
      </c>
      <c r="D130" s="6">
        <f>_xlfn.IFNA(VLOOKUP(A130, MOs_Ready_to_close[[Order]:[Tot Est Machine Hrs]], 8, FALSE), "")</f>
        <v>45787</v>
      </c>
      <c r="E130" s="7">
        <f>_xlfn.IFNA(VLOOKUP(A130, MOs_Ready_to_close[[Order]:[Tot Est Machine Hrs]], 9, FALSE), "")</f>
        <v>-5</v>
      </c>
      <c r="F130" s="10">
        <f>SUMIF(MO_Operations[ORDER], Calculations!A130, MO_Operations[Standard Labor Hrs] )</f>
        <v>4.4000000000000004</v>
      </c>
      <c r="G130" s="10">
        <f>SUMIF(MO_Operations[ORDER], Calculations!A130, MO_Operations[Total Act Labor Hrs] )</f>
        <v>2.7</v>
      </c>
      <c r="H130" s="10">
        <f>-SUMIF(MO_Operations[ORDER], Calculations!A130, MO_Operations[Total Cost Variance] )</f>
        <v>-120</v>
      </c>
      <c r="I130" s="11">
        <f>SUMIF(MO_Components[Order], Calculations!A130, MO_Components[Std Cost])</f>
        <v>5515</v>
      </c>
      <c r="J130" s="11">
        <f>SUMIF(MO_Components[Order], Calculations!A130, MO_Components[Act Cost])</f>
        <v>5515</v>
      </c>
      <c r="K130" s="11">
        <f t="shared" si="4"/>
        <v>0</v>
      </c>
      <c r="L130" t="str">
        <f t="shared" si="5"/>
        <v>Negative</v>
      </c>
      <c r="M130" t="str">
        <f t="shared" si="6"/>
        <v>Negative</v>
      </c>
      <c r="N130" t="str">
        <f t="shared" si="7"/>
        <v/>
      </c>
    </row>
    <row r="131" spans="1:14" x14ac:dyDescent="0.25">
      <c r="A131" s="5" t="str">
        <v>MO16870</v>
      </c>
      <c r="B131" s="5" t="str">
        <f>_xlfn.IFNA(VLOOKUP(A131, MOs_Ready_to_close[[Order]:[Tot Est Machine Hrs]], 2, FALSE), "")</f>
        <v>Item841</v>
      </c>
      <c r="C131" s="5" t="str">
        <f>_xlfn.IFNA(VLOOKUP(A131, MOs_Ready_to_close[[Order]:[Tot Est Machine Hrs]], 4, FALSE), "")</f>
        <v>DeptD</v>
      </c>
      <c r="D131" s="6">
        <f>_xlfn.IFNA(VLOOKUP(A131, MOs_Ready_to_close[[Order]:[Tot Est Machine Hrs]], 8, FALSE), "")</f>
        <v>45787</v>
      </c>
      <c r="E131" s="7">
        <f>_xlfn.IFNA(VLOOKUP(A131, MOs_Ready_to_close[[Order]:[Tot Est Machine Hrs]], 9, FALSE), "")</f>
        <v>15</v>
      </c>
      <c r="F131" s="10">
        <f>SUMIF(MO_Operations[ORDER], Calculations!A131, MO_Operations[Standard Labor Hrs] )</f>
        <v>4.4000000000000004</v>
      </c>
      <c r="G131" s="10">
        <f>SUMIF(MO_Operations[ORDER], Calculations!A131, MO_Operations[Total Act Labor Hrs] )</f>
        <v>3.1</v>
      </c>
      <c r="H131" s="10">
        <f>-SUMIF(MO_Operations[ORDER], Calculations!A131, MO_Operations[Total Cost Variance] )</f>
        <v>-100</v>
      </c>
      <c r="I131" s="11">
        <f>SUMIF(MO_Components[Order], Calculations!A131, MO_Components[Std Cost])</f>
        <v>5515</v>
      </c>
      <c r="J131" s="11">
        <f>SUMIF(MO_Components[Order], Calculations!A131, MO_Components[Act Cost])</f>
        <v>5515</v>
      </c>
      <c r="K131" s="11">
        <f t="shared" ref="K131:K194" si="8">J131-I131</f>
        <v>0</v>
      </c>
      <c r="L131" t="str">
        <f t="shared" ref="L131:L194" si="9">IF(E131&lt;&gt;"", IF(E131&gt;0, "Positive", "Negative"), "")</f>
        <v>Positive</v>
      </c>
      <c r="M131" t="str">
        <f t="shared" ref="M131:M194" si="10">IF(H131&lt;&gt;0, IF(H131&gt;0, "Positive", "Negative"), "")</f>
        <v>Negative</v>
      </c>
      <c r="N131" t="str">
        <f t="shared" ref="N131:N194" si="11">IF(K131&lt;&gt;0, IF(K131&gt;0, "Positive", "Negative"), "")</f>
        <v/>
      </c>
    </row>
    <row r="132" spans="1:14" x14ac:dyDescent="0.25">
      <c r="A132" s="5" t="str">
        <v>MO16880</v>
      </c>
      <c r="B132" s="5" t="str">
        <f>_xlfn.IFNA(VLOOKUP(A132, MOs_Ready_to_close[[Order]:[Tot Est Machine Hrs]], 2, FALSE), "")</f>
        <v>Item841</v>
      </c>
      <c r="C132" s="5" t="str">
        <f>_xlfn.IFNA(VLOOKUP(A132, MOs_Ready_to_close[[Order]:[Tot Est Machine Hrs]], 4, FALSE), "")</f>
        <v>DeptD</v>
      </c>
      <c r="D132" s="6">
        <f>_xlfn.IFNA(VLOOKUP(A132, MOs_Ready_to_close[[Order]:[Tot Est Machine Hrs]], 8, FALSE), "")</f>
        <v>45787</v>
      </c>
      <c r="E132" s="7">
        <f>_xlfn.IFNA(VLOOKUP(A132, MOs_Ready_to_close[[Order]:[Tot Est Machine Hrs]], 9, FALSE), "")</f>
        <v>-20</v>
      </c>
      <c r="F132" s="10">
        <f>SUMIF(MO_Operations[ORDER], Calculations!A132, MO_Operations[Standard Labor Hrs] )</f>
        <v>4.4000000000000004</v>
      </c>
      <c r="G132" s="10">
        <f>SUMIF(MO_Operations[ORDER], Calculations!A132, MO_Operations[Total Act Labor Hrs] )</f>
        <v>2.5</v>
      </c>
      <c r="H132" s="10">
        <f>-SUMIF(MO_Operations[ORDER], Calculations!A132, MO_Operations[Total Cost Variance] )</f>
        <v>-140</v>
      </c>
      <c r="I132" s="11">
        <f>SUMIF(MO_Components[Order], Calculations!A132, MO_Components[Std Cost])</f>
        <v>5515</v>
      </c>
      <c r="J132" s="11">
        <f>SUMIF(MO_Components[Order], Calculations!A132, MO_Components[Act Cost])</f>
        <v>5515</v>
      </c>
      <c r="K132" s="11">
        <f t="shared" si="8"/>
        <v>0</v>
      </c>
      <c r="L132" t="str">
        <f t="shared" si="9"/>
        <v>Negative</v>
      </c>
      <c r="M132" t="str">
        <f t="shared" si="10"/>
        <v>Negative</v>
      </c>
      <c r="N132" t="str">
        <f t="shared" si="11"/>
        <v/>
      </c>
    </row>
    <row r="133" spans="1:14" x14ac:dyDescent="0.25">
      <c r="A133" s="5" t="str">
        <v>MO16930</v>
      </c>
      <c r="B133" s="5" t="str">
        <f>_xlfn.IFNA(VLOOKUP(A133, MOs_Ready_to_close[[Order]:[Tot Est Machine Hrs]], 2, FALSE), "")</f>
        <v>Item841</v>
      </c>
      <c r="C133" s="5" t="str">
        <f>_xlfn.IFNA(VLOOKUP(A133, MOs_Ready_to_close[[Order]:[Tot Est Machine Hrs]], 4, FALSE), "")</f>
        <v>DeptD</v>
      </c>
      <c r="D133" s="6">
        <f>_xlfn.IFNA(VLOOKUP(A133, MOs_Ready_to_close[[Order]:[Tot Est Machine Hrs]], 8, FALSE), "")</f>
        <v>45787</v>
      </c>
      <c r="E133" s="7">
        <f>_xlfn.IFNA(VLOOKUP(A133, MOs_Ready_to_close[[Order]:[Tot Est Machine Hrs]], 9, FALSE), "")</f>
        <v>40</v>
      </c>
      <c r="F133" s="10">
        <f>SUMIF(MO_Operations[ORDER], Calculations!A133, MO_Operations[Standard Labor Hrs] )</f>
        <v>4.4000000000000004</v>
      </c>
      <c r="G133" s="10">
        <f>SUMIF(MO_Operations[ORDER], Calculations!A133, MO_Operations[Total Act Labor Hrs] )</f>
        <v>3.2</v>
      </c>
      <c r="H133" s="10">
        <f>-SUMIF(MO_Operations[ORDER], Calculations!A133, MO_Operations[Total Cost Variance] )</f>
        <v>-80</v>
      </c>
      <c r="I133" s="11">
        <f>SUMIF(MO_Components[Order], Calculations!A133, MO_Components[Std Cost])</f>
        <v>5515</v>
      </c>
      <c r="J133" s="11">
        <f>SUMIF(MO_Components[Order], Calculations!A133, MO_Components[Act Cost])</f>
        <v>5515</v>
      </c>
      <c r="K133" s="11">
        <f t="shared" si="8"/>
        <v>0</v>
      </c>
      <c r="L133" t="str">
        <f t="shared" si="9"/>
        <v>Positive</v>
      </c>
      <c r="M133" t="str">
        <f t="shared" si="10"/>
        <v>Negative</v>
      </c>
      <c r="N133" t="str">
        <f t="shared" si="11"/>
        <v/>
      </c>
    </row>
    <row r="134" spans="1:14" x14ac:dyDescent="0.25">
      <c r="A134" s="5" t="str">
        <v>MO16940</v>
      </c>
      <c r="B134" s="5" t="str">
        <f>_xlfn.IFNA(VLOOKUP(A134, MOs_Ready_to_close[[Order]:[Tot Est Machine Hrs]], 2, FALSE), "")</f>
        <v>Item841</v>
      </c>
      <c r="C134" s="5" t="str">
        <f>_xlfn.IFNA(VLOOKUP(A134, MOs_Ready_to_close[[Order]:[Tot Est Machine Hrs]], 4, FALSE), "")</f>
        <v>DeptD</v>
      </c>
      <c r="D134" s="6">
        <f>_xlfn.IFNA(VLOOKUP(A134, MOs_Ready_to_close[[Order]:[Tot Est Machine Hrs]], 8, FALSE), "")</f>
        <v>45787</v>
      </c>
      <c r="E134" s="7">
        <f>_xlfn.IFNA(VLOOKUP(A134, MOs_Ready_to_close[[Order]:[Tot Est Machine Hrs]], 9, FALSE), "")</f>
        <v>50</v>
      </c>
      <c r="F134" s="10">
        <f>SUMIF(MO_Operations[ORDER], Calculations!A134, MO_Operations[Standard Labor Hrs] )</f>
        <v>4.4000000000000004</v>
      </c>
      <c r="G134" s="10">
        <f>SUMIF(MO_Operations[ORDER], Calculations!A134, MO_Operations[Total Act Labor Hrs] )</f>
        <v>3.5000000000000004</v>
      </c>
      <c r="H134" s="10">
        <f>-SUMIF(MO_Operations[ORDER], Calculations!A134, MO_Operations[Total Cost Variance] )</f>
        <v>-65</v>
      </c>
      <c r="I134" s="11">
        <f>SUMIF(MO_Components[Order], Calculations!A134, MO_Components[Std Cost])</f>
        <v>5515</v>
      </c>
      <c r="J134" s="11">
        <f>SUMIF(MO_Components[Order], Calculations!A134, MO_Components[Act Cost])</f>
        <v>5515</v>
      </c>
      <c r="K134" s="11">
        <f t="shared" si="8"/>
        <v>0</v>
      </c>
      <c r="L134" t="str">
        <f t="shared" si="9"/>
        <v>Positive</v>
      </c>
      <c r="M134" t="str">
        <f t="shared" si="10"/>
        <v>Negative</v>
      </c>
      <c r="N134" t="str">
        <f t="shared" si="11"/>
        <v/>
      </c>
    </row>
    <row r="135" spans="1:14" x14ac:dyDescent="0.25">
      <c r="A135" s="5" t="str">
        <v>MO16950</v>
      </c>
      <c r="B135" s="5" t="str">
        <f>_xlfn.IFNA(VLOOKUP(A135, MOs_Ready_to_close[[Order]:[Tot Est Machine Hrs]], 2, FALSE), "")</f>
        <v>Item1183</v>
      </c>
      <c r="C135" s="5" t="str">
        <f>_xlfn.IFNA(VLOOKUP(A135, MOs_Ready_to_close[[Order]:[Tot Est Machine Hrs]], 4, FALSE), "")</f>
        <v>DeptA</v>
      </c>
      <c r="D135" s="6">
        <f>_xlfn.IFNA(VLOOKUP(A135, MOs_Ready_to_close[[Order]:[Tot Est Machine Hrs]], 8, FALSE), "")</f>
        <v>45789</v>
      </c>
      <c r="E135" s="7">
        <f>_xlfn.IFNA(VLOOKUP(A135, MOs_Ready_to_close[[Order]:[Tot Est Machine Hrs]], 9, FALSE), "")</f>
        <v>95</v>
      </c>
      <c r="F135" s="10">
        <f>SUMIF(MO_Operations[ORDER], Calculations!A135, MO_Operations[Standard Labor Hrs] )</f>
        <v>6.3999999999999995</v>
      </c>
      <c r="G135" s="10">
        <f>SUMIF(MO_Operations[ORDER], Calculations!A135, MO_Operations[Total Act Labor Hrs] )</f>
        <v>7.3999999999999995</v>
      </c>
      <c r="H135" s="10">
        <f>-SUMIF(MO_Operations[ORDER], Calculations!A135, MO_Operations[Total Cost Variance] )</f>
        <v>45</v>
      </c>
      <c r="I135" s="11">
        <f>SUMIF(MO_Components[Order], Calculations!A135, MO_Components[Std Cost])</f>
        <v>2396</v>
      </c>
      <c r="J135" s="11">
        <f>SUMIF(MO_Components[Order], Calculations!A135, MO_Components[Act Cost])</f>
        <v>2371</v>
      </c>
      <c r="K135" s="11">
        <f t="shared" si="8"/>
        <v>-25</v>
      </c>
      <c r="L135" t="str">
        <f t="shared" si="9"/>
        <v>Positive</v>
      </c>
      <c r="M135" t="str">
        <f t="shared" si="10"/>
        <v>Positive</v>
      </c>
      <c r="N135" t="str">
        <f t="shared" si="11"/>
        <v>Negative</v>
      </c>
    </row>
    <row r="136" spans="1:14" x14ac:dyDescent="0.25">
      <c r="A136" s="5" t="str">
        <v>MO16970</v>
      </c>
      <c r="B136" s="5" t="str">
        <f>_xlfn.IFNA(VLOOKUP(A136, MOs_Ready_to_close[[Order]:[Tot Est Machine Hrs]], 2, FALSE), "")</f>
        <v>Item1184</v>
      </c>
      <c r="C136" s="5" t="str">
        <f>_xlfn.IFNA(VLOOKUP(A136, MOs_Ready_to_close[[Order]:[Tot Est Machine Hrs]], 4, FALSE), "")</f>
        <v>DeptA</v>
      </c>
      <c r="D136" s="6">
        <f>_xlfn.IFNA(VLOOKUP(A136, MOs_Ready_to_close[[Order]:[Tot Est Machine Hrs]], 8, FALSE), "")</f>
        <v>45789</v>
      </c>
      <c r="E136" s="7">
        <f>_xlfn.IFNA(VLOOKUP(A136, MOs_Ready_to_close[[Order]:[Tot Est Machine Hrs]], 9, FALSE), "")</f>
        <v>275</v>
      </c>
      <c r="F136" s="10">
        <f>SUMIF(MO_Operations[ORDER], Calculations!A136, MO_Operations[Standard Labor Hrs] )</f>
        <v>3.5999999999999996</v>
      </c>
      <c r="G136" s="10">
        <f>SUMIF(MO_Operations[ORDER], Calculations!A136, MO_Operations[Total Act Labor Hrs] )</f>
        <v>8.4</v>
      </c>
      <c r="H136" s="10">
        <f>-SUMIF(MO_Operations[ORDER], Calculations!A136, MO_Operations[Total Cost Variance] )</f>
        <v>225</v>
      </c>
      <c r="I136" s="11">
        <f>SUMIF(MO_Components[Order], Calculations!A136, MO_Components[Std Cost])</f>
        <v>2351</v>
      </c>
      <c r="J136" s="11">
        <f>SUMIF(MO_Components[Order], Calculations!A136, MO_Components[Act Cost])</f>
        <v>2351</v>
      </c>
      <c r="K136" s="11">
        <f t="shared" si="8"/>
        <v>0</v>
      </c>
      <c r="L136" t="str">
        <f t="shared" si="9"/>
        <v>Positive</v>
      </c>
      <c r="M136" t="str">
        <f t="shared" si="10"/>
        <v>Positive</v>
      </c>
      <c r="N136" t="str">
        <f t="shared" si="11"/>
        <v/>
      </c>
    </row>
    <row r="137" spans="1:14" x14ac:dyDescent="0.25">
      <c r="A137" s="5" t="str">
        <v>MO16990</v>
      </c>
      <c r="B137" s="5" t="str">
        <f>_xlfn.IFNA(VLOOKUP(A137, MOs_Ready_to_close[[Order]:[Tot Est Machine Hrs]], 2, FALSE), "")</f>
        <v>Item1185</v>
      </c>
      <c r="C137" s="5" t="str">
        <f>_xlfn.IFNA(VLOOKUP(A137, MOs_Ready_to_close[[Order]:[Tot Est Machine Hrs]], 4, FALSE), "")</f>
        <v>DeptA</v>
      </c>
      <c r="D137" s="6">
        <f>_xlfn.IFNA(VLOOKUP(A137, MOs_Ready_to_close[[Order]:[Tot Est Machine Hrs]], 8, FALSE), "")</f>
        <v>45789</v>
      </c>
      <c r="E137" s="7">
        <f>_xlfn.IFNA(VLOOKUP(A137, MOs_Ready_to_close[[Order]:[Tot Est Machine Hrs]], 9, FALSE), "")</f>
        <v>-860</v>
      </c>
      <c r="F137" s="10">
        <f>SUMIF(MO_Operations[ORDER], Calculations!A137, MO_Operations[Standard Labor Hrs] )</f>
        <v>20.8</v>
      </c>
      <c r="G137" s="10">
        <f>SUMIF(MO_Operations[ORDER], Calculations!A137, MO_Operations[Total Act Labor Hrs] )</f>
        <v>6.5</v>
      </c>
      <c r="H137" s="10">
        <f>-SUMIF(MO_Operations[ORDER], Calculations!A137, MO_Operations[Total Cost Variance] )</f>
        <v>-700</v>
      </c>
      <c r="I137" s="11">
        <f>SUMIF(MO_Components[Order], Calculations!A137, MO_Components[Std Cost])</f>
        <v>3500</v>
      </c>
      <c r="J137" s="11">
        <f>SUMIF(MO_Components[Order], Calculations!A137, MO_Components[Act Cost])</f>
        <v>3500</v>
      </c>
      <c r="K137" s="11">
        <f t="shared" si="8"/>
        <v>0</v>
      </c>
      <c r="L137" t="str">
        <f t="shared" si="9"/>
        <v>Negative</v>
      </c>
      <c r="M137" t="str">
        <f t="shared" si="10"/>
        <v>Negative</v>
      </c>
      <c r="N137" t="str">
        <f t="shared" si="11"/>
        <v/>
      </c>
    </row>
    <row r="138" spans="1:14" x14ac:dyDescent="0.25">
      <c r="A138" s="5" t="str">
        <v>MO17240</v>
      </c>
      <c r="B138" s="5" t="str">
        <f>_xlfn.IFNA(VLOOKUP(A138, MOs_Ready_to_close[[Order]:[Tot Est Machine Hrs]], 2, FALSE), "")</f>
        <v>Item769</v>
      </c>
      <c r="C138" s="5" t="str">
        <f>_xlfn.IFNA(VLOOKUP(A138, MOs_Ready_to_close[[Order]:[Tot Est Machine Hrs]], 4, FALSE), "")</f>
        <v>DeptE</v>
      </c>
      <c r="D138" s="6">
        <f>_xlfn.IFNA(VLOOKUP(A138, MOs_Ready_to_close[[Order]:[Tot Est Machine Hrs]], 8, FALSE), "")</f>
        <v>45789</v>
      </c>
      <c r="E138" s="7">
        <f>_xlfn.IFNA(VLOOKUP(A138, MOs_Ready_to_close[[Order]:[Tot Est Machine Hrs]], 9, FALSE), "")</f>
        <v>125</v>
      </c>
      <c r="F138" s="10">
        <f>SUMIF(MO_Operations[ORDER], Calculations!A138, MO_Operations[Standard Labor Hrs] )</f>
        <v>0.3</v>
      </c>
      <c r="G138" s="10">
        <f>SUMIF(MO_Operations[ORDER], Calculations!A138, MO_Operations[Total Act Labor Hrs] )</f>
        <v>4.8000000000000007</v>
      </c>
      <c r="H138" s="10">
        <f>-SUMIF(MO_Operations[ORDER], Calculations!A138, MO_Operations[Total Cost Variance] )</f>
        <v>95</v>
      </c>
      <c r="I138" s="11">
        <f>SUMIF(MO_Components[Order], Calculations!A138, MO_Components[Std Cost])</f>
        <v>72</v>
      </c>
      <c r="J138" s="11">
        <f>SUMIF(MO_Components[Order], Calculations!A138, MO_Components[Act Cost])</f>
        <v>72</v>
      </c>
      <c r="K138" s="11">
        <f t="shared" si="8"/>
        <v>0</v>
      </c>
      <c r="L138" t="str">
        <f t="shared" si="9"/>
        <v>Positive</v>
      </c>
      <c r="M138" t="str">
        <f t="shared" si="10"/>
        <v>Positive</v>
      </c>
      <c r="N138" t="str">
        <f t="shared" si="11"/>
        <v/>
      </c>
    </row>
    <row r="139" spans="1:14" x14ac:dyDescent="0.25">
      <c r="A139" s="5" t="str">
        <v>MO17250</v>
      </c>
      <c r="B139" s="5" t="str">
        <f>_xlfn.IFNA(VLOOKUP(A139, MOs_Ready_to_close[[Order]:[Tot Est Machine Hrs]], 2, FALSE), "")</f>
        <v>Item1149</v>
      </c>
      <c r="C139" s="5" t="str">
        <f>_xlfn.IFNA(VLOOKUP(A139, MOs_Ready_to_close[[Order]:[Tot Est Machine Hrs]], 4, FALSE), "")</f>
        <v>DeptC</v>
      </c>
      <c r="D139" s="6">
        <f>_xlfn.IFNA(VLOOKUP(A139, MOs_Ready_to_close[[Order]:[Tot Est Machine Hrs]], 8, FALSE), "")</f>
        <v>45783</v>
      </c>
      <c r="E139" s="7">
        <f>_xlfn.IFNA(VLOOKUP(A139, MOs_Ready_to_close[[Order]:[Tot Est Machine Hrs]], 9, FALSE), "")</f>
        <v>-225</v>
      </c>
      <c r="F139" s="10">
        <f>SUMIF(MO_Operations[ORDER], Calculations!A139, MO_Operations[Standard Labor Hrs] )</f>
        <v>4.5</v>
      </c>
      <c r="G139" s="10">
        <f>SUMIF(MO_Operations[ORDER], Calculations!A139, MO_Operations[Total Act Labor Hrs] )</f>
        <v>0</v>
      </c>
      <c r="H139" s="10">
        <f>-SUMIF(MO_Operations[ORDER], Calculations!A139, MO_Operations[Total Cost Variance] )</f>
        <v>-245</v>
      </c>
      <c r="I139" s="11">
        <f>SUMIF(MO_Components[Order], Calculations!A139, MO_Components[Std Cost])</f>
        <v>20395</v>
      </c>
      <c r="J139" s="11">
        <f>SUMIF(MO_Components[Order], Calculations!A139, MO_Components[Act Cost])</f>
        <v>20395</v>
      </c>
      <c r="K139" s="11">
        <f t="shared" si="8"/>
        <v>0</v>
      </c>
      <c r="L139" t="str">
        <f t="shared" si="9"/>
        <v>Negative</v>
      </c>
      <c r="M139" t="str">
        <f t="shared" si="10"/>
        <v>Negative</v>
      </c>
      <c r="N139" t="str">
        <f t="shared" si="11"/>
        <v/>
      </c>
    </row>
    <row r="140" spans="1:14" x14ac:dyDescent="0.25">
      <c r="A140" s="5" t="str">
        <v>MO17260</v>
      </c>
      <c r="B140" s="5" t="str">
        <f>_xlfn.IFNA(VLOOKUP(A140, MOs_Ready_to_close[[Order]:[Tot Est Machine Hrs]], 2, FALSE), "")</f>
        <v>Item1149</v>
      </c>
      <c r="C140" s="5" t="str">
        <f>_xlfn.IFNA(VLOOKUP(A140, MOs_Ready_to_close[[Order]:[Tot Est Machine Hrs]], 4, FALSE), "")</f>
        <v>DeptC</v>
      </c>
      <c r="D140" s="6">
        <f>_xlfn.IFNA(VLOOKUP(A140, MOs_Ready_to_close[[Order]:[Tot Est Machine Hrs]], 8, FALSE), "")</f>
        <v>45783</v>
      </c>
      <c r="E140" s="7">
        <f>_xlfn.IFNA(VLOOKUP(A140, MOs_Ready_to_close[[Order]:[Tot Est Machine Hrs]], 9, FALSE), "")</f>
        <v>-225</v>
      </c>
      <c r="F140" s="10">
        <f>SUMIF(MO_Operations[ORDER], Calculations!A140, MO_Operations[Standard Labor Hrs] )</f>
        <v>4.5</v>
      </c>
      <c r="G140" s="10">
        <f>SUMIF(MO_Operations[ORDER], Calculations!A140, MO_Operations[Total Act Labor Hrs] )</f>
        <v>0</v>
      </c>
      <c r="H140" s="10">
        <f>-SUMIF(MO_Operations[ORDER], Calculations!A140, MO_Operations[Total Cost Variance] )</f>
        <v>-245</v>
      </c>
      <c r="I140" s="11">
        <f>SUMIF(MO_Components[Order], Calculations!A140, MO_Components[Std Cost])</f>
        <v>20395</v>
      </c>
      <c r="J140" s="11">
        <f>SUMIF(MO_Components[Order], Calculations!A140, MO_Components[Act Cost])</f>
        <v>20395</v>
      </c>
      <c r="K140" s="11">
        <f t="shared" si="8"/>
        <v>0</v>
      </c>
      <c r="L140" t="str">
        <f t="shared" si="9"/>
        <v>Negative</v>
      </c>
      <c r="M140" t="str">
        <f t="shared" si="10"/>
        <v>Negative</v>
      </c>
      <c r="N140" t="str">
        <f t="shared" si="11"/>
        <v/>
      </c>
    </row>
    <row r="141" spans="1:14" x14ac:dyDescent="0.25">
      <c r="A141" s="5" t="str">
        <v>MO17270</v>
      </c>
      <c r="B141" s="5" t="str">
        <f>_xlfn.IFNA(VLOOKUP(A141, MOs_Ready_to_close[[Order]:[Tot Est Machine Hrs]], 2, FALSE), "")</f>
        <v>Item490</v>
      </c>
      <c r="C141" s="5" t="str">
        <f>_xlfn.IFNA(VLOOKUP(A141, MOs_Ready_to_close[[Order]:[Tot Est Machine Hrs]], 4, FALSE), "")</f>
        <v>DeptE</v>
      </c>
      <c r="D141" s="6">
        <f>_xlfn.IFNA(VLOOKUP(A141, MOs_Ready_to_close[[Order]:[Tot Est Machine Hrs]], 8, FALSE), "")</f>
        <v>45789</v>
      </c>
      <c r="E141" s="7">
        <f>_xlfn.IFNA(VLOOKUP(A141, MOs_Ready_to_close[[Order]:[Tot Est Machine Hrs]], 9, FALSE), "")</f>
        <v>-220</v>
      </c>
      <c r="F141" s="10">
        <f>SUMIF(MO_Operations[ORDER], Calculations!A141, MO_Operations[Standard Labor Hrs] )</f>
        <v>3</v>
      </c>
      <c r="G141" s="10">
        <f>SUMIF(MO_Operations[ORDER], Calculations!A141, MO_Operations[Total Act Labor Hrs] )</f>
        <v>0.2</v>
      </c>
      <c r="H141" s="10">
        <f>-SUMIF(MO_Operations[ORDER], Calculations!A141, MO_Operations[Total Cost Variance] )</f>
        <v>-245</v>
      </c>
      <c r="I141" s="11">
        <f>SUMIF(MO_Components[Order], Calculations!A141, MO_Components[Std Cost])</f>
        <v>120</v>
      </c>
      <c r="J141" s="11">
        <f>SUMIF(MO_Components[Order], Calculations!A141, MO_Components[Act Cost])</f>
        <v>120</v>
      </c>
      <c r="K141" s="11">
        <f t="shared" si="8"/>
        <v>0</v>
      </c>
      <c r="L141" t="str">
        <f t="shared" si="9"/>
        <v>Negative</v>
      </c>
      <c r="M141" t="str">
        <f t="shared" si="10"/>
        <v>Negative</v>
      </c>
      <c r="N141" t="str">
        <f t="shared" si="11"/>
        <v/>
      </c>
    </row>
    <row r="142" spans="1:14" x14ac:dyDescent="0.25">
      <c r="A142" s="5" t="str">
        <v>MO17450</v>
      </c>
      <c r="B142" s="5" t="str">
        <f>_xlfn.IFNA(VLOOKUP(A142, MOs_Ready_to_close[[Order]:[Tot Est Machine Hrs]], 2, FALSE), "")</f>
        <v>Item167</v>
      </c>
      <c r="C142" s="5" t="str">
        <f>_xlfn.IFNA(VLOOKUP(A142, MOs_Ready_to_close[[Order]:[Tot Est Machine Hrs]], 4, FALSE), "")</f>
        <v>DeptE</v>
      </c>
      <c r="D142" s="6">
        <f>_xlfn.IFNA(VLOOKUP(A142, MOs_Ready_to_close[[Order]:[Tot Est Machine Hrs]], 8, FALSE), "")</f>
        <v>45789</v>
      </c>
      <c r="E142" s="7">
        <f>_xlfn.IFNA(VLOOKUP(A142, MOs_Ready_to_close[[Order]:[Tot Est Machine Hrs]], 9, FALSE), "")</f>
        <v>-55</v>
      </c>
      <c r="F142" s="10">
        <f>SUMIF(MO_Operations[ORDER], Calculations!A142, MO_Operations[Standard Labor Hrs] )</f>
        <v>0</v>
      </c>
      <c r="G142" s="10">
        <f>SUMIF(MO_Operations[ORDER], Calculations!A142, MO_Operations[Total Act Labor Hrs] )</f>
        <v>6.8</v>
      </c>
      <c r="H142" s="10">
        <f>-SUMIF(MO_Operations[ORDER], Calculations!A142, MO_Operations[Total Cost Variance] )</f>
        <v>0</v>
      </c>
      <c r="I142" s="11">
        <f>SUMIF(MO_Components[Order], Calculations!A142, MO_Components[Std Cost])</f>
        <v>79</v>
      </c>
      <c r="J142" s="11">
        <f>SUMIF(MO_Components[Order], Calculations!A142, MO_Components[Act Cost])</f>
        <v>79</v>
      </c>
      <c r="K142" s="11">
        <f t="shared" si="8"/>
        <v>0</v>
      </c>
      <c r="L142" t="str">
        <f t="shared" si="9"/>
        <v>Negative</v>
      </c>
      <c r="M142" t="str">
        <f t="shared" si="10"/>
        <v/>
      </c>
      <c r="N142" t="str">
        <f t="shared" si="11"/>
        <v/>
      </c>
    </row>
    <row r="143" spans="1:14" x14ac:dyDescent="0.25">
      <c r="A143" s="5" t="str">
        <v>MO17490</v>
      </c>
      <c r="B143" s="5" t="str">
        <f>_xlfn.IFNA(VLOOKUP(A143, MOs_Ready_to_close[[Order]:[Tot Est Machine Hrs]], 2, FALSE), "")</f>
        <v>Item857</v>
      </c>
      <c r="C143" s="5" t="str">
        <f>_xlfn.IFNA(VLOOKUP(A143, MOs_Ready_to_close[[Order]:[Tot Est Machine Hrs]], 4, FALSE), "")</f>
        <v>DeptD</v>
      </c>
      <c r="D143" s="6">
        <f>_xlfn.IFNA(VLOOKUP(A143, MOs_Ready_to_close[[Order]:[Tot Est Machine Hrs]], 8, FALSE), "")</f>
        <v>45787</v>
      </c>
      <c r="E143" s="7">
        <f>_xlfn.IFNA(VLOOKUP(A143, MOs_Ready_to_close[[Order]:[Tot Est Machine Hrs]], 9, FALSE), "")</f>
        <v>-5</v>
      </c>
      <c r="F143" s="10">
        <f>SUMIF(MO_Operations[ORDER], Calculations!A143, MO_Operations[Standard Labor Hrs] )</f>
        <v>0.8</v>
      </c>
      <c r="G143" s="10">
        <f>SUMIF(MO_Operations[ORDER], Calculations!A143, MO_Operations[Total Act Labor Hrs] )</f>
        <v>0.4</v>
      </c>
      <c r="H143" s="10">
        <f>-SUMIF(MO_Operations[ORDER], Calculations!A143, MO_Operations[Total Cost Variance] )</f>
        <v>-55</v>
      </c>
      <c r="I143" s="11">
        <f>SUMIF(MO_Components[Order], Calculations!A143, MO_Components[Std Cost])</f>
        <v>3965</v>
      </c>
      <c r="J143" s="11">
        <f>SUMIF(MO_Components[Order], Calculations!A143, MO_Components[Act Cost])</f>
        <v>3965</v>
      </c>
      <c r="K143" s="11">
        <f t="shared" si="8"/>
        <v>0</v>
      </c>
      <c r="L143" t="str">
        <f t="shared" si="9"/>
        <v>Negative</v>
      </c>
      <c r="M143" t="str">
        <f t="shared" si="10"/>
        <v>Negative</v>
      </c>
      <c r="N143" t="str">
        <f t="shared" si="11"/>
        <v/>
      </c>
    </row>
    <row r="144" spans="1:14" x14ac:dyDescent="0.25">
      <c r="A144" s="5" t="str">
        <v>MO17500</v>
      </c>
      <c r="B144" s="5" t="str">
        <f>_xlfn.IFNA(VLOOKUP(A144, MOs_Ready_to_close[[Order]:[Tot Est Machine Hrs]], 2, FALSE), "")</f>
        <v>Item857</v>
      </c>
      <c r="C144" s="5" t="str">
        <f>_xlfn.IFNA(VLOOKUP(A144, MOs_Ready_to_close[[Order]:[Tot Est Machine Hrs]], 4, FALSE), "")</f>
        <v>DeptD</v>
      </c>
      <c r="D144" s="6">
        <f>_xlfn.IFNA(VLOOKUP(A144, MOs_Ready_to_close[[Order]:[Tot Est Machine Hrs]], 8, FALSE), "")</f>
        <v>45787</v>
      </c>
      <c r="E144" s="7">
        <f>_xlfn.IFNA(VLOOKUP(A144, MOs_Ready_to_close[[Order]:[Tot Est Machine Hrs]], 9, FALSE), "")</f>
        <v>5</v>
      </c>
      <c r="F144" s="10">
        <f>SUMIF(MO_Operations[ORDER], Calculations!A144, MO_Operations[Standard Labor Hrs] )</f>
        <v>0.8</v>
      </c>
      <c r="G144" s="10">
        <f>SUMIF(MO_Operations[ORDER], Calculations!A144, MO_Operations[Total Act Labor Hrs] )</f>
        <v>0.60000000000000009</v>
      </c>
      <c r="H144" s="10">
        <f>-SUMIF(MO_Operations[ORDER], Calculations!A144, MO_Operations[Total Cost Variance] )</f>
        <v>-45</v>
      </c>
      <c r="I144" s="11">
        <f>SUMIF(MO_Components[Order], Calculations!A144, MO_Components[Std Cost])</f>
        <v>3965</v>
      </c>
      <c r="J144" s="11">
        <f>SUMIF(MO_Components[Order], Calculations!A144, MO_Components[Act Cost])</f>
        <v>3965</v>
      </c>
      <c r="K144" s="11">
        <f t="shared" si="8"/>
        <v>0</v>
      </c>
      <c r="L144" t="str">
        <f t="shared" si="9"/>
        <v>Positive</v>
      </c>
      <c r="M144" t="str">
        <f t="shared" si="10"/>
        <v>Negative</v>
      </c>
      <c r="N144" t="str">
        <f t="shared" si="11"/>
        <v/>
      </c>
    </row>
    <row r="145" spans="1:14" x14ac:dyDescent="0.25">
      <c r="A145" s="5" t="str">
        <v>MO17510</v>
      </c>
      <c r="B145" s="5" t="str">
        <f>_xlfn.IFNA(VLOOKUP(A145, MOs_Ready_to_close[[Order]:[Tot Est Machine Hrs]], 2, FALSE), "")</f>
        <v>Item857</v>
      </c>
      <c r="C145" s="5" t="str">
        <f>_xlfn.IFNA(VLOOKUP(A145, MOs_Ready_to_close[[Order]:[Tot Est Machine Hrs]], 4, FALSE), "")</f>
        <v>DeptD</v>
      </c>
      <c r="D145" s="6">
        <f>_xlfn.IFNA(VLOOKUP(A145, MOs_Ready_to_close[[Order]:[Tot Est Machine Hrs]], 8, FALSE), "")</f>
        <v>45780</v>
      </c>
      <c r="E145" s="7">
        <f>_xlfn.IFNA(VLOOKUP(A145, MOs_Ready_to_close[[Order]:[Tot Est Machine Hrs]], 9, FALSE), "")</f>
        <v>15</v>
      </c>
      <c r="F145" s="10">
        <f>SUMIF(MO_Operations[ORDER], Calculations!A145, MO_Operations[Standard Labor Hrs] )</f>
        <v>0.8</v>
      </c>
      <c r="G145" s="10">
        <f>SUMIF(MO_Operations[ORDER], Calculations!A145, MO_Operations[Total Act Labor Hrs] )</f>
        <v>0.4</v>
      </c>
      <c r="H145" s="10">
        <f>-SUMIF(MO_Operations[ORDER], Calculations!A145, MO_Operations[Total Cost Variance] )</f>
        <v>-30</v>
      </c>
      <c r="I145" s="11">
        <f>SUMIF(MO_Components[Order], Calculations!A145, MO_Components[Std Cost])</f>
        <v>3965</v>
      </c>
      <c r="J145" s="11">
        <f>SUMIF(MO_Components[Order], Calculations!A145, MO_Components[Act Cost])</f>
        <v>3965</v>
      </c>
      <c r="K145" s="11">
        <f t="shared" si="8"/>
        <v>0</v>
      </c>
      <c r="L145" t="str">
        <f t="shared" si="9"/>
        <v>Positive</v>
      </c>
      <c r="M145" t="str">
        <f t="shared" si="10"/>
        <v>Negative</v>
      </c>
      <c r="N145" t="str">
        <f t="shared" si="11"/>
        <v/>
      </c>
    </row>
    <row r="146" spans="1:14" x14ac:dyDescent="0.25">
      <c r="A146" s="5" t="str">
        <v>MO17520</v>
      </c>
      <c r="B146" s="5" t="str">
        <f>_xlfn.IFNA(VLOOKUP(A146, MOs_Ready_to_close[[Order]:[Tot Est Machine Hrs]], 2, FALSE), "")</f>
        <v>Item857</v>
      </c>
      <c r="C146" s="5" t="str">
        <f>_xlfn.IFNA(VLOOKUP(A146, MOs_Ready_to_close[[Order]:[Tot Est Machine Hrs]], 4, FALSE), "")</f>
        <v>DeptD</v>
      </c>
      <c r="D146" s="6">
        <f>_xlfn.IFNA(VLOOKUP(A146, MOs_Ready_to_close[[Order]:[Tot Est Machine Hrs]], 8, FALSE), "")</f>
        <v>45787</v>
      </c>
      <c r="E146" s="7">
        <f>_xlfn.IFNA(VLOOKUP(A146, MOs_Ready_to_close[[Order]:[Tot Est Machine Hrs]], 9, FALSE), "")</f>
        <v>10</v>
      </c>
      <c r="F146" s="10">
        <f>SUMIF(MO_Operations[ORDER], Calculations!A146, MO_Operations[Standard Labor Hrs] )</f>
        <v>0.8</v>
      </c>
      <c r="G146" s="10">
        <f>SUMIF(MO_Operations[ORDER], Calculations!A146, MO_Operations[Total Act Labor Hrs] )</f>
        <v>0.7</v>
      </c>
      <c r="H146" s="10">
        <f>-SUMIF(MO_Operations[ORDER], Calculations!A146, MO_Operations[Total Cost Variance] )</f>
        <v>-40</v>
      </c>
      <c r="I146" s="11">
        <f>SUMIF(MO_Components[Order], Calculations!A146, MO_Components[Std Cost])</f>
        <v>3965</v>
      </c>
      <c r="J146" s="11">
        <f>SUMIF(MO_Components[Order], Calculations!A146, MO_Components[Act Cost])</f>
        <v>3965</v>
      </c>
      <c r="K146" s="11">
        <f t="shared" si="8"/>
        <v>0</v>
      </c>
      <c r="L146" t="str">
        <f t="shared" si="9"/>
        <v>Positive</v>
      </c>
      <c r="M146" t="str">
        <f t="shared" si="10"/>
        <v>Negative</v>
      </c>
      <c r="N146" t="str">
        <f t="shared" si="11"/>
        <v/>
      </c>
    </row>
    <row r="147" spans="1:14" x14ac:dyDescent="0.25">
      <c r="A147" s="5" t="str">
        <v>MO17530</v>
      </c>
      <c r="B147" s="5" t="str">
        <f>_xlfn.IFNA(VLOOKUP(A147, MOs_Ready_to_close[[Order]:[Tot Est Machine Hrs]], 2, FALSE), "")</f>
        <v>Item857</v>
      </c>
      <c r="C147" s="5" t="str">
        <f>_xlfn.IFNA(VLOOKUP(A147, MOs_Ready_to_close[[Order]:[Tot Est Machine Hrs]], 4, FALSE), "")</f>
        <v>DeptD</v>
      </c>
      <c r="D147" s="6">
        <f>_xlfn.IFNA(VLOOKUP(A147, MOs_Ready_to_close[[Order]:[Tot Est Machine Hrs]], 8, FALSE), "")</f>
        <v>45780</v>
      </c>
      <c r="E147" s="7">
        <f>_xlfn.IFNA(VLOOKUP(A147, MOs_Ready_to_close[[Order]:[Tot Est Machine Hrs]], 9, FALSE), "")</f>
        <v>20</v>
      </c>
      <c r="F147" s="10">
        <f>SUMIF(MO_Operations[ORDER], Calculations!A147, MO_Operations[Standard Labor Hrs] )</f>
        <v>0.8</v>
      </c>
      <c r="G147" s="10">
        <f>SUMIF(MO_Operations[ORDER], Calculations!A147, MO_Operations[Total Act Labor Hrs] )</f>
        <v>0.4</v>
      </c>
      <c r="H147" s="10">
        <f>-SUMIF(MO_Operations[ORDER], Calculations!A147, MO_Operations[Total Cost Variance] )</f>
        <v>-30</v>
      </c>
      <c r="I147" s="11">
        <f>SUMIF(MO_Components[Order], Calculations!A147, MO_Components[Std Cost])</f>
        <v>3965</v>
      </c>
      <c r="J147" s="11">
        <f>SUMIF(MO_Components[Order], Calculations!A147, MO_Components[Act Cost])</f>
        <v>3965</v>
      </c>
      <c r="K147" s="11">
        <f t="shared" si="8"/>
        <v>0</v>
      </c>
      <c r="L147" t="str">
        <f t="shared" si="9"/>
        <v>Positive</v>
      </c>
      <c r="M147" t="str">
        <f t="shared" si="10"/>
        <v>Negative</v>
      </c>
      <c r="N147" t="str">
        <f t="shared" si="11"/>
        <v/>
      </c>
    </row>
    <row r="148" spans="1:14" x14ac:dyDescent="0.25">
      <c r="A148" s="5" t="str">
        <v>MO17540</v>
      </c>
      <c r="B148" s="5" t="str">
        <f>_xlfn.IFNA(VLOOKUP(A148, MOs_Ready_to_close[[Order]:[Tot Est Machine Hrs]], 2, FALSE), "")</f>
        <v>Item857</v>
      </c>
      <c r="C148" s="5" t="str">
        <f>_xlfn.IFNA(VLOOKUP(A148, MOs_Ready_to_close[[Order]:[Tot Est Machine Hrs]], 4, FALSE), "")</f>
        <v>DeptD</v>
      </c>
      <c r="D148" s="6">
        <f>_xlfn.IFNA(VLOOKUP(A148, MOs_Ready_to_close[[Order]:[Tot Est Machine Hrs]], 8, FALSE), "")</f>
        <v>45780</v>
      </c>
      <c r="E148" s="7">
        <f>_xlfn.IFNA(VLOOKUP(A148, MOs_Ready_to_close[[Order]:[Tot Est Machine Hrs]], 9, FALSE), "")</f>
        <v>20</v>
      </c>
      <c r="F148" s="10">
        <f>SUMIF(MO_Operations[ORDER], Calculations!A148, MO_Operations[Standard Labor Hrs] )</f>
        <v>0.8</v>
      </c>
      <c r="G148" s="10">
        <f>SUMIF(MO_Operations[ORDER], Calculations!A148, MO_Operations[Total Act Labor Hrs] )</f>
        <v>0.4</v>
      </c>
      <c r="H148" s="10">
        <f>-SUMIF(MO_Operations[ORDER], Calculations!A148, MO_Operations[Total Cost Variance] )</f>
        <v>-25</v>
      </c>
      <c r="I148" s="11">
        <f>SUMIF(MO_Components[Order], Calculations!A148, MO_Components[Std Cost])</f>
        <v>3965</v>
      </c>
      <c r="J148" s="11">
        <f>SUMIF(MO_Components[Order], Calculations!A148, MO_Components[Act Cost])</f>
        <v>3965</v>
      </c>
      <c r="K148" s="11">
        <f t="shared" si="8"/>
        <v>0</v>
      </c>
      <c r="L148" t="str">
        <f t="shared" si="9"/>
        <v>Positive</v>
      </c>
      <c r="M148" t="str">
        <f t="shared" si="10"/>
        <v>Negative</v>
      </c>
      <c r="N148" t="str">
        <f t="shared" si="11"/>
        <v/>
      </c>
    </row>
    <row r="149" spans="1:14" x14ac:dyDescent="0.25">
      <c r="A149" s="5" t="str">
        <v>MO17550</v>
      </c>
      <c r="B149" s="5" t="str">
        <f>_xlfn.IFNA(VLOOKUP(A149, MOs_Ready_to_close[[Order]:[Tot Est Machine Hrs]], 2, FALSE), "")</f>
        <v>Item857</v>
      </c>
      <c r="C149" s="5" t="str">
        <f>_xlfn.IFNA(VLOOKUP(A149, MOs_Ready_to_close[[Order]:[Tot Est Machine Hrs]], 4, FALSE), "")</f>
        <v>DeptD</v>
      </c>
      <c r="D149" s="6">
        <f>_xlfn.IFNA(VLOOKUP(A149, MOs_Ready_to_close[[Order]:[Tot Est Machine Hrs]], 8, FALSE), "")</f>
        <v>45780</v>
      </c>
      <c r="E149" s="7">
        <f>_xlfn.IFNA(VLOOKUP(A149, MOs_Ready_to_close[[Order]:[Tot Est Machine Hrs]], 9, FALSE), "")</f>
        <v>25</v>
      </c>
      <c r="F149" s="10">
        <f>SUMIF(MO_Operations[ORDER], Calculations!A149, MO_Operations[Standard Labor Hrs] )</f>
        <v>0.8</v>
      </c>
      <c r="G149" s="10">
        <f>SUMIF(MO_Operations[ORDER], Calculations!A149, MO_Operations[Total Act Labor Hrs] )</f>
        <v>0.5</v>
      </c>
      <c r="H149" s="10">
        <f>-SUMIF(MO_Operations[ORDER], Calculations!A149, MO_Operations[Total Cost Variance] )</f>
        <v>-25</v>
      </c>
      <c r="I149" s="11">
        <f>SUMIF(MO_Components[Order], Calculations!A149, MO_Components[Std Cost])</f>
        <v>3965</v>
      </c>
      <c r="J149" s="11">
        <f>SUMIF(MO_Components[Order], Calculations!A149, MO_Components[Act Cost])</f>
        <v>3965</v>
      </c>
      <c r="K149" s="11">
        <f t="shared" si="8"/>
        <v>0</v>
      </c>
      <c r="L149" t="str">
        <f t="shared" si="9"/>
        <v>Positive</v>
      </c>
      <c r="M149" t="str">
        <f t="shared" si="10"/>
        <v>Negative</v>
      </c>
      <c r="N149" t="str">
        <f t="shared" si="11"/>
        <v/>
      </c>
    </row>
    <row r="150" spans="1:14" x14ac:dyDescent="0.25">
      <c r="A150" s="5" t="str">
        <v>MO17560</v>
      </c>
      <c r="B150" s="5" t="str">
        <f>_xlfn.IFNA(VLOOKUP(A150, MOs_Ready_to_close[[Order]:[Tot Est Machine Hrs]], 2, FALSE), "")</f>
        <v>Item857</v>
      </c>
      <c r="C150" s="5" t="str">
        <f>_xlfn.IFNA(VLOOKUP(A150, MOs_Ready_to_close[[Order]:[Tot Est Machine Hrs]], 4, FALSE), "")</f>
        <v>DeptD</v>
      </c>
      <c r="D150" s="6">
        <f>_xlfn.IFNA(VLOOKUP(A150, MOs_Ready_to_close[[Order]:[Tot Est Machine Hrs]], 8, FALSE), "")</f>
        <v>45787</v>
      </c>
      <c r="E150" s="7">
        <f>_xlfn.IFNA(VLOOKUP(A150, MOs_Ready_to_close[[Order]:[Tot Est Machine Hrs]], 9, FALSE), "")</f>
        <v>0</v>
      </c>
      <c r="F150" s="10">
        <f>SUMIF(MO_Operations[ORDER], Calculations!A150, MO_Operations[Standard Labor Hrs] )</f>
        <v>0.8</v>
      </c>
      <c r="G150" s="10">
        <f>SUMIF(MO_Operations[ORDER], Calculations!A150, MO_Operations[Total Act Labor Hrs] )</f>
        <v>0.5</v>
      </c>
      <c r="H150" s="10">
        <f>-SUMIF(MO_Operations[ORDER], Calculations!A150, MO_Operations[Total Cost Variance] )</f>
        <v>-50</v>
      </c>
      <c r="I150" s="11">
        <f>SUMIF(MO_Components[Order], Calculations!A150, MO_Components[Std Cost])</f>
        <v>3965</v>
      </c>
      <c r="J150" s="11">
        <f>SUMIF(MO_Components[Order], Calculations!A150, MO_Components[Act Cost])</f>
        <v>3965</v>
      </c>
      <c r="K150" s="11">
        <f t="shared" si="8"/>
        <v>0</v>
      </c>
      <c r="L150" t="str">
        <f t="shared" si="9"/>
        <v>Negative</v>
      </c>
      <c r="M150" t="str">
        <f t="shared" si="10"/>
        <v>Negative</v>
      </c>
      <c r="N150" t="str">
        <f t="shared" si="11"/>
        <v/>
      </c>
    </row>
    <row r="151" spans="1:14" x14ac:dyDescent="0.25">
      <c r="A151" s="5" t="str">
        <v>MO18050</v>
      </c>
      <c r="B151" s="5" t="str">
        <f>_xlfn.IFNA(VLOOKUP(A151, MOs_Ready_to_close[[Order]:[Tot Est Machine Hrs]], 2, FALSE), "")</f>
        <v>Item1174</v>
      </c>
      <c r="C151" s="5" t="str">
        <f>_xlfn.IFNA(VLOOKUP(A151, MOs_Ready_to_close[[Order]:[Tot Est Machine Hrs]], 4, FALSE), "")</f>
        <v>DeptD</v>
      </c>
      <c r="D151" s="6">
        <f>_xlfn.IFNA(VLOOKUP(A151, MOs_Ready_to_close[[Order]:[Tot Est Machine Hrs]], 8, FALSE), "")</f>
        <v>45787</v>
      </c>
      <c r="E151" s="7">
        <f>_xlfn.IFNA(VLOOKUP(A151, MOs_Ready_to_close[[Order]:[Tot Est Machine Hrs]], 9, FALSE), "")</f>
        <v>-330</v>
      </c>
      <c r="F151" s="10">
        <f>SUMIF(MO_Operations[ORDER], Calculations!A151, MO_Operations[Standard Labor Hrs] )</f>
        <v>6</v>
      </c>
      <c r="G151" s="10">
        <f>SUMIF(MO_Operations[ORDER], Calculations!A151, MO_Operations[Total Act Labor Hrs] )</f>
        <v>6.7</v>
      </c>
      <c r="H151" s="10">
        <f>-SUMIF(MO_Operations[ORDER], Calculations!A151, MO_Operations[Total Cost Variance] )</f>
        <v>-15</v>
      </c>
      <c r="I151" s="11">
        <f>SUMIF(MO_Components[Order], Calculations!A151, MO_Components[Std Cost])</f>
        <v>20896</v>
      </c>
      <c r="J151" s="11">
        <f>SUMIF(MO_Components[Order], Calculations!A151, MO_Components[Act Cost])</f>
        <v>20896</v>
      </c>
      <c r="K151" s="11">
        <f t="shared" si="8"/>
        <v>0</v>
      </c>
      <c r="L151" t="str">
        <f t="shared" si="9"/>
        <v>Negative</v>
      </c>
      <c r="M151" t="str">
        <f t="shared" si="10"/>
        <v>Negative</v>
      </c>
      <c r="N151" t="str">
        <f t="shared" si="11"/>
        <v/>
      </c>
    </row>
    <row r="152" spans="1:14" x14ac:dyDescent="0.25">
      <c r="A152" s="5" t="str">
        <v>MO18100</v>
      </c>
      <c r="B152" s="5" t="str">
        <f>_xlfn.IFNA(VLOOKUP(A152, MOs_Ready_to_close[[Order]:[Tot Est Machine Hrs]], 2, FALSE), "")</f>
        <v>Item1174</v>
      </c>
      <c r="C152" s="5" t="str">
        <f>_xlfn.IFNA(VLOOKUP(A152, MOs_Ready_to_close[[Order]:[Tot Est Machine Hrs]], 4, FALSE), "")</f>
        <v>DeptD</v>
      </c>
      <c r="D152" s="6">
        <f>_xlfn.IFNA(VLOOKUP(A152, MOs_Ready_to_close[[Order]:[Tot Est Machine Hrs]], 8, FALSE), "")</f>
        <v>45787</v>
      </c>
      <c r="E152" s="7">
        <f>_xlfn.IFNA(VLOOKUP(A152, MOs_Ready_to_close[[Order]:[Tot Est Machine Hrs]], 9, FALSE), "")</f>
        <v>-120</v>
      </c>
      <c r="F152" s="10">
        <f>SUMIF(MO_Operations[ORDER], Calculations!A152, MO_Operations[Standard Labor Hrs] )</f>
        <v>6</v>
      </c>
      <c r="G152" s="10">
        <f>SUMIF(MO_Operations[ORDER], Calculations!A152, MO_Operations[Total Act Labor Hrs] )</f>
        <v>10.200000000000001</v>
      </c>
      <c r="H152" s="10">
        <f>-SUMIF(MO_Operations[ORDER], Calculations!A152, MO_Operations[Total Cost Variance] )</f>
        <v>190</v>
      </c>
      <c r="I152" s="11">
        <f>SUMIF(MO_Components[Order], Calculations!A152, MO_Components[Std Cost])</f>
        <v>20896</v>
      </c>
      <c r="J152" s="11">
        <f>SUMIF(MO_Components[Order], Calculations!A152, MO_Components[Act Cost])</f>
        <v>20896</v>
      </c>
      <c r="K152" s="11">
        <f t="shared" si="8"/>
        <v>0</v>
      </c>
      <c r="L152" t="str">
        <f t="shared" si="9"/>
        <v>Negative</v>
      </c>
      <c r="M152" t="str">
        <f t="shared" si="10"/>
        <v>Positive</v>
      </c>
      <c r="N152" t="str">
        <f t="shared" si="11"/>
        <v/>
      </c>
    </row>
    <row r="153" spans="1:14" x14ac:dyDescent="0.25">
      <c r="A153" s="5" t="str">
        <v>MO18230</v>
      </c>
      <c r="B153" s="5" t="str">
        <f>_xlfn.IFNA(VLOOKUP(A153, MOs_Ready_to_close[[Order]:[Tot Est Machine Hrs]], 2, FALSE), "")</f>
        <v>Item1174</v>
      </c>
      <c r="C153" s="5" t="str">
        <f>_xlfn.IFNA(VLOOKUP(A153, MOs_Ready_to_close[[Order]:[Tot Est Machine Hrs]], 4, FALSE), "")</f>
        <v>DeptD</v>
      </c>
      <c r="D153" s="6">
        <f>_xlfn.IFNA(VLOOKUP(A153, MOs_Ready_to_close[[Order]:[Tot Est Machine Hrs]], 8, FALSE), "")</f>
        <v>45787</v>
      </c>
      <c r="E153" s="7">
        <f>_xlfn.IFNA(VLOOKUP(A153, MOs_Ready_to_close[[Order]:[Tot Est Machine Hrs]], 9, FALSE), "")</f>
        <v>55</v>
      </c>
      <c r="F153" s="10">
        <f>SUMIF(MO_Operations[ORDER], Calculations!A153, MO_Operations[Standard Labor Hrs] )</f>
        <v>6</v>
      </c>
      <c r="G153" s="10">
        <f>SUMIF(MO_Operations[ORDER], Calculations!A153, MO_Operations[Total Act Labor Hrs] )</f>
        <v>12.600000000000001</v>
      </c>
      <c r="H153" s="10">
        <f>-SUMIF(MO_Operations[ORDER], Calculations!A153, MO_Operations[Total Cost Variance] )</f>
        <v>375</v>
      </c>
      <c r="I153" s="11">
        <f>SUMIF(MO_Components[Order], Calculations!A153, MO_Components[Std Cost])</f>
        <v>20896</v>
      </c>
      <c r="J153" s="11">
        <f>SUMIF(MO_Components[Order], Calculations!A153, MO_Components[Act Cost])</f>
        <v>20896</v>
      </c>
      <c r="K153" s="11">
        <f t="shared" si="8"/>
        <v>0</v>
      </c>
      <c r="L153" t="str">
        <f t="shared" si="9"/>
        <v>Positive</v>
      </c>
      <c r="M153" t="str">
        <f t="shared" si="10"/>
        <v>Positive</v>
      </c>
      <c r="N153" t="str">
        <f t="shared" si="11"/>
        <v/>
      </c>
    </row>
    <row r="154" spans="1:14" x14ac:dyDescent="0.25">
      <c r="B154" s="5" t="str">
        <f>_xlfn.IFNA(VLOOKUP(A154, MOs_Ready_to_close[[Order]:[Tot Est Machine Hrs]], 2, FALSE), "")</f>
        <v/>
      </c>
      <c r="C154" s="5" t="str">
        <f>_xlfn.IFNA(VLOOKUP(A154, MOs_Ready_to_close[[Order]:[Tot Est Machine Hrs]], 4, FALSE), "")</f>
        <v/>
      </c>
      <c r="D154" s="6" t="str">
        <f>_xlfn.IFNA(VLOOKUP(A154, MOs_Ready_to_close[[Order]:[Tot Est Machine Hrs]], 8, FALSE), "")</f>
        <v/>
      </c>
      <c r="E154" s="7" t="str">
        <f>_xlfn.IFNA(VLOOKUP(A154, MOs_Ready_to_close[[Order]:[Tot Est Machine Hrs]], 9, FALSE), "")</f>
        <v/>
      </c>
      <c r="I154" s="11">
        <f>SUMIF(MO_Components[Order], Calculations!A154, MO_Components[Std Cost])</f>
        <v>0</v>
      </c>
      <c r="J154" s="11">
        <f>SUMIF(MO_Components[Order], Calculations!A154, MO_Components[Act Cost])</f>
        <v>0</v>
      </c>
      <c r="K154" s="11">
        <f t="shared" si="8"/>
        <v>0</v>
      </c>
      <c r="L154" t="str">
        <f t="shared" si="9"/>
        <v/>
      </c>
      <c r="M154" t="str">
        <f t="shared" si="10"/>
        <v/>
      </c>
      <c r="N154" t="str">
        <f t="shared" si="11"/>
        <v/>
      </c>
    </row>
    <row r="155" spans="1:14" x14ac:dyDescent="0.25">
      <c r="B155" s="5" t="str">
        <f>_xlfn.IFNA(VLOOKUP(A155, MOs_Ready_to_close[[Order]:[Tot Est Machine Hrs]], 2, FALSE), "")</f>
        <v/>
      </c>
      <c r="C155" s="5" t="str">
        <f>_xlfn.IFNA(VLOOKUP(A155, MOs_Ready_to_close[[Order]:[Tot Est Machine Hrs]], 4, FALSE), "")</f>
        <v/>
      </c>
      <c r="D155" s="6" t="str">
        <f>_xlfn.IFNA(VLOOKUP(A155, MOs_Ready_to_close[[Order]:[Tot Est Machine Hrs]], 8, FALSE), "")</f>
        <v/>
      </c>
      <c r="E155" s="7" t="str">
        <f>_xlfn.IFNA(VLOOKUP(A155, MOs_Ready_to_close[[Order]:[Tot Est Machine Hrs]], 9, FALSE), "")</f>
        <v/>
      </c>
      <c r="I155" s="11">
        <f>SUMIF(MO_Components[Order], Calculations!A155, MO_Components[Std Cost])</f>
        <v>0</v>
      </c>
      <c r="J155" s="11">
        <f>SUMIF(MO_Components[Order], Calculations!A155, MO_Components[Act Cost])</f>
        <v>0</v>
      </c>
      <c r="K155" s="11">
        <f t="shared" si="8"/>
        <v>0</v>
      </c>
      <c r="L155" t="str">
        <f t="shared" si="9"/>
        <v/>
      </c>
      <c r="M155" t="str">
        <f t="shared" si="10"/>
        <v/>
      </c>
      <c r="N155" t="str">
        <f t="shared" si="11"/>
        <v/>
      </c>
    </row>
    <row r="156" spans="1:14" x14ac:dyDescent="0.25">
      <c r="B156" s="5" t="str">
        <f>_xlfn.IFNA(VLOOKUP(A156, MOs_Ready_to_close[[Order]:[Tot Est Machine Hrs]], 2, FALSE), "")</f>
        <v/>
      </c>
      <c r="C156" s="5" t="str">
        <f>_xlfn.IFNA(VLOOKUP(A156, MOs_Ready_to_close[[Order]:[Tot Est Machine Hrs]], 4, FALSE), "")</f>
        <v/>
      </c>
      <c r="D156" s="6" t="str">
        <f>_xlfn.IFNA(VLOOKUP(A156, MOs_Ready_to_close[[Order]:[Tot Est Machine Hrs]], 8, FALSE), "")</f>
        <v/>
      </c>
      <c r="E156" s="7" t="str">
        <f>_xlfn.IFNA(VLOOKUP(A156, MOs_Ready_to_close[[Order]:[Tot Est Machine Hrs]], 9, FALSE), "")</f>
        <v/>
      </c>
      <c r="I156" s="11">
        <f>SUMIF(MO_Components[Order], Calculations!A156, MO_Components[Std Cost])</f>
        <v>0</v>
      </c>
      <c r="J156" s="11">
        <f>SUMIF(MO_Components[Order], Calculations!A156, MO_Components[Act Cost])</f>
        <v>0</v>
      </c>
      <c r="K156" s="11">
        <f t="shared" si="8"/>
        <v>0</v>
      </c>
      <c r="L156" t="str">
        <f t="shared" si="9"/>
        <v/>
      </c>
      <c r="M156" t="str">
        <f t="shared" si="10"/>
        <v/>
      </c>
      <c r="N156" t="str">
        <f t="shared" si="11"/>
        <v/>
      </c>
    </row>
    <row r="157" spans="1:14" x14ac:dyDescent="0.25">
      <c r="B157" s="5" t="str">
        <f>_xlfn.IFNA(VLOOKUP(A157, MOs_Ready_to_close[[Order]:[Tot Est Machine Hrs]], 2, FALSE), "")</f>
        <v/>
      </c>
      <c r="C157" s="5" t="str">
        <f>_xlfn.IFNA(VLOOKUP(A157, MOs_Ready_to_close[[Order]:[Tot Est Machine Hrs]], 4, FALSE), "")</f>
        <v/>
      </c>
      <c r="D157" s="6" t="str">
        <f>_xlfn.IFNA(VLOOKUP(A157, MOs_Ready_to_close[[Order]:[Tot Est Machine Hrs]], 8, FALSE), "")</f>
        <v/>
      </c>
      <c r="E157" s="7" t="str">
        <f>_xlfn.IFNA(VLOOKUP(A157, MOs_Ready_to_close[[Order]:[Tot Est Machine Hrs]], 9, FALSE), "")</f>
        <v/>
      </c>
      <c r="I157" s="11">
        <f>SUMIF(MO_Components[Order], Calculations!A157, MO_Components[Std Cost])</f>
        <v>0</v>
      </c>
      <c r="J157" s="11">
        <f>SUMIF(MO_Components[Order], Calculations!A157, MO_Components[Act Cost])</f>
        <v>0</v>
      </c>
      <c r="K157" s="11">
        <f t="shared" si="8"/>
        <v>0</v>
      </c>
      <c r="L157" t="str">
        <f t="shared" si="9"/>
        <v/>
      </c>
      <c r="M157" t="str">
        <f t="shared" si="10"/>
        <v/>
      </c>
      <c r="N157" t="str">
        <f t="shared" si="11"/>
        <v/>
      </c>
    </row>
    <row r="158" spans="1:14" x14ac:dyDescent="0.25">
      <c r="B158" s="5" t="str">
        <f>_xlfn.IFNA(VLOOKUP(A158, MOs_Ready_to_close[[Order]:[Tot Est Machine Hrs]], 2, FALSE), "")</f>
        <v/>
      </c>
      <c r="C158" s="5" t="str">
        <f>_xlfn.IFNA(VLOOKUP(A158, MOs_Ready_to_close[[Order]:[Tot Est Machine Hrs]], 4, FALSE), "")</f>
        <v/>
      </c>
      <c r="D158" s="6" t="str">
        <f>_xlfn.IFNA(VLOOKUP(A158, MOs_Ready_to_close[[Order]:[Tot Est Machine Hrs]], 8, FALSE), "")</f>
        <v/>
      </c>
      <c r="E158" s="7" t="str">
        <f>_xlfn.IFNA(VLOOKUP(A158, MOs_Ready_to_close[[Order]:[Tot Est Machine Hrs]], 9, FALSE), "")</f>
        <v/>
      </c>
      <c r="I158" s="11">
        <f>SUMIF(MO_Components[Order], Calculations!A158, MO_Components[Std Cost])</f>
        <v>0</v>
      </c>
      <c r="J158" s="11">
        <f>SUMIF(MO_Components[Order], Calculations!A158, MO_Components[Act Cost])</f>
        <v>0</v>
      </c>
      <c r="K158" s="11">
        <f t="shared" si="8"/>
        <v>0</v>
      </c>
      <c r="L158" t="str">
        <f t="shared" si="9"/>
        <v/>
      </c>
      <c r="M158" t="str">
        <f t="shared" si="10"/>
        <v/>
      </c>
      <c r="N158" t="str">
        <f t="shared" si="11"/>
        <v/>
      </c>
    </row>
    <row r="159" spans="1:14" x14ac:dyDescent="0.25">
      <c r="B159" s="5" t="str">
        <f>_xlfn.IFNA(VLOOKUP(A159, MOs_Ready_to_close[[Order]:[Tot Est Machine Hrs]], 2, FALSE), "")</f>
        <v/>
      </c>
      <c r="C159" s="5" t="str">
        <f>_xlfn.IFNA(VLOOKUP(A159, MOs_Ready_to_close[[Order]:[Tot Est Machine Hrs]], 4, FALSE), "")</f>
        <v/>
      </c>
      <c r="D159" s="6" t="str">
        <f>_xlfn.IFNA(VLOOKUP(A159, MOs_Ready_to_close[[Order]:[Tot Est Machine Hrs]], 8, FALSE), "")</f>
        <v/>
      </c>
      <c r="E159" s="7" t="str">
        <f>_xlfn.IFNA(VLOOKUP(A159, MOs_Ready_to_close[[Order]:[Tot Est Machine Hrs]], 9, FALSE), "")</f>
        <v/>
      </c>
      <c r="I159" s="11">
        <f>SUMIF(MO_Components[Order], Calculations!A159, MO_Components[Std Cost])</f>
        <v>0</v>
      </c>
      <c r="J159" s="11">
        <f>SUMIF(MO_Components[Order], Calculations!A159, MO_Components[Act Cost])</f>
        <v>0</v>
      </c>
      <c r="K159" s="11">
        <f t="shared" si="8"/>
        <v>0</v>
      </c>
      <c r="L159" t="str">
        <f t="shared" si="9"/>
        <v/>
      </c>
      <c r="M159" t="str">
        <f t="shared" si="10"/>
        <v/>
      </c>
      <c r="N159" t="str">
        <f t="shared" si="11"/>
        <v/>
      </c>
    </row>
    <row r="160" spans="1:14" x14ac:dyDescent="0.25">
      <c r="B160" s="5" t="str">
        <f>_xlfn.IFNA(VLOOKUP(A160, MOs_Ready_to_close[[Order]:[Tot Est Machine Hrs]], 2, FALSE), "")</f>
        <v/>
      </c>
      <c r="C160" s="5" t="str">
        <f>_xlfn.IFNA(VLOOKUP(A160, MOs_Ready_to_close[[Order]:[Tot Est Machine Hrs]], 4, FALSE), "")</f>
        <v/>
      </c>
      <c r="D160" s="6" t="str">
        <f>_xlfn.IFNA(VLOOKUP(A160, MOs_Ready_to_close[[Order]:[Tot Est Machine Hrs]], 8, FALSE), "")</f>
        <v/>
      </c>
      <c r="E160" s="7" t="str">
        <f>_xlfn.IFNA(VLOOKUP(A160, MOs_Ready_to_close[[Order]:[Tot Est Machine Hrs]], 9, FALSE), "")</f>
        <v/>
      </c>
      <c r="I160" s="11">
        <f>SUMIF(MO_Components[Order], Calculations!A160, MO_Components[Std Cost])</f>
        <v>0</v>
      </c>
      <c r="J160" s="11">
        <f>SUMIF(MO_Components[Order], Calculations!A160, MO_Components[Act Cost])</f>
        <v>0</v>
      </c>
      <c r="K160" s="11">
        <f t="shared" si="8"/>
        <v>0</v>
      </c>
      <c r="L160" t="str">
        <f t="shared" si="9"/>
        <v/>
      </c>
      <c r="M160" t="str">
        <f t="shared" si="10"/>
        <v/>
      </c>
      <c r="N160" t="str">
        <f t="shared" si="11"/>
        <v/>
      </c>
    </row>
    <row r="161" spans="2:14" x14ac:dyDescent="0.25">
      <c r="B161" s="5" t="str">
        <f>_xlfn.IFNA(VLOOKUP(A161, MOs_Ready_to_close[[Order]:[Tot Est Machine Hrs]], 2, FALSE), "")</f>
        <v/>
      </c>
      <c r="C161" s="5" t="str">
        <f>_xlfn.IFNA(VLOOKUP(A161, MOs_Ready_to_close[[Order]:[Tot Est Machine Hrs]], 4, FALSE), "")</f>
        <v/>
      </c>
      <c r="D161" s="6" t="str">
        <f>_xlfn.IFNA(VLOOKUP(A161, MOs_Ready_to_close[[Order]:[Tot Est Machine Hrs]], 8, FALSE), "")</f>
        <v/>
      </c>
      <c r="E161" s="7" t="str">
        <f>_xlfn.IFNA(VLOOKUP(A161, MOs_Ready_to_close[[Order]:[Tot Est Machine Hrs]], 9, FALSE), "")</f>
        <v/>
      </c>
      <c r="I161" s="11">
        <f>SUMIF(MO_Components[Order], Calculations!A161, MO_Components[Std Cost])</f>
        <v>0</v>
      </c>
      <c r="J161" s="11">
        <f>SUMIF(MO_Components[Order], Calculations!A161, MO_Components[Act Cost])</f>
        <v>0</v>
      </c>
      <c r="K161" s="11">
        <f t="shared" si="8"/>
        <v>0</v>
      </c>
      <c r="L161" t="str">
        <f t="shared" si="9"/>
        <v/>
      </c>
      <c r="M161" t="str">
        <f t="shared" si="10"/>
        <v/>
      </c>
      <c r="N161" t="str">
        <f t="shared" si="11"/>
        <v/>
      </c>
    </row>
    <row r="162" spans="2:14" x14ac:dyDescent="0.25">
      <c r="B162" s="5" t="str">
        <f>_xlfn.IFNA(VLOOKUP(A162, MOs_Ready_to_close[[Order]:[Tot Est Machine Hrs]], 2, FALSE), "")</f>
        <v/>
      </c>
      <c r="C162" s="5" t="str">
        <f>_xlfn.IFNA(VLOOKUP(A162, MOs_Ready_to_close[[Order]:[Tot Est Machine Hrs]], 4, FALSE), "")</f>
        <v/>
      </c>
      <c r="D162" s="6" t="str">
        <f>_xlfn.IFNA(VLOOKUP(A162, MOs_Ready_to_close[[Order]:[Tot Est Machine Hrs]], 8, FALSE), "")</f>
        <v/>
      </c>
      <c r="E162" s="7" t="str">
        <f>_xlfn.IFNA(VLOOKUP(A162, MOs_Ready_to_close[[Order]:[Tot Est Machine Hrs]], 9, FALSE), "")</f>
        <v/>
      </c>
      <c r="I162" s="11">
        <f>SUMIF(MO_Components[Order], Calculations!A162, MO_Components[Std Cost])</f>
        <v>0</v>
      </c>
      <c r="J162" s="11">
        <f>SUMIF(MO_Components[Order], Calculations!A162, MO_Components[Act Cost])</f>
        <v>0</v>
      </c>
      <c r="K162" s="11">
        <f t="shared" si="8"/>
        <v>0</v>
      </c>
      <c r="L162" t="str">
        <f t="shared" si="9"/>
        <v/>
      </c>
      <c r="M162" t="str">
        <f t="shared" si="10"/>
        <v/>
      </c>
      <c r="N162" t="str">
        <f t="shared" si="11"/>
        <v/>
      </c>
    </row>
    <row r="163" spans="2:14" x14ac:dyDescent="0.25">
      <c r="B163" s="5" t="str">
        <f>_xlfn.IFNA(VLOOKUP(A163, MOs_Ready_to_close[[Order]:[Tot Est Machine Hrs]], 2, FALSE), "")</f>
        <v/>
      </c>
      <c r="C163" s="5" t="str">
        <f>_xlfn.IFNA(VLOOKUP(A163, MOs_Ready_to_close[[Order]:[Tot Est Machine Hrs]], 4, FALSE), "")</f>
        <v/>
      </c>
      <c r="D163" s="6" t="str">
        <f>_xlfn.IFNA(VLOOKUP(A163, MOs_Ready_to_close[[Order]:[Tot Est Machine Hrs]], 8, FALSE), "")</f>
        <v/>
      </c>
      <c r="E163" s="7" t="str">
        <f>_xlfn.IFNA(VLOOKUP(A163, MOs_Ready_to_close[[Order]:[Tot Est Machine Hrs]], 9, FALSE), "")</f>
        <v/>
      </c>
      <c r="I163" s="11">
        <f>SUMIF(MO_Components[Order], Calculations!A163, MO_Components[Std Cost])</f>
        <v>0</v>
      </c>
      <c r="J163" s="11">
        <f>SUMIF(MO_Components[Order], Calculations!A163, MO_Components[Act Cost])</f>
        <v>0</v>
      </c>
      <c r="K163" s="11">
        <f t="shared" si="8"/>
        <v>0</v>
      </c>
      <c r="L163" t="str">
        <f t="shared" si="9"/>
        <v/>
      </c>
      <c r="M163" t="str">
        <f t="shared" si="10"/>
        <v/>
      </c>
      <c r="N163" t="str">
        <f t="shared" si="11"/>
        <v/>
      </c>
    </row>
    <row r="164" spans="2:14" x14ac:dyDescent="0.25">
      <c r="B164" s="5" t="str">
        <f>_xlfn.IFNA(VLOOKUP(A164, MOs_Ready_to_close[[Order]:[Tot Est Machine Hrs]], 2, FALSE), "")</f>
        <v/>
      </c>
      <c r="C164" s="5" t="str">
        <f>_xlfn.IFNA(VLOOKUP(A164, MOs_Ready_to_close[[Order]:[Tot Est Machine Hrs]], 4, FALSE), "")</f>
        <v/>
      </c>
      <c r="D164" s="6" t="str">
        <f>_xlfn.IFNA(VLOOKUP(A164, MOs_Ready_to_close[[Order]:[Tot Est Machine Hrs]], 8, FALSE), "")</f>
        <v/>
      </c>
      <c r="E164" s="7" t="str">
        <f>_xlfn.IFNA(VLOOKUP(A164, MOs_Ready_to_close[[Order]:[Tot Est Machine Hrs]], 9, FALSE), "")</f>
        <v/>
      </c>
      <c r="I164" s="11">
        <f>SUMIF(MO_Components[Order], Calculations!A164, MO_Components[Std Cost])</f>
        <v>0</v>
      </c>
      <c r="J164" s="11">
        <f>SUMIF(MO_Components[Order], Calculations!A164, MO_Components[Act Cost])</f>
        <v>0</v>
      </c>
      <c r="K164" s="11">
        <f t="shared" si="8"/>
        <v>0</v>
      </c>
      <c r="L164" t="str">
        <f t="shared" si="9"/>
        <v/>
      </c>
      <c r="M164" t="str">
        <f t="shared" si="10"/>
        <v/>
      </c>
      <c r="N164" t="str">
        <f t="shared" si="11"/>
        <v/>
      </c>
    </row>
    <row r="165" spans="2:14" x14ac:dyDescent="0.25">
      <c r="B165" s="5" t="str">
        <f>_xlfn.IFNA(VLOOKUP(A165, MOs_Ready_to_close[[Order]:[Tot Est Machine Hrs]], 2, FALSE), "")</f>
        <v/>
      </c>
      <c r="C165" s="5" t="str">
        <f>_xlfn.IFNA(VLOOKUP(A165, MOs_Ready_to_close[[Order]:[Tot Est Machine Hrs]], 4, FALSE), "")</f>
        <v/>
      </c>
      <c r="D165" s="6" t="str">
        <f>_xlfn.IFNA(VLOOKUP(A165, MOs_Ready_to_close[[Order]:[Tot Est Machine Hrs]], 8, FALSE), "")</f>
        <v/>
      </c>
      <c r="E165" s="7" t="str">
        <f>_xlfn.IFNA(VLOOKUP(A165, MOs_Ready_to_close[[Order]:[Tot Est Machine Hrs]], 9, FALSE), "")</f>
        <v/>
      </c>
      <c r="I165" s="11">
        <f>SUMIF(MO_Components[Order], Calculations!A165, MO_Components[Std Cost])</f>
        <v>0</v>
      </c>
      <c r="J165" s="11">
        <f>SUMIF(MO_Components[Order], Calculations!A165, MO_Components[Act Cost])</f>
        <v>0</v>
      </c>
      <c r="K165" s="11">
        <f t="shared" si="8"/>
        <v>0</v>
      </c>
      <c r="L165" t="str">
        <f t="shared" si="9"/>
        <v/>
      </c>
      <c r="M165" t="str">
        <f t="shared" si="10"/>
        <v/>
      </c>
      <c r="N165" t="str">
        <f t="shared" si="11"/>
        <v/>
      </c>
    </row>
    <row r="166" spans="2:14" x14ac:dyDescent="0.25">
      <c r="B166" s="5" t="str">
        <f>_xlfn.IFNA(VLOOKUP(A166, MOs_Ready_to_close[[Order]:[Tot Est Machine Hrs]], 2, FALSE), "")</f>
        <v/>
      </c>
      <c r="C166" s="5" t="str">
        <f>_xlfn.IFNA(VLOOKUP(A166, MOs_Ready_to_close[[Order]:[Tot Est Machine Hrs]], 4, FALSE), "")</f>
        <v/>
      </c>
      <c r="D166" s="6" t="str">
        <f>_xlfn.IFNA(VLOOKUP(A166, MOs_Ready_to_close[[Order]:[Tot Est Machine Hrs]], 8, FALSE), "")</f>
        <v/>
      </c>
      <c r="E166" s="7" t="str">
        <f>_xlfn.IFNA(VLOOKUP(A166, MOs_Ready_to_close[[Order]:[Tot Est Machine Hrs]], 9, FALSE), "")</f>
        <v/>
      </c>
      <c r="I166" s="11">
        <f>SUMIF(MO_Components[Order], Calculations!A166, MO_Components[Std Cost])</f>
        <v>0</v>
      </c>
      <c r="J166" s="11">
        <f>SUMIF(MO_Components[Order], Calculations!A166, MO_Components[Act Cost])</f>
        <v>0</v>
      </c>
      <c r="K166" s="11">
        <f t="shared" si="8"/>
        <v>0</v>
      </c>
      <c r="L166" t="str">
        <f t="shared" si="9"/>
        <v/>
      </c>
      <c r="M166" t="str">
        <f t="shared" si="10"/>
        <v/>
      </c>
      <c r="N166" t="str">
        <f t="shared" si="11"/>
        <v/>
      </c>
    </row>
    <row r="167" spans="2:14" x14ac:dyDescent="0.25">
      <c r="B167" s="5" t="str">
        <f>_xlfn.IFNA(VLOOKUP(A167, MOs_Ready_to_close[[Order]:[Tot Est Machine Hrs]], 2, FALSE), "")</f>
        <v/>
      </c>
      <c r="C167" s="5" t="str">
        <f>_xlfn.IFNA(VLOOKUP(A167, MOs_Ready_to_close[[Order]:[Tot Est Machine Hrs]], 4, FALSE), "")</f>
        <v/>
      </c>
      <c r="D167" s="6" t="str">
        <f>_xlfn.IFNA(VLOOKUP(A167, MOs_Ready_to_close[[Order]:[Tot Est Machine Hrs]], 8, FALSE), "")</f>
        <v/>
      </c>
      <c r="E167" s="7" t="str">
        <f>_xlfn.IFNA(VLOOKUP(A167, MOs_Ready_to_close[[Order]:[Tot Est Machine Hrs]], 9, FALSE), "")</f>
        <v/>
      </c>
      <c r="I167" s="11">
        <f>SUMIF(MO_Components[Order], Calculations!A167, MO_Components[Std Cost])</f>
        <v>0</v>
      </c>
      <c r="J167" s="11">
        <f>SUMIF(MO_Components[Order], Calculations!A167, MO_Components[Act Cost])</f>
        <v>0</v>
      </c>
      <c r="K167" s="11">
        <f t="shared" si="8"/>
        <v>0</v>
      </c>
      <c r="L167" t="str">
        <f t="shared" si="9"/>
        <v/>
      </c>
      <c r="M167" t="str">
        <f t="shared" si="10"/>
        <v/>
      </c>
      <c r="N167" t="str">
        <f t="shared" si="11"/>
        <v/>
      </c>
    </row>
    <row r="168" spans="2:14" x14ac:dyDescent="0.25">
      <c r="B168" s="5" t="str">
        <f>_xlfn.IFNA(VLOOKUP(A168, MOs_Ready_to_close[[Order]:[Tot Est Machine Hrs]], 2, FALSE), "")</f>
        <v/>
      </c>
      <c r="C168" s="5" t="str">
        <f>_xlfn.IFNA(VLOOKUP(A168, MOs_Ready_to_close[[Order]:[Tot Est Machine Hrs]], 4, FALSE), "")</f>
        <v/>
      </c>
      <c r="D168" s="6" t="str">
        <f>_xlfn.IFNA(VLOOKUP(A168, MOs_Ready_to_close[[Order]:[Tot Est Machine Hrs]], 8, FALSE), "")</f>
        <v/>
      </c>
      <c r="E168" s="7" t="str">
        <f>_xlfn.IFNA(VLOOKUP(A168, MOs_Ready_to_close[[Order]:[Tot Est Machine Hrs]], 9, FALSE), "")</f>
        <v/>
      </c>
      <c r="I168" s="11">
        <f>SUMIF(MO_Components[Order], Calculations!A168, MO_Components[Std Cost])</f>
        <v>0</v>
      </c>
      <c r="J168" s="11">
        <f>SUMIF(MO_Components[Order], Calculations!A168, MO_Components[Act Cost])</f>
        <v>0</v>
      </c>
      <c r="K168" s="11">
        <f t="shared" si="8"/>
        <v>0</v>
      </c>
      <c r="L168" t="str">
        <f t="shared" si="9"/>
        <v/>
      </c>
      <c r="M168" t="str">
        <f t="shared" si="10"/>
        <v/>
      </c>
      <c r="N168" t="str">
        <f t="shared" si="11"/>
        <v/>
      </c>
    </row>
    <row r="169" spans="2:14" x14ac:dyDescent="0.25">
      <c r="B169" s="5" t="str">
        <f>_xlfn.IFNA(VLOOKUP(A169, MOs_Ready_to_close[[Order]:[Tot Est Machine Hrs]], 2, FALSE), "")</f>
        <v/>
      </c>
      <c r="C169" s="5" t="str">
        <f>_xlfn.IFNA(VLOOKUP(A169, MOs_Ready_to_close[[Order]:[Tot Est Machine Hrs]], 4, FALSE), "")</f>
        <v/>
      </c>
      <c r="D169" s="6" t="str">
        <f>_xlfn.IFNA(VLOOKUP(A169, MOs_Ready_to_close[[Order]:[Tot Est Machine Hrs]], 8, FALSE), "")</f>
        <v/>
      </c>
      <c r="E169" s="7" t="str">
        <f>_xlfn.IFNA(VLOOKUP(A169, MOs_Ready_to_close[[Order]:[Tot Est Machine Hrs]], 9, FALSE), "")</f>
        <v/>
      </c>
      <c r="I169" s="11">
        <f>SUMIF(MO_Components[Order], Calculations!A169, MO_Components[Std Cost])</f>
        <v>0</v>
      </c>
      <c r="J169" s="11">
        <f>SUMIF(MO_Components[Order], Calculations!A169, MO_Components[Act Cost])</f>
        <v>0</v>
      </c>
      <c r="K169" s="11">
        <f t="shared" si="8"/>
        <v>0</v>
      </c>
      <c r="L169" t="str">
        <f t="shared" si="9"/>
        <v/>
      </c>
      <c r="M169" t="str">
        <f t="shared" si="10"/>
        <v/>
      </c>
      <c r="N169" t="str">
        <f t="shared" si="11"/>
        <v/>
      </c>
    </row>
    <row r="170" spans="2:14" x14ac:dyDescent="0.25">
      <c r="B170" s="5" t="str">
        <f>_xlfn.IFNA(VLOOKUP(A170, MOs_Ready_to_close[[Order]:[Tot Est Machine Hrs]], 2, FALSE), "")</f>
        <v/>
      </c>
      <c r="C170" s="5" t="str">
        <f>_xlfn.IFNA(VLOOKUP(A170, MOs_Ready_to_close[[Order]:[Tot Est Machine Hrs]], 4, FALSE), "")</f>
        <v/>
      </c>
      <c r="D170" s="6" t="str">
        <f>_xlfn.IFNA(VLOOKUP(A170, MOs_Ready_to_close[[Order]:[Tot Est Machine Hrs]], 8, FALSE), "")</f>
        <v/>
      </c>
      <c r="E170" s="7" t="str">
        <f>_xlfn.IFNA(VLOOKUP(A170, MOs_Ready_to_close[[Order]:[Tot Est Machine Hrs]], 9, FALSE), "")</f>
        <v/>
      </c>
      <c r="I170" s="11">
        <f>SUMIF(MO_Components[Order], Calculations!A170, MO_Components[Std Cost])</f>
        <v>0</v>
      </c>
      <c r="J170" s="11">
        <f>SUMIF(MO_Components[Order], Calculations!A170, MO_Components[Act Cost])</f>
        <v>0</v>
      </c>
      <c r="K170" s="11">
        <f t="shared" si="8"/>
        <v>0</v>
      </c>
      <c r="L170" t="str">
        <f t="shared" si="9"/>
        <v/>
      </c>
      <c r="M170" t="str">
        <f t="shared" si="10"/>
        <v/>
      </c>
      <c r="N170" t="str">
        <f t="shared" si="11"/>
        <v/>
      </c>
    </row>
    <row r="171" spans="2:14" x14ac:dyDescent="0.25">
      <c r="B171" s="5" t="str">
        <f>_xlfn.IFNA(VLOOKUP(A171, MOs_Ready_to_close[[Order]:[Tot Est Machine Hrs]], 2, FALSE), "")</f>
        <v/>
      </c>
      <c r="C171" s="5" t="str">
        <f>_xlfn.IFNA(VLOOKUP(A171, MOs_Ready_to_close[[Order]:[Tot Est Machine Hrs]], 4, FALSE), "")</f>
        <v/>
      </c>
      <c r="D171" s="6" t="str">
        <f>_xlfn.IFNA(VLOOKUP(A171, MOs_Ready_to_close[[Order]:[Tot Est Machine Hrs]], 8, FALSE), "")</f>
        <v/>
      </c>
      <c r="E171" s="7" t="str">
        <f>_xlfn.IFNA(VLOOKUP(A171, MOs_Ready_to_close[[Order]:[Tot Est Machine Hrs]], 9, FALSE), "")</f>
        <v/>
      </c>
      <c r="I171" s="11">
        <f>SUMIF(MO_Components[Order], Calculations!A171, MO_Components[Std Cost])</f>
        <v>0</v>
      </c>
      <c r="J171" s="11">
        <f>SUMIF(MO_Components[Order], Calculations!A171, MO_Components[Act Cost])</f>
        <v>0</v>
      </c>
      <c r="K171" s="11">
        <f t="shared" si="8"/>
        <v>0</v>
      </c>
      <c r="L171" t="str">
        <f t="shared" si="9"/>
        <v/>
      </c>
      <c r="M171" t="str">
        <f t="shared" si="10"/>
        <v/>
      </c>
      <c r="N171" t="str">
        <f t="shared" si="11"/>
        <v/>
      </c>
    </row>
    <row r="172" spans="2:14" x14ac:dyDescent="0.25">
      <c r="B172" s="5" t="str">
        <f>_xlfn.IFNA(VLOOKUP(A172, MOs_Ready_to_close[[Order]:[Tot Est Machine Hrs]], 2, FALSE), "")</f>
        <v/>
      </c>
      <c r="C172" s="5" t="str">
        <f>_xlfn.IFNA(VLOOKUP(A172, MOs_Ready_to_close[[Order]:[Tot Est Machine Hrs]], 4, FALSE), "")</f>
        <v/>
      </c>
      <c r="D172" s="6" t="str">
        <f>_xlfn.IFNA(VLOOKUP(A172, MOs_Ready_to_close[[Order]:[Tot Est Machine Hrs]], 8, FALSE), "")</f>
        <v/>
      </c>
      <c r="E172" s="7" t="str">
        <f>_xlfn.IFNA(VLOOKUP(A172, MOs_Ready_to_close[[Order]:[Tot Est Machine Hrs]], 9, FALSE), "")</f>
        <v/>
      </c>
      <c r="I172" s="11">
        <f>SUMIF(MO_Components[Order], Calculations!A172, MO_Components[Std Cost])</f>
        <v>0</v>
      </c>
      <c r="J172" s="11">
        <f>SUMIF(MO_Components[Order], Calculations!A172, MO_Components[Act Cost])</f>
        <v>0</v>
      </c>
      <c r="K172" s="11">
        <f t="shared" si="8"/>
        <v>0</v>
      </c>
      <c r="L172" t="str">
        <f t="shared" si="9"/>
        <v/>
      </c>
      <c r="M172" t="str">
        <f t="shared" si="10"/>
        <v/>
      </c>
      <c r="N172" t="str">
        <f t="shared" si="11"/>
        <v/>
      </c>
    </row>
    <row r="173" spans="2:14" x14ac:dyDescent="0.25">
      <c r="B173" s="5" t="str">
        <f>_xlfn.IFNA(VLOOKUP(A173, MOs_Ready_to_close[[Order]:[Tot Est Machine Hrs]], 2, FALSE), "")</f>
        <v/>
      </c>
      <c r="C173" s="5" t="str">
        <f>_xlfn.IFNA(VLOOKUP(A173, MOs_Ready_to_close[[Order]:[Tot Est Machine Hrs]], 4, FALSE), "")</f>
        <v/>
      </c>
      <c r="D173" s="6" t="str">
        <f>_xlfn.IFNA(VLOOKUP(A173, MOs_Ready_to_close[[Order]:[Tot Est Machine Hrs]], 8, FALSE), "")</f>
        <v/>
      </c>
      <c r="E173" s="7" t="str">
        <f>_xlfn.IFNA(VLOOKUP(A173, MOs_Ready_to_close[[Order]:[Tot Est Machine Hrs]], 9, FALSE), "")</f>
        <v/>
      </c>
      <c r="I173" s="11">
        <f>SUMIF(MO_Components[Order], Calculations!A173, MO_Components[Std Cost])</f>
        <v>0</v>
      </c>
      <c r="J173" s="11">
        <f>SUMIF(MO_Components[Order], Calculations!A173, MO_Components[Act Cost])</f>
        <v>0</v>
      </c>
      <c r="K173" s="11">
        <f t="shared" si="8"/>
        <v>0</v>
      </c>
      <c r="L173" t="str">
        <f t="shared" si="9"/>
        <v/>
      </c>
      <c r="M173" t="str">
        <f t="shared" si="10"/>
        <v/>
      </c>
      <c r="N173" t="str">
        <f t="shared" si="11"/>
        <v/>
      </c>
    </row>
    <row r="174" spans="2:14" x14ac:dyDescent="0.25">
      <c r="B174" s="5" t="str">
        <f>_xlfn.IFNA(VLOOKUP(A174, MOs_Ready_to_close[[Order]:[Tot Est Machine Hrs]], 2, FALSE), "")</f>
        <v/>
      </c>
      <c r="C174" s="5" t="str">
        <f>_xlfn.IFNA(VLOOKUP(A174, MOs_Ready_to_close[[Order]:[Tot Est Machine Hrs]], 4, FALSE), "")</f>
        <v/>
      </c>
      <c r="D174" s="6" t="str">
        <f>_xlfn.IFNA(VLOOKUP(A174, MOs_Ready_to_close[[Order]:[Tot Est Machine Hrs]], 8, FALSE), "")</f>
        <v/>
      </c>
      <c r="E174" s="7" t="str">
        <f>_xlfn.IFNA(VLOOKUP(A174, MOs_Ready_to_close[[Order]:[Tot Est Machine Hrs]], 9, FALSE), "")</f>
        <v/>
      </c>
      <c r="I174" s="11">
        <f>SUMIF(MO_Components[Order], Calculations!A174, MO_Components[Std Cost])</f>
        <v>0</v>
      </c>
      <c r="J174" s="11">
        <f>SUMIF(MO_Components[Order], Calculations!A174, MO_Components[Act Cost])</f>
        <v>0</v>
      </c>
      <c r="K174" s="11">
        <f t="shared" si="8"/>
        <v>0</v>
      </c>
      <c r="L174" t="str">
        <f t="shared" si="9"/>
        <v/>
      </c>
      <c r="M174" t="str">
        <f t="shared" si="10"/>
        <v/>
      </c>
      <c r="N174" t="str">
        <f t="shared" si="11"/>
        <v/>
      </c>
    </row>
    <row r="175" spans="2:14" x14ac:dyDescent="0.25">
      <c r="B175" s="5" t="str">
        <f>_xlfn.IFNA(VLOOKUP(A175, MOs_Ready_to_close[[Order]:[Tot Est Machine Hrs]], 2, FALSE), "")</f>
        <v/>
      </c>
      <c r="C175" s="5" t="str">
        <f>_xlfn.IFNA(VLOOKUP(A175, MOs_Ready_to_close[[Order]:[Tot Est Machine Hrs]], 4, FALSE), "")</f>
        <v/>
      </c>
      <c r="D175" s="6" t="str">
        <f>_xlfn.IFNA(VLOOKUP(A175, MOs_Ready_to_close[[Order]:[Tot Est Machine Hrs]], 8, FALSE), "")</f>
        <v/>
      </c>
      <c r="E175" s="7" t="str">
        <f>_xlfn.IFNA(VLOOKUP(A175, MOs_Ready_to_close[[Order]:[Tot Est Machine Hrs]], 9, FALSE), "")</f>
        <v/>
      </c>
      <c r="I175" s="11">
        <f>SUMIF(MO_Components[Order], Calculations!A175, MO_Components[Std Cost])</f>
        <v>0</v>
      </c>
      <c r="J175" s="11">
        <f>SUMIF(MO_Components[Order], Calculations!A175, MO_Components[Act Cost])</f>
        <v>0</v>
      </c>
      <c r="K175" s="11">
        <f t="shared" si="8"/>
        <v>0</v>
      </c>
      <c r="L175" t="str">
        <f t="shared" si="9"/>
        <v/>
      </c>
      <c r="M175" t="str">
        <f t="shared" si="10"/>
        <v/>
      </c>
      <c r="N175" t="str">
        <f t="shared" si="11"/>
        <v/>
      </c>
    </row>
    <row r="176" spans="2:14" x14ac:dyDescent="0.25">
      <c r="B176" s="5" t="str">
        <f>_xlfn.IFNA(VLOOKUP(A176, MOs_Ready_to_close[[Order]:[Tot Est Machine Hrs]], 2, FALSE), "")</f>
        <v/>
      </c>
      <c r="C176" s="5" t="str">
        <f>_xlfn.IFNA(VLOOKUP(A176, MOs_Ready_to_close[[Order]:[Tot Est Machine Hrs]], 4, FALSE), "")</f>
        <v/>
      </c>
      <c r="D176" s="6" t="str">
        <f>_xlfn.IFNA(VLOOKUP(A176, MOs_Ready_to_close[[Order]:[Tot Est Machine Hrs]], 8, FALSE), "")</f>
        <v/>
      </c>
      <c r="E176" s="7" t="str">
        <f>_xlfn.IFNA(VLOOKUP(A176, MOs_Ready_to_close[[Order]:[Tot Est Machine Hrs]], 9, FALSE), "")</f>
        <v/>
      </c>
      <c r="I176" s="11">
        <f>SUMIF(MO_Components[Order], Calculations!A176, MO_Components[Std Cost])</f>
        <v>0</v>
      </c>
      <c r="J176" s="11">
        <f>SUMIF(MO_Components[Order], Calculations!A176, MO_Components[Act Cost])</f>
        <v>0</v>
      </c>
      <c r="K176" s="11">
        <f t="shared" si="8"/>
        <v>0</v>
      </c>
      <c r="L176" t="str">
        <f t="shared" si="9"/>
        <v/>
      </c>
      <c r="M176" t="str">
        <f t="shared" si="10"/>
        <v/>
      </c>
      <c r="N176" t="str">
        <f t="shared" si="11"/>
        <v/>
      </c>
    </row>
    <row r="177" spans="2:14" x14ac:dyDescent="0.25">
      <c r="B177" s="5" t="str">
        <f>_xlfn.IFNA(VLOOKUP(A177, MOs_Ready_to_close[[Order]:[Tot Est Machine Hrs]], 2, FALSE), "")</f>
        <v/>
      </c>
      <c r="C177" s="5" t="str">
        <f>_xlfn.IFNA(VLOOKUP(A177, MOs_Ready_to_close[[Order]:[Tot Est Machine Hrs]], 4, FALSE), "")</f>
        <v/>
      </c>
      <c r="D177" s="6" t="str">
        <f>_xlfn.IFNA(VLOOKUP(A177, MOs_Ready_to_close[[Order]:[Tot Est Machine Hrs]], 8, FALSE), "")</f>
        <v/>
      </c>
      <c r="E177" s="7" t="str">
        <f>_xlfn.IFNA(VLOOKUP(A177, MOs_Ready_to_close[[Order]:[Tot Est Machine Hrs]], 9, FALSE), "")</f>
        <v/>
      </c>
      <c r="I177" s="11">
        <f>SUMIF(MO_Components[Order], Calculations!A177, MO_Components[Std Cost])</f>
        <v>0</v>
      </c>
      <c r="J177" s="11">
        <f>SUMIF(MO_Components[Order], Calculations!A177, MO_Components[Act Cost])</f>
        <v>0</v>
      </c>
      <c r="K177" s="11">
        <f t="shared" si="8"/>
        <v>0</v>
      </c>
      <c r="L177" t="str">
        <f t="shared" si="9"/>
        <v/>
      </c>
      <c r="M177" t="str">
        <f t="shared" si="10"/>
        <v/>
      </c>
      <c r="N177" t="str">
        <f t="shared" si="11"/>
        <v/>
      </c>
    </row>
    <row r="178" spans="2:14" x14ac:dyDescent="0.25">
      <c r="B178" s="5" t="str">
        <f>_xlfn.IFNA(VLOOKUP(A178, MOs_Ready_to_close[[Order]:[Tot Est Machine Hrs]], 2, FALSE), "")</f>
        <v/>
      </c>
      <c r="C178" s="5" t="str">
        <f>_xlfn.IFNA(VLOOKUP(A178, MOs_Ready_to_close[[Order]:[Tot Est Machine Hrs]], 4, FALSE), "")</f>
        <v/>
      </c>
      <c r="D178" s="6" t="str">
        <f>_xlfn.IFNA(VLOOKUP(A178, MOs_Ready_to_close[[Order]:[Tot Est Machine Hrs]], 8, FALSE), "")</f>
        <v/>
      </c>
      <c r="E178" s="7" t="str">
        <f>_xlfn.IFNA(VLOOKUP(A178, MOs_Ready_to_close[[Order]:[Tot Est Machine Hrs]], 9, FALSE), "")</f>
        <v/>
      </c>
      <c r="I178" s="11">
        <f>SUMIF(MO_Components[Order], Calculations!A178, MO_Components[Std Cost])</f>
        <v>0</v>
      </c>
      <c r="J178" s="11">
        <f>SUMIF(MO_Components[Order], Calculations!A178, MO_Components[Act Cost])</f>
        <v>0</v>
      </c>
      <c r="K178" s="11">
        <f t="shared" si="8"/>
        <v>0</v>
      </c>
      <c r="L178" t="str">
        <f t="shared" si="9"/>
        <v/>
      </c>
      <c r="M178" t="str">
        <f t="shared" si="10"/>
        <v/>
      </c>
      <c r="N178" t="str">
        <f t="shared" si="11"/>
        <v/>
      </c>
    </row>
    <row r="179" spans="2:14" x14ac:dyDescent="0.25">
      <c r="B179" s="5" t="str">
        <f>_xlfn.IFNA(VLOOKUP(A179, MOs_Ready_to_close[[Order]:[Tot Est Machine Hrs]], 2, FALSE), "")</f>
        <v/>
      </c>
      <c r="C179" s="5" t="str">
        <f>_xlfn.IFNA(VLOOKUP(A179, MOs_Ready_to_close[[Order]:[Tot Est Machine Hrs]], 4, FALSE), "")</f>
        <v/>
      </c>
      <c r="D179" s="6" t="str">
        <f>_xlfn.IFNA(VLOOKUP(A179, MOs_Ready_to_close[[Order]:[Tot Est Machine Hrs]], 8, FALSE), "")</f>
        <v/>
      </c>
      <c r="E179" s="7" t="str">
        <f>_xlfn.IFNA(VLOOKUP(A179, MOs_Ready_to_close[[Order]:[Tot Est Machine Hrs]], 9, FALSE), "")</f>
        <v/>
      </c>
      <c r="I179" s="11">
        <f>SUMIF(MO_Components[Order], Calculations!A179, MO_Components[Std Cost])</f>
        <v>0</v>
      </c>
      <c r="J179" s="11">
        <f>SUMIF(MO_Components[Order], Calculations!A179, MO_Components[Act Cost])</f>
        <v>0</v>
      </c>
      <c r="K179" s="11">
        <f t="shared" si="8"/>
        <v>0</v>
      </c>
      <c r="L179" t="str">
        <f t="shared" si="9"/>
        <v/>
      </c>
      <c r="M179" t="str">
        <f t="shared" si="10"/>
        <v/>
      </c>
      <c r="N179" t="str">
        <f t="shared" si="11"/>
        <v/>
      </c>
    </row>
    <row r="180" spans="2:14" x14ac:dyDescent="0.25">
      <c r="B180" s="5" t="str">
        <f>_xlfn.IFNA(VLOOKUP(A180, MOs_Ready_to_close[[Order]:[Tot Est Machine Hrs]], 2, FALSE), "")</f>
        <v/>
      </c>
      <c r="C180" s="5" t="str">
        <f>_xlfn.IFNA(VLOOKUP(A180, MOs_Ready_to_close[[Order]:[Tot Est Machine Hrs]], 4, FALSE), "")</f>
        <v/>
      </c>
      <c r="D180" s="6" t="str">
        <f>_xlfn.IFNA(VLOOKUP(A180, MOs_Ready_to_close[[Order]:[Tot Est Machine Hrs]], 8, FALSE), "")</f>
        <v/>
      </c>
      <c r="E180" s="7" t="str">
        <f>_xlfn.IFNA(VLOOKUP(A180, MOs_Ready_to_close[[Order]:[Tot Est Machine Hrs]], 9, FALSE), "")</f>
        <v/>
      </c>
      <c r="I180" s="11">
        <f>SUMIF(MO_Components[Order], Calculations!A180, MO_Components[Std Cost])</f>
        <v>0</v>
      </c>
      <c r="J180" s="11">
        <f>SUMIF(MO_Components[Order], Calculations!A180, MO_Components[Act Cost])</f>
        <v>0</v>
      </c>
      <c r="K180" s="11">
        <f t="shared" si="8"/>
        <v>0</v>
      </c>
      <c r="L180" t="str">
        <f t="shared" si="9"/>
        <v/>
      </c>
      <c r="M180" t="str">
        <f t="shared" si="10"/>
        <v/>
      </c>
      <c r="N180" t="str">
        <f t="shared" si="11"/>
        <v/>
      </c>
    </row>
    <row r="181" spans="2:14" x14ac:dyDescent="0.25">
      <c r="B181" s="5" t="str">
        <f>_xlfn.IFNA(VLOOKUP(A181, MOs_Ready_to_close[[Order]:[Tot Est Machine Hrs]], 2, FALSE), "")</f>
        <v/>
      </c>
      <c r="C181" s="5" t="str">
        <f>_xlfn.IFNA(VLOOKUP(A181, MOs_Ready_to_close[[Order]:[Tot Est Machine Hrs]], 4, FALSE), "")</f>
        <v/>
      </c>
      <c r="D181" s="6" t="str">
        <f>_xlfn.IFNA(VLOOKUP(A181, MOs_Ready_to_close[[Order]:[Tot Est Machine Hrs]], 8, FALSE), "")</f>
        <v/>
      </c>
      <c r="E181" s="7" t="str">
        <f>_xlfn.IFNA(VLOOKUP(A181, MOs_Ready_to_close[[Order]:[Tot Est Machine Hrs]], 9, FALSE), "")</f>
        <v/>
      </c>
      <c r="I181" s="11">
        <f>SUMIF(MO_Components[Order], Calculations!A181, MO_Components[Std Cost])</f>
        <v>0</v>
      </c>
      <c r="J181" s="11">
        <f>SUMIF(MO_Components[Order], Calculations!A181, MO_Components[Act Cost])</f>
        <v>0</v>
      </c>
      <c r="K181" s="11">
        <f t="shared" si="8"/>
        <v>0</v>
      </c>
      <c r="L181" t="str">
        <f t="shared" si="9"/>
        <v/>
      </c>
      <c r="M181" t="str">
        <f t="shared" si="10"/>
        <v/>
      </c>
      <c r="N181" t="str">
        <f t="shared" si="11"/>
        <v/>
      </c>
    </row>
    <row r="182" spans="2:14" x14ac:dyDescent="0.25">
      <c r="B182" s="5" t="str">
        <f>_xlfn.IFNA(VLOOKUP(A182, MOs_Ready_to_close[[Order]:[Tot Est Machine Hrs]], 2, FALSE), "")</f>
        <v/>
      </c>
      <c r="C182" s="5" t="str">
        <f>_xlfn.IFNA(VLOOKUP(A182, MOs_Ready_to_close[[Order]:[Tot Est Machine Hrs]], 4, FALSE), "")</f>
        <v/>
      </c>
      <c r="D182" s="6" t="str">
        <f>_xlfn.IFNA(VLOOKUP(A182, MOs_Ready_to_close[[Order]:[Tot Est Machine Hrs]], 8, FALSE), "")</f>
        <v/>
      </c>
      <c r="E182" s="7" t="str">
        <f>_xlfn.IFNA(VLOOKUP(A182, MOs_Ready_to_close[[Order]:[Tot Est Machine Hrs]], 9, FALSE), "")</f>
        <v/>
      </c>
      <c r="I182" s="11">
        <f>SUMIF(MO_Components[Order], Calculations!A182, MO_Components[Std Cost])</f>
        <v>0</v>
      </c>
      <c r="J182" s="11">
        <f>SUMIF(MO_Components[Order], Calculations!A182, MO_Components[Act Cost])</f>
        <v>0</v>
      </c>
      <c r="K182" s="11">
        <f t="shared" si="8"/>
        <v>0</v>
      </c>
      <c r="L182" t="str">
        <f t="shared" si="9"/>
        <v/>
      </c>
      <c r="M182" t="str">
        <f t="shared" si="10"/>
        <v/>
      </c>
      <c r="N182" t="str">
        <f t="shared" si="11"/>
        <v/>
      </c>
    </row>
    <row r="183" spans="2:14" x14ac:dyDescent="0.25">
      <c r="B183" s="5" t="str">
        <f>_xlfn.IFNA(VLOOKUP(A183, MOs_Ready_to_close[[Order]:[Tot Est Machine Hrs]], 2, FALSE), "")</f>
        <v/>
      </c>
      <c r="C183" s="5" t="str">
        <f>_xlfn.IFNA(VLOOKUP(A183, MOs_Ready_to_close[[Order]:[Tot Est Machine Hrs]], 4, FALSE), "")</f>
        <v/>
      </c>
      <c r="D183" s="6" t="str">
        <f>_xlfn.IFNA(VLOOKUP(A183, MOs_Ready_to_close[[Order]:[Tot Est Machine Hrs]], 8, FALSE), "")</f>
        <v/>
      </c>
      <c r="E183" s="7" t="str">
        <f>_xlfn.IFNA(VLOOKUP(A183, MOs_Ready_to_close[[Order]:[Tot Est Machine Hrs]], 9, FALSE), "")</f>
        <v/>
      </c>
      <c r="I183" s="11">
        <f>SUMIF(MO_Components[Order], Calculations!A183, MO_Components[Std Cost])</f>
        <v>0</v>
      </c>
      <c r="J183" s="11">
        <f>SUMIF(MO_Components[Order], Calculations!A183, MO_Components[Act Cost])</f>
        <v>0</v>
      </c>
      <c r="K183" s="11">
        <f t="shared" si="8"/>
        <v>0</v>
      </c>
      <c r="L183" t="str">
        <f t="shared" si="9"/>
        <v/>
      </c>
      <c r="M183" t="str">
        <f t="shared" si="10"/>
        <v/>
      </c>
      <c r="N183" t="str">
        <f t="shared" si="11"/>
        <v/>
      </c>
    </row>
    <row r="184" spans="2:14" x14ac:dyDescent="0.25">
      <c r="B184" s="5" t="str">
        <f>_xlfn.IFNA(VLOOKUP(A184, MOs_Ready_to_close[[Order]:[Tot Est Machine Hrs]], 2, FALSE), "")</f>
        <v/>
      </c>
      <c r="C184" s="5" t="str">
        <f>_xlfn.IFNA(VLOOKUP(A184, MOs_Ready_to_close[[Order]:[Tot Est Machine Hrs]], 4, FALSE), "")</f>
        <v/>
      </c>
      <c r="D184" s="6" t="str">
        <f>_xlfn.IFNA(VLOOKUP(A184, MOs_Ready_to_close[[Order]:[Tot Est Machine Hrs]], 8, FALSE), "")</f>
        <v/>
      </c>
      <c r="E184" s="7" t="str">
        <f>_xlfn.IFNA(VLOOKUP(A184, MOs_Ready_to_close[[Order]:[Tot Est Machine Hrs]], 9, FALSE), "")</f>
        <v/>
      </c>
      <c r="I184" s="11">
        <f>SUMIF(MO_Components[Order], Calculations!A184, MO_Components[Std Cost])</f>
        <v>0</v>
      </c>
      <c r="J184" s="11">
        <f>SUMIF(MO_Components[Order], Calculations!A184, MO_Components[Act Cost])</f>
        <v>0</v>
      </c>
      <c r="K184" s="11">
        <f t="shared" si="8"/>
        <v>0</v>
      </c>
      <c r="L184" t="str">
        <f t="shared" si="9"/>
        <v/>
      </c>
      <c r="M184" t="str">
        <f t="shared" si="10"/>
        <v/>
      </c>
      <c r="N184" t="str">
        <f t="shared" si="11"/>
        <v/>
      </c>
    </row>
    <row r="185" spans="2:14" x14ac:dyDescent="0.25">
      <c r="B185" s="5" t="str">
        <f>_xlfn.IFNA(VLOOKUP(A185, MOs_Ready_to_close[[Order]:[Tot Est Machine Hrs]], 2, FALSE), "")</f>
        <v/>
      </c>
      <c r="C185" s="5" t="str">
        <f>_xlfn.IFNA(VLOOKUP(A185, MOs_Ready_to_close[[Order]:[Tot Est Machine Hrs]], 4, FALSE), "")</f>
        <v/>
      </c>
      <c r="D185" s="6" t="str">
        <f>_xlfn.IFNA(VLOOKUP(A185, MOs_Ready_to_close[[Order]:[Tot Est Machine Hrs]], 8, FALSE), "")</f>
        <v/>
      </c>
      <c r="E185" s="7" t="str">
        <f>_xlfn.IFNA(VLOOKUP(A185, MOs_Ready_to_close[[Order]:[Tot Est Machine Hrs]], 9, FALSE), "")</f>
        <v/>
      </c>
      <c r="I185" s="11">
        <f>SUMIF(MO_Components[Order], Calculations!A185, MO_Components[Std Cost])</f>
        <v>0</v>
      </c>
      <c r="J185" s="11">
        <f>SUMIF(MO_Components[Order], Calculations!A185, MO_Components[Act Cost])</f>
        <v>0</v>
      </c>
      <c r="K185" s="11">
        <f t="shared" si="8"/>
        <v>0</v>
      </c>
      <c r="L185" t="str">
        <f t="shared" si="9"/>
        <v/>
      </c>
      <c r="M185" t="str">
        <f t="shared" si="10"/>
        <v/>
      </c>
      <c r="N185" t="str">
        <f t="shared" si="11"/>
        <v/>
      </c>
    </row>
    <row r="186" spans="2:14" x14ac:dyDescent="0.25">
      <c r="B186" s="5" t="str">
        <f>_xlfn.IFNA(VLOOKUP(A186, MOs_Ready_to_close[[Order]:[Tot Est Machine Hrs]], 2, FALSE), "")</f>
        <v/>
      </c>
      <c r="C186" s="5" t="str">
        <f>_xlfn.IFNA(VLOOKUP(A186, MOs_Ready_to_close[[Order]:[Tot Est Machine Hrs]], 4, FALSE), "")</f>
        <v/>
      </c>
      <c r="D186" s="6" t="str">
        <f>_xlfn.IFNA(VLOOKUP(A186, MOs_Ready_to_close[[Order]:[Tot Est Machine Hrs]], 8, FALSE), "")</f>
        <v/>
      </c>
      <c r="E186" s="7" t="str">
        <f>_xlfn.IFNA(VLOOKUP(A186, MOs_Ready_to_close[[Order]:[Tot Est Machine Hrs]], 9, FALSE), "")</f>
        <v/>
      </c>
      <c r="I186" s="11">
        <f>SUMIF(MO_Components[Order], Calculations!A186, MO_Components[Std Cost])</f>
        <v>0</v>
      </c>
      <c r="J186" s="11">
        <f>SUMIF(MO_Components[Order], Calculations!A186, MO_Components[Act Cost])</f>
        <v>0</v>
      </c>
      <c r="K186" s="11">
        <f t="shared" si="8"/>
        <v>0</v>
      </c>
      <c r="L186" t="str">
        <f t="shared" si="9"/>
        <v/>
      </c>
      <c r="M186" t="str">
        <f t="shared" si="10"/>
        <v/>
      </c>
      <c r="N186" t="str">
        <f t="shared" si="11"/>
        <v/>
      </c>
    </row>
    <row r="187" spans="2:14" x14ac:dyDescent="0.25">
      <c r="B187" s="5" t="str">
        <f>_xlfn.IFNA(VLOOKUP(A187, MOs_Ready_to_close[[Order]:[Tot Est Machine Hrs]], 2, FALSE), "")</f>
        <v/>
      </c>
      <c r="C187" s="5" t="str">
        <f>_xlfn.IFNA(VLOOKUP(A187, MOs_Ready_to_close[[Order]:[Tot Est Machine Hrs]], 4, FALSE), "")</f>
        <v/>
      </c>
      <c r="D187" s="6" t="str">
        <f>_xlfn.IFNA(VLOOKUP(A187, MOs_Ready_to_close[[Order]:[Tot Est Machine Hrs]], 8, FALSE), "")</f>
        <v/>
      </c>
      <c r="E187" s="7" t="str">
        <f>_xlfn.IFNA(VLOOKUP(A187, MOs_Ready_to_close[[Order]:[Tot Est Machine Hrs]], 9, FALSE), "")</f>
        <v/>
      </c>
      <c r="I187" s="11">
        <f>SUMIF(MO_Components[Order], Calculations!A187, MO_Components[Std Cost])</f>
        <v>0</v>
      </c>
      <c r="J187" s="11">
        <f>SUMIF(MO_Components[Order], Calculations!A187, MO_Components[Act Cost])</f>
        <v>0</v>
      </c>
      <c r="K187" s="11">
        <f t="shared" si="8"/>
        <v>0</v>
      </c>
      <c r="L187" t="str">
        <f t="shared" si="9"/>
        <v/>
      </c>
      <c r="M187" t="str">
        <f t="shared" si="10"/>
        <v/>
      </c>
      <c r="N187" t="str">
        <f t="shared" si="11"/>
        <v/>
      </c>
    </row>
    <row r="188" spans="2:14" x14ac:dyDescent="0.25">
      <c r="B188" s="5" t="str">
        <f>_xlfn.IFNA(VLOOKUP(A188, MOs_Ready_to_close[[Order]:[Tot Est Machine Hrs]], 2, FALSE), "")</f>
        <v/>
      </c>
      <c r="C188" s="5" t="str">
        <f>_xlfn.IFNA(VLOOKUP(A188, MOs_Ready_to_close[[Order]:[Tot Est Machine Hrs]], 4, FALSE), "")</f>
        <v/>
      </c>
      <c r="D188" s="6" t="str">
        <f>_xlfn.IFNA(VLOOKUP(A188, MOs_Ready_to_close[[Order]:[Tot Est Machine Hrs]], 8, FALSE), "")</f>
        <v/>
      </c>
      <c r="E188" s="7" t="str">
        <f>_xlfn.IFNA(VLOOKUP(A188, MOs_Ready_to_close[[Order]:[Tot Est Machine Hrs]], 9, FALSE), "")</f>
        <v/>
      </c>
      <c r="I188" s="11">
        <f>SUMIF(MO_Components[Order], Calculations!A188, MO_Components[Std Cost])</f>
        <v>0</v>
      </c>
      <c r="J188" s="11">
        <f>SUMIF(MO_Components[Order], Calculations!A188, MO_Components[Act Cost])</f>
        <v>0</v>
      </c>
      <c r="K188" s="11">
        <f t="shared" si="8"/>
        <v>0</v>
      </c>
      <c r="L188" t="str">
        <f t="shared" si="9"/>
        <v/>
      </c>
      <c r="M188" t="str">
        <f t="shared" si="10"/>
        <v/>
      </c>
      <c r="N188" t="str">
        <f t="shared" si="11"/>
        <v/>
      </c>
    </row>
    <row r="189" spans="2:14" x14ac:dyDescent="0.25">
      <c r="B189" s="5" t="str">
        <f>_xlfn.IFNA(VLOOKUP(A189, MOs_Ready_to_close[[Order]:[Tot Est Machine Hrs]], 2, FALSE), "")</f>
        <v/>
      </c>
      <c r="C189" s="5" t="str">
        <f>_xlfn.IFNA(VLOOKUP(A189, MOs_Ready_to_close[[Order]:[Tot Est Machine Hrs]], 4, FALSE), "")</f>
        <v/>
      </c>
      <c r="D189" s="6" t="str">
        <f>_xlfn.IFNA(VLOOKUP(A189, MOs_Ready_to_close[[Order]:[Tot Est Machine Hrs]], 8, FALSE), "")</f>
        <v/>
      </c>
      <c r="E189" s="7" t="str">
        <f>_xlfn.IFNA(VLOOKUP(A189, MOs_Ready_to_close[[Order]:[Tot Est Machine Hrs]], 9, FALSE), "")</f>
        <v/>
      </c>
      <c r="I189" s="11">
        <f>SUMIF(MO_Components[Order], Calculations!A189, MO_Components[Std Cost])</f>
        <v>0</v>
      </c>
      <c r="J189" s="11">
        <f>SUMIF(MO_Components[Order], Calculations!A189, MO_Components[Act Cost])</f>
        <v>0</v>
      </c>
      <c r="K189" s="11">
        <f t="shared" si="8"/>
        <v>0</v>
      </c>
      <c r="L189" t="str">
        <f t="shared" si="9"/>
        <v/>
      </c>
      <c r="M189" t="str">
        <f t="shared" si="10"/>
        <v/>
      </c>
      <c r="N189" t="str">
        <f t="shared" si="11"/>
        <v/>
      </c>
    </row>
    <row r="190" spans="2:14" x14ac:dyDescent="0.25">
      <c r="B190" s="5" t="str">
        <f>_xlfn.IFNA(VLOOKUP(A190, MOs_Ready_to_close[[Order]:[Tot Est Machine Hrs]], 2, FALSE), "")</f>
        <v/>
      </c>
      <c r="C190" s="5" t="str">
        <f>_xlfn.IFNA(VLOOKUP(A190, MOs_Ready_to_close[[Order]:[Tot Est Machine Hrs]], 4, FALSE), "")</f>
        <v/>
      </c>
      <c r="D190" s="6" t="str">
        <f>_xlfn.IFNA(VLOOKUP(A190, MOs_Ready_to_close[[Order]:[Tot Est Machine Hrs]], 8, FALSE), "")</f>
        <v/>
      </c>
      <c r="E190" s="7" t="str">
        <f>_xlfn.IFNA(VLOOKUP(A190, MOs_Ready_to_close[[Order]:[Tot Est Machine Hrs]], 9, FALSE), "")</f>
        <v/>
      </c>
      <c r="I190" s="11">
        <f>SUMIF(MO_Components[Order], Calculations!A190, MO_Components[Std Cost])</f>
        <v>0</v>
      </c>
      <c r="J190" s="11">
        <f>SUMIF(MO_Components[Order], Calculations!A190, MO_Components[Act Cost])</f>
        <v>0</v>
      </c>
      <c r="K190" s="11">
        <f t="shared" si="8"/>
        <v>0</v>
      </c>
      <c r="L190" t="str">
        <f t="shared" si="9"/>
        <v/>
      </c>
      <c r="M190" t="str">
        <f t="shared" si="10"/>
        <v/>
      </c>
      <c r="N190" t="str">
        <f t="shared" si="11"/>
        <v/>
      </c>
    </row>
    <row r="191" spans="2:14" x14ac:dyDescent="0.25">
      <c r="B191" s="5" t="str">
        <f>_xlfn.IFNA(VLOOKUP(A191, MOs_Ready_to_close[[Order]:[Tot Est Machine Hrs]], 2, FALSE), "")</f>
        <v/>
      </c>
      <c r="C191" s="5" t="str">
        <f>_xlfn.IFNA(VLOOKUP(A191, MOs_Ready_to_close[[Order]:[Tot Est Machine Hrs]], 4, FALSE), "")</f>
        <v/>
      </c>
      <c r="D191" s="6" t="str">
        <f>_xlfn.IFNA(VLOOKUP(A191, MOs_Ready_to_close[[Order]:[Tot Est Machine Hrs]], 8, FALSE), "")</f>
        <v/>
      </c>
      <c r="E191" s="7" t="str">
        <f>_xlfn.IFNA(VLOOKUP(A191, MOs_Ready_to_close[[Order]:[Tot Est Machine Hrs]], 9, FALSE), "")</f>
        <v/>
      </c>
      <c r="I191" s="11">
        <f>SUMIF(MO_Components[Order], Calculations!A191, MO_Components[Std Cost])</f>
        <v>0</v>
      </c>
      <c r="J191" s="11">
        <f>SUMIF(MO_Components[Order], Calculations!A191, MO_Components[Act Cost])</f>
        <v>0</v>
      </c>
      <c r="K191" s="11">
        <f t="shared" si="8"/>
        <v>0</v>
      </c>
      <c r="L191" t="str">
        <f t="shared" si="9"/>
        <v/>
      </c>
      <c r="M191" t="str">
        <f t="shared" si="10"/>
        <v/>
      </c>
      <c r="N191" t="str">
        <f t="shared" si="11"/>
        <v/>
      </c>
    </row>
    <row r="192" spans="2:14" x14ac:dyDescent="0.25">
      <c r="B192" s="5" t="str">
        <f>_xlfn.IFNA(VLOOKUP(A192, MOs_Ready_to_close[[Order]:[Tot Est Machine Hrs]], 2, FALSE), "")</f>
        <v/>
      </c>
      <c r="C192" s="5" t="str">
        <f>_xlfn.IFNA(VLOOKUP(A192, MOs_Ready_to_close[[Order]:[Tot Est Machine Hrs]], 4, FALSE), "")</f>
        <v/>
      </c>
      <c r="D192" s="6" t="str">
        <f>_xlfn.IFNA(VLOOKUP(A192, MOs_Ready_to_close[[Order]:[Tot Est Machine Hrs]], 8, FALSE), "")</f>
        <v/>
      </c>
      <c r="E192" s="7" t="str">
        <f>_xlfn.IFNA(VLOOKUP(A192, MOs_Ready_to_close[[Order]:[Tot Est Machine Hrs]], 9, FALSE), "")</f>
        <v/>
      </c>
      <c r="I192" s="11">
        <f>SUMIF(MO_Components[Order], Calculations!A192, MO_Components[Std Cost])</f>
        <v>0</v>
      </c>
      <c r="J192" s="11">
        <f>SUMIF(MO_Components[Order], Calculations!A192, MO_Components[Act Cost])</f>
        <v>0</v>
      </c>
      <c r="K192" s="11">
        <f t="shared" si="8"/>
        <v>0</v>
      </c>
      <c r="L192" t="str">
        <f t="shared" si="9"/>
        <v/>
      </c>
      <c r="M192" t="str">
        <f t="shared" si="10"/>
        <v/>
      </c>
      <c r="N192" t="str">
        <f t="shared" si="11"/>
        <v/>
      </c>
    </row>
    <row r="193" spans="2:14" x14ac:dyDescent="0.25">
      <c r="B193" s="5" t="str">
        <f>_xlfn.IFNA(VLOOKUP(A193, MOs_Ready_to_close[[Order]:[Tot Est Machine Hrs]], 2, FALSE), "")</f>
        <v/>
      </c>
      <c r="C193" s="5" t="str">
        <f>_xlfn.IFNA(VLOOKUP(A193, MOs_Ready_to_close[[Order]:[Tot Est Machine Hrs]], 4, FALSE), "")</f>
        <v/>
      </c>
      <c r="D193" s="6" t="str">
        <f>_xlfn.IFNA(VLOOKUP(A193, MOs_Ready_to_close[[Order]:[Tot Est Machine Hrs]], 8, FALSE), "")</f>
        <v/>
      </c>
      <c r="E193" s="7" t="str">
        <f>_xlfn.IFNA(VLOOKUP(A193, MOs_Ready_to_close[[Order]:[Tot Est Machine Hrs]], 9, FALSE), "")</f>
        <v/>
      </c>
      <c r="I193" s="11">
        <f>SUMIF(MO_Components[Order], Calculations!A193, MO_Components[Std Cost])</f>
        <v>0</v>
      </c>
      <c r="J193" s="11">
        <f>SUMIF(MO_Components[Order], Calculations!A193, MO_Components[Act Cost])</f>
        <v>0</v>
      </c>
      <c r="K193" s="11">
        <f t="shared" si="8"/>
        <v>0</v>
      </c>
      <c r="L193" t="str">
        <f t="shared" si="9"/>
        <v/>
      </c>
      <c r="M193" t="str">
        <f t="shared" si="10"/>
        <v/>
      </c>
      <c r="N193" t="str">
        <f t="shared" si="11"/>
        <v/>
      </c>
    </row>
    <row r="194" spans="2:14" x14ac:dyDescent="0.25">
      <c r="B194" s="5" t="str">
        <f>_xlfn.IFNA(VLOOKUP(A194, MOs_Ready_to_close[[Order]:[Tot Est Machine Hrs]], 2, FALSE), "")</f>
        <v/>
      </c>
      <c r="C194" s="5" t="str">
        <f>_xlfn.IFNA(VLOOKUP(A194, MOs_Ready_to_close[[Order]:[Tot Est Machine Hrs]], 4, FALSE), "")</f>
        <v/>
      </c>
      <c r="D194" s="6" t="str">
        <f>_xlfn.IFNA(VLOOKUP(A194, MOs_Ready_to_close[[Order]:[Tot Est Machine Hrs]], 8, FALSE), "")</f>
        <v/>
      </c>
      <c r="E194" s="7" t="str">
        <f>_xlfn.IFNA(VLOOKUP(A194, MOs_Ready_to_close[[Order]:[Tot Est Machine Hrs]], 9, FALSE), "")</f>
        <v/>
      </c>
      <c r="I194" s="11">
        <f>SUMIF(MO_Components[Order], Calculations!A194, MO_Components[Std Cost])</f>
        <v>0</v>
      </c>
      <c r="J194" s="11">
        <f>SUMIF(MO_Components[Order], Calculations!A194, MO_Components[Act Cost])</f>
        <v>0</v>
      </c>
      <c r="K194" s="11">
        <f t="shared" si="8"/>
        <v>0</v>
      </c>
      <c r="L194" t="str">
        <f t="shared" si="9"/>
        <v/>
      </c>
      <c r="M194" t="str">
        <f t="shared" si="10"/>
        <v/>
      </c>
      <c r="N194" t="str">
        <f t="shared" si="11"/>
        <v/>
      </c>
    </row>
    <row r="195" spans="2:14" x14ac:dyDescent="0.25">
      <c r="B195" s="5" t="str">
        <f>_xlfn.IFNA(VLOOKUP(A195, MOs_Ready_to_close[[Order]:[Tot Est Machine Hrs]], 2, FALSE), "")</f>
        <v/>
      </c>
      <c r="C195" s="5" t="str">
        <f>_xlfn.IFNA(VLOOKUP(A195, MOs_Ready_to_close[[Order]:[Tot Est Machine Hrs]], 4, FALSE), "")</f>
        <v/>
      </c>
      <c r="D195" s="6" t="str">
        <f>_xlfn.IFNA(VLOOKUP(A195, MOs_Ready_to_close[[Order]:[Tot Est Machine Hrs]], 8, FALSE), "")</f>
        <v/>
      </c>
      <c r="E195" s="7" t="str">
        <f>_xlfn.IFNA(VLOOKUP(A195, MOs_Ready_to_close[[Order]:[Tot Est Machine Hrs]], 9, FALSE), "")</f>
        <v/>
      </c>
      <c r="I195" s="11">
        <f>SUMIF(MO_Components[Order], Calculations!A195, MO_Components[Std Cost])</f>
        <v>0</v>
      </c>
      <c r="J195" s="11">
        <f>SUMIF(MO_Components[Order], Calculations!A195, MO_Components[Act Cost])</f>
        <v>0</v>
      </c>
      <c r="K195" s="11">
        <f t="shared" ref="K195:K258" si="12">J195-I195</f>
        <v>0</v>
      </c>
      <c r="L195" t="str">
        <f t="shared" ref="L195:L258" si="13">IF(E195&lt;&gt;"", IF(E195&gt;0, "Positive", "Negative"), "")</f>
        <v/>
      </c>
      <c r="M195" t="str">
        <f t="shared" ref="M195:M258" si="14">IF(H195&lt;&gt;0, IF(H195&gt;0, "Positive", "Negative"), "")</f>
        <v/>
      </c>
      <c r="N195" t="str">
        <f t="shared" ref="N195:N258" si="15">IF(K195&lt;&gt;0, IF(K195&gt;0, "Positive", "Negative"), "")</f>
        <v/>
      </c>
    </row>
    <row r="196" spans="2:14" x14ac:dyDescent="0.25">
      <c r="B196" s="5" t="str">
        <f>_xlfn.IFNA(VLOOKUP(A196, MOs_Ready_to_close[[Order]:[Tot Est Machine Hrs]], 2, FALSE), "")</f>
        <v/>
      </c>
      <c r="C196" s="5" t="str">
        <f>_xlfn.IFNA(VLOOKUP(A196, MOs_Ready_to_close[[Order]:[Tot Est Machine Hrs]], 4, FALSE), "")</f>
        <v/>
      </c>
      <c r="D196" s="6" t="str">
        <f>_xlfn.IFNA(VLOOKUP(A196, MOs_Ready_to_close[[Order]:[Tot Est Machine Hrs]], 8, FALSE), "")</f>
        <v/>
      </c>
      <c r="E196" s="7" t="str">
        <f>_xlfn.IFNA(VLOOKUP(A196, MOs_Ready_to_close[[Order]:[Tot Est Machine Hrs]], 9, FALSE), "")</f>
        <v/>
      </c>
      <c r="I196" s="11">
        <f>SUMIF(MO_Components[Order], Calculations!A196, MO_Components[Std Cost])</f>
        <v>0</v>
      </c>
      <c r="J196" s="11">
        <f>SUMIF(MO_Components[Order], Calculations!A196, MO_Components[Act Cost])</f>
        <v>0</v>
      </c>
      <c r="K196" s="11">
        <f t="shared" si="12"/>
        <v>0</v>
      </c>
      <c r="L196" t="str">
        <f t="shared" si="13"/>
        <v/>
      </c>
      <c r="M196" t="str">
        <f t="shared" si="14"/>
        <v/>
      </c>
      <c r="N196" t="str">
        <f t="shared" si="15"/>
        <v/>
      </c>
    </row>
    <row r="197" spans="2:14" x14ac:dyDescent="0.25">
      <c r="B197" s="5" t="str">
        <f>_xlfn.IFNA(VLOOKUP(A197, MOs_Ready_to_close[[Order]:[Tot Est Machine Hrs]], 2, FALSE), "")</f>
        <v/>
      </c>
      <c r="C197" s="5" t="str">
        <f>_xlfn.IFNA(VLOOKUP(A197, MOs_Ready_to_close[[Order]:[Tot Est Machine Hrs]], 4, FALSE), "")</f>
        <v/>
      </c>
      <c r="D197" s="6" t="str">
        <f>_xlfn.IFNA(VLOOKUP(A197, MOs_Ready_to_close[[Order]:[Tot Est Machine Hrs]], 8, FALSE), "")</f>
        <v/>
      </c>
      <c r="E197" s="7" t="str">
        <f>_xlfn.IFNA(VLOOKUP(A197, MOs_Ready_to_close[[Order]:[Tot Est Machine Hrs]], 9, FALSE), "")</f>
        <v/>
      </c>
      <c r="I197" s="11">
        <f>SUMIF(MO_Components[Order], Calculations!A197, MO_Components[Std Cost])</f>
        <v>0</v>
      </c>
      <c r="J197" s="11">
        <f>SUMIF(MO_Components[Order], Calculations!A197, MO_Components[Act Cost])</f>
        <v>0</v>
      </c>
      <c r="K197" s="11">
        <f t="shared" si="12"/>
        <v>0</v>
      </c>
      <c r="L197" t="str">
        <f t="shared" si="13"/>
        <v/>
      </c>
      <c r="M197" t="str">
        <f t="shared" si="14"/>
        <v/>
      </c>
      <c r="N197" t="str">
        <f t="shared" si="15"/>
        <v/>
      </c>
    </row>
    <row r="198" spans="2:14" x14ac:dyDescent="0.25">
      <c r="B198" s="5" t="str">
        <f>_xlfn.IFNA(VLOOKUP(A198, MOs_Ready_to_close[[Order]:[Tot Est Machine Hrs]], 2, FALSE), "")</f>
        <v/>
      </c>
      <c r="C198" s="5" t="str">
        <f>_xlfn.IFNA(VLOOKUP(A198, MOs_Ready_to_close[[Order]:[Tot Est Machine Hrs]], 4, FALSE), "")</f>
        <v/>
      </c>
      <c r="D198" s="6" t="str">
        <f>_xlfn.IFNA(VLOOKUP(A198, MOs_Ready_to_close[[Order]:[Tot Est Machine Hrs]], 8, FALSE), "")</f>
        <v/>
      </c>
      <c r="E198" s="7" t="str">
        <f>_xlfn.IFNA(VLOOKUP(A198, MOs_Ready_to_close[[Order]:[Tot Est Machine Hrs]], 9, FALSE), "")</f>
        <v/>
      </c>
      <c r="I198" s="11">
        <f>SUMIF(MO_Components[Order], Calculations!A198, MO_Components[Std Cost])</f>
        <v>0</v>
      </c>
      <c r="J198" s="11">
        <f>SUMIF(MO_Components[Order], Calculations!A198, MO_Components[Act Cost])</f>
        <v>0</v>
      </c>
      <c r="K198" s="11">
        <f t="shared" si="12"/>
        <v>0</v>
      </c>
      <c r="L198" t="str">
        <f t="shared" si="13"/>
        <v/>
      </c>
      <c r="M198" t="str">
        <f t="shared" si="14"/>
        <v/>
      </c>
      <c r="N198" t="str">
        <f t="shared" si="15"/>
        <v/>
      </c>
    </row>
    <row r="199" spans="2:14" x14ac:dyDescent="0.25">
      <c r="B199" s="5" t="str">
        <f>_xlfn.IFNA(VLOOKUP(A199, MOs_Ready_to_close[[Order]:[Tot Est Machine Hrs]], 2, FALSE), "")</f>
        <v/>
      </c>
      <c r="C199" s="5" t="str">
        <f>_xlfn.IFNA(VLOOKUP(A199, MOs_Ready_to_close[[Order]:[Tot Est Machine Hrs]], 4, FALSE), "")</f>
        <v/>
      </c>
      <c r="D199" s="6" t="str">
        <f>_xlfn.IFNA(VLOOKUP(A199, MOs_Ready_to_close[[Order]:[Tot Est Machine Hrs]], 8, FALSE), "")</f>
        <v/>
      </c>
      <c r="E199" s="7" t="str">
        <f>_xlfn.IFNA(VLOOKUP(A199, MOs_Ready_to_close[[Order]:[Tot Est Machine Hrs]], 9, FALSE), "")</f>
        <v/>
      </c>
      <c r="I199" s="11">
        <f>SUMIF(MO_Components[Order], Calculations!A199, MO_Components[Std Cost])</f>
        <v>0</v>
      </c>
      <c r="J199" s="11">
        <f>SUMIF(MO_Components[Order], Calculations!A199, MO_Components[Act Cost])</f>
        <v>0</v>
      </c>
      <c r="K199" s="11">
        <f t="shared" si="12"/>
        <v>0</v>
      </c>
      <c r="L199" t="str">
        <f t="shared" si="13"/>
        <v/>
      </c>
      <c r="M199" t="str">
        <f t="shared" si="14"/>
        <v/>
      </c>
      <c r="N199" t="str">
        <f t="shared" si="15"/>
        <v/>
      </c>
    </row>
    <row r="200" spans="2:14" x14ac:dyDescent="0.25">
      <c r="B200" s="5" t="str">
        <f>_xlfn.IFNA(VLOOKUP(A200, MOs_Ready_to_close[[Order]:[Tot Est Machine Hrs]], 2, FALSE), "")</f>
        <v/>
      </c>
      <c r="C200" s="5" t="str">
        <f>_xlfn.IFNA(VLOOKUP(A200, MOs_Ready_to_close[[Order]:[Tot Est Machine Hrs]], 4, FALSE), "")</f>
        <v/>
      </c>
      <c r="D200" s="6" t="str">
        <f>_xlfn.IFNA(VLOOKUP(A200, MOs_Ready_to_close[[Order]:[Tot Est Machine Hrs]], 8, FALSE), "")</f>
        <v/>
      </c>
      <c r="E200" s="7" t="str">
        <f>_xlfn.IFNA(VLOOKUP(A200, MOs_Ready_to_close[[Order]:[Tot Est Machine Hrs]], 9, FALSE), "")</f>
        <v/>
      </c>
      <c r="I200" s="11">
        <f>SUMIF(MO_Components[Order], Calculations!A200, MO_Components[Std Cost])</f>
        <v>0</v>
      </c>
      <c r="J200" s="11">
        <f>SUMIF(MO_Components[Order], Calculations!A200, MO_Components[Act Cost])</f>
        <v>0</v>
      </c>
      <c r="K200" s="11">
        <f t="shared" si="12"/>
        <v>0</v>
      </c>
      <c r="L200" t="str">
        <f t="shared" si="13"/>
        <v/>
      </c>
      <c r="M200" t="str">
        <f t="shared" si="14"/>
        <v/>
      </c>
      <c r="N200" t="str">
        <f t="shared" si="15"/>
        <v/>
      </c>
    </row>
    <row r="201" spans="2:14" x14ac:dyDescent="0.25">
      <c r="B201" s="5" t="str">
        <f>_xlfn.IFNA(VLOOKUP(A201, MOs_Ready_to_close[[Order]:[Tot Est Machine Hrs]], 2, FALSE), "")</f>
        <v/>
      </c>
      <c r="C201" s="5" t="str">
        <f>_xlfn.IFNA(VLOOKUP(A201, MOs_Ready_to_close[[Order]:[Tot Est Machine Hrs]], 4, FALSE), "")</f>
        <v/>
      </c>
      <c r="D201" s="6" t="str">
        <f>_xlfn.IFNA(VLOOKUP(A201, MOs_Ready_to_close[[Order]:[Tot Est Machine Hrs]], 8, FALSE), "")</f>
        <v/>
      </c>
      <c r="E201" s="7" t="str">
        <f>_xlfn.IFNA(VLOOKUP(A201, MOs_Ready_to_close[[Order]:[Tot Est Machine Hrs]], 9, FALSE), "")</f>
        <v/>
      </c>
      <c r="I201" s="11">
        <f>SUMIF(MO_Components[Order], Calculations!A201, MO_Components[Std Cost])</f>
        <v>0</v>
      </c>
      <c r="J201" s="11">
        <f>SUMIF(MO_Components[Order], Calculations!A201, MO_Components[Act Cost])</f>
        <v>0</v>
      </c>
      <c r="K201" s="11">
        <f t="shared" si="12"/>
        <v>0</v>
      </c>
      <c r="L201" t="str">
        <f t="shared" si="13"/>
        <v/>
      </c>
      <c r="M201" t="str">
        <f t="shared" si="14"/>
        <v/>
      </c>
      <c r="N201" t="str">
        <f t="shared" si="15"/>
        <v/>
      </c>
    </row>
    <row r="202" spans="2:14" x14ac:dyDescent="0.25">
      <c r="B202" s="5" t="str">
        <f>_xlfn.IFNA(VLOOKUP(A202, MOs_Ready_to_close[[Order]:[Tot Est Machine Hrs]], 2, FALSE), "")</f>
        <v/>
      </c>
      <c r="C202" s="5" t="str">
        <f>_xlfn.IFNA(VLOOKUP(A202, MOs_Ready_to_close[[Order]:[Tot Est Machine Hrs]], 4, FALSE), "")</f>
        <v/>
      </c>
      <c r="D202" s="6" t="str">
        <f>_xlfn.IFNA(VLOOKUP(A202, MOs_Ready_to_close[[Order]:[Tot Est Machine Hrs]], 8, FALSE), "")</f>
        <v/>
      </c>
      <c r="E202" s="7" t="str">
        <f>_xlfn.IFNA(VLOOKUP(A202, MOs_Ready_to_close[[Order]:[Tot Est Machine Hrs]], 9, FALSE), "")</f>
        <v/>
      </c>
      <c r="I202" s="11">
        <f>SUMIF(MO_Components[Order], Calculations!A202, MO_Components[Std Cost])</f>
        <v>0</v>
      </c>
      <c r="J202" s="11">
        <f>SUMIF(MO_Components[Order], Calculations!A202, MO_Components[Act Cost])</f>
        <v>0</v>
      </c>
      <c r="K202" s="11">
        <f t="shared" si="12"/>
        <v>0</v>
      </c>
      <c r="L202" t="str">
        <f t="shared" si="13"/>
        <v/>
      </c>
      <c r="M202" t="str">
        <f t="shared" si="14"/>
        <v/>
      </c>
      <c r="N202" t="str">
        <f t="shared" si="15"/>
        <v/>
      </c>
    </row>
    <row r="203" spans="2:14" x14ac:dyDescent="0.25">
      <c r="B203" s="5" t="str">
        <f>_xlfn.IFNA(VLOOKUP(A203, MOs_Ready_to_close[[Order]:[Tot Est Machine Hrs]], 2, FALSE), "")</f>
        <v/>
      </c>
      <c r="C203" s="5" t="str">
        <f>_xlfn.IFNA(VLOOKUP(A203, MOs_Ready_to_close[[Order]:[Tot Est Machine Hrs]], 4, FALSE), "")</f>
        <v/>
      </c>
      <c r="D203" s="6" t="str">
        <f>_xlfn.IFNA(VLOOKUP(A203, MOs_Ready_to_close[[Order]:[Tot Est Machine Hrs]], 8, FALSE), "")</f>
        <v/>
      </c>
      <c r="E203" s="7" t="str">
        <f>_xlfn.IFNA(VLOOKUP(A203, MOs_Ready_to_close[[Order]:[Tot Est Machine Hrs]], 9, FALSE), "")</f>
        <v/>
      </c>
      <c r="I203" s="11">
        <f>SUMIF(MO_Components[Order], Calculations!A203, MO_Components[Std Cost])</f>
        <v>0</v>
      </c>
      <c r="J203" s="11">
        <f>SUMIF(MO_Components[Order], Calculations!A203, MO_Components[Act Cost])</f>
        <v>0</v>
      </c>
      <c r="K203" s="11">
        <f t="shared" si="12"/>
        <v>0</v>
      </c>
      <c r="L203" t="str">
        <f t="shared" si="13"/>
        <v/>
      </c>
      <c r="M203" t="str">
        <f t="shared" si="14"/>
        <v/>
      </c>
      <c r="N203" t="str">
        <f t="shared" si="15"/>
        <v/>
      </c>
    </row>
    <row r="204" spans="2:14" x14ac:dyDescent="0.25">
      <c r="B204" s="5" t="str">
        <f>_xlfn.IFNA(VLOOKUP(A204, MOs_Ready_to_close[[Order]:[Tot Est Machine Hrs]], 2, FALSE), "")</f>
        <v/>
      </c>
      <c r="C204" s="5" t="str">
        <f>_xlfn.IFNA(VLOOKUP(A204, MOs_Ready_to_close[[Order]:[Tot Est Machine Hrs]], 4, FALSE), "")</f>
        <v/>
      </c>
      <c r="D204" s="6" t="str">
        <f>_xlfn.IFNA(VLOOKUP(A204, MOs_Ready_to_close[[Order]:[Tot Est Machine Hrs]], 8, FALSE), "")</f>
        <v/>
      </c>
      <c r="E204" s="7" t="str">
        <f>_xlfn.IFNA(VLOOKUP(A204, MOs_Ready_to_close[[Order]:[Tot Est Machine Hrs]], 9, FALSE), "")</f>
        <v/>
      </c>
      <c r="I204" s="11">
        <f>SUMIF(MO_Components[Order], Calculations!A204, MO_Components[Std Cost])</f>
        <v>0</v>
      </c>
      <c r="J204" s="11">
        <f>SUMIF(MO_Components[Order], Calculations!A204, MO_Components[Act Cost])</f>
        <v>0</v>
      </c>
      <c r="K204" s="11">
        <f t="shared" si="12"/>
        <v>0</v>
      </c>
      <c r="L204" t="str">
        <f t="shared" si="13"/>
        <v/>
      </c>
      <c r="M204" t="str">
        <f t="shared" si="14"/>
        <v/>
      </c>
      <c r="N204" t="str">
        <f t="shared" si="15"/>
        <v/>
      </c>
    </row>
    <row r="205" spans="2:14" x14ac:dyDescent="0.25">
      <c r="B205" s="5" t="str">
        <f>_xlfn.IFNA(VLOOKUP(A205, MOs_Ready_to_close[[Order]:[Tot Est Machine Hrs]], 2, FALSE), "")</f>
        <v/>
      </c>
      <c r="C205" s="5" t="str">
        <f>_xlfn.IFNA(VLOOKUP(A205, MOs_Ready_to_close[[Order]:[Tot Est Machine Hrs]], 4, FALSE), "")</f>
        <v/>
      </c>
      <c r="D205" s="6" t="str">
        <f>_xlfn.IFNA(VLOOKUP(A205, MOs_Ready_to_close[[Order]:[Tot Est Machine Hrs]], 8, FALSE), "")</f>
        <v/>
      </c>
      <c r="E205" s="7" t="str">
        <f>_xlfn.IFNA(VLOOKUP(A205, MOs_Ready_to_close[[Order]:[Tot Est Machine Hrs]], 9, FALSE), "")</f>
        <v/>
      </c>
      <c r="I205" s="11">
        <f>SUMIF(MO_Components[Order], Calculations!A205, MO_Components[Std Cost])</f>
        <v>0</v>
      </c>
      <c r="J205" s="11">
        <f>SUMIF(MO_Components[Order], Calculations!A205, MO_Components[Act Cost])</f>
        <v>0</v>
      </c>
      <c r="K205" s="11">
        <f t="shared" si="12"/>
        <v>0</v>
      </c>
      <c r="L205" t="str">
        <f t="shared" si="13"/>
        <v/>
      </c>
      <c r="M205" t="str">
        <f t="shared" si="14"/>
        <v/>
      </c>
      <c r="N205" t="str">
        <f t="shared" si="15"/>
        <v/>
      </c>
    </row>
    <row r="206" spans="2:14" x14ac:dyDescent="0.25">
      <c r="B206" s="5" t="str">
        <f>_xlfn.IFNA(VLOOKUP(A206, MOs_Ready_to_close[[Order]:[Tot Est Machine Hrs]], 2, FALSE), "")</f>
        <v/>
      </c>
      <c r="C206" s="5" t="str">
        <f>_xlfn.IFNA(VLOOKUP(A206, MOs_Ready_to_close[[Order]:[Tot Est Machine Hrs]], 4, FALSE), "")</f>
        <v/>
      </c>
      <c r="D206" s="6" t="str">
        <f>_xlfn.IFNA(VLOOKUP(A206, MOs_Ready_to_close[[Order]:[Tot Est Machine Hrs]], 8, FALSE), "")</f>
        <v/>
      </c>
      <c r="E206" s="7" t="str">
        <f>_xlfn.IFNA(VLOOKUP(A206, MOs_Ready_to_close[[Order]:[Tot Est Machine Hrs]], 9, FALSE), "")</f>
        <v/>
      </c>
      <c r="I206" s="11">
        <f>SUMIF(MO_Components[Order], Calculations!A206, MO_Components[Std Cost])</f>
        <v>0</v>
      </c>
      <c r="J206" s="11">
        <f>SUMIF(MO_Components[Order], Calculations!A206, MO_Components[Act Cost])</f>
        <v>0</v>
      </c>
      <c r="K206" s="11">
        <f t="shared" si="12"/>
        <v>0</v>
      </c>
      <c r="L206" t="str">
        <f t="shared" si="13"/>
        <v/>
      </c>
      <c r="M206" t="str">
        <f t="shared" si="14"/>
        <v/>
      </c>
      <c r="N206" t="str">
        <f t="shared" si="15"/>
        <v/>
      </c>
    </row>
    <row r="207" spans="2:14" x14ac:dyDescent="0.25">
      <c r="B207" s="5" t="str">
        <f>_xlfn.IFNA(VLOOKUP(A207, MOs_Ready_to_close[[Order]:[Tot Est Machine Hrs]], 2, FALSE), "")</f>
        <v/>
      </c>
      <c r="C207" s="5" t="str">
        <f>_xlfn.IFNA(VLOOKUP(A207, MOs_Ready_to_close[[Order]:[Tot Est Machine Hrs]], 4, FALSE), "")</f>
        <v/>
      </c>
      <c r="D207" s="6" t="str">
        <f>_xlfn.IFNA(VLOOKUP(A207, MOs_Ready_to_close[[Order]:[Tot Est Machine Hrs]], 8, FALSE), "")</f>
        <v/>
      </c>
      <c r="E207" s="7" t="str">
        <f>_xlfn.IFNA(VLOOKUP(A207, MOs_Ready_to_close[[Order]:[Tot Est Machine Hrs]], 9, FALSE), "")</f>
        <v/>
      </c>
      <c r="I207" s="11">
        <f>SUMIF(MO_Components[Order], Calculations!A207, MO_Components[Std Cost])</f>
        <v>0</v>
      </c>
      <c r="J207" s="11">
        <f>SUMIF(MO_Components[Order], Calculations!A207, MO_Components[Act Cost])</f>
        <v>0</v>
      </c>
      <c r="K207" s="11">
        <f t="shared" si="12"/>
        <v>0</v>
      </c>
      <c r="L207" t="str">
        <f t="shared" si="13"/>
        <v/>
      </c>
      <c r="M207" t="str">
        <f t="shared" si="14"/>
        <v/>
      </c>
      <c r="N207" t="str">
        <f t="shared" si="15"/>
        <v/>
      </c>
    </row>
    <row r="208" spans="2:14" x14ac:dyDescent="0.25">
      <c r="B208" s="5" t="str">
        <f>_xlfn.IFNA(VLOOKUP(A208, MOs_Ready_to_close[[Order]:[Tot Est Machine Hrs]], 2, FALSE), "")</f>
        <v/>
      </c>
      <c r="C208" s="5" t="str">
        <f>_xlfn.IFNA(VLOOKUP(A208, MOs_Ready_to_close[[Order]:[Tot Est Machine Hrs]], 4, FALSE), "")</f>
        <v/>
      </c>
      <c r="D208" s="6" t="str">
        <f>_xlfn.IFNA(VLOOKUP(A208, MOs_Ready_to_close[[Order]:[Tot Est Machine Hrs]], 8, FALSE), "")</f>
        <v/>
      </c>
      <c r="E208" s="7" t="str">
        <f>_xlfn.IFNA(VLOOKUP(A208, MOs_Ready_to_close[[Order]:[Tot Est Machine Hrs]], 9, FALSE), "")</f>
        <v/>
      </c>
      <c r="I208" s="11">
        <f>SUMIF(MO_Components[Order], Calculations!A208, MO_Components[Std Cost])</f>
        <v>0</v>
      </c>
      <c r="J208" s="11">
        <f>SUMIF(MO_Components[Order], Calculations!A208, MO_Components[Act Cost])</f>
        <v>0</v>
      </c>
      <c r="K208" s="11">
        <f t="shared" si="12"/>
        <v>0</v>
      </c>
      <c r="L208" t="str">
        <f t="shared" si="13"/>
        <v/>
      </c>
      <c r="M208" t="str">
        <f t="shared" si="14"/>
        <v/>
      </c>
      <c r="N208" t="str">
        <f t="shared" si="15"/>
        <v/>
      </c>
    </row>
    <row r="209" spans="2:14" x14ac:dyDescent="0.25">
      <c r="B209" s="5" t="str">
        <f>_xlfn.IFNA(VLOOKUP(A209, MOs_Ready_to_close[[Order]:[Tot Est Machine Hrs]], 2, FALSE), "")</f>
        <v/>
      </c>
      <c r="C209" s="5" t="str">
        <f>_xlfn.IFNA(VLOOKUP(A209, MOs_Ready_to_close[[Order]:[Tot Est Machine Hrs]], 4, FALSE), "")</f>
        <v/>
      </c>
      <c r="D209" s="6" t="str">
        <f>_xlfn.IFNA(VLOOKUP(A209, MOs_Ready_to_close[[Order]:[Tot Est Machine Hrs]], 8, FALSE), "")</f>
        <v/>
      </c>
      <c r="E209" s="7" t="str">
        <f>_xlfn.IFNA(VLOOKUP(A209, MOs_Ready_to_close[[Order]:[Tot Est Machine Hrs]], 9, FALSE), "")</f>
        <v/>
      </c>
      <c r="I209" s="11">
        <f>SUMIF(MO_Components[Order], Calculations!A209, MO_Components[Std Cost])</f>
        <v>0</v>
      </c>
      <c r="J209" s="11">
        <f>SUMIF(MO_Components[Order], Calculations!A209, MO_Components[Act Cost])</f>
        <v>0</v>
      </c>
      <c r="K209" s="11">
        <f t="shared" si="12"/>
        <v>0</v>
      </c>
      <c r="L209" t="str">
        <f t="shared" si="13"/>
        <v/>
      </c>
      <c r="M209" t="str">
        <f t="shared" si="14"/>
        <v/>
      </c>
      <c r="N209" t="str">
        <f t="shared" si="15"/>
        <v/>
      </c>
    </row>
    <row r="210" spans="2:14" x14ac:dyDescent="0.25">
      <c r="B210" s="5" t="str">
        <f>_xlfn.IFNA(VLOOKUP(A210, MOs_Ready_to_close[[Order]:[Tot Est Machine Hrs]], 2, FALSE), "")</f>
        <v/>
      </c>
      <c r="C210" s="5" t="str">
        <f>_xlfn.IFNA(VLOOKUP(A210, MOs_Ready_to_close[[Order]:[Tot Est Machine Hrs]], 4, FALSE), "")</f>
        <v/>
      </c>
      <c r="D210" s="6" t="str">
        <f>_xlfn.IFNA(VLOOKUP(A210, MOs_Ready_to_close[[Order]:[Tot Est Machine Hrs]], 8, FALSE), "")</f>
        <v/>
      </c>
      <c r="E210" s="7" t="str">
        <f>_xlfn.IFNA(VLOOKUP(A210, MOs_Ready_to_close[[Order]:[Tot Est Machine Hrs]], 9, FALSE), "")</f>
        <v/>
      </c>
      <c r="I210" s="11">
        <f>SUMIF(MO_Components[Order], Calculations!A210, MO_Components[Std Cost])</f>
        <v>0</v>
      </c>
      <c r="J210" s="11">
        <f>SUMIF(MO_Components[Order], Calculations!A210, MO_Components[Act Cost])</f>
        <v>0</v>
      </c>
      <c r="K210" s="11">
        <f t="shared" si="12"/>
        <v>0</v>
      </c>
      <c r="L210" t="str">
        <f t="shared" si="13"/>
        <v/>
      </c>
      <c r="M210" t="str">
        <f t="shared" si="14"/>
        <v/>
      </c>
      <c r="N210" t="str">
        <f t="shared" si="15"/>
        <v/>
      </c>
    </row>
    <row r="211" spans="2:14" x14ac:dyDescent="0.25">
      <c r="B211" s="5" t="str">
        <f>_xlfn.IFNA(VLOOKUP(A211, MOs_Ready_to_close[[Order]:[Tot Est Machine Hrs]], 2, FALSE), "")</f>
        <v/>
      </c>
      <c r="C211" s="5" t="str">
        <f>_xlfn.IFNA(VLOOKUP(A211, MOs_Ready_to_close[[Order]:[Tot Est Machine Hrs]], 4, FALSE), "")</f>
        <v/>
      </c>
      <c r="D211" s="6" t="str">
        <f>_xlfn.IFNA(VLOOKUP(A211, MOs_Ready_to_close[[Order]:[Tot Est Machine Hrs]], 8, FALSE), "")</f>
        <v/>
      </c>
      <c r="E211" s="7" t="str">
        <f>_xlfn.IFNA(VLOOKUP(A211, MOs_Ready_to_close[[Order]:[Tot Est Machine Hrs]], 9, FALSE), "")</f>
        <v/>
      </c>
      <c r="I211" s="11">
        <f>SUMIF(MO_Components[Order], Calculations!A211, MO_Components[Std Cost])</f>
        <v>0</v>
      </c>
      <c r="J211" s="11">
        <f>SUMIF(MO_Components[Order], Calculations!A211, MO_Components[Act Cost])</f>
        <v>0</v>
      </c>
      <c r="K211" s="11">
        <f t="shared" si="12"/>
        <v>0</v>
      </c>
      <c r="L211" t="str">
        <f t="shared" si="13"/>
        <v/>
      </c>
      <c r="M211" t="str">
        <f t="shared" si="14"/>
        <v/>
      </c>
      <c r="N211" t="str">
        <f t="shared" si="15"/>
        <v/>
      </c>
    </row>
    <row r="212" spans="2:14" x14ac:dyDescent="0.25">
      <c r="B212" s="5" t="str">
        <f>_xlfn.IFNA(VLOOKUP(A212, MOs_Ready_to_close[[Order]:[Tot Est Machine Hrs]], 2, FALSE), "")</f>
        <v/>
      </c>
      <c r="C212" s="5" t="str">
        <f>_xlfn.IFNA(VLOOKUP(A212, MOs_Ready_to_close[[Order]:[Tot Est Machine Hrs]], 4, FALSE), "")</f>
        <v/>
      </c>
      <c r="D212" s="6" t="str">
        <f>_xlfn.IFNA(VLOOKUP(A212, MOs_Ready_to_close[[Order]:[Tot Est Machine Hrs]], 8, FALSE), "")</f>
        <v/>
      </c>
      <c r="E212" s="7" t="str">
        <f>_xlfn.IFNA(VLOOKUP(A212, MOs_Ready_to_close[[Order]:[Tot Est Machine Hrs]], 9, FALSE), "")</f>
        <v/>
      </c>
      <c r="I212" s="11">
        <f>SUMIF(MO_Components[Order], Calculations!A212, MO_Components[Std Cost])</f>
        <v>0</v>
      </c>
      <c r="J212" s="11">
        <f>SUMIF(MO_Components[Order], Calculations!A212, MO_Components[Act Cost])</f>
        <v>0</v>
      </c>
      <c r="K212" s="11">
        <f t="shared" si="12"/>
        <v>0</v>
      </c>
      <c r="L212" t="str">
        <f t="shared" si="13"/>
        <v/>
      </c>
      <c r="M212" t="str">
        <f t="shared" si="14"/>
        <v/>
      </c>
      <c r="N212" t="str">
        <f t="shared" si="15"/>
        <v/>
      </c>
    </row>
    <row r="213" spans="2:14" x14ac:dyDescent="0.25">
      <c r="B213" s="5" t="str">
        <f>_xlfn.IFNA(VLOOKUP(A213, MOs_Ready_to_close[[Order]:[Tot Est Machine Hrs]], 2, FALSE), "")</f>
        <v/>
      </c>
      <c r="C213" s="5" t="str">
        <f>_xlfn.IFNA(VLOOKUP(A213, MOs_Ready_to_close[[Order]:[Tot Est Machine Hrs]], 4, FALSE), "")</f>
        <v/>
      </c>
      <c r="D213" s="6" t="str">
        <f>_xlfn.IFNA(VLOOKUP(A213, MOs_Ready_to_close[[Order]:[Tot Est Machine Hrs]], 8, FALSE), "")</f>
        <v/>
      </c>
      <c r="E213" s="7" t="str">
        <f>_xlfn.IFNA(VLOOKUP(A213, MOs_Ready_to_close[[Order]:[Tot Est Machine Hrs]], 9, FALSE), "")</f>
        <v/>
      </c>
      <c r="I213" s="11">
        <f>SUMIF(MO_Components[Order], Calculations!A213, MO_Components[Std Cost])</f>
        <v>0</v>
      </c>
      <c r="J213" s="11">
        <f>SUMIF(MO_Components[Order], Calculations!A213, MO_Components[Act Cost])</f>
        <v>0</v>
      </c>
      <c r="K213" s="11">
        <f t="shared" si="12"/>
        <v>0</v>
      </c>
      <c r="L213" t="str">
        <f t="shared" si="13"/>
        <v/>
      </c>
      <c r="M213" t="str">
        <f t="shared" si="14"/>
        <v/>
      </c>
      <c r="N213" t="str">
        <f t="shared" si="15"/>
        <v/>
      </c>
    </row>
    <row r="214" spans="2:14" x14ac:dyDescent="0.25">
      <c r="B214" s="5" t="str">
        <f>_xlfn.IFNA(VLOOKUP(A214, MOs_Ready_to_close[[Order]:[Tot Est Machine Hrs]], 2, FALSE), "")</f>
        <v/>
      </c>
      <c r="C214" s="5" t="str">
        <f>_xlfn.IFNA(VLOOKUP(A214, MOs_Ready_to_close[[Order]:[Tot Est Machine Hrs]], 4, FALSE), "")</f>
        <v/>
      </c>
      <c r="D214" s="6" t="str">
        <f>_xlfn.IFNA(VLOOKUP(A214, MOs_Ready_to_close[[Order]:[Tot Est Machine Hrs]], 8, FALSE), "")</f>
        <v/>
      </c>
      <c r="E214" s="7" t="str">
        <f>_xlfn.IFNA(VLOOKUP(A214, MOs_Ready_to_close[[Order]:[Tot Est Machine Hrs]], 9, FALSE), "")</f>
        <v/>
      </c>
      <c r="I214" s="11">
        <f>SUMIF(MO_Components[Order], Calculations!A214, MO_Components[Std Cost])</f>
        <v>0</v>
      </c>
      <c r="J214" s="11">
        <f>SUMIF(MO_Components[Order], Calculations!A214, MO_Components[Act Cost])</f>
        <v>0</v>
      </c>
      <c r="K214" s="11">
        <f t="shared" si="12"/>
        <v>0</v>
      </c>
      <c r="L214" t="str">
        <f t="shared" si="13"/>
        <v/>
      </c>
      <c r="M214" t="str">
        <f t="shared" si="14"/>
        <v/>
      </c>
      <c r="N214" t="str">
        <f t="shared" si="15"/>
        <v/>
      </c>
    </row>
    <row r="215" spans="2:14" x14ac:dyDescent="0.25">
      <c r="B215" s="5" t="str">
        <f>_xlfn.IFNA(VLOOKUP(A215, MOs_Ready_to_close[[Order]:[Tot Est Machine Hrs]], 2, FALSE), "")</f>
        <v/>
      </c>
      <c r="C215" s="5" t="str">
        <f>_xlfn.IFNA(VLOOKUP(A215, MOs_Ready_to_close[[Order]:[Tot Est Machine Hrs]], 4, FALSE), "")</f>
        <v/>
      </c>
      <c r="D215" s="6" t="str">
        <f>_xlfn.IFNA(VLOOKUP(A215, MOs_Ready_to_close[[Order]:[Tot Est Machine Hrs]], 8, FALSE), "")</f>
        <v/>
      </c>
      <c r="E215" s="7" t="str">
        <f>_xlfn.IFNA(VLOOKUP(A215, MOs_Ready_to_close[[Order]:[Tot Est Machine Hrs]], 9, FALSE), "")</f>
        <v/>
      </c>
      <c r="I215" s="11">
        <f>SUMIF(MO_Components[Order], Calculations!A215, MO_Components[Std Cost])</f>
        <v>0</v>
      </c>
      <c r="J215" s="11">
        <f>SUMIF(MO_Components[Order], Calculations!A215, MO_Components[Act Cost])</f>
        <v>0</v>
      </c>
      <c r="K215" s="11">
        <f t="shared" si="12"/>
        <v>0</v>
      </c>
      <c r="L215" t="str">
        <f t="shared" si="13"/>
        <v/>
      </c>
      <c r="M215" t="str">
        <f t="shared" si="14"/>
        <v/>
      </c>
      <c r="N215" t="str">
        <f t="shared" si="15"/>
        <v/>
      </c>
    </row>
    <row r="216" spans="2:14" x14ac:dyDescent="0.25">
      <c r="B216" s="5" t="str">
        <f>_xlfn.IFNA(VLOOKUP(A216, MOs_Ready_to_close[[Order]:[Tot Est Machine Hrs]], 2, FALSE), "")</f>
        <v/>
      </c>
      <c r="C216" s="5" t="str">
        <f>_xlfn.IFNA(VLOOKUP(A216, MOs_Ready_to_close[[Order]:[Tot Est Machine Hrs]], 4, FALSE), "")</f>
        <v/>
      </c>
      <c r="D216" s="6" t="str">
        <f>_xlfn.IFNA(VLOOKUP(A216, MOs_Ready_to_close[[Order]:[Tot Est Machine Hrs]], 8, FALSE), "")</f>
        <v/>
      </c>
      <c r="E216" s="7" t="str">
        <f>_xlfn.IFNA(VLOOKUP(A216, MOs_Ready_to_close[[Order]:[Tot Est Machine Hrs]], 9, FALSE), "")</f>
        <v/>
      </c>
      <c r="I216" s="11">
        <f>SUMIF(MO_Components[Order], Calculations!A216, MO_Components[Std Cost])</f>
        <v>0</v>
      </c>
      <c r="J216" s="11">
        <f>SUMIF(MO_Components[Order], Calculations!A216, MO_Components[Act Cost])</f>
        <v>0</v>
      </c>
      <c r="K216" s="11">
        <f t="shared" si="12"/>
        <v>0</v>
      </c>
      <c r="L216" t="str">
        <f t="shared" si="13"/>
        <v/>
      </c>
      <c r="M216" t="str">
        <f t="shared" si="14"/>
        <v/>
      </c>
      <c r="N216" t="str">
        <f t="shared" si="15"/>
        <v/>
      </c>
    </row>
    <row r="217" spans="2:14" x14ac:dyDescent="0.25">
      <c r="B217" s="5" t="str">
        <f>_xlfn.IFNA(VLOOKUP(A217, MOs_Ready_to_close[[Order]:[Tot Est Machine Hrs]], 2, FALSE), "")</f>
        <v/>
      </c>
      <c r="C217" s="5" t="str">
        <f>_xlfn.IFNA(VLOOKUP(A217, MOs_Ready_to_close[[Order]:[Tot Est Machine Hrs]], 4, FALSE), "")</f>
        <v/>
      </c>
      <c r="D217" s="6" t="str">
        <f>_xlfn.IFNA(VLOOKUP(A217, MOs_Ready_to_close[[Order]:[Tot Est Machine Hrs]], 8, FALSE), "")</f>
        <v/>
      </c>
      <c r="E217" s="7" t="str">
        <f>_xlfn.IFNA(VLOOKUP(A217, MOs_Ready_to_close[[Order]:[Tot Est Machine Hrs]], 9, FALSE), "")</f>
        <v/>
      </c>
      <c r="I217" s="11">
        <f>SUMIF(MO_Components[Order], Calculations!A217, MO_Components[Std Cost])</f>
        <v>0</v>
      </c>
      <c r="J217" s="11">
        <f>SUMIF(MO_Components[Order], Calculations!A217, MO_Components[Act Cost])</f>
        <v>0</v>
      </c>
      <c r="K217" s="11">
        <f t="shared" si="12"/>
        <v>0</v>
      </c>
      <c r="L217" t="str">
        <f t="shared" si="13"/>
        <v/>
      </c>
      <c r="M217" t="str">
        <f t="shared" si="14"/>
        <v/>
      </c>
      <c r="N217" t="str">
        <f t="shared" si="15"/>
        <v/>
      </c>
    </row>
    <row r="218" spans="2:14" x14ac:dyDescent="0.25">
      <c r="B218" s="5" t="str">
        <f>_xlfn.IFNA(VLOOKUP(A218, MOs_Ready_to_close[[Order]:[Tot Est Machine Hrs]], 2, FALSE), "")</f>
        <v/>
      </c>
      <c r="C218" s="5" t="str">
        <f>_xlfn.IFNA(VLOOKUP(A218, MOs_Ready_to_close[[Order]:[Tot Est Machine Hrs]], 4, FALSE), "")</f>
        <v/>
      </c>
      <c r="D218" s="6" t="str">
        <f>_xlfn.IFNA(VLOOKUP(A218, MOs_Ready_to_close[[Order]:[Tot Est Machine Hrs]], 8, FALSE), "")</f>
        <v/>
      </c>
      <c r="E218" s="7" t="str">
        <f>_xlfn.IFNA(VLOOKUP(A218, MOs_Ready_to_close[[Order]:[Tot Est Machine Hrs]], 9, FALSE), "")</f>
        <v/>
      </c>
      <c r="I218" s="11">
        <f>SUMIF(MO_Components[Order], Calculations!A218, MO_Components[Std Cost])</f>
        <v>0</v>
      </c>
      <c r="J218" s="11">
        <f>SUMIF(MO_Components[Order], Calculations!A218, MO_Components[Act Cost])</f>
        <v>0</v>
      </c>
      <c r="K218" s="11">
        <f t="shared" si="12"/>
        <v>0</v>
      </c>
      <c r="L218" t="str">
        <f t="shared" si="13"/>
        <v/>
      </c>
      <c r="M218" t="str">
        <f t="shared" si="14"/>
        <v/>
      </c>
      <c r="N218" t="str">
        <f t="shared" si="15"/>
        <v/>
      </c>
    </row>
    <row r="219" spans="2:14" x14ac:dyDescent="0.25">
      <c r="B219" s="5" t="str">
        <f>_xlfn.IFNA(VLOOKUP(A219, MOs_Ready_to_close[[Order]:[Tot Est Machine Hrs]], 2, FALSE), "")</f>
        <v/>
      </c>
      <c r="C219" s="5" t="str">
        <f>_xlfn.IFNA(VLOOKUP(A219, MOs_Ready_to_close[[Order]:[Tot Est Machine Hrs]], 4, FALSE), "")</f>
        <v/>
      </c>
      <c r="D219" s="6" t="str">
        <f>_xlfn.IFNA(VLOOKUP(A219, MOs_Ready_to_close[[Order]:[Tot Est Machine Hrs]], 8, FALSE), "")</f>
        <v/>
      </c>
      <c r="E219" s="7" t="str">
        <f>_xlfn.IFNA(VLOOKUP(A219, MOs_Ready_to_close[[Order]:[Tot Est Machine Hrs]], 9, FALSE), "")</f>
        <v/>
      </c>
      <c r="I219" s="11">
        <f>SUMIF(MO_Components[Order], Calculations!A219, MO_Components[Std Cost])</f>
        <v>0</v>
      </c>
      <c r="J219" s="11">
        <f>SUMIF(MO_Components[Order], Calculations!A219, MO_Components[Act Cost])</f>
        <v>0</v>
      </c>
      <c r="K219" s="11">
        <f t="shared" si="12"/>
        <v>0</v>
      </c>
      <c r="L219" t="str">
        <f t="shared" si="13"/>
        <v/>
      </c>
      <c r="M219" t="str">
        <f t="shared" si="14"/>
        <v/>
      </c>
      <c r="N219" t="str">
        <f t="shared" si="15"/>
        <v/>
      </c>
    </row>
    <row r="220" spans="2:14" x14ac:dyDescent="0.25">
      <c r="B220" s="5" t="str">
        <f>_xlfn.IFNA(VLOOKUP(A220, MOs_Ready_to_close[[Order]:[Tot Est Machine Hrs]], 2, FALSE), "")</f>
        <v/>
      </c>
      <c r="C220" s="5" t="str">
        <f>_xlfn.IFNA(VLOOKUP(A220, MOs_Ready_to_close[[Order]:[Tot Est Machine Hrs]], 4, FALSE), "")</f>
        <v/>
      </c>
      <c r="D220" s="6" t="str">
        <f>_xlfn.IFNA(VLOOKUP(A220, MOs_Ready_to_close[[Order]:[Tot Est Machine Hrs]], 8, FALSE), "")</f>
        <v/>
      </c>
      <c r="E220" s="7" t="str">
        <f>_xlfn.IFNA(VLOOKUP(A220, MOs_Ready_to_close[[Order]:[Tot Est Machine Hrs]], 9, FALSE), "")</f>
        <v/>
      </c>
      <c r="I220" s="11">
        <f>SUMIF(MO_Components[Order], Calculations!A220, MO_Components[Std Cost])</f>
        <v>0</v>
      </c>
      <c r="J220" s="11">
        <f>SUMIF(MO_Components[Order], Calculations!A220, MO_Components[Act Cost])</f>
        <v>0</v>
      </c>
      <c r="K220" s="11">
        <f t="shared" si="12"/>
        <v>0</v>
      </c>
      <c r="L220" t="str">
        <f t="shared" si="13"/>
        <v/>
      </c>
      <c r="M220" t="str">
        <f t="shared" si="14"/>
        <v/>
      </c>
      <c r="N220" t="str">
        <f t="shared" si="15"/>
        <v/>
      </c>
    </row>
    <row r="221" spans="2:14" x14ac:dyDescent="0.25">
      <c r="B221" s="5" t="str">
        <f>_xlfn.IFNA(VLOOKUP(A221, MOs_Ready_to_close[[Order]:[Tot Est Machine Hrs]], 2, FALSE), "")</f>
        <v/>
      </c>
      <c r="C221" s="5" t="str">
        <f>_xlfn.IFNA(VLOOKUP(A221, MOs_Ready_to_close[[Order]:[Tot Est Machine Hrs]], 4, FALSE), "")</f>
        <v/>
      </c>
      <c r="D221" s="6" t="str">
        <f>_xlfn.IFNA(VLOOKUP(A221, MOs_Ready_to_close[[Order]:[Tot Est Machine Hrs]], 8, FALSE), "")</f>
        <v/>
      </c>
      <c r="E221" s="7" t="str">
        <f>_xlfn.IFNA(VLOOKUP(A221, MOs_Ready_to_close[[Order]:[Tot Est Machine Hrs]], 9, FALSE), "")</f>
        <v/>
      </c>
      <c r="I221" s="11">
        <f>SUMIF(MO_Components[Order], Calculations!A221, MO_Components[Std Cost])</f>
        <v>0</v>
      </c>
      <c r="J221" s="11">
        <f>SUMIF(MO_Components[Order], Calculations!A221, MO_Components[Act Cost])</f>
        <v>0</v>
      </c>
      <c r="K221" s="11">
        <f t="shared" si="12"/>
        <v>0</v>
      </c>
      <c r="L221" t="str">
        <f t="shared" si="13"/>
        <v/>
      </c>
      <c r="M221" t="str">
        <f t="shared" si="14"/>
        <v/>
      </c>
      <c r="N221" t="str">
        <f t="shared" si="15"/>
        <v/>
      </c>
    </row>
    <row r="222" spans="2:14" x14ac:dyDescent="0.25">
      <c r="B222" s="5" t="str">
        <f>_xlfn.IFNA(VLOOKUP(A222, MOs_Ready_to_close[[Order]:[Tot Est Machine Hrs]], 2, FALSE), "")</f>
        <v/>
      </c>
      <c r="C222" s="5" t="str">
        <f>_xlfn.IFNA(VLOOKUP(A222, MOs_Ready_to_close[[Order]:[Tot Est Machine Hrs]], 4, FALSE), "")</f>
        <v/>
      </c>
      <c r="D222" s="6" t="str">
        <f>_xlfn.IFNA(VLOOKUP(A222, MOs_Ready_to_close[[Order]:[Tot Est Machine Hrs]], 8, FALSE), "")</f>
        <v/>
      </c>
      <c r="E222" s="7" t="str">
        <f>_xlfn.IFNA(VLOOKUP(A222, MOs_Ready_to_close[[Order]:[Tot Est Machine Hrs]], 9, FALSE), "")</f>
        <v/>
      </c>
      <c r="I222" s="11">
        <f>SUMIF(MO_Components[Order], Calculations!A222, MO_Components[Std Cost])</f>
        <v>0</v>
      </c>
      <c r="J222" s="11">
        <f>SUMIF(MO_Components[Order], Calculations!A222, MO_Components[Act Cost])</f>
        <v>0</v>
      </c>
      <c r="K222" s="11">
        <f t="shared" si="12"/>
        <v>0</v>
      </c>
      <c r="L222" t="str">
        <f t="shared" si="13"/>
        <v/>
      </c>
      <c r="M222" t="str">
        <f t="shared" si="14"/>
        <v/>
      </c>
      <c r="N222" t="str">
        <f t="shared" si="15"/>
        <v/>
      </c>
    </row>
    <row r="223" spans="2:14" x14ac:dyDescent="0.25">
      <c r="B223" s="5" t="str">
        <f>_xlfn.IFNA(VLOOKUP(A223, MOs_Ready_to_close[[Order]:[Tot Est Machine Hrs]], 2, FALSE), "")</f>
        <v/>
      </c>
      <c r="C223" s="5" t="str">
        <f>_xlfn.IFNA(VLOOKUP(A223, MOs_Ready_to_close[[Order]:[Tot Est Machine Hrs]], 4, FALSE), "")</f>
        <v/>
      </c>
      <c r="D223" s="6" t="str">
        <f>_xlfn.IFNA(VLOOKUP(A223, MOs_Ready_to_close[[Order]:[Tot Est Machine Hrs]], 8, FALSE), "")</f>
        <v/>
      </c>
      <c r="E223" s="7" t="str">
        <f>_xlfn.IFNA(VLOOKUP(A223, MOs_Ready_to_close[[Order]:[Tot Est Machine Hrs]], 9, FALSE), "")</f>
        <v/>
      </c>
      <c r="I223" s="11">
        <f>SUMIF(MO_Components[Order], Calculations!A223, MO_Components[Std Cost])</f>
        <v>0</v>
      </c>
      <c r="J223" s="11">
        <f>SUMIF(MO_Components[Order], Calculations!A223, MO_Components[Act Cost])</f>
        <v>0</v>
      </c>
      <c r="K223" s="11">
        <f t="shared" si="12"/>
        <v>0</v>
      </c>
      <c r="L223" t="str">
        <f t="shared" si="13"/>
        <v/>
      </c>
      <c r="M223" t="str">
        <f t="shared" si="14"/>
        <v/>
      </c>
      <c r="N223" t="str">
        <f t="shared" si="15"/>
        <v/>
      </c>
    </row>
    <row r="224" spans="2:14" x14ac:dyDescent="0.25">
      <c r="B224" s="5" t="str">
        <f>_xlfn.IFNA(VLOOKUP(A224, MOs_Ready_to_close[[Order]:[Tot Est Machine Hrs]], 2, FALSE), "")</f>
        <v/>
      </c>
      <c r="C224" s="5" t="str">
        <f>_xlfn.IFNA(VLOOKUP(A224, MOs_Ready_to_close[[Order]:[Tot Est Machine Hrs]], 4, FALSE), "")</f>
        <v/>
      </c>
      <c r="D224" s="6" t="str">
        <f>_xlfn.IFNA(VLOOKUP(A224, MOs_Ready_to_close[[Order]:[Tot Est Machine Hrs]], 8, FALSE), "")</f>
        <v/>
      </c>
      <c r="E224" s="7" t="str">
        <f>_xlfn.IFNA(VLOOKUP(A224, MOs_Ready_to_close[[Order]:[Tot Est Machine Hrs]], 9, FALSE), "")</f>
        <v/>
      </c>
      <c r="I224" s="11">
        <f>SUMIF(MO_Components[Order], Calculations!A224, MO_Components[Std Cost])</f>
        <v>0</v>
      </c>
      <c r="J224" s="11">
        <f>SUMIF(MO_Components[Order], Calculations!A224, MO_Components[Act Cost])</f>
        <v>0</v>
      </c>
      <c r="K224" s="11">
        <f t="shared" si="12"/>
        <v>0</v>
      </c>
      <c r="L224" t="str">
        <f t="shared" si="13"/>
        <v/>
      </c>
      <c r="M224" t="str">
        <f t="shared" si="14"/>
        <v/>
      </c>
      <c r="N224" t="str">
        <f t="shared" si="15"/>
        <v/>
      </c>
    </row>
    <row r="225" spans="2:14" x14ac:dyDescent="0.25">
      <c r="B225" s="5" t="str">
        <f>_xlfn.IFNA(VLOOKUP(A225, MOs_Ready_to_close[[Order]:[Tot Est Machine Hrs]], 2, FALSE), "")</f>
        <v/>
      </c>
      <c r="C225" s="5" t="str">
        <f>_xlfn.IFNA(VLOOKUP(A225, MOs_Ready_to_close[[Order]:[Tot Est Machine Hrs]], 4, FALSE), "")</f>
        <v/>
      </c>
      <c r="D225" s="6" t="str">
        <f>_xlfn.IFNA(VLOOKUP(A225, MOs_Ready_to_close[[Order]:[Tot Est Machine Hrs]], 8, FALSE), "")</f>
        <v/>
      </c>
      <c r="E225" s="7" t="str">
        <f>_xlfn.IFNA(VLOOKUP(A225, MOs_Ready_to_close[[Order]:[Tot Est Machine Hrs]], 9, FALSE), "")</f>
        <v/>
      </c>
      <c r="I225" s="11">
        <f>SUMIF(MO_Components[Order], Calculations!A225, MO_Components[Std Cost])</f>
        <v>0</v>
      </c>
      <c r="J225" s="11">
        <f>SUMIF(MO_Components[Order], Calculations!A225, MO_Components[Act Cost])</f>
        <v>0</v>
      </c>
      <c r="K225" s="11">
        <f t="shared" si="12"/>
        <v>0</v>
      </c>
      <c r="L225" t="str">
        <f t="shared" si="13"/>
        <v/>
      </c>
      <c r="M225" t="str">
        <f t="shared" si="14"/>
        <v/>
      </c>
      <c r="N225" t="str">
        <f t="shared" si="15"/>
        <v/>
      </c>
    </row>
    <row r="226" spans="2:14" x14ac:dyDescent="0.25">
      <c r="B226" s="5" t="str">
        <f>_xlfn.IFNA(VLOOKUP(A226, MOs_Ready_to_close[[Order]:[Tot Est Machine Hrs]], 2, FALSE), "")</f>
        <v/>
      </c>
      <c r="C226" s="5" t="str">
        <f>_xlfn.IFNA(VLOOKUP(A226, MOs_Ready_to_close[[Order]:[Tot Est Machine Hrs]], 4, FALSE), "")</f>
        <v/>
      </c>
      <c r="D226" s="6" t="str">
        <f>_xlfn.IFNA(VLOOKUP(A226, MOs_Ready_to_close[[Order]:[Tot Est Machine Hrs]], 8, FALSE), "")</f>
        <v/>
      </c>
      <c r="E226" s="7" t="str">
        <f>_xlfn.IFNA(VLOOKUP(A226, MOs_Ready_to_close[[Order]:[Tot Est Machine Hrs]], 9, FALSE), "")</f>
        <v/>
      </c>
      <c r="I226" s="11">
        <f>SUMIF(MO_Components[Order], Calculations!A226, MO_Components[Std Cost])</f>
        <v>0</v>
      </c>
      <c r="J226" s="11">
        <f>SUMIF(MO_Components[Order], Calculations!A226, MO_Components[Act Cost])</f>
        <v>0</v>
      </c>
      <c r="K226" s="11">
        <f t="shared" si="12"/>
        <v>0</v>
      </c>
      <c r="L226" t="str">
        <f t="shared" si="13"/>
        <v/>
      </c>
      <c r="M226" t="str">
        <f t="shared" si="14"/>
        <v/>
      </c>
      <c r="N226" t="str">
        <f t="shared" si="15"/>
        <v/>
      </c>
    </row>
    <row r="227" spans="2:14" x14ac:dyDescent="0.25">
      <c r="B227" s="5" t="str">
        <f>_xlfn.IFNA(VLOOKUP(A227, MOs_Ready_to_close[[Order]:[Tot Est Machine Hrs]], 2, FALSE), "")</f>
        <v/>
      </c>
      <c r="C227" s="5" t="str">
        <f>_xlfn.IFNA(VLOOKUP(A227, MOs_Ready_to_close[[Order]:[Tot Est Machine Hrs]], 4, FALSE), "")</f>
        <v/>
      </c>
      <c r="D227" s="6" t="str">
        <f>_xlfn.IFNA(VLOOKUP(A227, MOs_Ready_to_close[[Order]:[Tot Est Machine Hrs]], 8, FALSE), "")</f>
        <v/>
      </c>
      <c r="E227" s="7" t="str">
        <f>_xlfn.IFNA(VLOOKUP(A227, MOs_Ready_to_close[[Order]:[Tot Est Machine Hrs]], 9, FALSE), "")</f>
        <v/>
      </c>
      <c r="I227" s="11">
        <f>SUMIF(MO_Components[Order], Calculations!A227, MO_Components[Std Cost])</f>
        <v>0</v>
      </c>
      <c r="J227" s="11">
        <f>SUMIF(MO_Components[Order], Calculations!A227, MO_Components[Act Cost])</f>
        <v>0</v>
      </c>
      <c r="K227" s="11">
        <f t="shared" si="12"/>
        <v>0</v>
      </c>
      <c r="L227" t="str">
        <f t="shared" si="13"/>
        <v/>
      </c>
      <c r="M227" t="str">
        <f t="shared" si="14"/>
        <v/>
      </c>
      <c r="N227" t="str">
        <f t="shared" si="15"/>
        <v/>
      </c>
    </row>
    <row r="228" spans="2:14" x14ac:dyDescent="0.25">
      <c r="B228" s="5" t="str">
        <f>_xlfn.IFNA(VLOOKUP(A228, MOs_Ready_to_close[[Order]:[Tot Est Machine Hrs]], 2, FALSE), "")</f>
        <v/>
      </c>
      <c r="C228" s="5" t="str">
        <f>_xlfn.IFNA(VLOOKUP(A228, MOs_Ready_to_close[[Order]:[Tot Est Machine Hrs]], 4, FALSE), "")</f>
        <v/>
      </c>
      <c r="D228" s="6" t="str">
        <f>_xlfn.IFNA(VLOOKUP(A228, MOs_Ready_to_close[[Order]:[Tot Est Machine Hrs]], 8, FALSE), "")</f>
        <v/>
      </c>
      <c r="E228" s="7" t="str">
        <f>_xlfn.IFNA(VLOOKUP(A228, MOs_Ready_to_close[[Order]:[Tot Est Machine Hrs]], 9, FALSE), "")</f>
        <v/>
      </c>
      <c r="I228" s="11">
        <f>SUMIF(MO_Components[Order], Calculations!A228, MO_Components[Std Cost])</f>
        <v>0</v>
      </c>
      <c r="J228" s="11">
        <f>SUMIF(MO_Components[Order], Calculations!A228, MO_Components[Act Cost])</f>
        <v>0</v>
      </c>
      <c r="K228" s="11">
        <f t="shared" si="12"/>
        <v>0</v>
      </c>
      <c r="L228" t="str">
        <f t="shared" si="13"/>
        <v/>
      </c>
      <c r="M228" t="str">
        <f t="shared" si="14"/>
        <v/>
      </c>
      <c r="N228" t="str">
        <f t="shared" si="15"/>
        <v/>
      </c>
    </row>
    <row r="229" spans="2:14" x14ac:dyDescent="0.25">
      <c r="B229" s="5" t="str">
        <f>_xlfn.IFNA(VLOOKUP(A229, MOs_Ready_to_close[[Order]:[Tot Est Machine Hrs]], 2, FALSE), "")</f>
        <v/>
      </c>
      <c r="C229" s="5" t="str">
        <f>_xlfn.IFNA(VLOOKUP(A229, MOs_Ready_to_close[[Order]:[Tot Est Machine Hrs]], 4, FALSE), "")</f>
        <v/>
      </c>
      <c r="D229" s="6" t="str">
        <f>_xlfn.IFNA(VLOOKUP(A229, MOs_Ready_to_close[[Order]:[Tot Est Machine Hrs]], 8, FALSE), "")</f>
        <v/>
      </c>
      <c r="E229" s="7" t="str">
        <f>_xlfn.IFNA(VLOOKUP(A229, MOs_Ready_to_close[[Order]:[Tot Est Machine Hrs]], 9, FALSE), "")</f>
        <v/>
      </c>
      <c r="I229" s="11">
        <f>SUMIF(MO_Components[Order], Calculations!A229, MO_Components[Std Cost])</f>
        <v>0</v>
      </c>
      <c r="J229" s="11">
        <f>SUMIF(MO_Components[Order], Calculations!A229, MO_Components[Act Cost])</f>
        <v>0</v>
      </c>
      <c r="K229" s="11">
        <f t="shared" si="12"/>
        <v>0</v>
      </c>
      <c r="L229" t="str">
        <f t="shared" si="13"/>
        <v/>
      </c>
      <c r="M229" t="str">
        <f t="shared" si="14"/>
        <v/>
      </c>
      <c r="N229" t="str">
        <f t="shared" si="15"/>
        <v/>
      </c>
    </row>
    <row r="230" spans="2:14" x14ac:dyDescent="0.25">
      <c r="B230" s="5" t="str">
        <f>_xlfn.IFNA(VLOOKUP(A230, MOs_Ready_to_close[[Order]:[Tot Est Machine Hrs]], 2, FALSE), "")</f>
        <v/>
      </c>
      <c r="C230" s="5" t="str">
        <f>_xlfn.IFNA(VLOOKUP(A230, MOs_Ready_to_close[[Order]:[Tot Est Machine Hrs]], 4, FALSE), "")</f>
        <v/>
      </c>
      <c r="D230" s="6" t="str">
        <f>_xlfn.IFNA(VLOOKUP(A230, MOs_Ready_to_close[[Order]:[Tot Est Machine Hrs]], 8, FALSE), "")</f>
        <v/>
      </c>
      <c r="E230" s="7" t="str">
        <f>_xlfn.IFNA(VLOOKUP(A230, MOs_Ready_to_close[[Order]:[Tot Est Machine Hrs]], 9, FALSE), "")</f>
        <v/>
      </c>
      <c r="I230" s="11">
        <f>SUMIF(MO_Components[Order], Calculations!A230, MO_Components[Std Cost])</f>
        <v>0</v>
      </c>
      <c r="J230" s="11">
        <f>SUMIF(MO_Components[Order], Calculations!A230, MO_Components[Act Cost])</f>
        <v>0</v>
      </c>
      <c r="K230" s="11">
        <f t="shared" si="12"/>
        <v>0</v>
      </c>
      <c r="L230" t="str">
        <f t="shared" si="13"/>
        <v/>
      </c>
      <c r="M230" t="str">
        <f t="shared" si="14"/>
        <v/>
      </c>
      <c r="N230" t="str">
        <f t="shared" si="15"/>
        <v/>
      </c>
    </row>
    <row r="231" spans="2:14" x14ac:dyDescent="0.25">
      <c r="B231" s="5" t="str">
        <f>_xlfn.IFNA(VLOOKUP(A231, MOs_Ready_to_close[[Order]:[Tot Est Machine Hrs]], 2, FALSE), "")</f>
        <v/>
      </c>
      <c r="C231" s="5" t="str">
        <f>_xlfn.IFNA(VLOOKUP(A231, MOs_Ready_to_close[[Order]:[Tot Est Machine Hrs]], 4, FALSE), "")</f>
        <v/>
      </c>
      <c r="D231" s="6" t="str">
        <f>_xlfn.IFNA(VLOOKUP(A231, MOs_Ready_to_close[[Order]:[Tot Est Machine Hrs]], 8, FALSE), "")</f>
        <v/>
      </c>
      <c r="E231" s="7" t="str">
        <f>_xlfn.IFNA(VLOOKUP(A231, MOs_Ready_to_close[[Order]:[Tot Est Machine Hrs]], 9, FALSE), "")</f>
        <v/>
      </c>
      <c r="I231" s="11">
        <f>SUMIF(MO_Components[Order], Calculations!A231, MO_Components[Std Cost])</f>
        <v>0</v>
      </c>
      <c r="J231" s="11">
        <f>SUMIF(MO_Components[Order], Calculations!A231, MO_Components[Act Cost])</f>
        <v>0</v>
      </c>
      <c r="K231" s="11">
        <f t="shared" si="12"/>
        <v>0</v>
      </c>
      <c r="L231" t="str">
        <f t="shared" si="13"/>
        <v/>
      </c>
      <c r="M231" t="str">
        <f t="shared" si="14"/>
        <v/>
      </c>
      <c r="N231" t="str">
        <f t="shared" si="15"/>
        <v/>
      </c>
    </row>
    <row r="232" spans="2:14" x14ac:dyDescent="0.25">
      <c r="B232" s="5" t="str">
        <f>_xlfn.IFNA(VLOOKUP(A232, MOs_Ready_to_close[[Order]:[Tot Est Machine Hrs]], 2, FALSE), "")</f>
        <v/>
      </c>
      <c r="C232" s="5" t="str">
        <f>_xlfn.IFNA(VLOOKUP(A232, MOs_Ready_to_close[[Order]:[Tot Est Machine Hrs]], 4, FALSE), "")</f>
        <v/>
      </c>
      <c r="D232" s="6" t="str">
        <f>_xlfn.IFNA(VLOOKUP(A232, MOs_Ready_to_close[[Order]:[Tot Est Machine Hrs]], 8, FALSE), "")</f>
        <v/>
      </c>
      <c r="E232" s="7" t="str">
        <f>_xlfn.IFNA(VLOOKUP(A232, MOs_Ready_to_close[[Order]:[Tot Est Machine Hrs]], 9, FALSE), "")</f>
        <v/>
      </c>
      <c r="I232" s="11">
        <f>SUMIF(MO_Components[Order], Calculations!A232, MO_Components[Std Cost])</f>
        <v>0</v>
      </c>
      <c r="J232" s="11">
        <f>SUMIF(MO_Components[Order], Calculations!A232, MO_Components[Act Cost])</f>
        <v>0</v>
      </c>
      <c r="K232" s="11">
        <f t="shared" si="12"/>
        <v>0</v>
      </c>
      <c r="L232" t="str">
        <f t="shared" si="13"/>
        <v/>
      </c>
      <c r="M232" t="str">
        <f t="shared" si="14"/>
        <v/>
      </c>
      <c r="N232" t="str">
        <f t="shared" si="15"/>
        <v/>
      </c>
    </row>
    <row r="233" spans="2:14" x14ac:dyDescent="0.25">
      <c r="B233" s="5" t="str">
        <f>_xlfn.IFNA(VLOOKUP(A233, MOs_Ready_to_close[[Order]:[Tot Est Machine Hrs]], 2, FALSE), "")</f>
        <v/>
      </c>
      <c r="C233" s="5" t="str">
        <f>_xlfn.IFNA(VLOOKUP(A233, MOs_Ready_to_close[[Order]:[Tot Est Machine Hrs]], 4, FALSE), "")</f>
        <v/>
      </c>
      <c r="D233" s="6" t="str">
        <f>_xlfn.IFNA(VLOOKUP(A233, MOs_Ready_to_close[[Order]:[Tot Est Machine Hrs]], 8, FALSE), "")</f>
        <v/>
      </c>
      <c r="E233" s="7" t="str">
        <f>_xlfn.IFNA(VLOOKUP(A233, MOs_Ready_to_close[[Order]:[Tot Est Machine Hrs]], 9, FALSE), "")</f>
        <v/>
      </c>
      <c r="I233" s="11">
        <f>SUMIF(MO_Components[Order], Calculations!A233, MO_Components[Std Cost])</f>
        <v>0</v>
      </c>
      <c r="J233" s="11">
        <f>SUMIF(MO_Components[Order], Calculations!A233, MO_Components[Act Cost])</f>
        <v>0</v>
      </c>
      <c r="K233" s="11">
        <f t="shared" si="12"/>
        <v>0</v>
      </c>
      <c r="L233" t="str">
        <f t="shared" si="13"/>
        <v/>
      </c>
      <c r="M233" t="str">
        <f t="shared" si="14"/>
        <v/>
      </c>
      <c r="N233" t="str">
        <f t="shared" si="15"/>
        <v/>
      </c>
    </row>
    <row r="234" spans="2:14" x14ac:dyDescent="0.25">
      <c r="B234" s="5" t="str">
        <f>_xlfn.IFNA(VLOOKUP(A234, MOs_Ready_to_close[[Order]:[Tot Est Machine Hrs]], 2, FALSE), "")</f>
        <v/>
      </c>
      <c r="C234" s="5" t="str">
        <f>_xlfn.IFNA(VLOOKUP(A234, MOs_Ready_to_close[[Order]:[Tot Est Machine Hrs]], 4, FALSE), "")</f>
        <v/>
      </c>
      <c r="D234" s="6" t="str">
        <f>_xlfn.IFNA(VLOOKUP(A234, MOs_Ready_to_close[[Order]:[Tot Est Machine Hrs]], 8, FALSE), "")</f>
        <v/>
      </c>
      <c r="E234" s="7" t="str">
        <f>_xlfn.IFNA(VLOOKUP(A234, MOs_Ready_to_close[[Order]:[Tot Est Machine Hrs]], 9, FALSE), "")</f>
        <v/>
      </c>
      <c r="I234" s="11">
        <f>SUMIF(MO_Components[Order], Calculations!A234, MO_Components[Std Cost])</f>
        <v>0</v>
      </c>
      <c r="J234" s="11">
        <f>SUMIF(MO_Components[Order], Calculations!A234, MO_Components[Act Cost])</f>
        <v>0</v>
      </c>
      <c r="K234" s="11">
        <f t="shared" si="12"/>
        <v>0</v>
      </c>
      <c r="L234" t="str">
        <f t="shared" si="13"/>
        <v/>
      </c>
      <c r="M234" t="str">
        <f t="shared" si="14"/>
        <v/>
      </c>
      <c r="N234" t="str">
        <f t="shared" si="15"/>
        <v/>
      </c>
    </row>
    <row r="235" spans="2:14" x14ac:dyDescent="0.25">
      <c r="B235" s="5" t="str">
        <f>_xlfn.IFNA(VLOOKUP(A235, MOs_Ready_to_close[[Order]:[Tot Est Machine Hrs]], 2, FALSE), "")</f>
        <v/>
      </c>
      <c r="C235" s="5" t="str">
        <f>_xlfn.IFNA(VLOOKUP(A235, MOs_Ready_to_close[[Order]:[Tot Est Machine Hrs]], 4, FALSE), "")</f>
        <v/>
      </c>
      <c r="D235" s="6" t="str">
        <f>_xlfn.IFNA(VLOOKUP(A235, MOs_Ready_to_close[[Order]:[Tot Est Machine Hrs]], 8, FALSE), "")</f>
        <v/>
      </c>
      <c r="E235" s="7" t="str">
        <f>_xlfn.IFNA(VLOOKUP(A235, MOs_Ready_to_close[[Order]:[Tot Est Machine Hrs]], 9, FALSE), "")</f>
        <v/>
      </c>
      <c r="I235" s="11">
        <f>SUMIF(MO_Components[Order], Calculations!A235, MO_Components[Std Cost])</f>
        <v>0</v>
      </c>
      <c r="J235" s="11">
        <f>SUMIF(MO_Components[Order], Calculations!A235, MO_Components[Act Cost])</f>
        <v>0</v>
      </c>
      <c r="K235" s="11">
        <f t="shared" si="12"/>
        <v>0</v>
      </c>
      <c r="L235" t="str">
        <f t="shared" si="13"/>
        <v/>
      </c>
      <c r="M235" t="str">
        <f t="shared" si="14"/>
        <v/>
      </c>
      <c r="N235" t="str">
        <f t="shared" si="15"/>
        <v/>
      </c>
    </row>
    <row r="236" spans="2:14" x14ac:dyDescent="0.25">
      <c r="B236" s="5" t="str">
        <f>_xlfn.IFNA(VLOOKUP(A236, MOs_Ready_to_close[[Order]:[Tot Est Machine Hrs]], 2, FALSE), "")</f>
        <v/>
      </c>
      <c r="C236" s="5" t="str">
        <f>_xlfn.IFNA(VLOOKUP(A236, MOs_Ready_to_close[[Order]:[Tot Est Machine Hrs]], 4, FALSE), "")</f>
        <v/>
      </c>
      <c r="D236" s="6" t="str">
        <f>_xlfn.IFNA(VLOOKUP(A236, MOs_Ready_to_close[[Order]:[Tot Est Machine Hrs]], 8, FALSE), "")</f>
        <v/>
      </c>
      <c r="E236" s="7" t="str">
        <f>_xlfn.IFNA(VLOOKUP(A236, MOs_Ready_to_close[[Order]:[Tot Est Machine Hrs]], 9, FALSE), "")</f>
        <v/>
      </c>
      <c r="I236" s="11">
        <f>SUMIF(MO_Components[Order], Calculations!A236, MO_Components[Std Cost])</f>
        <v>0</v>
      </c>
      <c r="J236" s="11">
        <f>SUMIF(MO_Components[Order], Calculations!A236, MO_Components[Act Cost])</f>
        <v>0</v>
      </c>
      <c r="K236" s="11">
        <f t="shared" si="12"/>
        <v>0</v>
      </c>
      <c r="L236" t="str">
        <f t="shared" si="13"/>
        <v/>
      </c>
      <c r="M236" t="str">
        <f t="shared" si="14"/>
        <v/>
      </c>
      <c r="N236" t="str">
        <f t="shared" si="15"/>
        <v/>
      </c>
    </row>
    <row r="237" spans="2:14" x14ac:dyDescent="0.25">
      <c r="B237" s="5" t="str">
        <f>_xlfn.IFNA(VLOOKUP(A237, MOs_Ready_to_close[[Order]:[Tot Est Machine Hrs]], 2, FALSE), "")</f>
        <v/>
      </c>
      <c r="C237" s="5" t="str">
        <f>_xlfn.IFNA(VLOOKUP(A237, MOs_Ready_to_close[[Order]:[Tot Est Machine Hrs]], 4, FALSE), "")</f>
        <v/>
      </c>
      <c r="D237" s="6" t="str">
        <f>_xlfn.IFNA(VLOOKUP(A237, MOs_Ready_to_close[[Order]:[Tot Est Machine Hrs]], 8, FALSE), "")</f>
        <v/>
      </c>
      <c r="E237" s="7" t="str">
        <f>_xlfn.IFNA(VLOOKUP(A237, MOs_Ready_to_close[[Order]:[Tot Est Machine Hrs]], 9, FALSE), "")</f>
        <v/>
      </c>
      <c r="I237" s="11">
        <f>SUMIF(MO_Components[Order], Calculations!A237, MO_Components[Std Cost])</f>
        <v>0</v>
      </c>
      <c r="J237" s="11">
        <f>SUMIF(MO_Components[Order], Calculations!A237, MO_Components[Act Cost])</f>
        <v>0</v>
      </c>
      <c r="K237" s="11">
        <f t="shared" si="12"/>
        <v>0</v>
      </c>
      <c r="L237" t="str">
        <f t="shared" si="13"/>
        <v/>
      </c>
      <c r="M237" t="str">
        <f t="shared" si="14"/>
        <v/>
      </c>
      <c r="N237" t="str">
        <f t="shared" si="15"/>
        <v/>
      </c>
    </row>
    <row r="238" spans="2:14" x14ac:dyDescent="0.25">
      <c r="B238" s="5" t="str">
        <f>_xlfn.IFNA(VLOOKUP(A238, MOs_Ready_to_close[[Order]:[Tot Est Machine Hrs]], 2, FALSE), "")</f>
        <v/>
      </c>
      <c r="C238" s="5" t="str">
        <f>_xlfn.IFNA(VLOOKUP(A238, MOs_Ready_to_close[[Order]:[Tot Est Machine Hrs]], 4, FALSE), "")</f>
        <v/>
      </c>
      <c r="D238" s="6" t="str">
        <f>_xlfn.IFNA(VLOOKUP(A238, MOs_Ready_to_close[[Order]:[Tot Est Machine Hrs]], 8, FALSE), "")</f>
        <v/>
      </c>
      <c r="E238" s="7" t="str">
        <f>_xlfn.IFNA(VLOOKUP(A238, MOs_Ready_to_close[[Order]:[Tot Est Machine Hrs]], 9, FALSE), "")</f>
        <v/>
      </c>
      <c r="I238" s="11">
        <f>SUMIF(MO_Components[Order], Calculations!A238, MO_Components[Std Cost])</f>
        <v>0</v>
      </c>
      <c r="J238" s="11">
        <f>SUMIF(MO_Components[Order], Calculations!A238, MO_Components[Act Cost])</f>
        <v>0</v>
      </c>
      <c r="K238" s="11">
        <f t="shared" si="12"/>
        <v>0</v>
      </c>
      <c r="L238" t="str">
        <f t="shared" si="13"/>
        <v/>
      </c>
      <c r="M238" t="str">
        <f t="shared" si="14"/>
        <v/>
      </c>
      <c r="N238" t="str">
        <f t="shared" si="15"/>
        <v/>
      </c>
    </row>
    <row r="239" spans="2:14" x14ac:dyDescent="0.25">
      <c r="B239" s="5" t="str">
        <f>_xlfn.IFNA(VLOOKUP(A239, MOs_Ready_to_close[[Order]:[Tot Est Machine Hrs]], 2, FALSE), "")</f>
        <v/>
      </c>
      <c r="C239" s="5" t="str">
        <f>_xlfn.IFNA(VLOOKUP(A239, MOs_Ready_to_close[[Order]:[Tot Est Machine Hrs]], 4, FALSE), "")</f>
        <v/>
      </c>
      <c r="D239" s="6" t="str">
        <f>_xlfn.IFNA(VLOOKUP(A239, MOs_Ready_to_close[[Order]:[Tot Est Machine Hrs]], 8, FALSE), "")</f>
        <v/>
      </c>
      <c r="E239" s="7" t="str">
        <f>_xlfn.IFNA(VLOOKUP(A239, MOs_Ready_to_close[[Order]:[Tot Est Machine Hrs]], 9, FALSE), "")</f>
        <v/>
      </c>
      <c r="I239" s="11">
        <f>SUMIF(MO_Components[Order], Calculations!A239, MO_Components[Std Cost])</f>
        <v>0</v>
      </c>
      <c r="J239" s="11">
        <f>SUMIF(MO_Components[Order], Calculations!A239, MO_Components[Act Cost])</f>
        <v>0</v>
      </c>
      <c r="K239" s="11">
        <f t="shared" si="12"/>
        <v>0</v>
      </c>
      <c r="L239" t="str">
        <f t="shared" si="13"/>
        <v/>
      </c>
      <c r="M239" t="str">
        <f t="shared" si="14"/>
        <v/>
      </c>
      <c r="N239" t="str">
        <f t="shared" si="15"/>
        <v/>
      </c>
    </row>
    <row r="240" spans="2:14" x14ac:dyDescent="0.25">
      <c r="B240" s="5" t="str">
        <f>_xlfn.IFNA(VLOOKUP(A240, MOs_Ready_to_close[[Order]:[Tot Est Machine Hrs]], 2, FALSE), "")</f>
        <v/>
      </c>
      <c r="C240" s="5" t="str">
        <f>_xlfn.IFNA(VLOOKUP(A240, MOs_Ready_to_close[[Order]:[Tot Est Machine Hrs]], 4, FALSE), "")</f>
        <v/>
      </c>
      <c r="D240" s="6" t="str">
        <f>_xlfn.IFNA(VLOOKUP(A240, MOs_Ready_to_close[[Order]:[Tot Est Machine Hrs]], 8, FALSE), "")</f>
        <v/>
      </c>
      <c r="E240" s="7" t="str">
        <f>_xlfn.IFNA(VLOOKUP(A240, MOs_Ready_to_close[[Order]:[Tot Est Machine Hrs]], 9, FALSE), "")</f>
        <v/>
      </c>
      <c r="I240" s="11">
        <f>SUMIF(MO_Components[Order], Calculations!A240, MO_Components[Std Cost])</f>
        <v>0</v>
      </c>
      <c r="J240" s="11">
        <f>SUMIF(MO_Components[Order], Calculations!A240, MO_Components[Act Cost])</f>
        <v>0</v>
      </c>
      <c r="K240" s="11">
        <f t="shared" si="12"/>
        <v>0</v>
      </c>
      <c r="L240" t="str">
        <f t="shared" si="13"/>
        <v/>
      </c>
      <c r="M240" t="str">
        <f t="shared" si="14"/>
        <v/>
      </c>
      <c r="N240" t="str">
        <f t="shared" si="15"/>
        <v/>
      </c>
    </row>
    <row r="241" spans="2:14" x14ac:dyDescent="0.25">
      <c r="B241" s="5" t="str">
        <f>_xlfn.IFNA(VLOOKUP(A241, MOs_Ready_to_close[[Order]:[Tot Est Machine Hrs]], 2, FALSE), "")</f>
        <v/>
      </c>
      <c r="C241" s="5" t="str">
        <f>_xlfn.IFNA(VLOOKUP(A241, MOs_Ready_to_close[[Order]:[Tot Est Machine Hrs]], 4, FALSE), "")</f>
        <v/>
      </c>
      <c r="D241" s="6" t="str">
        <f>_xlfn.IFNA(VLOOKUP(A241, MOs_Ready_to_close[[Order]:[Tot Est Machine Hrs]], 8, FALSE), "")</f>
        <v/>
      </c>
      <c r="E241" s="7" t="str">
        <f>_xlfn.IFNA(VLOOKUP(A241, MOs_Ready_to_close[[Order]:[Tot Est Machine Hrs]], 9, FALSE), "")</f>
        <v/>
      </c>
      <c r="I241" s="11">
        <f>SUMIF(MO_Components[Order], Calculations!A241, MO_Components[Std Cost])</f>
        <v>0</v>
      </c>
      <c r="J241" s="11">
        <f>SUMIF(MO_Components[Order], Calculations!A241, MO_Components[Act Cost])</f>
        <v>0</v>
      </c>
      <c r="K241" s="11">
        <f t="shared" si="12"/>
        <v>0</v>
      </c>
      <c r="L241" t="str">
        <f t="shared" si="13"/>
        <v/>
      </c>
      <c r="M241" t="str">
        <f t="shared" si="14"/>
        <v/>
      </c>
      <c r="N241" t="str">
        <f t="shared" si="15"/>
        <v/>
      </c>
    </row>
    <row r="242" spans="2:14" x14ac:dyDescent="0.25">
      <c r="B242" s="5" t="str">
        <f>_xlfn.IFNA(VLOOKUP(A242, MOs_Ready_to_close[[Order]:[Tot Est Machine Hrs]], 2, FALSE), "")</f>
        <v/>
      </c>
      <c r="C242" s="5" t="str">
        <f>_xlfn.IFNA(VLOOKUP(A242, MOs_Ready_to_close[[Order]:[Tot Est Machine Hrs]], 4, FALSE), "")</f>
        <v/>
      </c>
      <c r="D242" s="6" t="str">
        <f>_xlfn.IFNA(VLOOKUP(A242, MOs_Ready_to_close[[Order]:[Tot Est Machine Hrs]], 8, FALSE), "")</f>
        <v/>
      </c>
      <c r="E242" s="7" t="str">
        <f>_xlfn.IFNA(VLOOKUP(A242, MOs_Ready_to_close[[Order]:[Tot Est Machine Hrs]], 9, FALSE), "")</f>
        <v/>
      </c>
      <c r="I242" s="11">
        <f>SUMIF(MO_Components[Order], Calculations!A242, MO_Components[Std Cost])</f>
        <v>0</v>
      </c>
      <c r="J242" s="11">
        <f>SUMIF(MO_Components[Order], Calculations!A242, MO_Components[Act Cost])</f>
        <v>0</v>
      </c>
      <c r="K242" s="11">
        <f t="shared" si="12"/>
        <v>0</v>
      </c>
      <c r="L242" t="str">
        <f t="shared" si="13"/>
        <v/>
      </c>
      <c r="M242" t="str">
        <f t="shared" si="14"/>
        <v/>
      </c>
      <c r="N242" t="str">
        <f t="shared" si="15"/>
        <v/>
      </c>
    </row>
    <row r="243" spans="2:14" x14ac:dyDescent="0.25">
      <c r="B243" s="5" t="str">
        <f>_xlfn.IFNA(VLOOKUP(A243, MOs_Ready_to_close[[Order]:[Tot Est Machine Hrs]], 2, FALSE), "")</f>
        <v/>
      </c>
      <c r="C243" s="5" t="str">
        <f>_xlfn.IFNA(VLOOKUP(A243, MOs_Ready_to_close[[Order]:[Tot Est Machine Hrs]], 4, FALSE), "")</f>
        <v/>
      </c>
      <c r="D243" s="6" t="str">
        <f>_xlfn.IFNA(VLOOKUP(A243, MOs_Ready_to_close[[Order]:[Tot Est Machine Hrs]], 8, FALSE), "")</f>
        <v/>
      </c>
      <c r="E243" s="7" t="str">
        <f>_xlfn.IFNA(VLOOKUP(A243, MOs_Ready_to_close[[Order]:[Tot Est Machine Hrs]], 9, FALSE), "")</f>
        <v/>
      </c>
      <c r="I243" s="11">
        <f>SUMIF(MO_Components[Order], Calculations!A243, MO_Components[Std Cost])</f>
        <v>0</v>
      </c>
      <c r="J243" s="11">
        <f>SUMIF(MO_Components[Order], Calculations!A243, MO_Components[Act Cost])</f>
        <v>0</v>
      </c>
      <c r="K243" s="11">
        <f t="shared" si="12"/>
        <v>0</v>
      </c>
      <c r="L243" t="str">
        <f t="shared" si="13"/>
        <v/>
      </c>
      <c r="M243" t="str">
        <f t="shared" si="14"/>
        <v/>
      </c>
      <c r="N243" t="str">
        <f t="shared" si="15"/>
        <v/>
      </c>
    </row>
    <row r="244" spans="2:14" x14ac:dyDescent="0.25">
      <c r="B244" s="5" t="str">
        <f>_xlfn.IFNA(VLOOKUP(A244, MOs_Ready_to_close[[Order]:[Tot Est Machine Hrs]], 2, FALSE), "")</f>
        <v/>
      </c>
      <c r="C244" s="5" t="str">
        <f>_xlfn.IFNA(VLOOKUP(A244, MOs_Ready_to_close[[Order]:[Tot Est Machine Hrs]], 4, FALSE), "")</f>
        <v/>
      </c>
      <c r="D244" s="6" t="str">
        <f>_xlfn.IFNA(VLOOKUP(A244, MOs_Ready_to_close[[Order]:[Tot Est Machine Hrs]], 8, FALSE), "")</f>
        <v/>
      </c>
      <c r="E244" s="7" t="str">
        <f>_xlfn.IFNA(VLOOKUP(A244, MOs_Ready_to_close[[Order]:[Tot Est Machine Hrs]], 9, FALSE), "")</f>
        <v/>
      </c>
      <c r="I244" s="11">
        <f>SUMIF(MO_Components[Order], Calculations!A244, MO_Components[Std Cost])</f>
        <v>0</v>
      </c>
      <c r="J244" s="11">
        <f>SUMIF(MO_Components[Order], Calculations!A244, MO_Components[Act Cost])</f>
        <v>0</v>
      </c>
      <c r="K244" s="11">
        <f t="shared" si="12"/>
        <v>0</v>
      </c>
      <c r="L244" t="str">
        <f t="shared" si="13"/>
        <v/>
      </c>
      <c r="M244" t="str">
        <f t="shared" si="14"/>
        <v/>
      </c>
      <c r="N244" t="str">
        <f t="shared" si="15"/>
        <v/>
      </c>
    </row>
    <row r="245" spans="2:14" x14ac:dyDescent="0.25">
      <c r="B245" s="5" t="str">
        <f>_xlfn.IFNA(VLOOKUP(A245, MOs_Ready_to_close[[Order]:[Tot Est Machine Hrs]], 2, FALSE), "")</f>
        <v/>
      </c>
      <c r="C245" s="5" t="str">
        <f>_xlfn.IFNA(VLOOKUP(A245, MOs_Ready_to_close[[Order]:[Tot Est Machine Hrs]], 4, FALSE), "")</f>
        <v/>
      </c>
      <c r="D245" s="6" t="str">
        <f>_xlfn.IFNA(VLOOKUP(A245, MOs_Ready_to_close[[Order]:[Tot Est Machine Hrs]], 8, FALSE), "")</f>
        <v/>
      </c>
      <c r="E245" s="7" t="str">
        <f>_xlfn.IFNA(VLOOKUP(A245, MOs_Ready_to_close[[Order]:[Tot Est Machine Hrs]], 9, FALSE), "")</f>
        <v/>
      </c>
      <c r="I245" s="11">
        <f>SUMIF(MO_Components[Order], Calculations!A245, MO_Components[Std Cost])</f>
        <v>0</v>
      </c>
      <c r="J245" s="11">
        <f>SUMIF(MO_Components[Order], Calculations!A245, MO_Components[Act Cost])</f>
        <v>0</v>
      </c>
      <c r="K245" s="11">
        <f t="shared" si="12"/>
        <v>0</v>
      </c>
      <c r="L245" t="str">
        <f t="shared" si="13"/>
        <v/>
      </c>
      <c r="M245" t="str">
        <f t="shared" si="14"/>
        <v/>
      </c>
      <c r="N245" t="str">
        <f t="shared" si="15"/>
        <v/>
      </c>
    </row>
    <row r="246" spans="2:14" x14ac:dyDescent="0.25">
      <c r="B246" s="5" t="str">
        <f>_xlfn.IFNA(VLOOKUP(A246, MOs_Ready_to_close[[Order]:[Tot Est Machine Hrs]], 2, FALSE), "")</f>
        <v/>
      </c>
      <c r="C246" s="5" t="str">
        <f>_xlfn.IFNA(VLOOKUP(A246, MOs_Ready_to_close[[Order]:[Tot Est Machine Hrs]], 4, FALSE), "")</f>
        <v/>
      </c>
      <c r="D246" s="6" t="str">
        <f>_xlfn.IFNA(VLOOKUP(A246, MOs_Ready_to_close[[Order]:[Tot Est Machine Hrs]], 8, FALSE), "")</f>
        <v/>
      </c>
      <c r="E246" s="7" t="str">
        <f>_xlfn.IFNA(VLOOKUP(A246, MOs_Ready_to_close[[Order]:[Tot Est Machine Hrs]], 9, FALSE), "")</f>
        <v/>
      </c>
      <c r="I246" s="11">
        <f>SUMIF(MO_Components[Order], Calculations!A246, MO_Components[Std Cost])</f>
        <v>0</v>
      </c>
      <c r="J246" s="11">
        <f>SUMIF(MO_Components[Order], Calculations!A246, MO_Components[Act Cost])</f>
        <v>0</v>
      </c>
      <c r="K246" s="11">
        <f t="shared" si="12"/>
        <v>0</v>
      </c>
      <c r="L246" t="str">
        <f t="shared" si="13"/>
        <v/>
      </c>
      <c r="M246" t="str">
        <f t="shared" si="14"/>
        <v/>
      </c>
      <c r="N246" t="str">
        <f t="shared" si="15"/>
        <v/>
      </c>
    </row>
    <row r="247" spans="2:14" x14ac:dyDescent="0.25">
      <c r="B247" s="5" t="str">
        <f>_xlfn.IFNA(VLOOKUP(A247, MOs_Ready_to_close[[Order]:[Tot Est Machine Hrs]], 2, FALSE), "")</f>
        <v/>
      </c>
      <c r="C247" s="5" t="str">
        <f>_xlfn.IFNA(VLOOKUP(A247, MOs_Ready_to_close[[Order]:[Tot Est Machine Hrs]], 4, FALSE), "")</f>
        <v/>
      </c>
      <c r="D247" s="6" t="str">
        <f>_xlfn.IFNA(VLOOKUP(A247, MOs_Ready_to_close[[Order]:[Tot Est Machine Hrs]], 8, FALSE), "")</f>
        <v/>
      </c>
      <c r="E247" s="7" t="str">
        <f>_xlfn.IFNA(VLOOKUP(A247, MOs_Ready_to_close[[Order]:[Tot Est Machine Hrs]], 9, FALSE), "")</f>
        <v/>
      </c>
      <c r="I247" s="11">
        <f>SUMIF(MO_Components[Order], Calculations!A247, MO_Components[Std Cost])</f>
        <v>0</v>
      </c>
      <c r="J247" s="11">
        <f>SUMIF(MO_Components[Order], Calculations!A247, MO_Components[Act Cost])</f>
        <v>0</v>
      </c>
      <c r="K247" s="11">
        <f t="shared" si="12"/>
        <v>0</v>
      </c>
      <c r="L247" t="str">
        <f t="shared" si="13"/>
        <v/>
      </c>
      <c r="M247" t="str">
        <f t="shared" si="14"/>
        <v/>
      </c>
      <c r="N247" t="str">
        <f t="shared" si="15"/>
        <v/>
      </c>
    </row>
    <row r="248" spans="2:14" x14ac:dyDescent="0.25">
      <c r="B248" s="5" t="str">
        <f>_xlfn.IFNA(VLOOKUP(A248, MOs_Ready_to_close[[Order]:[Tot Est Machine Hrs]], 2, FALSE), "")</f>
        <v/>
      </c>
      <c r="C248" s="5" t="str">
        <f>_xlfn.IFNA(VLOOKUP(A248, MOs_Ready_to_close[[Order]:[Tot Est Machine Hrs]], 4, FALSE), "")</f>
        <v/>
      </c>
      <c r="D248" s="6" t="str">
        <f>_xlfn.IFNA(VLOOKUP(A248, MOs_Ready_to_close[[Order]:[Tot Est Machine Hrs]], 8, FALSE), "")</f>
        <v/>
      </c>
      <c r="E248" s="7" t="str">
        <f>_xlfn.IFNA(VLOOKUP(A248, MOs_Ready_to_close[[Order]:[Tot Est Machine Hrs]], 9, FALSE), "")</f>
        <v/>
      </c>
      <c r="I248" s="11">
        <f>SUMIF(MO_Components[Order], Calculations!A248, MO_Components[Std Cost])</f>
        <v>0</v>
      </c>
      <c r="J248" s="11">
        <f>SUMIF(MO_Components[Order], Calculations!A248, MO_Components[Act Cost])</f>
        <v>0</v>
      </c>
      <c r="K248" s="11">
        <f t="shared" si="12"/>
        <v>0</v>
      </c>
      <c r="L248" t="str">
        <f t="shared" si="13"/>
        <v/>
      </c>
      <c r="M248" t="str">
        <f t="shared" si="14"/>
        <v/>
      </c>
      <c r="N248" t="str">
        <f t="shared" si="15"/>
        <v/>
      </c>
    </row>
    <row r="249" spans="2:14" x14ac:dyDescent="0.25">
      <c r="B249" s="5" t="str">
        <f>_xlfn.IFNA(VLOOKUP(A249, MOs_Ready_to_close[[Order]:[Tot Est Machine Hrs]], 2, FALSE), "")</f>
        <v/>
      </c>
      <c r="C249" s="5" t="str">
        <f>_xlfn.IFNA(VLOOKUP(A249, MOs_Ready_to_close[[Order]:[Tot Est Machine Hrs]], 4, FALSE), "")</f>
        <v/>
      </c>
      <c r="D249" s="6" t="str">
        <f>_xlfn.IFNA(VLOOKUP(A249, MOs_Ready_to_close[[Order]:[Tot Est Machine Hrs]], 8, FALSE), "")</f>
        <v/>
      </c>
      <c r="E249" s="7" t="str">
        <f>_xlfn.IFNA(VLOOKUP(A249, MOs_Ready_to_close[[Order]:[Tot Est Machine Hrs]], 9, FALSE), "")</f>
        <v/>
      </c>
      <c r="I249" s="11">
        <f>SUMIF(MO_Components[Order], Calculations!A249, MO_Components[Std Cost])</f>
        <v>0</v>
      </c>
      <c r="J249" s="11">
        <f>SUMIF(MO_Components[Order], Calculations!A249, MO_Components[Act Cost])</f>
        <v>0</v>
      </c>
      <c r="K249" s="11">
        <f t="shared" si="12"/>
        <v>0</v>
      </c>
      <c r="L249" t="str">
        <f t="shared" si="13"/>
        <v/>
      </c>
      <c r="M249" t="str">
        <f t="shared" si="14"/>
        <v/>
      </c>
      <c r="N249" t="str">
        <f t="shared" si="15"/>
        <v/>
      </c>
    </row>
    <row r="250" spans="2:14" x14ac:dyDescent="0.25">
      <c r="B250" s="5" t="str">
        <f>_xlfn.IFNA(VLOOKUP(A250, MOs_Ready_to_close[[Order]:[Tot Est Machine Hrs]], 2, FALSE), "")</f>
        <v/>
      </c>
      <c r="C250" s="5" t="str">
        <f>_xlfn.IFNA(VLOOKUP(A250, MOs_Ready_to_close[[Order]:[Tot Est Machine Hrs]], 4, FALSE), "")</f>
        <v/>
      </c>
      <c r="D250" s="6" t="str">
        <f>_xlfn.IFNA(VLOOKUP(A250, MOs_Ready_to_close[[Order]:[Tot Est Machine Hrs]], 8, FALSE), "")</f>
        <v/>
      </c>
      <c r="E250" s="7" t="str">
        <f>_xlfn.IFNA(VLOOKUP(A250, MOs_Ready_to_close[[Order]:[Tot Est Machine Hrs]], 9, FALSE), "")</f>
        <v/>
      </c>
      <c r="I250" s="11">
        <f>SUMIF(MO_Components[Order], Calculations!A250, MO_Components[Std Cost])</f>
        <v>0</v>
      </c>
      <c r="J250" s="11">
        <f>SUMIF(MO_Components[Order], Calculations!A250, MO_Components[Act Cost])</f>
        <v>0</v>
      </c>
      <c r="K250" s="11">
        <f t="shared" si="12"/>
        <v>0</v>
      </c>
      <c r="L250" t="str">
        <f t="shared" si="13"/>
        <v/>
      </c>
      <c r="M250" t="str">
        <f t="shared" si="14"/>
        <v/>
      </c>
      <c r="N250" t="str">
        <f t="shared" si="15"/>
        <v/>
      </c>
    </row>
    <row r="251" spans="2:14" x14ac:dyDescent="0.25">
      <c r="B251" s="5" t="str">
        <f>_xlfn.IFNA(VLOOKUP(A251, MOs_Ready_to_close[[Order]:[Tot Est Machine Hrs]], 2, FALSE), "")</f>
        <v/>
      </c>
      <c r="C251" s="5" t="str">
        <f>_xlfn.IFNA(VLOOKUP(A251, MOs_Ready_to_close[[Order]:[Tot Est Machine Hrs]], 4, FALSE), "")</f>
        <v/>
      </c>
      <c r="D251" s="6" t="str">
        <f>_xlfn.IFNA(VLOOKUP(A251, MOs_Ready_to_close[[Order]:[Tot Est Machine Hrs]], 8, FALSE), "")</f>
        <v/>
      </c>
      <c r="E251" s="7" t="str">
        <f>_xlfn.IFNA(VLOOKUP(A251, MOs_Ready_to_close[[Order]:[Tot Est Machine Hrs]], 9, FALSE), "")</f>
        <v/>
      </c>
      <c r="I251" s="11">
        <f>SUMIF(MO_Components[Order], Calculations!A251, MO_Components[Std Cost])</f>
        <v>0</v>
      </c>
      <c r="J251" s="11">
        <f>SUMIF(MO_Components[Order], Calculations!A251, MO_Components[Act Cost])</f>
        <v>0</v>
      </c>
      <c r="K251" s="11">
        <f t="shared" si="12"/>
        <v>0</v>
      </c>
      <c r="L251" t="str">
        <f t="shared" si="13"/>
        <v/>
      </c>
      <c r="M251" t="str">
        <f t="shared" si="14"/>
        <v/>
      </c>
      <c r="N251" t="str">
        <f t="shared" si="15"/>
        <v/>
      </c>
    </row>
    <row r="252" spans="2:14" x14ac:dyDescent="0.25">
      <c r="B252" s="5" t="str">
        <f>_xlfn.IFNA(VLOOKUP(A252, MOs_Ready_to_close[[Order]:[Tot Est Machine Hrs]], 2, FALSE), "")</f>
        <v/>
      </c>
      <c r="C252" s="5" t="str">
        <f>_xlfn.IFNA(VLOOKUP(A252, MOs_Ready_to_close[[Order]:[Tot Est Machine Hrs]], 4, FALSE), "")</f>
        <v/>
      </c>
      <c r="D252" s="6" t="str">
        <f>_xlfn.IFNA(VLOOKUP(A252, MOs_Ready_to_close[[Order]:[Tot Est Machine Hrs]], 8, FALSE), "")</f>
        <v/>
      </c>
      <c r="E252" s="7" t="str">
        <f>_xlfn.IFNA(VLOOKUP(A252, MOs_Ready_to_close[[Order]:[Tot Est Machine Hrs]], 9, FALSE), "")</f>
        <v/>
      </c>
      <c r="I252" s="11">
        <f>SUMIF(MO_Components[Order], Calculations!A252, MO_Components[Std Cost])</f>
        <v>0</v>
      </c>
      <c r="J252" s="11">
        <f>SUMIF(MO_Components[Order], Calculations!A252, MO_Components[Act Cost])</f>
        <v>0</v>
      </c>
      <c r="K252" s="11">
        <f t="shared" si="12"/>
        <v>0</v>
      </c>
      <c r="L252" t="str">
        <f t="shared" si="13"/>
        <v/>
      </c>
      <c r="M252" t="str">
        <f t="shared" si="14"/>
        <v/>
      </c>
      <c r="N252" t="str">
        <f t="shared" si="15"/>
        <v/>
      </c>
    </row>
    <row r="253" spans="2:14" x14ac:dyDescent="0.25">
      <c r="B253" s="5" t="str">
        <f>_xlfn.IFNA(VLOOKUP(A253, MOs_Ready_to_close[[Order]:[Tot Est Machine Hrs]], 2, FALSE), "")</f>
        <v/>
      </c>
      <c r="C253" s="5" t="str">
        <f>_xlfn.IFNA(VLOOKUP(A253, MOs_Ready_to_close[[Order]:[Tot Est Machine Hrs]], 4, FALSE), "")</f>
        <v/>
      </c>
      <c r="D253" s="6" t="str">
        <f>_xlfn.IFNA(VLOOKUP(A253, MOs_Ready_to_close[[Order]:[Tot Est Machine Hrs]], 8, FALSE), "")</f>
        <v/>
      </c>
      <c r="E253" s="7" t="str">
        <f>_xlfn.IFNA(VLOOKUP(A253, MOs_Ready_to_close[[Order]:[Tot Est Machine Hrs]], 9, FALSE), "")</f>
        <v/>
      </c>
      <c r="I253" s="11">
        <f>SUMIF(MO_Components[Order], Calculations!A253, MO_Components[Std Cost])</f>
        <v>0</v>
      </c>
      <c r="J253" s="11">
        <f>SUMIF(MO_Components[Order], Calculations!A253, MO_Components[Act Cost])</f>
        <v>0</v>
      </c>
      <c r="K253" s="11">
        <f t="shared" si="12"/>
        <v>0</v>
      </c>
      <c r="L253" t="str">
        <f t="shared" si="13"/>
        <v/>
      </c>
      <c r="M253" t="str">
        <f t="shared" si="14"/>
        <v/>
      </c>
      <c r="N253" t="str">
        <f t="shared" si="15"/>
        <v/>
      </c>
    </row>
    <row r="254" spans="2:14" x14ac:dyDescent="0.25">
      <c r="B254" s="5" t="str">
        <f>_xlfn.IFNA(VLOOKUP(A254, MOs_Ready_to_close[[Order]:[Tot Est Machine Hrs]], 2, FALSE), "")</f>
        <v/>
      </c>
      <c r="C254" s="5" t="str">
        <f>_xlfn.IFNA(VLOOKUP(A254, MOs_Ready_to_close[[Order]:[Tot Est Machine Hrs]], 4, FALSE), "")</f>
        <v/>
      </c>
      <c r="D254" s="6" t="str">
        <f>_xlfn.IFNA(VLOOKUP(A254, MOs_Ready_to_close[[Order]:[Tot Est Machine Hrs]], 8, FALSE), "")</f>
        <v/>
      </c>
      <c r="E254" s="7" t="str">
        <f>_xlfn.IFNA(VLOOKUP(A254, MOs_Ready_to_close[[Order]:[Tot Est Machine Hrs]], 9, FALSE), "")</f>
        <v/>
      </c>
      <c r="I254" s="11">
        <f>SUMIF(MO_Components[Order], Calculations!A254, MO_Components[Std Cost])</f>
        <v>0</v>
      </c>
      <c r="J254" s="11">
        <f>SUMIF(MO_Components[Order], Calculations!A254, MO_Components[Act Cost])</f>
        <v>0</v>
      </c>
      <c r="K254" s="11">
        <f t="shared" si="12"/>
        <v>0</v>
      </c>
      <c r="L254" t="str">
        <f t="shared" si="13"/>
        <v/>
      </c>
      <c r="M254" t="str">
        <f t="shared" si="14"/>
        <v/>
      </c>
      <c r="N254" t="str">
        <f t="shared" si="15"/>
        <v/>
      </c>
    </row>
    <row r="255" spans="2:14" x14ac:dyDescent="0.25">
      <c r="B255" s="5" t="str">
        <f>_xlfn.IFNA(VLOOKUP(A255, MOs_Ready_to_close[[Order]:[Tot Est Machine Hrs]], 2, FALSE), "")</f>
        <v/>
      </c>
      <c r="C255" s="5" t="str">
        <f>_xlfn.IFNA(VLOOKUP(A255, MOs_Ready_to_close[[Order]:[Tot Est Machine Hrs]], 4, FALSE), "")</f>
        <v/>
      </c>
      <c r="D255" s="6" t="str">
        <f>_xlfn.IFNA(VLOOKUP(A255, MOs_Ready_to_close[[Order]:[Tot Est Machine Hrs]], 8, FALSE), "")</f>
        <v/>
      </c>
      <c r="E255" s="7" t="str">
        <f>_xlfn.IFNA(VLOOKUP(A255, MOs_Ready_to_close[[Order]:[Tot Est Machine Hrs]], 9, FALSE), "")</f>
        <v/>
      </c>
      <c r="I255" s="11">
        <f>SUMIF(MO_Components[Order], Calculations!A255, MO_Components[Std Cost])</f>
        <v>0</v>
      </c>
      <c r="J255" s="11">
        <f>SUMIF(MO_Components[Order], Calculations!A255, MO_Components[Act Cost])</f>
        <v>0</v>
      </c>
      <c r="K255" s="11">
        <f t="shared" si="12"/>
        <v>0</v>
      </c>
      <c r="L255" t="str">
        <f t="shared" si="13"/>
        <v/>
      </c>
      <c r="M255" t="str">
        <f t="shared" si="14"/>
        <v/>
      </c>
      <c r="N255" t="str">
        <f t="shared" si="15"/>
        <v/>
      </c>
    </row>
    <row r="256" spans="2:14" x14ac:dyDescent="0.25">
      <c r="B256" s="5" t="str">
        <f>_xlfn.IFNA(VLOOKUP(A256, MOs_Ready_to_close[[Order]:[Tot Est Machine Hrs]], 2, FALSE), "")</f>
        <v/>
      </c>
      <c r="C256" s="5" t="str">
        <f>_xlfn.IFNA(VLOOKUP(A256, MOs_Ready_to_close[[Order]:[Tot Est Machine Hrs]], 4, FALSE), "")</f>
        <v/>
      </c>
      <c r="D256" s="6" t="str">
        <f>_xlfn.IFNA(VLOOKUP(A256, MOs_Ready_to_close[[Order]:[Tot Est Machine Hrs]], 8, FALSE), "")</f>
        <v/>
      </c>
      <c r="E256" s="7" t="str">
        <f>_xlfn.IFNA(VLOOKUP(A256, MOs_Ready_to_close[[Order]:[Tot Est Machine Hrs]], 9, FALSE), "")</f>
        <v/>
      </c>
      <c r="I256" s="11">
        <f>SUMIF(MO_Components[Order], Calculations!A256, MO_Components[Std Cost])</f>
        <v>0</v>
      </c>
      <c r="J256" s="11">
        <f>SUMIF(MO_Components[Order], Calculations!A256, MO_Components[Act Cost])</f>
        <v>0</v>
      </c>
      <c r="K256" s="11">
        <f t="shared" si="12"/>
        <v>0</v>
      </c>
      <c r="L256" t="str">
        <f t="shared" si="13"/>
        <v/>
      </c>
      <c r="M256" t="str">
        <f t="shared" si="14"/>
        <v/>
      </c>
      <c r="N256" t="str">
        <f t="shared" si="15"/>
        <v/>
      </c>
    </row>
    <row r="257" spans="2:14" x14ac:dyDescent="0.25">
      <c r="B257" s="5" t="str">
        <f>_xlfn.IFNA(VLOOKUP(A257, MOs_Ready_to_close[[Order]:[Tot Est Machine Hrs]], 2, FALSE), "")</f>
        <v/>
      </c>
      <c r="C257" s="5" t="str">
        <f>_xlfn.IFNA(VLOOKUP(A257, MOs_Ready_to_close[[Order]:[Tot Est Machine Hrs]], 4, FALSE), "")</f>
        <v/>
      </c>
      <c r="D257" s="6" t="str">
        <f>_xlfn.IFNA(VLOOKUP(A257, MOs_Ready_to_close[[Order]:[Tot Est Machine Hrs]], 8, FALSE), "")</f>
        <v/>
      </c>
      <c r="E257" s="7" t="str">
        <f>_xlfn.IFNA(VLOOKUP(A257, MOs_Ready_to_close[[Order]:[Tot Est Machine Hrs]], 9, FALSE), "")</f>
        <v/>
      </c>
      <c r="I257" s="11">
        <f>SUMIF(MO_Components[Order], Calculations!A257, MO_Components[Std Cost])</f>
        <v>0</v>
      </c>
      <c r="J257" s="11">
        <f>SUMIF(MO_Components[Order], Calculations!A257, MO_Components[Act Cost])</f>
        <v>0</v>
      </c>
      <c r="K257" s="11">
        <f t="shared" si="12"/>
        <v>0</v>
      </c>
      <c r="L257" t="str">
        <f t="shared" si="13"/>
        <v/>
      </c>
      <c r="M257" t="str">
        <f t="shared" si="14"/>
        <v/>
      </c>
      <c r="N257" t="str">
        <f t="shared" si="15"/>
        <v/>
      </c>
    </row>
    <row r="258" spans="2:14" x14ac:dyDescent="0.25">
      <c r="B258" s="5" t="str">
        <f>_xlfn.IFNA(VLOOKUP(A258, MOs_Ready_to_close[[Order]:[Tot Est Machine Hrs]], 2, FALSE), "")</f>
        <v/>
      </c>
      <c r="C258" s="5" t="str">
        <f>_xlfn.IFNA(VLOOKUP(A258, MOs_Ready_to_close[[Order]:[Tot Est Machine Hrs]], 4, FALSE), "")</f>
        <v/>
      </c>
      <c r="D258" s="6" t="str">
        <f>_xlfn.IFNA(VLOOKUP(A258, MOs_Ready_to_close[[Order]:[Tot Est Machine Hrs]], 8, FALSE), "")</f>
        <v/>
      </c>
      <c r="E258" s="7" t="str">
        <f>_xlfn.IFNA(VLOOKUP(A258, MOs_Ready_to_close[[Order]:[Tot Est Machine Hrs]], 9, FALSE), "")</f>
        <v/>
      </c>
      <c r="I258" s="11">
        <f>SUMIF(MO_Components[Order], Calculations!A258, MO_Components[Std Cost])</f>
        <v>0</v>
      </c>
      <c r="J258" s="11">
        <f>SUMIF(MO_Components[Order], Calculations!A258, MO_Components[Act Cost])</f>
        <v>0</v>
      </c>
      <c r="K258" s="11">
        <f t="shared" si="12"/>
        <v>0</v>
      </c>
      <c r="L258" t="str">
        <f t="shared" si="13"/>
        <v/>
      </c>
      <c r="M258" t="str">
        <f t="shared" si="14"/>
        <v/>
      </c>
      <c r="N258" t="str">
        <f t="shared" si="15"/>
        <v/>
      </c>
    </row>
    <row r="259" spans="2:14" x14ac:dyDescent="0.25">
      <c r="B259" s="5" t="str">
        <f>_xlfn.IFNA(VLOOKUP(A259, MOs_Ready_to_close[[Order]:[Tot Est Machine Hrs]], 2, FALSE), "")</f>
        <v/>
      </c>
      <c r="C259" s="5" t="str">
        <f>_xlfn.IFNA(VLOOKUP(A259, MOs_Ready_to_close[[Order]:[Tot Est Machine Hrs]], 4, FALSE), "")</f>
        <v/>
      </c>
      <c r="D259" s="6" t="str">
        <f>_xlfn.IFNA(VLOOKUP(A259, MOs_Ready_to_close[[Order]:[Tot Est Machine Hrs]], 8, FALSE), "")</f>
        <v/>
      </c>
      <c r="E259" s="7" t="str">
        <f>_xlfn.IFNA(VLOOKUP(A259, MOs_Ready_to_close[[Order]:[Tot Est Machine Hrs]], 9, FALSE), "")</f>
        <v/>
      </c>
      <c r="I259" s="11">
        <f>SUMIF(MO_Components[Order], Calculations!A259, MO_Components[Std Cost])</f>
        <v>0</v>
      </c>
      <c r="J259" s="11">
        <f>SUMIF(MO_Components[Order], Calculations!A259, MO_Components[Act Cost])</f>
        <v>0</v>
      </c>
      <c r="K259" s="11">
        <f t="shared" ref="K259:K322" si="16">J259-I259</f>
        <v>0</v>
      </c>
      <c r="L259" t="str">
        <f t="shared" ref="L259:L322" si="17">IF(E259&lt;&gt;"", IF(E259&gt;0, "Positive", "Negative"), "")</f>
        <v/>
      </c>
      <c r="M259" t="str">
        <f t="shared" ref="M259:M322" si="18">IF(H259&lt;&gt;0, IF(H259&gt;0, "Positive", "Negative"), "")</f>
        <v/>
      </c>
      <c r="N259" t="str">
        <f t="shared" ref="N259:N322" si="19">IF(K259&lt;&gt;0, IF(K259&gt;0, "Positive", "Negative"), "")</f>
        <v/>
      </c>
    </row>
    <row r="260" spans="2:14" x14ac:dyDescent="0.25">
      <c r="B260" s="5" t="str">
        <f>_xlfn.IFNA(VLOOKUP(A260, MOs_Ready_to_close[[Order]:[Tot Est Machine Hrs]], 2, FALSE), "")</f>
        <v/>
      </c>
      <c r="C260" s="5" t="str">
        <f>_xlfn.IFNA(VLOOKUP(A260, MOs_Ready_to_close[[Order]:[Tot Est Machine Hrs]], 4, FALSE), "")</f>
        <v/>
      </c>
      <c r="D260" s="6" t="str">
        <f>_xlfn.IFNA(VLOOKUP(A260, MOs_Ready_to_close[[Order]:[Tot Est Machine Hrs]], 8, FALSE), "")</f>
        <v/>
      </c>
      <c r="E260" s="7" t="str">
        <f>_xlfn.IFNA(VLOOKUP(A260, MOs_Ready_to_close[[Order]:[Tot Est Machine Hrs]], 9, FALSE), "")</f>
        <v/>
      </c>
      <c r="I260" s="11">
        <f>SUMIF(MO_Components[Order], Calculations!A260, MO_Components[Std Cost])</f>
        <v>0</v>
      </c>
      <c r="J260" s="11">
        <f>SUMIF(MO_Components[Order], Calculations!A260, MO_Components[Act Cost])</f>
        <v>0</v>
      </c>
      <c r="K260" s="11">
        <f t="shared" si="16"/>
        <v>0</v>
      </c>
      <c r="L260" t="str">
        <f t="shared" si="17"/>
        <v/>
      </c>
      <c r="M260" t="str">
        <f t="shared" si="18"/>
        <v/>
      </c>
      <c r="N260" t="str">
        <f t="shared" si="19"/>
        <v/>
      </c>
    </row>
    <row r="261" spans="2:14" x14ac:dyDescent="0.25">
      <c r="B261" s="5" t="str">
        <f>_xlfn.IFNA(VLOOKUP(A261, MOs_Ready_to_close[[Order]:[Tot Est Machine Hrs]], 2, FALSE), "")</f>
        <v/>
      </c>
      <c r="C261" s="5" t="str">
        <f>_xlfn.IFNA(VLOOKUP(A261, MOs_Ready_to_close[[Order]:[Tot Est Machine Hrs]], 4, FALSE), "")</f>
        <v/>
      </c>
      <c r="D261" s="6" t="str">
        <f>_xlfn.IFNA(VLOOKUP(A261, MOs_Ready_to_close[[Order]:[Tot Est Machine Hrs]], 8, FALSE), "")</f>
        <v/>
      </c>
      <c r="E261" s="7" t="str">
        <f>_xlfn.IFNA(VLOOKUP(A261, MOs_Ready_to_close[[Order]:[Tot Est Machine Hrs]], 9, FALSE), "")</f>
        <v/>
      </c>
      <c r="I261" s="11">
        <f>SUMIF(MO_Components[Order], Calculations!A261, MO_Components[Std Cost])</f>
        <v>0</v>
      </c>
      <c r="J261" s="11">
        <f>SUMIF(MO_Components[Order], Calculations!A261, MO_Components[Act Cost])</f>
        <v>0</v>
      </c>
      <c r="K261" s="11">
        <f t="shared" si="16"/>
        <v>0</v>
      </c>
      <c r="L261" t="str">
        <f t="shared" si="17"/>
        <v/>
      </c>
      <c r="M261" t="str">
        <f t="shared" si="18"/>
        <v/>
      </c>
      <c r="N261" t="str">
        <f t="shared" si="19"/>
        <v/>
      </c>
    </row>
    <row r="262" spans="2:14" x14ac:dyDescent="0.25">
      <c r="B262" s="5" t="str">
        <f>_xlfn.IFNA(VLOOKUP(A262, MOs_Ready_to_close[[Order]:[Tot Est Machine Hrs]], 2, FALSE), "")</f>
        <v/>
      </c>
      <c r="C262" s="5" t="str">
        <f>_xlfn.IFNA(VLOOKUP(A262, MOs_Ready_to_close[[Order]:[Tot Est Machine Hrs]], 4, FALSE), "")</f>
        <v/>
      </c>
      <c r="D262" s="6" t="str">
        <f>_xlfn.IFNA(VLOOKUP(A262, MOs_Ready_to_close[[Order]:[Tot Est Machine Hrs]], 8, FALSE), "")</f>
        <v/>
      </c>
      <c r="E262" s="7" t="str">
        <f>_xlfn.IFNA(VLOOKUP(A262, MOs_Ready_to_close[[Order]:[Tot Est Machine Hrs]], 9, FALSE), "")</f>
        <v/>
      </c>
      <c r="I262" s="11">
        <f>SUMIF(MO_Components[Order], Calculations!A262, MO_Components[Std Cost])</f>
        <v>0</v>
      </c>
      <c r="J262" s="11">
        <f>SUMIF(MO_Components[Order], Calculations!A262, MO_Components[Act Cost])</f>
        <v>0</v>
      </c>
      <c r="K262" s="11">
        <f t="shared" si="16"/>
        <v>0</v>
      </c>
      <c r="L262" t="str">
        <f t="shared" si="17"/>
        <v/>
      </c>
      <c r="M262" t="str">
        <f t="shared" si="18"/>
        <v/>
      </c>
      <c r="N262" t="str">
        <f t="shared" si="19"/>
        <v/>
      </c>
    </row>
    <row r="263" spans="2:14" x14ac:dyDescent="0.25">
      <c r="B263" s="5" t="str">
        <f>_xlfn.IFNA(VLOOKUP(A263, MOs_Ready_to_close[[Order]:[Tot Est Machine Hrs]], 2, FALSE), "")</f>
        <v/>
      </c>
      <c r="C263" s="5" t="str">
        <f>_xlfn.IFNA(VLOOKUP(A263, MOs_Ready_to_close[[Order]:[Tot Est Machine Hrs]], 4, FALSE), "")</f>
        <v/>
      </c>
      <c r="D263" s="6" t="str">
        <f>_xlfn.IFNA(VLOOKUP(A263, MOs_Ready_to_close[[Order]:[Tot Est Machine Hrs]], 8, FALSE), "")</f>
        <v/>
      </c>
      <c r="E263" s="7" t="str">
        <f>_xlfn.IFNA(VLOOKUP(A263, MOs_Ready_to_close[[Order]:[Tot Est Machine Hrs]], 9, FALSE), "")</f>
        <v/>
      </c>
      <c r="I263" s="11">
        <f>SUMIF(MO_Components[Order], Calculations!A263, MO_Components[Std Cost])</f>
        <v>0</v>
      </c>
      <c r="J263" s="11">
        <f>SUMIF(MO_Components[Order], Calculations!A263, MO_Components[Act Cost])</f>
        <v>0</v>
      </c>
      <c r="K263" s="11">
        <f t="shared" si="16"/>
        <v>0</v>
      </c>
      <c r="L263" t="str">
        <f t="shared" si="17"/>
        <v/>
      </c>
      <c r="M263" t="str">
        <f t="shared" si="18"/>
        <v/>
      </c>
      <c r="N263" t="str">
        <f t="shared" si="19"/>
        <v/>
      </c>
    </row>
    <row r="264" spans="2:14" x14ac:dyDescent="0.25">
      <c r="B264" s="5" t="str">
        <f>_xlfn.IFNA(VLOOKUP(A264, MOs_Ready_to_close[[Order]:[Tot Est Machine Hrs]], 2, FALSE), "")</f>
        <v/>
      </c>
      <c r="C264" s="5" t="str">
        <f>_xlfn.IFNA(VLOOKUP(A264, MOs_Ready_to_close[[Order]:[Tot Est Machine Hrs]], 4, FALSE), "")</f>
        <v/>
      </c>
      <c r="D264" s="6" t="str">
        <f>_xlfn.IFNA(VLOOKUP(A264, MOs_Ready_to_close[[Order]:[Tot Est Machine Hrs]], 8, FALSE), "")</f>
        <v/>
      </c>
      <c r="E264" s="7" t="str">
        <f>_xlfn.IFNA(VLOOKUP(A264, MOs_Ready_to_close[[Order]:[Tot Est Machine Hrs]], 9, FALSE), "")</f>
        <v/>
      </c>
      <c r="I264" s="11">
        <f>SUMIF(MO_Components[Order], Calculations!A264, MO_Components[Std Cost])</f>
        <v>0</v>
      </c>
      <c r="J264" s="11">
        <f>SUMIF(MO_Components[Order], Calculations!A264, MO_Components[Act Cost])</f>
        <v>0</v>
      </c>
      <c r="K264" s="11">
        <f t="shared" si="16"/>
        <v>0</v>
      </c>
      <c r="L264" t="str">
        <f t="shared" si="17"/>
        <v/>
      </c>
      <c r="M264" t="str">
        <f t="shared" si="18"/>
        <v/>
      </c>
      <c r="N264" t="str">
        <f t="shared" si="19"/>
        <v/>
      </c>
    </row>
    <row r="265" spans="2:14" x14ac:dyDescent="0.25">
      <c r="B265" s="5" t="str">
        <f>_xlfn.IFNA(VLOOKUP(A265, MOs_Ready_to_close[[Order]:[Tot Est Machine Hrs]], 2, FALSE), "")</f>
        <v/>
      </c>
      <c r="C265" s="5" t="str">
        <f>_xlfn.IFNA(VLOOKUP(A265, MOs_Ready_to_close[[Order]:[Tot Est Machine Hrs]], 4, FALSE), "")</f>
        <v/>
      </c>
      <c r="D265" s="6" t="str">
        <f>_xlfn.IFNA(VLOOKUP(A265, MOs_Ready_to_close[[Order]:[Tot Est Machine Hrs]], 8, FALSE), "")</f>
        <v/>
      </c>
      <c r="E265" s="7" t="str">
        <f>_xlfn.IFNA(VLOOKUP(A265, MOs_Ready_to_close[[Order]:[Tot Est Machine Hrs]], 9, FALSE), "")</f>
        <v/>
      </c>
      <c r="I265" s="11">
        <f>SUMIF(MO_Components[Order], Calculations!A265, MO_Components[Std Cost])</f>
        <v>0</v>
      </c>
      <c r="J265" s="11">
        <f>SUMIF(MO_Components[Order], Calculations!A265, MO_Components[Act Cost])</f>
        <v>0</v>
      </c>
      <c r="K265" s="11">
        <f t="shared" si="16"/>
        <v>0</v>
      </c>
      <c r="L265" t="str">
        <f t="shared" si="17"/>
        <v/>
      </c>
      <c r="M265" t="str">
        <f t="shared" si="18"/>
        <v/>
      </c>
      <c r="N265" t="str">
        <f t="shared" si="19"/>
        <v/>
      </c>
    </row>
    <row r="266" spans="2:14" x14ac:dyDescent="0.25">
      <c r="B266" s="5" t="str">
        <f>_xlfn.IFNA(VLOOKUP(A266, MOs_Ready_to_close[[Order]:[Tot Est Machine Hrs]], 2, FALSE), "")</f>
        <v/>
      </c>
      <c r="C266" s="5" t="str">
        <f>_xlfn.IFNA(VLOOKUP(A266, MOs_Ready_to_close[[Order]:[Tot Est Machine Hrs]], 4, FALSE), "")</f>
        <v/>
      </c>
      <c r="D266" s="6" t="str">
        <f>_xlfn.IFNA(VLOOKUP(A266, MOs_Ready_to_close[[Order]:[Tot Est Machine Hrs]], 8, FALSE), "")</f>
        <v/>
      </c>
      <c r="E266" s="7" t="str">
        <f>_xlfn.IFNA(VLOOKUP(A266, MOs_Ready_to_close[[Order]:[Tot Est Machine Hrs]], 9, FALSE), "")</f>
        <v/>
      </c>
      <c r="I266" s="11">
        <f>SUMIF(MO_Components[Order], Calculations!A266, MO_Components[Std Cost])</f>
        <v>0</v>
      </c>
      <c r="J266" s="11">
        <f>SUMIF(MO_Components[Order], Calculations!A266, MO_Components[Act Cost])</f>
        <v>0</v>
      </c>
      <c r="K266" s="11">
        <f t="shared" si="16"/>
        <v>0</v>
      </c>
      <c r="L266" t="str">
        <f t="shared" si="17"/>
        <v/>
      </c>
      <c r="M266" t="str">
        <f t="shared" si="18"/>
        <v/>
      </c>
      <c r="N266" t="str">
        <f t="shared" si="19"/>
        <v/>
      </c>
    </row>
    <row r="267" spans="2:14" x14ac:dyDescent="0.25">
      <c r="B267" s="5" t="str">
        <f>_xlfn.IFNA(VLOOKUP(A267, MOs_Ready_to_close[[Order]:[Tot Est Machine Hrs]], 2, FALSE), "")</f>
        <v/>
      </c>
      <c r="C267" s="5" t="str">
        <f>_xlfn.IFNA(VLOOKUP(A267, MOs_Ready_to_close[[Order]:[Tot Est Machine Hrs]], 4, FALSE), "")</f>
        <v/>
      </c>
      <c r="D267" s="6" t="str">
        <f>_xlfn.IFNA(VLOOKUP(A267, MOs_Ready_to_close[[Order]:[Tot Est Machine Hrs]], 8, FALSE), "")</f>
        <v/>
      </c>
      <c r="E267" s="7" t="str">
        <f>_xlfn.IFNA(VLOOKUP(A267, MOs_Ready_to_close[[Order]:[Tot Est Machine Hrs]], 9, FALSE), "")</f>
        <v/>
      </c>
      <c r="I267" s="11">
        <f>SUMIF(MO_Components[Order], Calculations!A267, MO_Components[Std Cost])</f>
        <v>0</v>
      </c>
      <c r="J267" s="11">
        <f>SUMIF(MO_Components[Order], Calculations!A267, MO_Components[Act Cost])</f>
        <v>0</v>
      </c>
      <c r="K267" s="11">
        <f t="shared" si="16"/>
        <v>0</v>
      </c>
      <c r="L267" t="str">
        <f t="shared" si="17"/>
        <v/>
      </c>
      <c r="M267" t="str">
        <f t="shared" si="18"/>
        <v/>
      </c>
      <c r="N267" t="str">
        <f t="shared" si="19"/>
        <v/>
      </c>
    </row>
    <row r="268" spans="2:14" x14ac:dyDescent="0.25">
      <c r="B268" s="5" t="str">
        <f>_xlfn.IFNA(VLOOKUP(A268, MOs_Ready_to_close[[Order]:[Tot Est Machine Hrs]], 2, FALSE), "")</f>
        <v/>
      </c>
      <c r="C268" s="5" t="str">
        <f>_xlfn.IFNA(VLOOKUP(A268, MOs_Ready_to_close[[Order]:[Tot Est Machine Hrs]], 4, FALSE), "")</f>
        <v/>
      </c>
      <c r="D268" s="6" t="str">
        <f>_xlfn.IFNA(VLOOKUP(A268, MOs_Ready_to_close[[Order]:[Tot Est Machine Hrs]], 8, FALSE), "")</f>
        <v/>
      </c>
      <c r="E268" s="7" t="str">
        <f>_xlfn.IFNA(VLOOKUP(A268, MOs_Ready_to_close[[Order]:[Tot Est Machine Hrs]], 9, FALSE), "")</f>
        <v/>
      </c>
      <c r="I268" s="11">
        <f>SUMIF(MO_Components[Order], Calculations!A268, MO_Components[Std Cost])</f>
        <v>0</v>
      </c>
      <c r="J268" s="11">
        <f>SUMIF(MO_Components[Order], Calculations!A268, MO_Components[Act Cost])</f>
        <v>0</v>
      </c>
      <c r="K268" s="11">
        <f t="shared" si="16"/>
        <v>0</v>
      </c>
      <c r="L268" t="str">
        <f t="shared" si="17"/>
        <v/>
      </c>
      <c r="M268" t="str">
        <f t="shared" si="18"/>
        <v/>
      </c>
      <c r="N268" t="str">
        <f t="shared" si="19"/>
        <v/>
      </c>
    </row>
    <row r="269" spans="2:14" x14ac:dyDescent="0.25">
      <c r="B269" s="5" t="str">
        <f>_xlfn.IFNA(VLOOKUP(A269, MOs_Ready_to_close[[Order]:[Tot Est Machine Hrs]], 2, FALSE), "")</f>
        <v/>
      </c>
      <c r="C269" s="5" t="str">
        <f>_xlfn.IFNA(VLOOKUP(A269, MOs_Ready_to_close[[Order]:[Tot Est Machine Hrs]], 4, FALSE), "")</f>
        <v/>
      </c>
      <c r="D269" s="6" t="str">
        <f>_xlfn.IFNA(VLOOKUP(A269, MOs_Ready_to_close[[Order]:[Tot Est Machine Hrs]], 8, FALSE), "")</f>
        <v/>
      </c>
      <c r="E269" s="7" t="str">
        <f>_xlfn.IFNA(VLOOKUP(A269, MOs_Ready_to_close[[Order]:[Tot Est Machine Hrs]], 9, FALSE), "")</f>
        <v/>
      </c>
      <c r="I269" s="11">
        <f>SUMIF(MO_Components[Order], Calculations!A269, MO_Components[Std Cost])</f>
        <v>0</v>
      </c>
      <c r="J269" s="11">
        <f>SUMIF(MO_Components[Order], Calculations!A269, MO_Components[Act Cost])</f>
        <v>0</v>
      </c>
      <c r="K269" s="11">
        <f t="shared" si="16"/>
        <v>0</v>
      </c>
      <c r="L269" t="str">
        <f t="shared" si="17"/>
        <v/>
      </c>
      <c r="M269" t="str">
        <f t="shared" si="18"/>
        <v/>
      </c>
      <c r="N269" t="str">
        <f t="shared" si="19"/>
        <v/>
      </c>
    </row>
    <row r="270" spans="2:14" x14ac:dyDescent="0.25">
      <c r="B270" s="5" t="str">
        <f>_xlfn.IFNA(VLOOKUP(A270, MOs_Ready_to_close[[Order]:[Tot Est Machine Hrs]], 2, FALSE), "")</f>
        <v/>
      </c>
      <c r="C270" s="5" t="str">
        <f>_xlfn.IFNA(VLOOKUP(A270, MOs_Ready_to_close[[Order]:[Tot Est Machine Hrs]], 4, FALSE), "")</f>
        <v/>
      </c>
      <c r="D270" s="6" t="str">
        <f>_xlfn.IFNA(VLOOKUP(A270, MOs_Ready_to_close[[Order]:[Tot Est Machine Hrs]], 8, FALSE), "")</f>
        <v/>
      </c>
      <c r="E270" s="7" t="str">
        <f>_xlfn.IFNA(VLOOKUP(A270, MOs_Ready_to_close[[Order]:[Tot Est Machine Hrs]], 9, FALSE), "")</f>
        <v/>
      </c>
      <c r="I270" s="11">
        <f>SUMIF(MO_Components[Order], Calculations!A270, MO_Components[Std Cost])</f>
        <v>0</v>
      </c>
      <c r="J270" s="11">
        <f>SUMIF(MO_Components[Order], Calculations!A270, MO_Components[Act Cost])</f>
        <v>0</v>
      </c>
      <c r="K270" s="11">
        <f t="shared" si="16"/>
        <v>0</v>
      </c>
      <c r="L270" t="str">
        <f t="shared" si="17"/>
        <v/>
      </c>
      <c r="M270" t="str">
        <f t="shared" si="18"/>
        <v/>
      </c>
      <c r="N270" t="str">
        <f t="shared" si="19"/>
        <v/>
      </c>
    </row>
    <row r="271" spans="2:14" x14ac:dyDescent="0.25">
      <c r="B271" s="5" t="str">
        <f>_xlfn.IFNA(VLOOKUP(A271, MOs_Ready_to_close[[Order]:[Tot Est Machine Hrs]], 2, FALSE), "")</f>
        <v/>
      </c>
      <c r="C271" s="5" t="str">
        <f>_xlfn.IFNA(VLOOKUP(A271, MOs_Ready_to_close[[Order]:[Tot Est Machine Hrs]], 4, FALSE), "")</f>
        <v/>
      </c>
      <c r="D271" s="6" t="str">
        <f>_xlfn.IFNA(VLOOKUP(A271, MOs_Ready_to_close[[Order]:[Tot Est Machine Hrs]], 8, FALSE), "")</f>
        <v/>
      </c>
      <c r="E271" s="7" t="str">
        <f>_xlfn.IFNA(VLOOKUP(A271, MOs_Ready_to_close[[Order]:[Tot Est Machine Hrs]], 9, FALSE), "")</f>
        <v/>
      </c>
      <c r="I271" s="11">
        <f>SUMIF(MO_Components[Order], Calculations!A271, MO_Components[Std Cost])</f>
        <v>0</v>
      </c>
      <c r="J271" s="11">
        <f>SUMIF(MO_Components[Order], Calculations!A271, MO_Components[Act Cost])</f>
        <v>0</v>
      </c>
      <c r="K271" s="11">
        <f t="shared" si="16"/>
        <v>0</v>
      </c>
      <c r="L271" t="str">
        <f t="shared" si="17"/>
        <v/>
      </c>
      <c r="M271" t="str">
        <f t="shared" si="18"/>
        <v/>
      </c>
      <c r="N271" t="str">
        <f t="shared" si="19"/>
        <v/>
      </c>
    </row>
    <row r="272" spans="2:14" x14ac:dyDescent="0.25">
      <c r="B272" s="5" t="str">
        <f>_xlfn.IFNA(VLOOKUP(A272, MOs_Ready_to_close[[Order]:[Tot Est Machine Hrs]], 2, FALSE), "")</f>
        <v/>
      </c>
      <c r="C272" s="5" t="str">
        <f>_xlfn.IFNA(VLOOKUP(A272, MOs_Ready_to_close[[Order]:[Tot Est Machine Hrs]], 4, FALSE), "")</f>
        <v/>
      </c>
      <c r="D272" s="6" t="str">
        <f>_xlfn.IFNA(VLOOKUP(A272, MOs_Ready_to_close[[Order]:[Tot Est Machine Hrs]], 8, FALSE), "")</f>
        <v/>
      </c>
      <c r="E272" s="7" t="str">
        <f>_xlfn.IFNA(VLOOKUP(A272, MOs_Ready_to_close[[Order]:[Tot Est Machine Hrs]], 9, FALSE), "")</f>
        <v/>
      </c>
      <c r="I272" s="11">
        <f>SUMIF(MO_Components[Order], Calculations!A272, MO_Components[Std Cost])</f>
        <v>0</v>
      </c>
      <c r="J272" s="11">
        <f>SUMIF(MO_Components[Order], Calculations!A272, MO_Components[Act Cost])</f>
        <v>0</v>
      </c>
      <c r="K272" s="11">
        <f t="shared" si="16"/>
        <v>0</v>
      </c>
      <c r="L272" t="str">
        <f t="shared" si="17"/>
        <v/>
      </c>
      <c r="M272" t="str">
        <f t="shared" si="18"/>
        <v/>
      </c>
      <c r="N272" t="str">
        <f t="shared" si="19"/>
        <v/>
      </c>
    </row>
    <row r="273" spans="2:14" x14ac:dyDescent="0.25">
      <c r="B273" s="5" t="str">
        <f>_xlfn.IFNA(VLOOKUP(A273, MOs_Ready_to_close[[Order]:[Tot Est Machine Hrs]], 2, FALSE), "")</f>
        <v/>
      </c>
      <c r="C273" s="5" t="str">
        <f>_xlfn.IFNA(VLOOKUP(A273, MOs_Ready_to_close[[Order]:[Tot Est Machine Hrs]], 4, FALSE), "")</f>
        <v/>
      </c>
      <c r="D273" s="6" t="str">
        <f>_xlfn.IFNA(VLOOKUP(A273, MOs_Ready_to_close[[Order]:[Tot Est Machine Hrs]], 8, FALSE), "")</f>
        <v/>
      </c>
      <c r="E273" s="7" t="str">
        <f>_xlfn.IFNA(VLOOKUP(A273, MOs_Ready_to_close[[Order]:[Tot Est Machine Hrs]], 9, FALSE), "")</f>
        <v/>
      </c>
      <c r="I273" s="11">
        <f>SUMIF(MO_Components[Order], Calculations!A273, MO_Components[Std Cost])</f>
        <v>0</v>
      </c>
      <c r="J273" s="11">
        <f>SUMIF(MO_Components[Order], Calculations!A273, MO_Components[Act Cost])</f>
        <v>0</v>
      </c>
      <c r="K273" s="11">
        <f t="shared" si="16"/>
        <v>0</v>
      </c>
      <c r="L273" t="str">
        <f t="shared" si="17"/>
        <v/>
      </c>
      <c r="M273" t="str">
        <f t="shared" si="18"/>
        <v/>
      </c>
      <c r="N273" t="str">
        <f t="shared" si="19"/>
        <v/>
      </c>
    </row>
    <row r="274" spans="2:14" x14ac:dyDescent="0.25">
      <c r="B274" s="5" t="str">
        <f>_xlfn.IFNA(VLOOKUP(A274, MOs_Ready_to_close[[Order]:[Tot Est Machine Hrs]], 2, FALSE), "")</f>
        <v/>
      </c>
      <c r="C274" s="5" t="str">
        <f>_xlfn.IFNA(VLOOKUP(A274, MOs_Ready_to_close[[Order]:[Tot Est Machine Hrs]], 4, FALSE), "")</f>
        <v/>
      </c>
      <c r="D274" s="6" t="str">
        <f>_xlfn.IFNA(VLOOKUP(A274, MOs_Ready_to_close[[Order]:[Tot Est Machine Hrs]], 8, FALSE), "")</f>
        <v/>
      </c>
      <c r="E274" s="7" t="str">
        <f>_xlfn.IFNA(VLOOKUP(A274, MOs_Ready_to_close[[Order]:[Tot Est Machine Hrs]], 9, FALSE), "")</f>
        <v/>
      </c>
      <c r="I274" s="11">
        <f>SUMIF(MO_Components[Order], Calculations!A274, MO_Components[Std Cost])</f>
        <v>0</v>
      </c>
      <c r="J274" s="11">
        <f>SUMIF(MO_Components[Order], Calculations!A274, MO_Components[Act Cost])</f>
        <v>0</v>
      </c>
      <c r="K274" s="11">
        <f t="shared" si="16"/>
        <v>0</v>
      </c>
      <c r="L274" t="str">
        <f t="shared" si="17"/>
        <v/>
      </c>
      <c r="M274" t="str">
        <f t="shared" si="18"/>
        <v/>
      </c>
      <c r="N274" t="str">
        <f t="shared" si="19"/>
        <v/>
      </c>
    </row>
    <row r="275" spans="2:14" x14ac:dyDescent="0.25">
      <c r="B275" s="5" t="str">
        <f>_xlfn.IFNA(VLOOKUP(A275, MOs_Ready_to_close[[Order]:[Tot Est Machine Hrs]], 2, FALSE), "")</f>
        <v/>
      </c>
      <c r="C275" s="5" t="str">
        <f>_xlfn.IFNA(VLOOKUP(A275, MOs_Ready_to_close[[Order]:[Tot Est Machine Hrs]], 4, FALSE), "")</f>
        <v/>
      </c>
      <c r="D275" s="6" t="str">
        <f>_xlfn.IFNA(VLOOKUP(A275, MOs_Ready_to_close[[Order]:[Tot Est Machine Hrs]], 8, FALSE), "")</f>
        <v/>
      </c>
      <c r="E275" s="7" t="str">
        <f>_xlfn.IFNA(VLOOKUP(A275, MOs_Ready_to_close[[Order]:[Tot Est Machine Hrs]], 9, FALSE), "")</f>
        <v/>
      </c>
      <c r="I275" s="11">
        <f>SUMIF(MO_Components[Order], Calculations!A275, MO_Components[Std Cost])</f>
        <v>0</v>
      </c>
      <c r="J275" s="11">
        <f>SUMIF(MO_Components[Order], Calculations!A275, MO_Components[Act Cost])</f>
        <v>0</v>
      </c>
      <c r="K275" s="11">
        <f t="shared" si="16"/>
        <v>0</v>
      </c>
      <c r="L275" t="str">
        <f t="shared" si="17"/>
        <v/>
      </c>
      <c r="M275" t="str">
        <f t="shared" si="18"/>
        <v/>
      </c>
      <c r="N275" t="str">
        <f t="shared" si="19"/>
        <v/>
      </c>
    </row>
    <row r="276" spans="2:14" x14ac:dyDescent="0.25">
      <c r="B276" s="5" t="str">
        <f>_xlfn.IFNA(VLOOKUP(A276, MOs_Ready_to_close[[Order]:[Tot Est Machine Hrs]], 2, FALSE), "")</f>
        <v/>
      </c>
      <c r="C276" s="5" t="str">
        <f>_xlfn.IFNA(VLOOKUP(A276, MOs_Ready_to_close[[Order]:[Tot Est Machine Hrs]], 4, FALSE), "")</f>
        <v/>
      </c>
      <c r="D276" s="6" t="str">
        <f>_xlfn.IFNA(VLOOKUP(A276, MOs_Ready_to_close[[Order]:[Tot Est Machine Hrs]], 8, FALSE), "")</f>
        <v/>
      </c>
      <c r="E276" s="7" t="str">
        <f>_xlfn.IFNA(VLOOKUP(A276, MOs_Ready_to_close[[Order]:[Tot Est Machine Hrs]], 9, FALSE), "")</f>
        <v/>
      </c>
      <c r="I276" s="11">
        <f>SUMIF(MO_Components[Order], Calculations!A276, MO_Components[Std Cost])</f>
        <v>0</v>
      </c>
      <c r="J276" s="11">
        <f>SUMIF(MO_Components[Order], Calculations!A276, MO_Components[Act Cost])</f>
        <v>0</v>
      </c>
      <c r="K276" s="11">
        <f t="shared" si="16"/>
        <v>0</v>
      </c>
      <c r="L276" t="str">
        <f t="shared" si="17"/>
        <v/>
      </c>
      <c r="M276" t="str">
        <f t="shared" si="18"/>
        <v/>
      </c>
      <c r="N276" t="str">
        <f t="shared" si="19"/>
        <v/>
      </c>
    </row>
    <row r="277" spans="2:14" x14ac:dyDescent="0.25">
      <c r="B277" s="5" t="str">
        <f>_xlfn.IFNA(VLOOKUP(A277, MOs_Ready_to_close[[Order]:[Tot Est Machine Hrs]], 2, FALSE), "")</f>
        <v/>
      </c>
      <c r="C277" s="5" t="str">
        <f>_xlfn.IFNA(VLOOKUP(A277, MOs_Ready_to_close[[Order]:[Tot Est Machine Hrs]], 4, FALSE), "")</f>
        <v/>
      </c>
      <c r="D277" s="6" t="str">
        <f>_xlfn.IFNA(VLOOKUP(A277, MOs_Ready_to_close[[Order]:[Tot Est Machine Hrs]], 8, FALSE), "")</f>
        <v/>
      </c>
      <c r="E277" s="7" t="str">
        <f>_xlfn.IFNA(VLOOKUP(A277, MOs_Ready_to_close[[Order]:[Tot Est Machine Hrs]], 9, FALSE), "")</f>
        <v/>
      </c>
      <c r="I277" s="11">
        <f>SUMIF(MO_Components[Order], Calculations!A277, MO_Components[Std Cost])</f>
        <v>0</v>
      </c>
      <c r="J277" s="11">
        <f>SUMIF(MO_Components[Order], Calculations!A277, MO_Components[Act Cost])</f>
        <v>0</v>
      </c>
      <c r="K277" s="11">
        <f t="shared" si="16"/>
        <v>0</v>
      </c>
      <c r="L277" t="str">
        <f t="shared" si="17"/>
        <v/>
      </c>
      <c r="M277" t="str">
        <f t="shared" si="18"/>
        <v/>
      </c>
      <c r="N277" t="str">
        <f t="shared" si="19"/>
        <v/>
      </c>
    </row>
    <row r="278" spans="2:14" x14ac:dyDescent="0.25">
      <c r="B278" s="5" t="str">
        <f>_xlfn.IFNA(VLOOKUP(A278, MOs_Ready_to_close[[Order]:[Tot Est Machine Hrs]], 2, FALSE), "")</f>
        <v/>
      </c>
      <c r="C278" s="5" t="str">
        <f>_xlfn.IFNA(VLOOKUP(A278, MOs_Ready_to_close[[Order]:[Tot Est Machine Hrs]], 4, FALSE), "")</f>
        <v/>
      </c>
      <c r="D278" s="6" t="str">
        <f>_xlfn.IFNA(VLOOKUP(A278, MOs_Ready_to_close[[Order]:[Tot Est Machine Hrs]], 8, FALSE), "")</f>
        <v/>
      </c>
      <c r="E278" s="7" t="str">
        <f>_xlfn.IFNA(VLOOKUP(A278, MOs_Ready_to_close[[Order]:[Tot Est Machine Hrs]], 9, FALSE), "")</f>
        <v/>
      </c>
      <c r="I278" s="11">
        <f>SUMIF(MO_Components[Order], Calculations!A278, MO_Components[Std Cost])</f>
        <v>0</v>
      </c>
      <c r="J278" s="11">
        <f>SUMIF(MO_Components[Order], Calculations!A278, MO_Components[Act Cost])</f>
        <v>0</v>
      </c>
      <c r="K278" s="11">
        <f t="shared" si="16"/>
        <v>0</v>
      </c>
      <c r="L278" t="str">
        <f t="shared" si="17"/>
        <v/>
      </c>
      <c r="M278" t="str">
        <f t="shared" si="18"/>
        <v/>
      </c>
      <c r="N278" t="str">
        <f t="shared" si="19"/>
        <v/>
      </c>
    </row>
    <row r="279" spans="2:14" x14ac:dyDescent="0.25">
      <c r="B279" s="5" t="str">
        <f>_xlfn.IFNA(VLOOKUP(A279, MOs_Ready_to_close[[Order]:[Tot Est Machine Hrs]], 2, FALSE), "")</f>
        <v/>
      </c>
      <c r="C279" s="5" t="str">
        <f>_xlfn.IFNA(VLOOKUP(A279, MOs_Ready_to_close[[Order]:[Tot Est Machine Hrs]], 4, FALSE), "")</f>
        <v/>
      </c>
      <c r="D279" s="6" t="str">
        <f>_xlfn.IFNA(VLOOKUP(A279, MOs_Ready_to_close[[Order]:[Tot Est Machine Hrs]], 8, FALSE), "")</f>
        <v/>
      </c>
      <c r="E279" s="7" t="str">
        <f>_xlfn.IFNA(VLOOKUP(A279, MOs_Ready_to_close[[Order]:[Tot Est Machine Hrs]], 9, FALSE), "")</f>
        <v/>
      </c>
      <c r="I279" s="11">
        <f>SUMIF(MO_Components[Order], Calculations!A279, MO_Components[Std Cost])</f>
        <v>0</v>
      </c>
      <c r="J279" s="11">
        <f>SUMIF(MO_Components[Order], Calculations!A279, MO_Components[Act Cost])</f>
        <v>0</v>
      </c>
      <c r="K279" s="11">
        <f t="shared" si="16"/>
        <v>0</v>
      </c>
      <c r="L279" t="str">
        <f t="shared" si="17"/>
        <v/>
      </c>
      <c r="M279" t="str">
        <f t="shared" si="18"/>
        <v/>
      </c>
      <c r="N279" t="str">
        <f t="shared" si="19"/>
        <v/>
      </c>
    </row>
    <row r="280" spans="2:14" x14ac:dyDescent="0.25">
      <c r="B280" s="5" t="str">
        <f>_xlfn.IFNA(VLOOKUP(A280, MOs_Ready_to_close[[Order]:[Tot Est Machine Hrs]], 2, FALSE), "")</f>
        <v/>
      </c>
      <c r="C280" s="5" t="str">
        <f>_xlfn.IFNA(VLOOKUP(A280, MOs_Ready_to_close[[Order]:[Tot Est Machine Hrs]], 4, FALSE), "")</f>
        <v/>
      </c>
      <c r="D280" s="6" t="str">
        <f>_xlfn.IFNA(VLOOKUP(A280, MOs_Ready_to_close[[Order]:[Tot Est Machine Hrs]], 8, FALSE), "")</f>
        <v/>
      </c>
      <c r="E280" s="7" t="str">
        <f>_xlfn.IFNA(VLOOKUP(A280, MOs_Ready_to_close[[Order]:[Tot Est Machine Hrs]], 9, FALSE), "")</f>
        <v/>
      </c>
      <c r="I280" s="11">
        <f>SUMIF(MO_Components[Order], Calculations!A280, MO_Components[Std Cost])</f>
        <v>0</v>
      </c>
      <c r="J280" s="11">
        <f>SUMIF(MO_Components[Order], Calculations!A280, MO_Components[Act Cost])</f>
        <v>0</v>
      </c>
      <c r="K280" s="11">
        <f t="shared" si="16"/>
        <v>0</v>
      </c>
      <c r="L280" t="str">
        <f t="shared" si="17"/>
        <v/>
      </c>
      <c r="M280" t="str">
        <f t="shared" si="18"/>
        <v/>
      </c>
      <c r="N280" t="str">
        <f t="shared" si="19"/>
        <v/>
      </c>
    </row>
    <row r="281" spans="2:14" x14ac:dyDescent="0.25">
      <c r="B281" s="5" t="str">
        <f>_xlfn.IFNA(VLOOKUP(A281, MOs_Ready_to_close[[Order]:[Tot Est Machine Hrs]], 2, FALSE), "")</f>
        <v/>
      </c>
      <c r="C281" s="5" t="str">
        <f>_xlfn.IFNA(VLOOKUP(A281, MOs_Ready_to_close[[Order]:[Tot Est Machine Hrs]], 4, FALSE), "")</f>
        <v/>
      </c>
      <c r="D281" s="6" t="str">
        <f>_xlfn.IFNA(VLOOKUP(A281, MOs_Ready_to_close[[Order]:[Tot Est Machine Hrs]], 8, FALSE), "")</f>
        <v/>
      </c>
      <c r="E281" s="7" t="str">
        <f>_xlfn.IFNA(VLOOKUP(A281, MOs_Ready_to_close[[Order]:[Tot Est Machine Hrs]], 9, FALSE), "")</f>
        <v/>
      </c>
      <c r="I281" s="11">
        <f>SUMIF(MO_Components[Order], Calculations!A281, MO_Components[Std Cost])</f>
        <v>0</v>
      </c>
      <c r="J281" s="11">
        <f>SUMIF(MO_Components[Order], Calculations!A281, MO_Components[Act Cost])</f>
        <v>0</v>
      </c>
      <c r="K281" s="11">
        <f t="shared" si="16"/>
        <v>0</v>
      </c>
      <c r="L281" t="str">
        <f t="shared" si="17"/>
        <v/>
      </c>
      <c r="M281" t="str">
        <f t="shared" si="18"/>
        <v/>
      </c>
      <c r="N281" t="str">
        <f t="shared" si="19"/>
        <v/>
      </c>
    </row>
    <row r="282" spans="2:14" x14ac:dyDescent="0.25">
      <c r="B282" s="5" t="str">
        <f>_xlfn.IFNA(VLOOKUP(A282, MOs_Ready_to_close[[Order]:[Tot Est Machine Hrs]], 2, FALSE), "")</f>
        <v/>
      </c>
      <c r="C282" s="5" t="str">
        <f>_xlfn.IFNA(VLOOKUP(A282, MOs_Ready_to_close[[Order]:[Tot Est Machine Hrs]], 4, FALSE), "")</f>
        <v/>
      </c>
      <c r="D282" s="6" t="str">
        <f>_xlfn.IFNA(VLOOKUP(A282, MOs_Ready_to_close[[Order]:[Tot Est Machine Hrs]], 8, FALSE), "")</f>
        <v/>
      </c>
      <c r="E282" s="7" t="str">
        <f>_xlfn.IFNA(VLOOKUP(A282, MOs_Ready_to_close[[Order]:[Tot Est Machine Hrs]], 9, FALSE), "")</f>
        <v/>
      </c>
      <c r="I282" s="11">
        <f>SUMIF(MO_Components[Order], Calculations!A282, MO_Components[Std Cost])</f>
        <v>0</v>
      </c>
      <c r="J282" s="11">
        <f>SUMIF(MO_Components[Order], Calculations!A282, MO_Components[Act Cost])</f>
        <v>0</v>
      </c>
      <c r="K282" s="11">
        <f t="shared" si="16"/>
        <v>0</v>
      </c>
      <c r="L282" t="str">
        <f t="shared" si="17"/>
        <v/>
      </c>
      <c r="M282" t="str">
        <f t="shared" si="18"/>
        <v/>
      </c>
      <c r="N282" t="str">
        <f t="shared" si="19"/>
        <v/>
      </c>
    </row>
    <row r="283" spans="2:14" x14ac:dyDescent="0.25">
      <c r="B283" s="5" t="str">
        <f>_xlfn.IFNA(VLOOKUP(A283, MOs_Ready_to_close[[Order]:[Tot Est Machine Hrs]], 2, FALSE), "")</f>
        <v/>
      </c>
      <c r="C283" s="5" t="str">
        <f>_xlfn.IFNA(VLOOKUP(A283, MOs_Ready_to_close[[Order]:[Tot Est Machine Hrs]], 4, FALSE), "")</f>
        <v/>
      </c>
      <c r="D283" s="6" t="str">
        <f>_xlfn.IFNA(VLOOKUP(A283, MOs_Ready_to_close[[Order]:[Tot Est Machine Hrs]], 8, FALSE), "")</f>
        <v/>
      </c>
      <c r="E283" s="7" t="str">
        <f>_xlfn.IFNA(VLOOKUP(A283, MOs_Ready_to_close[[Order]:[Tot Est Machine Hrs]], 9, FALSE), "")</f>
        <v/>
      </c>
      <c r="I283" s="11">
        <f>SUMIF(MO_Components[Order], Calculations!A283, MO_Components[Std Cost])</f>
        <v>0</v>
      </c>
      <c r="J283" s="11">
        <f>SUMIF(MO_Components[Order], Calculations!A283, MO_Components[Act Cost])</f>
        <v>0</v>
      </c>
      <c r="K283" s="11">
        <f t="shared" si="16"/>
        <v>0</v>
      </c>
      <c r="L283" t="str">
        <f t="shared" si="17"/>
        <v/>
      </c>
      <c r="M283" t="str">
        <f t="shared" si="18"/>
        <v/>
      </c>
      <c r="N283" t="str">
        <f t="shared" si="19"/>
        <v/>
      </c>
    </row>
    <row r="284" spans="2:14" x14ac:dyDescent="0.25">
      <c r="B284" s="5" t="str">
        <f>_xlfn.IFNA(VLOOKUP(A284, MOs_Ready_to_close[[Order]:[Tot Est Machine Hrs]], 2, FALSE), "")</f>
        <v/>
      </c>
      <c r="C284" s="5" t="str">
        <f>_xlfn.IFNA(VLOOKUP(A284, MOs_Ready_to_close[[Order]:[Tot Est Machine Hrs]], 4, FALSE), "")</f>
        <v/>
      </c>
      <c r="D284" s="6" t="str">
        <f>_xlfn.IFNA(VLOOKUP(A284, MOs_Ready_to_close[[Order]:[Tot Est Machine Hrs]], 8, FALSE), "")</f>
        <v/>
      </c>
      <c r="E284" s="7" t="str">
        <f>_xlfn.IFNA(VLOOKUP(A284, MOs_Ready_to_close[[Order]:[Tot Est Machine Hrs]], 9, FALSE), "")</f>
        <v/>
      </c>
      <c r="I284" s="11">
        <f>SUMIF(MO_Components[Order], Calculations!A284, MO_Components[Std Cost])</f>
        <v>0</v>
      </c>
      <c r="J284" s="11">
        <f>SUMIF(MO_Components[Order], Calculations!A284, MO_Components[Act Cost])</f>
        <v>0</v>
      </c>
      <c r="K284" s="11">
        <f t="shared" si="16"/>
        <v>0</v>
      </c>
      <c r="L284" t="str">
        <f t="shared" si="17"/>
        <v/>
      </c>
      <c r="M284" t="str">
        <f t="shared" si="18"/>
        <v/>
      </c>
      <c r="N284" t="str">
        <f t="shared" si="19"/>
        <v/>
      </c>
    </row>
    <row r="285" spans="2:14" x14ac:dyDescent="0.25">
      <c r="B285" s="5" t="str">
        <f>_xlfn.IFNA(VLOOKUP(A285, MOs_Ready_to_close[[Order]:[Tot Est Machine Hrs]], 2, FALSE), "")</f>
        <v/>
      </c>
      <c r="C285" s="5" t="str">
        <f>_xlfn.IFNA(VLOOKUP(A285, MOs_Ready_to_close[[Order]:[Tot Est Machine Hrs]], 4, FALSE), "")</f>
        <v/>
      </c>
      <c r="D285" s="6" t="str">
        <f>_xlfn.IFNA(VLOOKUP(A285, MOs_Ready_to_close[[Order]:[Tot Est Machine Hrs]], 8, FALSE), "")</f>
        <v/>
      </c>
      <c r="E285" s="7" t="str">
        <f>_xlfn.IFNA(VLOOKUP(A285, MOs_Ready_to_close[[Order]:[Tot Est Machine Hrs]], 9, FALSE), "")</f>
        <v/>
      </c>
      <c r="I285" s="11">
        <f>SUMIF(MO_Components[Order], Calculations!A285, MO_Components[Std Cost])</f>
        <v>0</v>
      </c>
      <c r="J285" s="11">
        <f>SUMIF(MO_Components[Order], Calculations!A285, MO_Components[Act Cost])</f>
        <v>0</v>
      </c>
      <c r="K285" s="11">
        <f t="shared" si="16"/>
        <v>0</v>
      </c>
      <c r="L285" t="str">
        <f t="shared" si="17"/>
        <v/>
      </c>
      <c r="M285" t="str">
        <f t="shared" si="18"/>
        <v/>
      </c>
      <c r="N285" t="str">
        <f t="shared" si="19"/>
        <v/>
      </c>
    </row>
    <row r="286" spans="2:14" x14ac:dyDescent="0.25">
      <c r="B286" s="5" t="str">
        <f>_xlfn.IFNA(VLOOKUP(A286, MOs_Ready_to_close[[Order]:[Tot Est Machine Hrs]], 2, FALSE), "")</f>
        <v/>
      </c>
      <c r="C286" s="5" t="str">
        <f>_xlfn.IFNA(VLOOKUP(A286, MOs_Ready_to_close[[Order]:[Tot Est Machine Hrs]], 4, FALSE), "")</f>
        <v/>
      </c>
      <c r="D286" s="6" t="str">
        <f>_xlfn.IFNA(VLOOKUP(A286, MOs_Ready_to_close[[Order]:[Tot Est Machine Hrs]], 8, FALSE), "")</f>
        <v/>
      </c>
      <c r="E286" s="7" t="str">
        <f>_xlfn.IFNA(VLOOKUP(A286, MOs_Ready_to_close[[Order]:[Tot Est Machine Hrs]], 9, FALSE), "")</f>
        <v/>
      </c>
      <c r="I286" s="11">
        <f>SUMIF(MO_Components[Order], Calculations!A286, MO_Components[Std Cost])</f>
        <v>0</v>
      </c>
      <c r="J286" s="11">
        <f>SUMIF(MO_Components[Order], Calculations!A286, MO_Components[Act Cost])</f>
        <v>0</v>
      </c>
      <c r="K286" s="11">
        <f t="shared" si="16"/>
        <v>0</v>
      </c>
      <c r="L286" t="str">
        <f t="shared" si="17"/>
        <v/>
      </c>
      <c r="M286" t="str">
        <f t="shared" si="18"/>
        <v/>
      </c>
      <c r="N286" t="str">
        <f t="shared" si="19"/>
        <v/>
      </c>
    </row>
    <row r="287" spans="2:14" x14ac:dyDescent="0.25">
      <c r="B287" s="5" t="str">
        <f>_xlfn.IFNA(VLOOKUP(A287, MOs_Ready_to_close[[Order]:[Tot Est Machine Hrs]], 2, FALSE), "")</f>
        <v/>
      </c>
      <c r="C287" s="5" t="str">
        <f>_xlfn.IFNA(VLOOKUP(A287, MOs_Ready_to_close[[Order]:[Tot Est Machine Hrs]], 4, FALSE), "")</f>
        <v/>
      </c>
      <c r="D287" s="6" t="str">
        <f>_xlfn.IFNA(VLOOKUP(A287, MOs_Ready_to_close[[Order]:[Tot Est Machine Hrs]], 8, FALSE), "")</f>
        <v/>
      </c>
      <c r="E287" s="7" t="str">
        <f>_xlfn.IFNA(VLOOKUP(A287, MOs_Ready_to_close[[Order]:[Tot Est Machine Hrs]], 9, FALSE), "")</f>
        <v/>
      </c>
      <c r="I287" s="11">
        <f>SUMIF(MO_Components[Order], Calculations!A287, MO_Components[Std Cost])</f>
        <v>0</v>
      </c>
      <c r="J287" s="11">
        <f>SUMIF(MO_Components[Order], Calculations!A287, MO_Components[Act Cost])</f>
        <v>0</v>
      </c>
      <c r="K287" s="11">
        <f t="shared" si="16"/>
        <v>0</v>
      </c>
      <c r="L287" t="str">
        <f t="shared" si="17"/>
        <v/>
      </c>
      <c r="M287" t="str">
        <f t="shared" si="18"/>
        <v/>
      </c>
      <c r="N287" t="str">
        <f t="shared" si="19"/>
        <v/>
      </c>
    </row>
    <row r="288" spans="2:14" x14ac:dyDescent="0.25">
      <c r="B288" s="5" t="str">
        <f>_xlfn.IFNA(VLOOKUP(A288, MOs_Ready_to_close[[Order]:[Tot Est Machine Hrs]], 2, FALSE), "")</f>
        <v/>
      </c>
      <c r="C288" s="5" t="str">
        <f>_xlfn.IFNA(VLOOKUP(A288, MOs_Ready_to_close[[Order]:[Tot Est Machine Hrs]], 4, FALSE), "")</f>
        <v/>
      </c>
      <c r="D288" s="6" t="str">
        <f>_xlfn.IFNA(VLOOKUP(A288, MOs_Ready_to_close[[Order]:[Tot Est Machine Hrs]], 8, FALSE), "")</f>
        <v/>
      </c>
      <c r="E288" s="7" t="str">
        <f>_xlfn.IFNA(VLOOKUP(A288, MOs_Ready_to_close[[Order]:[Tot Est Machine Hrs]], 9, FALSE), "")</f>
        <v/>
      </c>
      <c r="I288" s="11">
        <f>SUMIF(MO_Components[Order], Calculations!A288, MO_Components[Std Cost])</f>
        <v>0</v>
      </c>
      <c r="J288" s="11">
        <f>SUMIF(MO_Components[Order], Calculations!A288, MO_Components[Act Cost])</f>
        <v>0</v>
      </c>
      <c r="K288" s="11">
        <f t="shared" si="16"/>
        <v>0</v>
      </c>
      <c r="L288" t="str">
        <f t="shared" si="17"/>
        <v/>
      </c>
      <c r="M288" t="str">
        <f t="shared" si="18"/>
        <v/>
      </c>
      <c r="N288" t="str">
        <f t="shared" si="19"/>
        <v/>
      </c>
    </row>
    <row r="289" spans="2:14" x14ac:dyDescent="0.25">
      <c r="B289" s="5" t="str">
        <f>_xlfn.IFNA(VLOOKUP(A289, MOs_Ready_to_close[[Order]:[Tot Est Machine Hrs]], 2, FALSE), "")</f>
        <v/>
      </c>
      <c r="C289" s="5" t="str">
        <f>_xlfn.IFNA(VLOOKUP(A289, MOs_Ready_to_close[[Order]:[Tot Est Machine Hrs]], 4, FALSE), "")</f>
        <v/>
      </c>
      <c r="D289" s="6" t="str">
        <f>_xlfn.IFNA(VLOOKUP(A289, MOs_Ready_to_close[[Order]:[Tot Est Machine Hrs]], 8, FALSE), "")</f>
        <v/>
      </c>
      <c r="E289" s="7" t="str">
        <f>_xlfn.IFNA(VLOOKUP(A289, MOs_Ready_to_close[[Order]:[Tot Est Machine Hrs]], 9, FALSE), "")</f>
        <v/>
      </c>
      <c r="I289" s="11">
        <f>SUMIF(MO_Components[Order], Calculations!A289, MO_Components[Std Cost])</f>
        <v>0</v>
      </c>
      <c r="J289" s="11">
        <f>SUMIF(MO_Components[Order], Calculations!A289, MO_Components[Act Cost])</f>
        <v>0</v>
      </c>
      <c r="K289" s="11">
        <f t="shared" si="16"/>
        <v>0</v>
      </c>
      <c r="L289" t="str">
        <f t="shared" si="17"/>
        <v/>
      </c>
      <c r="M289" t="str">
        <f t="shared" si="18"/>
        <v/>
      </c>
      <c r="N289" t="str">
        <f t="shared" si="19"/>
        <v/>
      </c>
    </row>
    <row r="290" spans="2:14" x14ac:dyDescent="0.25">
      <c r="B290" s="5" t="str">
        <f>_xlfn.IFNA(VLOOKUP(A290, MOs_Ready_to_close[[Order]:[Tot Est Machine Hrs]], 2, FALSE), "")</f>
        <v/>
      </c>
      <c r="C290" s="5" t="str">
        <f>_xlfn.IFNA(VLOOKUP(A290, MOs_Ready_to_close[[Order]:[Tot Est Machine Hrs]], 4, FALSE), "")</f>
        <v/>
      </c>
      <c r="D290" s="6" t="str">
        <f>_xlfn.IFNA(VLOOKUP(A290, MOs_Ready_to_close[[Order]:[Tot Est Machine Hrs]], 8, FALSE), "")</f>
        <v/>
      </c>
      <c r="E290" s="7" t="str">
        <f>_xlfn.IFNA(VLOOKUP(A290, MOs_Ready_to_close[[Order]:[Tot Est Machine Hrs]], 9, FALSE), "")</f>
        <v/>
      </c>
      <c r="I290" s="11">
        <f>SUMIF(MO_Components[Order], Calculations!A290, MO_Components[Std Cost])</f>
        <v>0</v>
      </c>
      <c r="J290" s="11">
        <f>SUMIF(MO_Components[Order], Calculations!A290, MO_Components[Act Cost])</f>
        <v>0</v>
      </c>
      <c r="K290" s="11">
        <f t="shared" si="16"/>
        <v>0</v>
      </c>
      <c r="L290" t="str">
        <f t="shared" si="17"/>
        <v/>
      </c>
      <c r="M290" t="str">
        <f t="shared" si="18"/>
        <v/>
      </c>
      <c r="N290" t="str">
        <f t="shared" si="19"/>
        <v/>
      </c>
    </row>
    <row r="291" spans="2:14" x14ac:dyDescent="0.25">
      <c r="B291" s="5" t="str">
        <f>_xlfn.IFNA(VLOOKUP(A291, MOs_Ready_to_close[[Order]:[Tot Est Machine Hrs]], 2, FALSE), "")</f>
        <v/>
      </c>
      <c r="C291" s="5" t="str">
        <f>_xlfn.IFNA(VLOOKUP(A291, MOs_Ready_to_close[[Order]:[Tot Est Machine Hrs]], 4, FALSE), "")</f>
        <v/>
      </c>
      <c r="D291" s="6" t="str">
        <f>_xlfn.IFNA(VLOOKUP(A291, MOs_Ready_to_close[[Order]:[Tot Est Machine Hrs]], 8, FALSE), "")</f>
        <v/>
      </c>
      <c r="E291" s="7" t="str">
        <f>_xlfn.IFNA(VLOOKUP(A291, MOs_Ready_to_close[[Order]:[Tot Est Machine Hrs]], 9, FALSE), "")</f>
        <v/>
      </c>
      <c r="I291" s="11">
        <f>SUMIF(MO_Components[Order], Calculations!A291, MO_Components[Std Cost])</f>
        <v>0</v>
      </c>
      <c r="J291" s="11">
        <f>SUMIF(MO_Components[Order], Calculations!A291, MO_Components[Act Cost])</f>
        <v>0</v>
      </c>
      <c r="K291" s="11">
        <f t="shared" si="16"/>
        <v>0</v>
      </c>
      <c r="L291" t="str">
        <f t="shared" si="17"/>
        <v/>
      </c>
      <c r="M291" t="str">
        <f t="shared" si="18"/>
        <v/>
      </c>
      <c r="N291" t="str">
        <f t="shared" si="19"/>
        <v/>
      </c>
    </row>
    <row r="292" spans="2:14" x14ac:dyDescent="0.25">
      <c r="B292" s="5" t="str">
        <f>_xlfn.IFNA(VLOOKUP(A292, MOs_Ready_to_close[[Order]:[Tot Est Machine Hrs]], 2, FALSE), "")</f>
        <v/>
      </c>
      <c r="C292" s="5" t="str">
        <f>_xlfn.IFNA(VLOOKUP(A292, MOs_Ready_to_close[[Order]:[Tot Est Machine Hrs]], 4, FALSE), "")</f>
        <v/>
      </c>
      <c r="D292" s="6" t="str">
        <f>_xlfn.IFNA(VLOOKUP(A292, MOs_Ready_to_close[[Order]:[Tot Est Machine Hrs]], 8, FALSE), "")</f>
        <v/>
      </c>
      <c r="E292" s="7" t="str">
        <f>_xlfn.IFNA(VLOOKUP(A292, MOs_Ready_to_close[[Order]:[Tot Est Machine Hrs]], 9, FALSE), "")</f>
        <v/>
      </c>
      <c r="I292" s="11">
        <f>SUMIF(MO_Components[Order], Calculations!A292, MO_Components[Std Cost])</f>
        <v>0</v>
      </c>
      <c r="J292" s="11">
        <f>SUMIF(MO_Components[Order], Calculations!A292, MO_Components[Act Cost])</f>
        <v>0</v>
      </c>
      <c r="K292" s="11">
        <f t="shared" si="16"/>
        <v>0</v>
      </c>
      <c r="L292" t="str">
        <f t="shared" si="17"/>
        <v/>
      </c>
      <c r="M292" t="str">
        <f t="shared" si="18"/>
        <v/>
      </c>
      <c r="N292" t="str">
        <f t="shared" si="19"/>
        <v/>
      </c>
    </row>
    <row r="293" spans="2:14" x14ac:dyDescent="0.25">
      <c r="B293" s="5" t="str">
        <f>_xlfn.IFNA(VLOOKUP(A293, MOs_Ready_to_close[[Order]:[Tot Est Machine Hrs]], 2, FALSE), "")</f>
        <v/>
      </c>
      <c r="C293" s="5" t="str">
        <f>_xlfn.IFNA(VLOOKUP(A293, MOs_Ready_to_close[[Order]:[Tot Est Machine Hrs]], 4, FALSE), "")</f>
        <v/>
      </c>
      <c r="D293" s="6" t="str">
        <f>_xlfn.IFNA(VLOOKUP(A293, MOs_Ready_to_close[[Order]:[Tot Est Machine Hrs]], 8, FALSE), "")</f>
        <v/>
      </c>
      <c r="E293" s="7" t="str">
        <f>_xlfn.IFNA(VLOOKUP(A293, MOs_Ready_to_close[[Order]:[Tot Est Machine Hrs]], 9, FALSE), "")</f>
        <v/>
      </c>
      <c r="I293" s="11">
        <f>SUMIF(MO_Components[Order], Calculations!A293, MO_Components[Std Cost])</f>
        <v>0</v>
      </c>
      <c r="J293" s="11">
        <f>SUMIF(MO_Components[Order], Calculations!A293, MO_Components[Act Cost])</f>
        <v>0</v>
      </c>
      <c r="K293" s="11">
        <f t="shared" si="16"/>
        <v>0</v>
      </c>
      <c r="L293" t="str">
        <f t="shared" si="17"/>
        <v/>
      </c>
      <c r="M293" t="str">
        <f t="shared" si="18"/>
        <v/>
      </c>
      <c r="N293" t="str">
        <f t="shared" si="19"/>
        <v/>
      </c>
    </row>
    <row r="294" spans="2:14" x14ac:dyDescent="0.25">
      <c r="B294" s="5" t="str">
        <f>_xlfn.IFNA(VLOOKUP(A294, MOs_Ready_to_close[[Order]:[Tot Est Machine Hrs]], 2, FALSE), "")</f>
        <v/>
      </c>
      <c r="C294" s="5" t="str">
        <f>_xlfn.IFNA(VLOOKUP(A294, MOs_Ready_to_close[[Order]:[Tot Est Machine Hrs]], 4, FALSE), "")</f>
        <v/>
      </c>
      <c r="D294" s="6" t="str">
        <f>_xlfn.IFNA(VLOOKUP(A294, MOs_Ready_to_close[[Order]:[Tot Est Machine Hrs]], 8, FALSE), "")</f>
        <v/>
      </c>
      <c r="E294" s="7" t="str">
        <f>_xlfn.IFNA(VLOOKUP(A294, MOs_Ready_to_close[[Order]:[Tot Est Machine Hrs]], 9, FALSE), "")</f>
        <v/>
      </c>
      <c r="I294" s="11">
        <f>SUMIF(MO_Components[Order], Calculations!A294, MO_Components[Std Cost])</f>
        <v>0</v>
      </c>
      <c r="J294" s="11">
        <f>SUMIF(MO_Components[Order], Calculations!A294, MO_Components[Act Cost])</f>
        <v>0</v>
      </c>
      <c r="K294" s="11">
        <f t="shared" si="16"/>
        <v>0</v>
      </c>
      <c r="L294" t="str">
        <f t="shared" si="17"/>
        <v/>
      </c>
      <c r="M294" t="str">
        <f t="shared" si="18"/>
        <v/>
      </c>
      <c r="N294" t="str">
        <f t="shared" si="19"/>
        <v/>
      </c>
    </row>
    <row r="295" spans="2:14" x14ac:dyDescent="0.25">
      <c r="B295" s="5" t="str">
        <f>_xlfn.IFNA(VLOOKUP(A295, MOs_Ready_to_close[[Order]:[Tot Est Machine Hrs]], 2, FALSE), "")</f>
        <v/>
      </c>
      <c r="C295" s="5" t="str">
        <f>_xlfn.IFNA(VLOOKUP(A295, MOs_Ready_to_close[[Order]:[Tot Est Machine Hrs]], 4, FALSE), "")</f>
        <v/>
      </c>
      <c r="D295" s="6" t="str">
        <f>_xlfn.IFNA(VLOOKUP(A295, MOs_Ready_to_close[[Order]:[Tot Est Machine Hrs]], 8, FALSE), "")</f>
        <v/>
      </c>
      <c r="E295" s="7" t="str">
        <f>_xlfn.IFNA(VLOOKUP(A295, MOs_Ready_to_close[[Order]:[Tot Est Machine Hrs]], 9, FALSE), "")</f>
        <v/>
      </c>
      <c r="I295" s="11">
        <f>SUMIF(MO_Components[Order], Calculations!A295, MO_Components[Std Cost])</f>
        <v>0</v>
      </c>
      <c r="J295" s="11">
        <f>SUMIF(MO_Components[Order], Calculations!A295, MO_Components[Act Cost])</f>
        <v>0</v>
      </c>
      <c r="K295" s="11">
        <f t="shared" si="16"/>
        <v>0</v>
      </c>
      <c r="L295" t="str">
        <f t="shared" si="17"/>
        <v/>
      </c>
      <c r="M295" t="str">
        <f t="shared" si="18"/>
        <v/>
      </c>
      <c r="N295" t="str">
        <f t="shared" si="19"/>
        <v/>
      </c>
    </row>
    <row r="296" spans="2:14" x14ac:dyDescent="0.25">
      <c r="B296" s="5" t="str">
        <f>_xlfn.IFNA(VLOOKUP(A296, MOs_Ready_to_close[[Order]:[Tot Est Machine Hrs]], 2, FALSE), "")</f>
        <v/>
      </c>
      <c r="C296" s="5" t="str">
        <f>_xlfn.IFNA(VLOOKUP(A296, MOs_Ready_to_close[[Order]:[Tot Est Machine Hrs]], 4, FALSE), "")</f>
        <v/>
      </c>
      <c r="D296" s="6" t="str">
        <f>_xlfn.IFNA(VLOOKUP(A296, MOs_Ready_to_close[[Order]:[Tot Est Machine Hrs]], 8, FALSE), "")</f>
        <v/>
      </c>
      <c r="E296" s="7" t="str">
        <f>_xlfn.IFNA(VLOOKUP(A296, MOs_Ready_to_close[[Order]:[Tot Est Machine Hrs]], 9, FALSE), "")</f>
        <v/>
      </c>
      <c r="I296" s="11">
        <f>SUMIF(MO_Components[Order], Calculations!A296, MO_Components[Std Cost])</f>
        <v>0</v>
      </c>
      <c r="J296" s="11">
        <f>SUMIF(MO_Components[Order], Calculations!A296, MO_Components[Act Cost])</f>
        <v>0</v>
      </c>
      <c r="K296" s="11">
        <f t="shared" si="16"/>
        <v>0</v>
      </c>
      <c r="L296" t="str">
        <f t="shared" si="17"/>
        <v/>
      </c>
      <c r="M296" t="str">
        <f t="shared" si="18"/>
        <v/>
      </c>
      <c r="N296" t="str">
        <f t="shared" si="19"/>
        <v/>
      </c>
    </row>
    <row r="297" spans="2:14" x14ac:dyDescent="0.25">
      <c r="B297" s="5" t="str">
        <f>_xlfn.IFNA(VLOOKUP(A297, MOs_Ready_to_close[[Order]:[Tot Est Machine Hrs]], 2, FALSE), "")</f>
        <v/>
      </c>
      <c r="C297" s="5" t="str">
        <f>_xlfn.IFNA(VLOOKUP(A297, MOs_Ready_to_close[[Order]:[Tot Est Machine Hrs]], 4, FALSE), "")</f>
        <v/>
      </c>
      <c r="D297" s="6" t="str">
        <f>_xlfn.IFNA(VLOOKUP(A297, MOs_Ready_to_close[[Order]:[Tot Est Machine Hrs]], 8, FALSE), "")</f>
        <v/>
      </c>
      <c r="E297" s="7" t="str">
        <f>_xlfn.IFNA(VLOOKUP(A297, MOs_Ready_to_close[[Order]:[Tot Est Machine Hrs]], 9, FALSE), "")</f>
        <v/>
      </c>
      <c r="I297" s="11">
        <f>SUMIF(MO_Components[Order], Calculations!A297, MO_Components[Std Cost])</f>
        <v>0</v>
      </c>
      <c r="J297" s="11">
        <f>SUMIF(MO_Components[Order], Calculations!A297, MO_Components[Act Cost])</f>
        <v>0</v>
      </c>
      <c r="K297" s="11">
        <f t="shared" si="16"/>
        <v>0</v>
      </c>
      <c r="L297" t="str">
        <f t="shared" si="17"/>
        <v/>
      </c>
      <c r="M297" t="str">
        <f t="shared" si="18"/>
        <v/>
      </c>
      <c r="N297" t="str">
        <f t="shared" si="19"/>
        <v/>
      </c>
    </row>
    <row r="298" spans="2:14" x14ac:dyDescent="0.25">
      <c r="B298" s="5" t="str">
        <f>_xlfn.IFNA(VLOOKUP(A298, MOs_Ready_to_close[[Order]:[Tot Est Machine Hrs]], 2, FALSE), "")</f>
        <v/>
      </c>
      <c r="C298" s="5" t="str">
        <f>_xlfn.IFNA(VLOOKUP(A298, MOs_Ready_to_close[[Order]:[Tot Est Machine Hrs]], 4, FALSE), "")</f>
        <v/>
      </c>
      <c r="D298" s="6" t="str">
        <f>_xlfn.IFNA(VLOOKUP(A298, MOs_Ready_to_close[[Order]:[Tot Est Machine Hrs]], 8, FALSE), "")</f>
        <v/>
      </c>
      <c r="E298" s="7" t="str">
        <f>_xlfn.IFNA(VLOOKUP(A298, MOs_Ready_to_close[[Order]:[Tot Est Machine Hrs]], 9, FALSE), "")</f>
        <v/>
      </c>
      <c r="I298" s="11">
        <f>SUMIF(MO_Components[Order], Calculations!A298, MO_Components[Std Cost])</f>
        <v>0</v>
      </c>
      <c r="J298" s="11">
        <f>SUMIF(MO_Components[Order], Calculations!A298, MO_Components[Act Cost])</f>
        <v>0</v>
      </c>
      <c r="K298" s="11">
        <f t="shared" si="16"/>
        <v>0</v>
      </c>
      <c r="L298" t="str">
        <f t="shared" si="17"/>
        <v/>
      </c>
      <c r="M298" t="str">
        <f t="shared" si="18"/>
        <v/>
      </c>
      <c r="N298" t="str">
        <f t="shared" si="19"/>
        <v/>
      </c>
    </row>
    <row r="299" spans="2:14" x14ac:dyDescent="0.25">
      <c r="B299" s="5" t="str">
        <f>_xlfn.IFNA(VLOOKUP(A299, MOs_Ready_to_close[[Order]:[Tot Est Machine Hrs]], 2, FALSE), "")</f>
        <v/>
      </c>
      <c r="C299" s="5" t="str">
        <f>_xlfn.IFNA(VLOOKUP(A299, MOs_Ready_to_close[[Order]:[Tot Est Machine Hrs]], 4, FALSE), "")</f>
        <v/>
      </c>
      <c r="D299" s="6" t="str">
        <f>_xlfn.IFNA(VLOOKUP(A299, MOs_Ready_to_close[[Order]:[Tot Est Machine Hrs]], 8, FALSE), "")</f>
        <v/>
      </c>
      <c r="E299" s="7" t="str">
        <f>_xlfn.IFNA(VLOOKUP(A299, MOs_Ready_to_close[[Order]:[Tot Est Machine Hrs]], 9, FALSE), "")</f>
        <v/>
      </c>
      <c r="I299" s="11">
        <f>SUMIF(MO_Components[Order], Calculations!A299, MO_Components[Std Cost])</f>
        <v>0</v>
      </c>
      <c r="J299" s="11">
        <f>SUMIF(MO_Components[Order], Calculations!A299, MO_Components[Act Cost])</f>
        <v>0</v>
      </c>
      <c r="K299" s="11">
        <f t="shared" si="16"/>
        <v>0</v>
      </c>
      <c r="L299" t="str">
        <f t="shared" si="17"/>
        <v/>
      </c>
      <c r="M299" t="str">
        <f t="shared" si="18"/>
        <v/>
      </c>
      <c r="N299" t="str">
        <f t="shared" si="19"/>
        <v/>
      </c>
    </row>
    <row r="300" spans="2:14" x14ac:dyDescent="0.25">
      <c r="B300" s="5" t="str">
        <f>_xlfn.IFNA(VLOOKUP(A300, MOs_Ready_to_close[[Order]:[Tot Est Machine Hrs]], 2, FALSE), "")</f>
        <v/>
      </c>
      <c r="C300" s="5" t="str">
        <f>_xlfn.IFNA(VLOOKUP(A300, MOs_Ready_to_close[[Order]:[Tot Est Machine Hrs]], 4, FALSE), "")</f>
        <v/>
      </c>
      <c r="D300" s="6" t="str">
        <f>_xlfn.IFNA(VLOOKUP(A300, MOs_Ready_to_close[[Order]:[Tot Est Machine Hrs]], 8, FALSE), "")</f>
        <v/>
      </c>
      <c r="E300" s="7" t="str">
        <f>_xlfn.IFNA(VLOOKUP(A300, MOs_Ready_to_close[[Order]:[Tot Est Machine Hrs]], 9, FALSE), "")</f>
        <v/>
      </c>
      <c r="I300" s="11">
        <f>SUMIF(MO_Components[Order], Calculations!A300, MO_Components[Std Cost])</f>
        <v>0</v>
      </c>
      <c r="J300" s="11">
        <f>SUMIF(MO_Components[Order], Calculations!A300, MO_Components[Act Cost])</f>
        <v>0</v>
      </c>
      <c r="K300" s="11">
        <f t="shared" si="16"/>
        <v>0</v>
      </c>
      <c r="L300" t="str">
        <f t="shared" si="17"/>
        <v/>
      </c>
      <c r="M300" t="str">
        <f t="shared" si="18"/>
        <v/>
      </c>
      <c r="N300" t="str">
        <f t="shared" si="19"/>
        <v/>
      </c>
    </row>
    <row r="301" spans="2:14" x14ac:dyDescent="0.25">
      <c r="B301" s="5" t="str">
        <f>_xlfn.IFNA(VLOOKUP(A301, MOs_Ready_to_close[[Order]:[Tot Est Machine Hrs]], 2, FALSE), "")</f>
        <v/>
      </c>
      <c r="C301" s="5" t="str">
        <f>_xlfn.IFNA(VLOOKUP(A301, MOs_Ready_to_close[[Order]:[Tot Est Machine Hrs]], 4, FALSE), "")</f>
        <v/>
      </c>
      <c r="D301" s="6" t="str">
        <f>_xlfn.IFNA(VLOOKUP(A301, MOs_Ready_to_close[[Order]:[Tot Est Machine Hrs]], 8, FALSE), "")</f>
        <v/>
      </c>
      <c r="E301" s="7" t="str">
        <f>_xlfn.IFNA(VLOOKUP(A301, MOs_Ready_to_close[[Order]:[Tot Est Machine Hrs]], 9, FALSE), "")</f>
        <v/>
      </c>
      <c r="I301" s="11">
        <f>SUMIF(MO_Components[Order], Calculations!A301, MO_Components[Std Cost])</f>
        <v>0</v>
      </c>
      <c r="J301" s="11">
        <f>SUMIF(MO_Components[Order], Calculations!A301, MO_Components[Act Cost])</f>
        <v>0</v>
      </c>
      <c r="K301" s="11">
        <f t="shared" si="16"/>
        <v>0</v>
      </c>
      <c r="L301" t="str">
        <f t="shared" si="17"/>
        <v/>
      </c>
      <c r="M301" t="str">
        <f t="shared" si="18"/>
        <v/>
      </c>
      <c r="N301" t="str">
        <f t="shared" si="19"/>
        <v/>
      </c>
    </row>
    <row r="302" spans="2:14" x14ac:dyDescent="0.25">
      <c r="B302" s="5" t="str">
        <f>_xlfn.IFNA(VLOOKUP(A302, MOs_Ready_to_close[[Order]:[Tot Est Machine Hrs]], 2, FALSE), "")</f>
        <v/>
      </c>
      <c r="C302" s="5" t="str">
        <f>_xlfn.IFNA(VLOOKUP(A302, MOs_Ready_to_close[[Order]:[Tot Est Machine Hrs]], 4, FALSE), "")</f>
        <v/>
      </c>
      <c r="D302" s="6" t="str">
        <f>_xlfn.IFNA(VLOOKUP(A302, MOs_Ready_to_close[[Order]:[Tot Est Machine Hrs]], 8, FALSE), "")</f>
        <v/>
      </c>
      <c r="E302" s="7" t="str">
        <f>_xlfn.IFNA(VLOOKUP(A302, MOs_Ready_to_close[[Order]:[Tot Est Machine Hrs]], 9, FALSE), "")</f>
        <v/>
      </c>
      <c r="I302" s="11">
        <f>SUMIF(MO_Components[Order], Calculations!A302, MO_Components[Std Cost])</f>
        <v>0</v>
      </c>
      <c r="J302" s="11">
        <f>SUMIF(MO_Components[Order], Calculations!A302, MO_Components[Act Cost])</f>
        <v>0</v>
      </c>
      <c r="K302" s="11">
        <f t="shared" si="16"/>
        <v>0</v>
      </c>
      <c r="L302" t="str">
        <f t="shared" si="17"/>
        <v/>
      </c>
      <c r="M302" t="str">
        <f t="shared" si="18"/>
        <v/>
      </c>
      <c r="N302" t="str">
        <f t="shared" si="19"/>
        <v/>
      </c>
    </row>
    <row r="303" spans="2:14" x14ac:dyDescent="0.25">
      <c r="B303" s="5" t="str">
        <f>_xlfn.IFNA(VLOOKUP(A303, MOs_Ready_to_close[[Order]:[Tot Est Machine Hrs]], 2, FALSE), "")</f>
        <v/>
      </c>
      <c r="C303" s="5" t="str">
        <f>_xlfn.IFNA(VLOOKUP(A303, MOs_Ready_to_close[[Order]:[Tot Est Machine Hrs]], 4, FALSE), "")</f>
        <v/>
      </c>
      <c r="D303" s="6" t="str">
        <f>_xlfn.IFNA(VLOOKUP(A303, MOs_Ready_to_close[[Order]:[Tot Est Machine Hrs]], 8, FALSE), "")</f>
        <v/>
      </c>
      <c r="E303" s="7" t="str">
        <f>_xlfn.IFNA(VLOOKUP(A303, MOs_Ready_to_close[[Order]:[Tot Est Machine Hrs]], 9, FALSE), "")</f>
        <v/>
      </c>
      <c r="I303" s="11">
        <f>SUMIF(MO_Components[Order], Calculations!A303, MO_Components[Std Cost])</f>
        <v>0</v>
      </c>
      <c r="J303" s="11">
        <f>SUMIF(MO_Components[Order], Calculations!A303, MO_Components[Act Cost])</f>
        <v>0</v>
      </c>
      <c r="K303" s="11">
        <f t="shared" si="16"/>
        <v>0</v>
      </c>
      <c r="L303" t="str">
        <f t="shared" si="17"/>
        <v/>
      </c>
      <c r="M303" t="str">
        <f t="shared" si="18"/>
        <v/>
      </c>
      <c r="N303" t="str">
        <f t="shared" si="19"/>
        <v/>
      </c>
    </row>
    <row r="304" spans="2:14" x14ac:dyDescent="0.25">
      <c r="B304" s="5" t="str">
        <f>_xlfn.IFNA(VLOOKUP(A304, MOs_Ready_to_close[[Order]:[Tot Est Machine Hrs]], 2, FALSE), "")</f>
        <v/>
      </c>
      <c r="C304" s="5" t="str">
        <f>_xlfn.IFNA(VLOOKUP(A304, MOs_Ready_to_close[[Order]:[Tot Est Machine Hrs]], 4, FALSE), "")</f>
        <v/>
      </c>
      <c r="D304" s="6" t="str">
        <f>_xlfn.IFNA(VLOOKUP(A304, MOs_Ready_to_close[[Order]:[Tot Est Machine Hrs]], 8, FALSE), "")</f>
        <v/>
      </c>
      <c r="E304" s="7" t="str">
        <f>_xlfn.IFNA(VLOOKUP(A304, MOs_Ready_to_close[[Order]:[Tot Est Machine Hrs]], 9, FALSE), "")</f>
        <v/>
      </c>
      <c r="I304" s="11">
        <f>SUMIF(MO_Components[Order], Calculations!A304, MO_Components[Std Cost])</f>
        <v>0</v>
      </c>
      <c r="J304" s="11">
        <f>SUMIF(MO_Components[Order], Calculations!A304, MO_Components[Act Cost])</f>
        <v>0</v>
      </c>
      <c r="K304" s="11">
        <f t="shared" si="16"/>
        <v>0</v>
      </c>
      <c r="L304" t="str">
        <f t="shared" si="17"/>
        <v/>
      </c>
      <c r="M304" t="str">
        <f t="shared" si="18"/>
        <v/>
      </c>
      <c r="N304" t="str">
        <f t="shared" si="19"/>
        <v/>
      </c>
    </row>
    <row r="305" spans="2:14" x14ac:dyDescent="0.25">
      <c r="B305" s="5" t="str">
        <f>_xlfn.IFNA(VLOOKUP(A305, MOs_Ready_to_close[[Order]:[Tot Est Machine Hrs]], 2, FALSE), "")</f>
        <v/>
      </c>
      <c r="C305" s="5" t="str">
        <f>_xlfn.IFNA(VLOOKUP(A305, MOs_Ready_to_close[[Order]:[Tot Est Machine Hrs]], 4, FALSE), "")</f>
        <v/>
      </c>
      <c r="D305" s="6" t="str">
        <f>_xlfn.IFNA(VLOOKUP(A305, MOs_Ready_to_close[[Order]:[Tot Est Machine Hrs]], 8, FALSE), "")</f>
        <v/>
      </c>
      <c r="E305" s="7" t="str">
        <f>_xlfn.IFNA(VLOOKUP(A305, MOs_Ready_to_close[[Order]:[Tot Est Machine Hrs]], 9, FALSE), "")</f>
        <v/>
      </c>
      <c r="I305" s="11">
        <f>SUMIF(MO_Components[Order], Calculations!A305, MO_Components[Std Cost])</f>
        <v>0</v>
      </c>
      <c r="J305" s="11">
        <f>SUMIF(MO_Components[Order], Calculations!A305, MO_Components[Act Cost])</f>
        <v>0</v>
      </c>
      <c r="K305" s="11">
        <f t="shared" si="16"/>
        <v>0</v>
      </c>
      <c r="L305" t="str">
        <f t="shared" si="17"/>
        <v/>
      </c>
      <c r="M305" t="str">
        <f t="shared" si="18"/>
        <v/>
      </c>
      <c r="N305" t="str">
        <f t="shared" si="19"/>
        <v/>
      </c>
    </row>
    <row r="306" spans="2:14" x14ac:dyDescent="0.25">
      <c r="B306" s="5" t="str">
        <f>_xlfn.IFNA(VLOOKUP(A306, MOs_Ready_to_close[[Order]:[Tot Est Machine Hrs]], 2, FALSE), "")</f>
        <v/>
      </c>
      <c r="C306" s="5" t="str">
        <f>_xlfn.IFNA(VLOOKUP(A306, MOs_Ready_to_close[[Order]:[Tot Est Machine Hrs]], 4, FALSE), "")</f>
        <v/>
      </c>
      <c r="D306" s="6" t="str">
        <f>_xlfn.IFNA(VLOOKUP(A306, MOs_Ready_to_close[[Order]:[Tot Est Machine Hrs]], 8, FALSE), "")</f>
        <v/>
      </c>
      <c r="E306" s="7" t="str">
        <f>_xlfn.IFNA(VLOOKUP(A306, MOs_Ready_to_close[[Order]:[Tot Est Machine Hrs]], 9, FALSE), "")</f>
        <v/>
      </c>
      <c r="I306" s="11">
        <f>SUMIF(MO_Components[Order], Calculations!A306, MO_Components[Std Cost])</f>
        <v>0</v>
      </c>
      <c r="J306" s="11">
        <f>SUMIF(MO_Components[Order], Calculations!A306, MO_Components[Act Cost])</f>
        <v>0</v>
      </c>
      <c r="K306" s="11">
        <f t="shared" si="16"/>
        <v>0</v>
      </c>
      <c r="L306" t="str">
        <f t="shared" si="17"/>
        <v/>
      </c>
      <c r="M306" t="str">
        <f t="shared" si="18"/>
        <v/>
      </c>
      <c r="N306" t="str">
        <f t="shared" si="19"/>
        <v/>
      </c>
    </row>
    <row r="307" spans="2:14" x14ac:dyDescent="0.25">
      <c r="B307" s="5" t="str">
        <f>_xlfn.IFNA(VLOOKUP(A307, MOs_Ready_to_close[[Order]:[Tot Est Machine Hrs]], 2, FALSE), "")</f>
        <v/>
      </c>
      <c r="C307" s="5" t="str">
        <f>_xlfn.IFNA(VLOOKUP(A307, MOs_Ready_to_close[[Order]:[Tot Est Machine Hrs]], 4, FALSE), "")</f>
        <v/>
      </c>
      <c r="D307" s="6" t="str">
        <f>_xlfn.IFNA(VLOOKUP(A307, MOs_Ready_to_close[[Order]:[Tot Est Machine Hrs]], 8, FALSE), "")</f>
        <v/>
      </c>
      <c r="E307" s="7" t="str">
        <f>_xlfn.IFNA(VLOOKUP(A307, MOs_Ready_to_close[[Order]:[Tot Est Machine Hrs]], 9, FALSE), "")</f>
        <v/>
      </c>
      <c r="I307" s="11">
        <f>SUMIF(MO_Components[Order], Calculations!A307, MO_Components[Std Cost])</f>
        <v>0</v>
      </c>
      <c r="J307" s="11">
        <f>SUMIF(MO_Components[Order], Calculations!A307, MO_Components[Act Cost])</f>
        <v>0</v>
      </c>
      <c r="K307" s="11">
        <f t="shared" si="16"/>
        <v>0</v>
      </c>
      <c r="L307" t="str">
        <f t="shared" si="17"/>
        <v/>
      </c>
      <c r="M307" t="str">
        <f t="shared" si="18"/>
        <v/>
      </c>
      <c r="N307" t="str">
        <f t="shared" si="19"/>
        <v/>
      </c>
    </row>
    <row r="308" spans="2:14" x14ac:dyDescent="0.25">
      <c r="B308" s="5" t="str">
        <f>_xlfn.IFNA(VLOOKUP(A308, MOs_Ready_to_close[[Order]:[Tot Est Machine Hrs]], 2, FALSE), "")</f>
        <v/>
      </c>
      <c r="C308" s="5" t="str">
        <f>_xlfn.IFNA(VLOOKUP(A308, MOs_Ready_to_close[[Order]:[Tot Est Machine Hrs]], 4, FALSE), "")</f>
        <v/>
      </c>
      <c r="D308" s="6" t="str">
        <f>_xlfn.IFNA(VLOOKUP(A308, MOs_Ready_to_close[[Order]:[Tot Est Machine Hrs]], 8, FALSE), "")</f>
        <v/>
      </c>
      <c r="E308" s="7" t="str">
        <f>_xlfn.IFNA(VLOOKUP(A308, MOs_Ready_to_close[[Order]:[Tot Est Machine Hrs]], 9, FALSE), "")</f>
        <v/>
      </c>
      <c r="I308" s="11">
        <f>SUMIF(MO_Components[Order], Calculations!A308, MO_Components[Std Cost])</f>
        <v>0</v>
      </c>
      <c r="J308" s="11">
        <f>SUMIF(MO_Components[Order], Calculations!A308, MO_Components[Act Cost])</f>
        <v>0</v>
      </c>
      <c r="K308" s="11">
        <f t="shared" si="16"/>
        <v>0</v>
      </c>
      <c r="L308" t="str">
        <f t="shared" si="17"/>
        <v/>
      </c>
      <c r="M308" t="str">
        <f t="shared" si="18"/>
        <v/>
      </c>
      <c r="N308" t="str">
        <f t="shared" si="19"/>
        <v/>
      </c>
    </row>
    <row r="309" spans="2:14" x14ac:dyDescent="0.25">
      <c r="B309" s="5" t="str">
        <f>_xlfn.IFNA(VLOOKUP(A309, MOs_Ready_to_close[[Order]:[Tot Est Machine Hrs]], 2, FALSE), "")</f>
        <v/>
      </c>
      <c r="C309" s="5" t="str">
        <f>_xlfn.IFNA(VLOOKUP(A309, MOs_Ready_to_close[[Order]:[Tot Est Machine Hrs]], 4, FALSE), "")</f>
        <v/>
      </c>
      <c r="D309" s="6" t="str">
        <f>_xlfn.IFNA(VLOOKUP(A309, MOs_Ready_to_close[[Order]:[Tot Est Machine Hrs]], 8, FALSE), "")</f>
        <v/>
      </c>
      <c r="E309" s="7" t="str">
        <f>_xlfn.IFNA(VLOOKUP(A309, MOs_Ready_to_close[[Order]:[Tot Est Machine Hrs]], 9, FALSE), "")</f>
        <v/>
      </c>
      <c r="I309" s="11">
        <f>SUMIF(MO_Components[Order], Calculations!A309, MO_Components[Std Cost])</f>
        <v>0</v>
      </c>
      <c r="J309" s="11">
        <f>SUMIF(MO_Components[Order], Calculations!A309, MO_Components[Act Cost])</f>
        <v>0</v>
      </c>
      <c r="K309" s="11">
        <f t="shared" si="16"/>
        <v>0</v>
      </c>
      <c r="L309" t="str">
        <f t="shared" si="17"/>
        <v/>
      </c>
      <c r="M309" t="str">
        <f t="shared" si="18"/>
        <v/>
      </c>
      <c r="N309" t="str">
        <f t="shared" si="19"/>
        <v/>
      </c>
    </row>
    <row r="310" spans="2:14" x14ac:dyDescent="0.25">
      <c r="B310" s="5" t="str">
        <f>_xlfn.IFNA(VLOOKUP(A310, MOs_Ready_to_close[[Order]:[Tot Est Machine Hrs]], 2, FALSE), "")</f>
        <v/>
      </c>
      <c r="C310" s="5" t="str">
        <f>_xlfn.IFNA(VLOOKUP(A310, MOs_Ready_to_close[[Order]:[Tot Est Machine Hrs]], 4, FALSE), "")</f>
        <v/>
      </c>
      <c r="D310" s="6" t="str">
        <f>_xlfn.IFNA(VLOOKUP(A310, MOs_Ready_to_close[[Order]:[Tot Est Machine Hrs]], 8, FALSE), "")</f>
        <v/>
      </c>
      <c r="E310" s="7" t="str">
        <f>_xlfn.IFNA(VLOOKUP(A310, MOs_Ready_to_close[[Order]:[Tot Est Machine Hrs]], 9, FALSE), "")</f>
        <v/>
      </c>
      <c r="I310" s="11">
        <f>SUMIF(MO_Components[Order], Calculations!A310, MO_Components[Std Cost])</f>
        <v>0</v>
      </c>
      <c r="J310" s="11">
        <f>SUMIF(MO_Components[Order], Calculations!A310, MO_Components[Act Cost])</f>
        <v>0</v>
      </c>
      <c r="K310" s="11">
        <f t="shared" si="16"/>
        <v>0</v>
      </c>
      <c r="L310" t="str">
        <f t="shared" si="17"/>
        <v/>
      </c>
      <c r="M310" t="str">
        <f t="shared" si="18"/>
        <v/>
      </c>
      <c r="N310" t="str">
        <f t="shared" si="19"/>
        <v/>
      </c>
    </row>
    <row r="311" spans="2:14" x14ac:dyDescent="0.25">
      <c r="B311" s="5" t="str">
        <f>_xlfn.IFNA(VLOOKUP(A311, MOs_Ready_to_close[[Order]:[Tot Est Machine Hrs]], 2, FALSE), "")</f>
        <v/>
      </c>
      <c r="C311" s="5" t="str">
        <f>_xlfn.IFNA(VLOOKUP(A311, MOs_Ready_to_close[[Order]:[Tot Est Machine Hrs]], 4, FALSE), "")</f>
        <v/>
      </c>
      <c r="D311" s="6" t="str">
        <f>_xlfn.IFNA(VLOOKUP(A311, MOs_Ready_to_close[[Order]:[Tot Est Machine Hrs]], 8, FALSE), "")</f>
        <v/>
      </c>
      <c r="E311" s="7" t="str">
        <f>_xlfn.IFNA(VLOOKUP(A311, MOs_Ready_to_close[[Order]:[Tot Est Machine Hrs]], 9, FALSE), "")</f>
        <v/>
      </c>
      <c r="I311" s="11">
        <f>SUMIF(MO_Components[Order], Calculations!A311, MO_Components[Std Cost])</f>
        <v>0</v>
      </c>
      <c r="J311" s="11">
        <f>SUMIF(MO_Components[Order], Calculations!A311, MO_Components[Act Cost])</f>
        <v>0</v>
      </c>
      <c r="K311" s="11">
        <f t="shared" si="16"/>
        <v>0</v>
      </c>
      <c r="L311" t="str">
        <f t="shared" si="17"/>
        <v/>
      </c>
      <c r="M311" t="str">
        <f t="shared" si="18"/>
        <v/>
      </c>
      <c r="N311" t="str">
        <f t="shared" si="19"/>
        <v/>
      </c>
    </row>
    <row r="312" spans="2:14" x14ac:dyDescent="0.25">
      <c r="B312" s="5" t="str">
        <f>_xlfn.IFNA(VLOOKUP(A312, MOs_Ready_to_close[[Order]:[Tot Est Machine Hrs]], 2, FALSE), "")</f>
        <v/>
      </c>
      <c r="C312" s="5" t="str">
        <f>_xlfn.IFNA(VLOOKUP(A312, MOs_Ready_to_close[[Order]:[Tot Est Machine Hrs]], 4, FALSE), "")</f>
        <v/>
      </c>
      <c r="D312" s="6" t="str">
        <f>_xlfn.IFNA(VLOOKUP(A312, MOs_Ready_to_close[[Order]:[Tot Est Machine Hrs]], 8, FALSE), "")</f>
        <v/>
      </c>
      <c r="E312" s="7" t="str">
        <f>_xlfn.IFNA(VLOOKUP(A312, MOs_Ready_to_close[[Order]:[Tot Est Machine Hrs]], 9, FALSE), "")</f>
        <v/>
      </c>
      <c r="I312" s="11">
        <f>SUMIF(MO_Components[Order], Calculations!A312, MO_Components[Std Cost])</f>
        <v>0</v>
      </c>
      <c r="J312" s="11">
        <f>SUMIF(MO_Components[Order], Calculations!A312, MO_Components[Act Cost])</f>
        <v>0</v>
      </c>
      <c r="K312" s="11">
        <f t="shared" si="16"/>
        <v>0</v>
      </c>
      <c r="L312" t="str">
        <f t="shared" si="17"/>
        <v/>
      </c>
      <c r="M312" t="str">
        <f t="shared" si="18"/>
        <v/>
      </c>
      <c r="N312" t="str">
        <f t="shared" si="19"/>
        <v/>
      </c>
    </row>
    <row r="313" spans="2:14" x14ac:dyDescent="0.25">
      <c r="B313" s="5" t="str">
        <f>_xlfn.IFNA(VLOOKUP(A313, MOs_Ready_to_close[[Order]:[Tot Est Machine Hrs]], 2, FALSE), "")</f>
        <v/>
      </c>
      <c r="C313" s="5" t="str">
        <f>_xlfn.IFNA(VLOOKUP(A313, MOs_Ready_to_close[[Order]:[Tot Est Machine Hrs]], 4, FALSE), "")</f>
        <v/>
      </c>
      <c r="D313" s="6" t="str">
        <f>_xlfn.IFNA(VLOOKUP(A313, MOs_Ready_to_close[[Order]:[Tot Est Machine Hrs]], 8, FALSE), "")</f>
        <v/>
      </c>
      <c r="E313" s="7" t="str">
        <f>_xlfn.IFNA(VLOOKUP(A313, MOs_Ready_to_close[[Order]:[Tot Est Machine Hrs]], 9, FALSE), "")</f>
        <v/>
      </c>
      <c r="I313" s="11">
        <f>SUMIF(MO_Components[Order], Calculations!A313, MO_Components[Std Cost])</f>
        <v>0</v>
      </c>
      <c r="J313" s="11">
        <f>SUMIF(MO_Components[Order], Calculations!A313, MO_Components[Act Cost])</f>
        <v>0</v>
      </c>
      <c r="K313" s="11">
        <f t="shared" si="16"/>
        <v>0</v>
      </c>
      <c r="L313" t="str">
        <f t="shared" si="17"/>
        <v/>
      </c>
      <c r="M313" t="str">
        <f t="shared" si="18"/>
        <v/>
      </c>
      <c r="N313" t="str">
        <f t="shared" si="19"/>
        <v/>
      </c>
    </row>
    <row r="314" spans="2:14" x14ac:dyDescent="0.25">
      <c r="B314" s="5" t="str">
        <f>_xlfn.IFNA(VLOOKUP(A314, MOs_Ready_to_close[[Order]:[Tot Est Machine Hrs]], 2, FALSE), "")</f>
        <v/>
      </c>
      <c r="C314" s="5" t="str">
        <f>_xlfn.IFNA(VLOOKUP(A314, MOs_Ready_to_close[[Order]:[Tot Est Machine Hrs]], 4, FALSE), "")</f>
        <v/>
      </c>
      <c r="D314" s="6" t="str">
        <f>_xlfn.IFNA(VLOOKUP(A314, MOs_Ready_to_close[[Order]:[Tot Est Machine Hrs]], 8, FALSE), "")</f>
        <v/>
      </c>
      <c r="E314" s="7" t="str">
        <f>_xlfn.IFNA(VLOOKUP(A314, MOs_Ready_to_close[[Order]:[Tot Est Machine Hrs]], 9, FALSE), "")</f>
        <v/>
      </c>
      <c r="I314" s="11">
        <f>SUMIF(MO_Components[Order], Calculations!A314, MO_Components[Std Cost])</f>
        <v>0</v>
      </c>
      <c r="J314" s="11">
        <f>SUMIF(MO_Components[Order], Calculations!A314, MO_Components[Act Cost])</f>
        <v>0</v>
      </c>
      <c r="K314" s="11">
        <f t="shared" si="16"/>
        <v>0</v>
      </c>
      <c r="L314" t="str">
        <f t="shared" si="17"/>
        <v/>
      </c>
      <c r="M314" t="str">
        <f t="shared" si="18"/>
        <v/>
      </c>
      <c r="N314" t="str">
        <f t="shared" si="19"/>
        <v/>
      </c>
    </row>
    <row r="315" spans="2:14" x14ac:dyDescent="0.25">
      <c r="B315" s="5" t="str">
        <f>_xlfn.IFNA(VLOOKUP(A315, MOs_Ready_to_close[[Order]:[Tot Est Machine Hrs]], 2, FALSE), "")</f>
        <v/>
      </c>
      <c r="C315" s="5" t="str">
        <f>_xlfn.IFNA(VLOOKUP(A315, MOs_Ready_to_close[[Order]:[Tot Est Machine Hrs]], 4, FALSE), "")</f>
        <v/>
      </c>
      <c r="D315" s="6" t="str">
        <f>_xlfn.IFNA(VLOOKUP(A315, MOs_Ready_to_close[[Order]:[Tot Est Machine Hrs]], 8, FALSE), "")</f>
        <v/>
      </c>
      <c r="E315" s="7" t="str">
        <f>_xlfn.IFNA(VLOOKUP(A315, MOs_Ready_to_close[[Order]:[Tot Est Machine Hrs]], 9, FALSE), "")</f>
        <v/>
      </c>
      <c r="I315" s="11">
        <f>SUMIF(MO_Components[Order], Calculations!A315, MO_Components[Std Cost])</f>
        <v>0</v>
      </c>
      <c r="J315" s="11">
        <f>SUMIF(MO_Components[Order], Calculations!A315, MO_Components[Act Cost])</f>
        <v>0</v>
      </c>
      <c r="K315" s="11">
        <f t="shared" si="16"/>
        <v>0</v>
      </c>
      <c r="L315" t="str">
        <f t="shared" si="17"/>
        <v/>
      </c>
      <c r="M315" t="str">
        <f t="shared" si="18"/>
        <v/>
      </c>
      <c r="N315" t="str">
        <f t="shared" si="19"/>
        <v/>
      </c>
    </row>
    <row r="316" spans="2:14" x14ac:dyDescent="0.25">
      <c r="B316" s="5" t="str">
        <f>_xlfn.IFNA(VLOOKUP(A316, MOs_Ready_to_close[[Order]:[Tot Est Machine Hrs]], 2, FALSE), "")</f>
        <v/>
      </c>
      <c r="C316" s="5" t="str">
        <f>_xlfn.IFNA(VLOOKUP(A316, MOs_Ready_to_close[[Order]:[Tot Est Machine Hrs]], 4, FALSE), "")</f>
        <v/>
      </c>
      <c r="D316" s="6" t="str">
        <f>_xlfn.IFNA(VLOOKUP(A316, MOs_Ready_to_close[[Order]:[Tot Est Machine Hrs]], 8, FALSE), "")</f>
        <v/>
      </c>
      <c r="E316" s="7" t="str">
        <f>_xlfn.IFNA(VLOOKUP(A316, MOs_Ready_to_close[[Order]:[Tot Est Machine Hrs]], 9, FALSE), "")</f>
        <v/>
      </c>
      <c r="I316" s="11">
        <f>SUMIF(MO_Components[Order], Calculations!A316, MO_Components[Std Cost])</f>
        <v>0</v>
      </c>
      <c r="J316" s="11">
        <f>SUMIF(MO_Components[Order], Calculations!A316, MO_Components[Act Cost])</f>
        <v>0</v>
      </c>
      <c r="K316" s="11">
        <f t="shared" si="16"/>
        <v>0</v>
      </c>
      <c r="L316" t="str">
        <f t="shared" si="17"/>
        <v/>
      </c>
      <c r="M316" t="str">
        <f t="shared" si="18"/>
        <v/>
      </c>
      <c r="N316" t="str">
        <f t="shared" si="19"/>
        <v/>
      </c>
    </row>
    <row r="317" spans="2:14" x14ac:dyDescent="0.25">
      <c r="B317" s="5" t="str">
        <f>_xlfn.IFNA(VLOOKUP(A317, MOs_Ready_to_close[[Order]:[Tot Est Machine Hrs]], 2, FALSE), "")</f>
        <v/>
      </c>
      <c r="C317" s="5" t="str">
        <f>_xlfn.IFNA(VLOOKUP(A317, MOs_Ready_to_close[[Order]:[Tot Est Machine Hrs]], 4, FALSE), "")</f>
        <v/>
      </c>
      <c r="D317" s="6" t="str">
        <f>_xlfn.IFNA(VLOOKUP(A317, MOs_Ready_to_close[[Order]:[Tot Est Machine Hrs]], 8, FALSE), "")</f>
        <v/>
      </c>
      <c r="E317" s="7" t="str">
        <f>_xlfn.IFNA(VLOOKUP(A317, MOs_Ready_to_close[[Order]:[Tot Est Machine Hrs]], 9, FALSE), "")</f>
        <v/>
      </c>
      <c r="I317" s="11">
        <f>SUMIF(MO_Components[Order], Calculations!A317, MO_Components[Std Cost])</f>
        <v>0</v>
      </c>
      <c r="J317" s="11">
        <f>SUMIF(MO_Components[Order], Calculations!A317, MO_Components[Act Cost])</f>
        <v>0</v>
      </c>
      <c r="K317" s="11">
        <f t="shared" si="16"/>
        <v>0</v>
      </c>
      <c r="L317" t="str">
        <f t="shared" si="17"/>
        <v/>
      </c>
      <c r="M317" t="str">
        <f t="shared" si="18"/>
        <v/>
      </c>
      <c r="N317" t="str">
        <f t="shared" si="19"/>
        <v/>
      </c>
    </row>
    <row r="318" spans="2:14" x14ac:dyDescent="0.25">
      <c r="B318" s="5" t="str">
        <f>_xlfn.IFNA(VLOOKUP(A318, MOs_Ready_to_close[[Order]:[Tot Est Machine Hrs]], 2, FALSE), "")</f>
        <v/>
      </c>
      <c r="C318" s="5" t="str">
        <f>_xlfn.IFNA(VLOOKUP(A318, MOs_Ready_to_close[[Order]:[Tot Est Machine Hrs]], 4, FALSE), "")</f>
        <v/>
      </c>
      <c r="D318" s="6" t="str">
        <f>_xlfn.IFNA(VLOOKUP(A318, MOs_Ready_to_close[[Order]:[Tot Est Machine Hrs]], 8, FALSE), "")</f>
        <v/>
      </c>
      <c r="E318" s="7" t="str">
        <f>_xlfn.IFNA(VLOOKUP(A318, MOs_Ready_to_close[[Order]:[Tot Est Machine Hrs]], 9, FALSE), "")</f>
        <v/>
      </c>
      <c r="I318" s="11">
        <f>SUMIF(MO_Components[Order], Calculations!A318, MO_Components[Std Cost])</f>
        <v>0</v>
      </c>
      <c r="J318" s="11">
        <f>SUMIF(MO_Components[Order], Calculations!A318, MO_Components[Act Cost])</f>
        <v>0</v>
      </c>
      <c r="K318" s="11">
        <f t="shared" si="16"/>
        <v>0</v>
      </c>
      <c r="L318" t="str">
        <f t="shared" si="17"/>
        <v/>
      </c>
      <c r="M318" t="str">
        <f t="shared" si="18"/>
        <v/>
      </c>
      <c r="N318" t="str">
        <f t="shared" si="19"/>
        <v/>
      </c>
    </row>
    <row r="319" spans="2:14" x14ac:dyDescent="0.25">
      <c r="B319" s="5" t="str">
        <f>_xlfn.IFNA(VLOOKUP(A319, MOs_Ready_to_close[[Order]:[Tot Est Machine Hrs]], 2, FALSE), "")</f>
        <v/>
      </c>
      <c r="C319" s="5" t="str">
        <f>_xlfn.IFNA(VLOOKUP(A319, MOs_Ready_to_close[[Order]:[Tot Est Machine Hrs]], 4, FALSE), "")</f>
        <v/>
      </c>
      <c r="D319" s="6" t="str">
        <f>_xlfn.IFNA(VLOOKUP(A319, MOs_Ready_to_close[[Order]:[Tot Est Machine Hrs]], 8, FALSE), "")</f>
        <v/>
      </c>
      <c r="E319" s="7" t="str">
        <f>_xlfn.IFNA(VLOOKUP(A319, MOs_Ready_to_close[[Order]:[Tot Est Machine Hrs]], 9, FALSE), "")</f>
        <v/>
      </c>
      <c r="I319" s="11">
        <f>SUMIF(MO_Components[Order], Calculations!A319, MO_Components[Std Cost])</f>
        <v>0</v>
      </c>
      <c r="J319" s="11">
        <f>SUMIF(MO_Components[Order], Calculations!A319, MO_Components[Act Cost])</f>
        <v>0</v>
      </c>
      <c r="K319" s="11">
        <f t="shared" si="16"/>
        <v>0</v>
      </c>
      <c r="L319" t="str">
        <f t="shared" si="17"/>
        <v/>
      </c>
      <c r="M319" t="str">
        <f t="shared" si="18"/>
        <v/>
      </c>
      <c r="N319" t="str">
        <f t="shared" si="19"/>
        <v/>
      </c>
    </row>
    <row r="320" spans="2:14" x14ac:dyDescent="0.25">
      <c r="B320" s="5" t="str">
        <f>_xlfn.IFNA(VLOOKUP(A320, MOs_Ready_to_close[[Order]:[Tot Est Machine Hrs]], 2, FALSE), "")</f>
        <v/>
      </c>
      <c r="C320" s="5" t="str">
        <f>_xlfn.IFNA(VLOOKUP(A320, MOs_Ready_to_close[[Order]:[Tot Est Machine Hrs]], 4, FALSE), "")</f>
        <v/>
      </c>
      <c r="D320" s="6" t="str">
        <f>_xlfn.IFNA(VLOOKUP(A320, MOs_Ready_to_close[[Order]:[Tot Est Machine Hrs]], 8, FALSE), "")</f>
        <v/>
      </c>
      <c r="E320" s="7" t="str">
        <f>_xlfn.IFNA(VLOOKUP(A320, MOs_Ready_to_close[[Order]:[Tot Est Machine Hrs]], 9, FALSE), "")</f>
        <v/>
      </c>
      <c r="I320" s="11">
        <f>SUMIF(MO_Components[Order], Calculations!A320, MO_Components[Std Cost])</f>
        <v>0</v>
      </c>
      <c r="J320" s="11">
        <f>SUMIF(MO_Components[Order], Calculations!A320, MO_Components[Act Cost])</f>
        <v>0</v>
      </c>
      <c r="K320" s="11">
        <f t="shared" si="16"/>
        <v>0</v>
      </c>
      <c r="L320" t="str">
        <f t="shared" si="17"/>
        <v/>
      </c>
      <c r="M320" t="str">
        <f t="shared" si="18"/>
        <v/>
      </c>
      <c r="N320" t="str">
        <f t="shared" si="19"/>
        <v/>
      </c>
    </row>
    <row r="321" spans="2:14" x14ac:dyDescent="0.25">
      <c r="B321" s="5" t="str">
        <f>_xlfn.IFNA(VLOOKUP(A321, MOs_Ready_to_close[[Order]:[Tot Est Machine Hrs]], 2, FALSE), "")</f>
        <v/>
      </c>
      <c r="C321" s="5" t="str">
        <f>_xlfn.IFNA(VLOOKUP(A321, MOs_Ready_to_close[[Order]:[Tot Est Machine Hrs]], 4, FALSE), "")</f>
        <v/>
      </c>
      <c r="D321" s="6" t="str">
        <f>_xlfn.IFNA(VLOOKUP(A321, MOs_Ready_to_close[[Order]:[Tot Est Machine Hrs]], 8, FALSE), "")</f>
        <v/>
      </c>
      <c r="E321" s="7" t="str">
        <f>_xlfn.IFNA(VLOOKUP(A321, MOs_Ready_to_close[[Order]:[Tot Est Machine Hrs]], 9, FALSE), "")</f>
        <v/>
      </c>
      <c r="I321" s="11">
        <f>SUMIF(MO_Components[Order], Calculations!A321, MO_Components[Std Cost])</f>
        <v>0</v>
      </c>
      <c r="J321" s="11">
        <f>SUMIF(MO_Components[Order], Calculations!A321, MO_Components[Act Cost])</f>
        <v>0</v>
      </c>
      <c r="K321" s="11">
        <f t="shared" si="16"/>
        <v>0</v>
      </c>
      <c r="L321" t="str">
        <f t="shared" si="17"/>
        <v/>
      </c>
      <c r="M321" t="str">
        <f t="shared" si="18"/>
        <v/>
      </c>
      <c r="N321" t="str">
        <f t="shared" si="19"/>
        <v/>
      </c>
    </row>
    <row r="322" spans="2:14" x14ac:dyDescent="0.25">
      <c r="B322" s="5" t="str">
        <f>_xlfn.IFNA(VLOOKUP(A322, MOs_Ready_to_close[[Order]:[Tot Est Machine Hrs]], 2, FALSE), "")</f>
        <v/>
      </c>
      <c r="C322" s="5" t="str">
        <f>_xlfn.IFNA(VLOOKUP(A322, MOs_Ready_to_close[[Order]:[Tot Est Machine Hrs]], 4, FALSE), "")</f>
        <v/>
      </c>
      <c r="D322" s="6" t="str">
        <f>_xlfn.IFNA(VLOOKUP(A322, MOs_Ready_to_close[[Order]:[Tot Est Machine Hrs]], 8, FALSE), "")</f>
        <v/>
      </c>
      <c r="E322" s="7" t="str">
        <f>_xlfn.IFNA(VLOOKUP(A322, MOs_Ready_to_close[[Order]:[Tot Est Machine Hrs]], 9, FALSE), "")</f>
        <v/>
      </c>
      <c r="I322" s="11">
        <f>SUMIF(MO_Components[Order], Calculations!A322, MO_Components[Std Cost])</f>
        <v>0</v>
      </c>
      <c r="J322" s="11">
        <f>SUMIF(MO_Components[Order], Calculations!A322, MO_Components[Act Cost])</f>
        <v>0</v>
      </c>
      <c r="K322" s="11">
        <f t="shared" si="16"/>
        <v>0</v>
      </c>
      <c r="L322" t="str">
        <f t="shared" si="17"/>
        <v/>
      </c>
      <c r="M322" t="str">
        <f t="shared" si="18"/>
        <v/>
      </c>
      <c r="N322" t="str">
        <f t="shared" si="19"/>
        <v/>
      </c>
    </row>
    <row r="323" spans="2:14" x14ac:dyDescent="0.25">
      <c r="B323" s="5" t="str">
        <f>_xlfn.IFNA(VLOOKUP(A323, MOs_Ready_to_close[[Order]:[Tot Est Machine Hrs]], 2, FALSE), "")</f>
        <v/>
      </c>
      <c r="C323" s="5" t="str">
        <f>_xlfn.IFNA(VLOOKUP(A323, MOs_Ready_to_close[[Order]:[Tot Est Machine Hrs]], 4, FALSE), "")</f>
        <v/>
      </c>
      <c r="D323" s="6" t="str">
        <f>_xlfn.IFNA(VLOOKUP(A323, MOs_Ready_to_close[[Order]:[Tot Est Machine Hrs]], 8, FALSE), "")</f>
        <v/>
      </c>
      <c r="E323" s="7" t="str">
        <f>_xlfn.IFNA(VLOOKUP(A323, MOs_Ready_to_close[[Order]:[Tot Est Machine Hrs]], 9, FALSE), "")</f>
        <v/>
      </c>
      <c r="I323" s="11">
        <f>SUMIF(MO_Components[Order], Calculations!A323, MO_Components[Std Cost])</f>
        <v>0</v>
      </c>
      <c r="J323" s="11">
        <f>SUMIF(MO_Components[Order], Calculations!A323, MO_Components[Act Cost])</f>
        <v>0</v>
      </c>
      <c r="K323" s="11">
        <f t="shared" ref="K323:K386" si="20">J323-I323</f>
        <v>0</v>
      </c>
      <c r="L323" t="str">
        <f t="shared" ref="L323:L386" si="21">IF(E323&lt;&gt;"", IF(E323&gt;0, "Positive", "Negative"), "")</f>
        <v/>
      </c>
      <c r="M323" t="str">
        <f t="shared" ref="M323:M386" si="22">IF(H323&lt;&gt;0, IF(H323&gt;0, "Positive", "Negative"), "")</f>
        <v/>
      </c>
      <c r="N323" t="str">
        <f t="shared" ref="N323:N386" si="23">IF(K323&lt;&gt;0, IF(K323&gt;0, "Positive", "Negative"), "")</f>
        <v/>
      </c>
    </row>
    <row r="324" spans="2:14" x14ac:dyDescent="0.25">
      <c r="B324" s="5" t="str">
        <f>_xlfn.IFNA(VLOOKUP(A324, MOs_Ready_to_close[[Order]:[Tot Est Machine Hrs]], 2, FALSE), "")</f>
        <v/>
      </c>
      <c r="C324" s="5" t="str">
        <f>_xlfn.IFNA(VLOOKUP(A324, MOs_Ready_to_close[[Order]:[Tot Est Machine Hrs]], 4, FALSE), "")</f>
        <v/>
      </c>
      <c r="D324" s="6" t="str">
        <f>_xlfn.IFNA(VLOOKUP(A324, MOs_Ready_to_close[[Order]:[Tot Est Machine Hrs]], 8, FALSE), "")</f>
        <v/>
      </c>
      <c r="E324" s="7" t="str">
        <f>_xlfn.IFNA(VLOOKUP(A324, MOs_Ready_to_close[[Order]:[Tot Est Machine Hrs]], 9, FALSE), "")</f>
        <v/>
      </c>
      <c r="I324" s="11">
        <f>SUMIF(MO_Components[Order], Calculations!A324, MO_Components[Std Cost])</f>
        <v>0</v>
      </c>
      <c r="J324" s="11">
        <f>SUMIF(MO_Components[Order], Calculations!A324, MO_Components[Act Cost])</f>
        <v>0</v>
      </c>
      <c r="K324" s="11">
        <f t="shared" si="20"/>
        <v>0</v>
      </c>
      <c r="L324" t="str">
        <f t="shared" si="21"/>
        <v/>
      </c>
      <c r="M324" t="str">
        <f t="shared" si="22"/>
        <v/>
      </c>
      <c r="N324" t="str">
        <f t="shared" si="23"/>
        <v/>
      </c>
    </row>
    <row r="325" spans="2:14" x14ac:dyDescent="0.25">
      <c r="B325" s="5" t="str">
        <f>_xlfn.IFNA(VLOOKUP(A325, MOs_Ready_to_close[[Order]:[Tot Est Machine Hrs]], 2, FALSE), "")</f>
        <v/>
      </c>
      <c r="C325" s="5" t="str">
        <f>_xlfn.IFNA(VLOOKUP(A325, MOs_Ready_to_close[[Order]:[Tot Est Machine Hrs]], 4, FALSE), "")</f>
        <v/>
      </c>
      <c r="D325" s="6" t="str">
        <f>_xlfn.IFNA(VLOOKUP(A325, MOs_Ready_to_close[[Order]:[Tot Est Machine Hrs]], 8, FALSE), "")</f>
        <v/>
      </c>
      <c r="E325" s="7" t="str">
        <f>_xlfn.IFNA(VLOOKUP(A325, MOs_Ready_to_close[[Order]:[Tot Est Machine Hrs]], 9, FALSE), "")</f>
        <v/>
      </c>
      <c r="I325" s="11">
        <f>SUMIF(MO_Components[Order], Calculations!A325, MO_Components[Std Cost])</f>
        <v>0</v>
      </c>
      <c r="J325" s="11">
        <f>SUMIF(MO_Components[Order], Calculations!A325, MO_Components[Act Cost])</f>
        <v>0</v>
      </c>
      <c r="K325" s="11">
        <f t="shared" si="20"/>
        <v>0</v>
      </c>
      <c r="L325" t="str">
        <f t="shared" si="21"/>
        <v/>
      </c>
      <c r="M325" t="str">
        <f t="shared" si="22"/>
        <v/>
      </c>
      <c r="N325" t="str">
        <f t="shared" si="23"/>
        <v/>
      </c>
    </row>
    <row r="326" spans="2:14" x14ac:dyDescent="0.25">
      <c r="B326" s="5" t="str">
        <f>_xlfn.IFNA(VLOOKUP(A326, MOs_Ready_to_close[[Order]:[Tot Est Machine Hrs]], 2, FALSE), "")</f>
        <v/>
      </c>
      <c r="C326" s="5" t="str">
        <f>_xlfn.IFNA(VLOOKUP(A326, MOs_Ready_to_close[[Order]:[Tot Est Machine Hrs]], 4, FALSE), "")</f>
        <v/>
      </c>
      <c r="D326" s="6" t="str">
        <f>_xlfn.IFNA(VLOOKUP(A326, MOs_Ready_to_close[[Order]:[Tot Est Machine Hrs]], 8, FALSE), "")</f>
        <v/>
      </c>
      <c r="E326" s="7" t="str">
        <f>_xlfn.IFNA(VLOOKUP(A326, MOs_Ready_to_close[[Order]:[Tot Est Machine Hrs]], 9, FALSE), "")</f>
        <v/>
      </c>
      <c r="I326" s="11">
        <f>SUMIF(MO_Components[Order], Calculations!A326, MO_Components[Std Cost])</f>
        <v>0</v>
      </c>
      <c r="J326" s="11">
        <f>SUMIF(MO_Components[Order], Calculations!A326, MO_Components[Act Cost])</f>
        <v>0</v>
      </c>
      <c r="K326" s="11">
        <f t="shared" si="20"/>
        <v>0</v>
      </c>
      <c r="L326" t="str">
        <f t="shared" si="21"/>
        <v/>
      </c>
      <c r="M326" t="str">
        <f t="shared" si="22"/>
        <v/>
      </c>
      <c r="N326" t="str">
        <f t="shared" si="23"/>
        <v/>
      </c>
    </row>
    <row r="327" spans="2:14" x14ac:dyDescent="0.25">
      <c r="B327" s="5" t="str">
        <f>_xlfn.IFNA(VLOOKUP(A327, MOs_Ready_to_close[[Order]:[Tot Est Machine Hrs]], 2, FALSE), "")</f>
        <v/>
      </c>
      <c r="C327" s="5" t="str">
        <f>_xlfn.IFNA(VLOOKUP(A327, MOs_Ready_to_close[[Order]:[Tot Est Machine Hrs]], 4, FALSE), "")</f>
        <v/>
      </c>
      <c r="D327" s="6" t="str">
        <f>_xlfn.IFNA(VLOOKUP(A327, MOs_Ready_to_close[[Order]:[Tot Est Machine Hrs]], 8, FALSE), "")</f>
        <v/>
      </c>
      <c r="E327" s="7" t="str">
        <f>_xlfn.IFNA(VLOOKUP(A327, MOs_Ready_to_close[[Order]:[Tot Est Machine Hrs]], 9, FALSE), "")</f>
        <v/>
      </c>
      <c r="I327" s="11">
        <f>SUMIF(MO_Components[Order], Calculations!A327, MO_Components[Std Cost])</f>
        <v>0</v>
      </c>
      <c r="J327" s="11">
        <f>SUMIF(MO_Components[Order], Calculations!A327, MO_Components[Act Cost])</f>
        <v>0</v>
      </c>
      <c r="K327" s="11">
        <f t="shared" si="20"/>
        <v>0</v>
      </c>
      <c r="L327" t="str">
        <f t="shared" si="21"/>
        <v/>
      </c>
      <c r="M327" t="str">
        <f t="shared" si="22"/>
        <v/>
      </c>
      <c r="N327" t="str">
        <f t="shared" si="23"/>
        <v/>
      </c>
    </row>
    <row r="328" spans="2:14" x14ac:dyDescent="0.25">
      <c r="B328" s="5" t="str">
        <f>_xlfn.IFNA(VLOOKUP(A328, MOs_Ready_to_close[[Order]:[Tot Est Machine Hrs]], 2, FALSE), "")</f>
        <v/>
      </c>
      <c r="C328" s="5" t="str">
        <f>_xlfn.IFNA(VLOOKUP(A328, MOs_Ready_to_close[[Order]:[Tot Est Machine Hrs]], 4, FALSE), "")</f>
        <v/>
      </c>
      <c r="D328" s="6" t="str">
        <f>_xlfn.IFNA(VLOOKUP(A328, MOs_Ready_to_close[[Order]:[Tot Est Machine Hrs]], 8, FALSE), "")</f>
        <v/>
      </c>
      <c r="E328" s="7" t="str">
        <f>_xlfn.IFNA(VLOOKUP(A328, MOs_Ready_to_close[[Order]:[Tot Est Machine Hrs]], 9, FALSE), "")</f>
        <v/>
      </c>
      <c r="I328" s="11">
        <f>SUMIF(MO_Components[Order], Calculations!A328, MO_Components[Std Cost])</f>
        <v>0</v>
      </c>
      <c r="J328" s="11">
        <f>SUMIF(MO_Components[Order], Calculations!A328, MO_Components[Act Cost])</f>
        <v>0</v>
      </c>
      <c r="K328" s="11">
        <f t="shared" si="20"/>
        <v>0</v>
      </c>
      <c r="L328" t="str">
        <f t="shared" si="21"/>
        <v/>
      </c>
      <c r="M328" t="str">
        <f t="shared" si="22"/>
        <v/>
      </c>
      <c r="N328" t="str">
        <f t="shared" si="23"/>
        <v/>
      </c>
    </row>
    <row r="329" spans="2:14" x14ac:dyDescent="0.25">
      <c r="B329" s="5" t="str">
        <f>_xlfn.IFNA(VLOOKUP(A329, MOs_Ready_to_close[[Order]:[Tot Est Machine Hrs]], 2, FALSE), "")</f>
        <v/>
      </c>
      <c r="C329" s="5" t="str">
        <f>_xlfn.IFNA(VLOOKUP(A329, MOs_Ready_to_close[[Order]:[Tot Est Machine Hrs]], 4, FALSE), "")</f>
        <v/>
      </c>
      <c r="D329" s="6" t="str">
        <f>_xlfn.IFNA(VLOOKUP(A329, MOs_Ready_to_close[[Order]:[Tot Est Machine Hrs]], 8, FALSE), "")</f>
        <v/>
      </c>
      <c r="E329" s="7" t="str">
        <f>_xlfn.IFNA(VLOOKUP(A329, MOs_Ready_to_close[[Order]:[Tot Est Machine Hrs]], 9, FALSE), "")</f>
        <v/>
      </c>
      <c r="I329" s="11">
        <f>SUMIF(MO_Components[Order], Calculations!A329, MO_Components[Std Cost])</f>
        <v>0</v>
      </c>
      <c r="J329" s="11">
        <f>SUMIF(MO_Components[Order], Calculations!A329, MO_Components[Act Cost])</f>
        <v>0</v>
      </c>
      <c r="K329" s="11">
        <f t="shared" si="20"/>
        <v>0</v>
      </c>
      <c r="L329" t="str">
        <f t="shared" si="21"/>
        <v/>
      </c>
      <c r="M329" t="str">
        <f t="shared" si="22"/>
        <v/>
      </c>
      <c r="N329" t="str">
        <f t="shared" si="23"/>
        <v/>
      </c>
    </row>
    <row r="330" spans="2:14" x14ac:dyDescent="0.25">
      <c r="B330" s="5" t="str">
        <f>_xlfn.IFNA(VLOOKUP(A330, MOs_Ready_to_close[[Order]:[Tot Est Machine Hrs]], 2, FALSE), "")</f>
        <v/>
      </c>
      <c r="C330" s="5" t="str">
        <f>_xlfn.IFNA(VLOOKUP(A330, MOs_Ready_to_close[[Order]:[Tot Est Machine Hrs]], 4, FALSE), "")</f>
        <v/>
      </c>
      <c r="D330" s="6" t="str">
        <f>_xlfn.IFNA(VLOOKUP(A330, MOs_Ready_to_close[[Order]:[Tot Est Machine Hrs]], 8, FALSE), "")</f>
        <v/>
      </c>
      <c r="E330" s="7" t="str">
        <f>_xlfn.IFNA(VLOOKUP(A330, MOs_Ready_to_close[[Order]:[Tot Est Machine Hrs]], 9, FALSE), "")</f>
        <v/>
      </c>
      <c r="I330" s="11">
        <f>SUMIF(MO_Components[Order], Calculations!A330, MO_Components[Std Cost])</f>
        <v>0</v>
      </c>
      <c r="J330" s="11">
        <f>SUMIF(MO_Components[Order], Calculations!A330, MO_Components[Act Cost])</f>
        <v>0</v>
      </c>
      <c r="K330" s="11">
        <f t="shared" si="20"/>
        <v>0</v>
      </c>
      <c r="L330" t="str">
        <f t="shared" si="21"/>
        <v/>
      </c>
      <c r="M330" t="str">
        <f t="shared" si="22"/>
        <v/>
      </c>
      <c r="N330" t="str">
        <f t="shared" si="23"/>
        <v/>
      </c>
    </row>
    <row r="331" spans="2:14" x14ac:dyDescent="0.25">
      <c r="B331" s="5" t="str">
        <f>_xlfn.IFNA(VLOOKUP(A331, MOs_Ready_to_close[[Order]:[Tot Est Machine Hrs]], 2, FALSE), "")</f>
        <v/>
      </c>
      <c r="C331" s="5" t="str">
        <f>_xlfn.IFNA(VLOOKUP(A331, MOs_Ready_to_close[[Order]:[Tot Est Machine Hrs]], 4, FALSE), "")</f>
        <v/>
      </c>
      <c r="D331" s="6" t="str">
        <f>_xlfn.IFNA(VLOOKUP(A331, MOs_Ready_to_close[[Order]:[Tot Est Machine Hrs]], 8, FALSE), "")</f>
        <v/>
      </c>
      <c r="E331" s="7" t="str">
        <f>_xlfn.IFNA(VLOOKUP(A331, MOs_Ready_to_close[[Order]:[Tot Est Machine Hrs]], 9, FALSE), "")</f>
        <v/>
      </c>
      <c r="I331" s="11">
        <f>SUMIF(MO_Components[Order], Calculations!A331, MO_Components[Std Cost])</f>
        <v>0</v>
      </c>
      <c r="J331" s="11">
        <f>SUMIF(MO_Components[Order], Calculations!A331, MO_Components[Act Cost])</f>
        <v>0</v>
      </c>
      <c r="K331" s="11">
        <f t="shared" si="20"/>
        <v>0</v>
      </c>
      <c r="L331" t="str">
        <f t="shared" si="21"/>
        <v/>
      </c>
      <c r="M331" t="str">
        <f t="shared" si="22"/>
        <v/>
      </c>
      <c r="N331" t="str">
        <f t="shared" si="23"/>
        <v/>
      </c>
    </row>
    <row r="332" spans="2:14" x14ac:dyDescent="0.25">
      <c r="B332" s="5" t="str">
        <f>_xlfn.IFNA(VLOOKUP(A332, MOs_Ready_to_close[[Order]:[Tot Est Machine Hrs]], 2, FALSE), "")</f>
        <v/>
      </c>
      <c r="C332" s="5" t="str">
        <f>_xlfn.IFNA(VLOOKUP(A332, MOs_Ready_to_close[[Order]:[Tot Est Machine Hrs]], 4, FALSE), "")</f>
        <v/>
      </c>
      <c r="D332" s="6" t="str">
        <f>_xlfn.IFNA(VLOOKUP(A332, MOs_Ready_to_close[[Order]:[Tot Est Machine Hrs]], 8, FALSE), "")</f>
        <v/>
      </c>
      <c r="E332" s="7" t="str">
        <f>_xlfn.IFNA(VLOOKUP(A332, MOs_Ready_to_close[[Order]:[Tot Est Machine Hrs]], 9, FALSE), "")</f>
        <v/>
      </c>
      <c r="I332" s="11">
        <f>SUMIF(MO_Components[Order], Calculations!A332, MO_Components[Std Cost])</f>
        <v>0</v>
      </c>
      <c r="J332" s="11">
        <f>SUMIF(MO_Components[Order], Calculations!A332, MO_Components[Act Cost])</f>
        <v>0</v>
      </c>
      <c r="K332" s="11">
        <f t="shared" si="20"/>
        <v>0</v>
      </c>
      <c r="L332" t="str">
        <f t="shared" si="21"/>
        <v/>
      </c>
      <c r="M332" t="str">
        <f t="shared" si="22"/>
        <v/>
      </c>
      <c r="N332" t="str">
        <f t="shared" si="23"/>
        <v/>
      </c>
    </row>
    <row r="333" spans="2:14" x14ac:dyDescent="0.25">
      <c r="B333" s="5" t="str">
        <f>_xlfn.IFNA(VLOOKUP(A333, MOs_Ready_to_close[[Order]:[Tot Est Machine Hrs]], 2, FALSE), "")</f>
        <v/>
      </c>
      <c r="C333" s="5" t="str">
        <f>_xlfn.IFNA(VLOOKUP(A333, MOs_Ready_to_close[[Order]:[Tot Est Machine Hrs]], 4, FALSE), "")</f>
        <v/>
      </c>
      <c r="D333" s="6" t="str">
        <f>_xlfn.IFNA(VLOOKUP(A333, MOs_Ready_to_close[[Order]:[Tot Est Machine Hrs]], 8, FALSE), "")</f>
        <v/>
      </c>
      <c r="E333" s="7" t="str">
        <f>_xlfn.IFNA(VLOOKUP(A333, MOs_Ready_to_close[[Order]:[Tot Est Machine Hrs]], 9, FALSE), "")</f>
        <v/>
      </c>
      <c r="I333" s="11">
        <f>SUMIF(MO_Components[Order], Calculations!A333, MO_Components[Std Cost])</f>
        <v>0</v>
      </c>
      <c r="J333" s="11">
        <f>SUMIF(MO_Components[Order], Calculations!A333, MO_Components[Act Cost])</f>
        <v>0</v>
      </c>
      <c r="K333" s="11">
        <f t="shared" si="20"/>
        <v>0</v>
      </c>
      <c r="L333" t="str">
        <f t="shared" si="21"/>
        <v/>
      </c>
      <c r="M333" t="str">
        <f t="shared" si="22"/>
        <v/>
      </c>
      <c r="N333" t="str">
        <f t="shared" si="23"/>
        <v/>
      </c>
    </row>
    <row r="334" spans="2:14" x14ac:dyDescent="0.25">
      <c r="B334" s="5" t="str">
        <f>_xlfn.IFNA(VLOOKUP(A334, MOs_Ready_to_close[[Order]:[Tot Est Machine Hrs]], 2, FALSE), "")</f>
        <v/>
      </c>
      <c r="C334" s="5" t="str">
        <f>_xlfn.IFNA(VLOOKUP(A334, MOs_Ready_to_close[[Order]:[Tot Est Machine Hrs]], 4, FALSE), "")</f>
        <v/>
      </c>
      <c r="D334" s="6" t="str">
        <f>_xlfn.IFNA(VLOOKUP(A334, MOs_Ready_to_close[[Order]:[Tot Est Machine Hrs]], 8, FALSE), "")</f>
        <v/>
      </c>
      <c r="E334" s="7" t="str">
        <f>_xlfn.IFNA(VLOOKUP(A334, MOs_Ready_to_close[[Order]:[Tot Est Machine Hrs]], 9, FALSE), "")</f>
        <v/>
      </c>
      <c r="I334" s="11">
        <f>SUMIF(MO_Components[Order], Calculations!A334, MO_Components[Std Cost])</f>
        <v>0</v>
      </c>
      <c r="J334" s="11">
        <f>SUMIF(MO_Components[Order], Calculations!A334, MO_Components[Act Cost])</f>
        <v>0</v>
      </c>
      <c r="K334" s="11">
        <f t="shared" si="20"/>
        <v>0</v>
      </c>
      <c r="L334" t="str">
        <f t="shared" si="21"/>
        <v/>
      </c>
      <c r="M334" t="str">
        <f t="shared" si="22"/>
        <v/>
      </c>
      <c r="N334" t="str">
        <f t="shared" si="23"/>
        <v/>
      </c>
    </row>
    <row r="335" spans="2:14" x14ac:dyDescent="0.25">
      <c r="B335" s="5" t="str">
        <f>_xlfn.IFNA(VLOOKUP(A335, MOs_Ready_to_close[[Order]:[Tot Est Machine Hrs]], 2, FALSE), "")</f>
        <v/>
      </c>
      <c r="C335" s="5" t="str">
        <f>_xlfn.IFNA(VLOOKUP(A335, MOs_Ready_to_close[[Order]:[Tot Est Machine Hrs]], 4, FALSE), "")</f>
        <v/>
      </c>
      <c r="D335" s="6" t="str">
        <f>_xlfn.IFNA(VLOOKUP(A335, MOs_Ready_to_close[[Order]:[Tot Est Machine Hrs]], 8, FALSE), "")</f>
        <v/>
      </c>
      <c r="E335" s="7" t="str">
        <f>_xlfn.IFNA(VLOOKUP(A335, MOs_Ready_to_close[[Order]:[Tot Est Machine Hrs]], 9, FALSE), "")</f>
        <v/>
      </c>
      <c r="I335" s="11">
        <f>SUMIF(MO_Components[Order], Calculations!A335, MO_Components[Std Cost])</f>
        <v>0</v>
      </c>
      <c r="J335" s="11">
        <f>SUMIF(MO_Components[Order], Calculations!A335, MO_Components[Act Cost])</f>
        <v>0</v>
      </c>
      <c r="K335" s="11">
        <f t="shared" si="20"/>
        <v>0</v>
      </c>
      <c r="L335" t="str">
        <f t="shared" si="21"/>
        <v/>
      </c>
      <c r="M335" t="str">
        <f t="shared" si="22"/>
        <v/>
      </c>
      <c r="N335" t="str">
        <f t="shared" si="23"/>
        <v/>
      </c>
    </row>
    <row r="336" spans="2:14" x14ac:dyDescent="0.25">
      <c r="B336" s="5" t="str">
        <f>_xlfn.IFNA(VLOOKUP(A336, MOs_Ready_to_close[[Order]:[Tot Est Machine Hrs]], 2, FALSE), "")</f>
        <v/>
      </c>
      <c r="C336" s="5" t="str">
        <f>_xlfn.IFNA(VLOOKUP(A336, MOs_Ready_to_close[[Order]:[Tot Est Machine Hrs]], 4, FALSE), "")</f>
        <v/>
      </c>
      <c r="D336" s="6" t="str">
        <f>_xlfn.IFNA(VLOOKUP(A336, MOs_Ready_to_close[[Order]:[Tot Est Machine Hrs]], 8, FALSE), "")</f>
        <v/>
      </c>
      <c r="E336" s="7" t="str">
        <f>_xlfn.IFNA(VLOOKUP(A336, MOs_Ready_to_close[[Order]:[Tot Est Machine Hrs]], 9, FALSE), "")</f>
        <v/>
      </c>
      <c r="I336" s="11">
        <f>SUMIF(MO_Components[Order], Calculations!A336, MO_Components[Std Cost])</f>
        <v>0</v>
      </c>
      <c r="J336" s="11">
        <f>SUMIF(MO_Components[Order], Calculations!A336, MO_Components[Act Cost])</f>
        <v>0</v>
      </c>
      <c r="K336" s="11">
        <f t="shared" si="20"/>
        <v>0</v>
      </c>
      <c r="L336" t="str">
        <f t="shared" si="21"/>
        <v/>
      </c>
      <c r="M336" t="str">
        <f t="shared" si="22"/>
        <v/>
      </c>
      <c r="N336" t="str">
        <f t="shared" si="23"/>
        <v/>
      </c>
    </row>
    <row r="337" spans="2:14" x14ac:dyDescent="0.25">
      <c r="B337" s="5" t="str">
        <f>_xlfn.IFNA(VLOOKUP(A337, MOs_Ready_to_close[[Order]:[Tot Est Machine Hrs]], 2, FALSE), "")</f>
        <v/>
      </c>
      <c r="C337" s="5" t="str">
        <f>_xlfn.IFNA(VLOOKUP(A337, MOs_Ready_to_close[[Order]:[Tot Est Machine Hrs]], 4, FALSE), "")</f>
        <v/>
      </c>
      <c r="D337" s="6" t="str">
        <f>_xlfn.IFNA(VLOOKUP(A337, MOs_Ready_to_close[[Order]:[Tot Est Machine Hrs]], 8, FALSE), "")</f>
        <v/>
      </c>
      <c r="E337" s="7" t="str">
        <f>_xlfn.IFNA(VLOOKUP(A337, MOs_Ready_to_close[[Order]:[Tot Est Machine Hrs]], 9, FALSE), "")</f>
        <v/>
      </c>
      <c r="I337" s="11">
        <f>SUMIF(MO_Components[Order], Calculations!A337, MO_Components[Std Cost])</f>
        <v>0</v>
      </c>
      <c r="J337" s="11">
        <f>SUMIF(MO_Components[Order], Calculations!A337, MO_Components[Act Cost])</f>
        <v>0</v>
      </c>
      <c r="K337" s="11">
        <f t="shared" si="20"/>
        <v>0</v>
      </c>
      <c r="L337" t="str">
        <f t="shared" si="21"/>
        <v/>
      </c>
      <c r="M337" t="str">
        <f t="shared" si="22"/>
        <v/>
      </c>
      <c r="N337" t="str">
        <f t="shared" si="23"/>
        <v/>
      </c>
    </row>
    <row r="338" spans="2:14" x14ac:dyDescent="0.25">
      <c r="B338" s="5" t="str">
        <f>_xlfn.IFNA(VLOOKUP(A338, MOs_Ready_to_close[[Order]:[Tot Est Machine Hrs]], 2, FALSE), "")</f>
        <v/>
      </c>
      <c r="C338" s="5" t="str">
        <f>_xlfn.IFNA(VLOOKUP(A338, MOs_Ready_to_close[[Order]:[Tot Est Machine Hrs]], 4, FALSE), "")</f>
        <v/>
      </c>
      <c r="D338" s="6" t="str">
        <f>_xlfn.IFNA(VLOOKUP(A338, MOs_Ready_to_close[[Order]:[Tot Est Machine Hrs]], 8, FALSE), "")</f>
        <v/>
      </c>
      <c r="E338" s="7" t="str">
        <f>_xlfn.IFNA(VLOOKUP(A338, MOs_Ready_to_close[[Order]:[Tot Est Machine Hrs]], 9, FALSE), "")</f>
        <v/>
      </c>
      <c r="I338" s="11">
        <f>SUMIF(MO_Components[Order], Calculations!A338, MO_Components[Std Cost])</f>
        <v>0</v>
      </c>
      <c r="J338" s="11">
        <f>SUMIF(MO_Components[Order], Calculations!A338, MO_Components[Act Cost])</f>
        <v>0</v>
      </c>
      <c r="K338" s="11">
        <f t="shared" si="20"/>
        <v>0</v>
      </c>
      <c r="L338" t="str">
        <f t="shared" si="21"/>
        <v/>
      </c>
      <c r="M338" t="str">
        <f t="shared" si="22"/>
        <v/>
      </c>
      <c r="N338" t="str">
        <f t="shared" si="23"/>
        <v/>
      </c>
    </row>
    <row r="339" spans="2:14" x14ac:dyDescent="0.25">
      <c r="B339" s="5" t="str">
        <f>_xlfn.IFNA(VLOOKUP(A339, MOs_Ready_to_close[[Order]:[Tot Est Machine Hrs]], 2, FALSE), "")</f>
        <v/>
      </c>
      <c r="C339" s="5" t="str">
        <f>_xlfn.IFNA(VLOOKUP(A339, MOs_Ready_to_close[[Order]:[Tot Est Machine Hrs]], 4, FALSE), "")</f>
        <v/>
      </c>
      <c r="D339" s="6" t="str">
        <f>_xlfn.IFNA(VLOOKUP(A339, MOs_Ready_to_close[[Order]:[Tot Est Machine Hrs]], 8, FALSE), "")</f>
        <v/>
      </c>
      <c r="E339" s="7" t="str">
        <f>_xlfn.IFNA(VLOOKUP(A339, MOs_Ready_to_close[[Order]:[Tot Est Machine Hrs]], 9, FALSE), "")</f>
        <v/>
      </c>
      <c r="I339" s="11">
        <f>SUMIF(MO_Components[Order], Calculations!A339, MO_Components[Std Cost])</f>
        <v>0</v>
      </c>
      <c r="J339" s="11">
        <f>SUMIF(MO_Components[Order], Calculations!A339, MO_Components[Act Cost])</f>
        <v>0</v>
      </c>
      <c r="K339" s="11">
        <f t="shared" si="20"/>
        <v>0</v>
      </c>
      <c r="L339" t="str">
        <f t="shared" si="21"/>
        <v/>
      </c>
      <c r="M339" t="str">
        <f t="shared" si="22"/>
        <v/>
      </c>
      <c r="N339" t="str">
        <f t="shared" si="23"/>
        <v/>
      </c>
    </row>
    <row r="340" spans="2:14" x14ac:dyDescent="0.25">
      <c r="B340" s="5" t="str">
        <f>_xlfn.IFNA(VLOOKUP(A340, MOs_Ready_to_close[[Order]:[Tot Est Machine Hrs]], 2, FALSE), "")</f>
        <v/>
      </c>
      <c r="C340" s="5" t="str">
        <f>_xlfn.IFNA(VLOOKUP(A340, MOs_Ready_to_close[[Order]:[Tot Est Machine Hrs]], 4, FALSE), "")</f>
        <v/>
      </c>
      <c r="D340" s="6" t="str">
        <f>_xlfn.IFNA(VLOOKUP(A340, MOs_Ready_to_close[[Order]:[Tot Est Machine Hrs]], 8, FALSE), "")</f>
        <v/>
      </c>
      <c r="E340" s="7" t="str">
        <f>_xlfn.IFNA(VLOOKUP(A340, MOs_Ready_to_close[[Order]:[Tot Est Machine Hrs]], 9, FALSE), "")</f>
        <v/>
      </c>
      <c r="I340" s="11">
        <f>SUMIF(MO_Components[Order], Calculations!A340, MO_Components[Std Cost])</f>
        <v>0</v>
      </c>
      <c r="J340" s="11">
        <f>SUMIF(MO_Components[Order], Calculations!A340, MO_Components[Act Cost])</f>
        <v>0</v>
      </c>
      <c r="K340" s="11">
        <f t="shared" si="20"/>
        <v>0</v>
      </c>
      <c r="L340" t="str">
        <f t="shared" si="21"/>
        <v/>
      </c>
      <c r="M340" t="str">
        <f t="shared" si="22"/>
        <v/>
      </c>
      <c r="N340" t="str">
        <f t="shared" si="23"/>
        <v/>
      </c>
    </row>
    <row r="341" spans="2:14" x14ac:dyDescent="0.25">
      <c r="B341" s="5" t="str">
        <f>_xlfn.IFNA(VLOOKUP(A341, MOs_Ready_to_close[[Order]:[Tot Est Machine Hrs]], 2, FALSE), "")</f>
        <v/>
      </c>
      <c r="C341" s="5" t="str">
        <f>_xlfn.IFNA(VLOOKUP(A341, MOs_Ready_to_close[[Order]:[Tot Est Machine Hrs]], 4, FALSE), "")</f>
        <v/>
      </c>
      <c r="D341" s="6" t="str">
        <f>_xlfn.IFNA(VLOOKUP(A341, MOs_Ready_to_close[[Order]:[Tot Est Machine Hrs]], 8, FALSE), "")</f>
        <v/>
      </c>
      <c r="E341" s="7" t="str">
        <f>_xlfn.IFNA(VLOOKUP(A341, MOs_Ready_to_close[[Order]:[Tot Est Machine Hrs]], 9, FALSE), "")</f>
        <v/>
      </c>
      <c r="I341" s="11">
        <f>SUMIF(MO_Components[Order], Calculations!A341, MO_Components[Std Cost])</f>
        <v>0</v>
      </c>
      <c r="J341" s="11">
        <f>SUMIF(MO_Components[Order], Calculations!A341, MO_Components[Act Cost])</f>
        <v>0</v>
      </c>
      <c r="K341" s="11">
        <f t="shared" si="20"/>
        <v>0</v>
      </c>
      <c r="L341" t="str">
        <f t="shared" si="21"/>
        <v/>
      </c>
      <c r="M341" t="str">
        <f t="shared" si="22"/>
        <v/>
      </c>
      <c r="N341" t="str">
        <f t="shared" si="23"/>
        <v/>
      </c>
    </row>
    <row r="342" spans="2:14" x14ac:dyDescent="0.25">
      <c r="B342" s="5" t="str">
        <f>_xlfn.IFNA(VLOOKUP(A342, MOs_Ready_to_close[[Order]:[Tot Est Machine Hrs]], 2, FALSE), "")</f>
        <v/>
      </c>
      <c r="C342" s="5" t="str">
        <f>_xlfn.IFNA(VLOOKUP(A342, MOs_Ready_to_close[[Order]:[Tot Est Machine Hrs]], 4, FALSE), "")</f>
        <v/>
      </c>
      <c r="D342" s="6" t="str">
        <f>_xlfn.IFNA(VLOOKUP(A342, MOs_Ready_to_close[[Order]:[Tot Est Machine Hrs]], 8, FALSE), "")</f>
        <v/>
      </c>
      <c r="E342" s="7" t="str">
        <f>_xlfn.IFNA(VLOOKUP(A342, MOs_Ready_to_close[[Order]:[Tot Est Machine Hrs]], 9, FALSE), "")</f>
        <v/>
      </c>
      <c r="I342" s="11">
        <f>SUMIF(MO_Components[Order], Calculations!A342, MO_Components[Std Cost])</f>
        <v>0</v>
      </c>
      <c r="J342" s="11">
        <f>SUMIF(MO_Components[Order], Calculations!A342, MO_Components[Act Cost])</f>
        <v>0</v>
      </c>
      <c r="K342" s="11">
        <f t="shared" si="20"/>
        <v>0</v>
      </c>
      <c r="L342" t="str">
        <f t="shared" si="21"/>
        <v/>
      </c>
      <c r="M342" t="str">
        <f t="shared" si="22"/>
        <v/>
      </c>
      <c r="N342" t="str">
        <f t="shared" si="23"/>
        <v/>
      </c>
    </row>
    <row r="343" spans="2:14" x14ac:dyDescent="0.25">
      <c r="B343" s="5" t="str">
        <f>_xlfn.IFNA(VLOOKUP(A343, MOs_Ready_to_close[[Order]:[Tot Est Machine Hrs]], 2, FALSE), "")</f>
        <v/>
      </c>
      <c r="C343" s="5" t="str">
        <f>_xlfn.IFNA(VLOOKUP(A343, MOs_Ready_to_close[[Order]:[Tot Est Machine Hrs]], 4, FALSE), "")</f>
        <v/>
      </c>
      <c r="D343" s="6" t="str">
        <f>_xlfn.IFNA(VLOOKUP(A343, MOs_Ready_to_close[[Order]:[Tot Est Machine Hrs]], 8, FALSE), "")</f>
        <v/>
      </c>
      <c r="E343" s="7" t="str">
        <f>_xlfn.IFNA(VLOOKUP(A343, MOs_Ready_to_close[[Order]:[Tot Est Machine Hrs]], 9, FALSE), "")</f>
        <v/>
      </c>
      <c r="I343" s="11">
        <f>SUMIF(MO_Components[Order], Calculations!A343, MO_Components[Std Cost])</f>
        <v>0</v>
      </c>
      <c r="J343" s="11">
        <f>SUMIF(MO_Components[Order], Calculations!A343, MO_Components[Act Cost])</f>
        <v>0</v>
      </c>
      <c r="K343" s="11">
        <f t="shared" si="20"/>
        <v>0</v>
      </c>
      <c r="L343" t="str">
        <f t="shared" si="21"/>
        <v/>
      </c>
      <c r="M343" t="str">
        <f t="shared" si="22"/>
        <v/>
      </c>
      <c r="N343" t="str">
        <f t="shared" si="23"/>
        <v/>
      </c>
    </row>
    <row r="344" spans="2:14" x14ac:dyDescent="0.25">
      <c r="B344" s="5" t="str">
        <f>_xlfn.IFNA(VLOOKUP(A344, MOs_Ready_to_close[[Order]:[Tot Est Machine Hrs]], 2, FALSE), "")</f>
        <v/>
      </c>
      <c r="C344" s="5" t="str">
        <f>_xlfn.IFNA(VLOOKUP(A344, MOs_Ready_to_close[[Order]:[Tot Est Machine Hrs]], 4, FALSE), "")</f>
        <v/>
      </c>
      <c r="D344" s="6" t="str">
        <f>_xlfn.IFNA(VLOOKUP(A344, MOs_Ready_to_close[[Order]:[Tot Est Machine Hrs]], 8, FALSE), "")</f>
        <v/>
      </c>
      <c r="E344" s="7" t="str">
        <f>_xlfn.IFNA(VLOOKUP(A344, MOs_Ready_to_close[[Order]:[Tot Est Machine Hrs]], 9, FALSE), "")</f>
        <v/>
      </c>
      <c r="I344" s="11">
        <f>SUMIF(MO_Components[Order], Calculations!A344, MO_Components[Std Cost])</f>
        <v>0</v>
      </c>
      <c r="J344" s="11">
        <f>SUMIF(MO_Components[Order], Calculations!A344, MO_Components[Act Cost])</f>
        <v>0</v>
      </c>
      <c r="K344" s="11">
        <f t="shared" si="20"/>
        <v>0</v>
      </c>
      <c r="L344" t="str">
        <f t="shared" si="21"/>
        <v/>
      </c>
      <c r="M344" t="str">
        <f t="shared" si="22"/>
        <v/>
      </c>
      <c r="N344" t="str">
        <f t="shared" si="23"/>
        <v/>
      </c>
    </row>
    <row r="345" spans="2:14" x14ac:dyDescent="0.25">
      <c r="B345" s="5" t="str">
        <f>_xlfn.IFNA(VLOOKUP(A345, MOs_Ready_to_close[[Order]:[Tot Est Machine Hrs]], 2, FALSE), "")</f>
        <v/>
      </c>
      <c r="C345" s="5" t="str">
        <f>_xlfn.IFNA(VLOOKUP(A345, MOs_Ready_to_close[[Order]:[Tot Est Machine Hrs]], 4, FALSE), "")</f>
        <v/>
      </c>
      <c r="D345" s="6" t="str">
        <f>_xlfn.IFNA(VLOOKUP(A345, MOs_Ready_to_close[[Order]:[Tot Est Machine Hrs]], 8, FALSE), "")</f>
        <v/>
      </c>
      <c r="E345" s="7" t="str">
        <f>_xlfn.IFNA(VLOOKUP(A345, MOs_Ready_to_close[[Order]:[Tot Est Machine Hrs]], 9, FALSE), "")</f>
        <v/>
      </c>
      <c r="I345" s="11">
        <f>SUMIF(MO_Components[Order], Calculations!A345, MO_Components[Std Cost])</f>
        <v>0</v>
      </c>
      <c r="J345" s="11">
        <f>SUMIF(MO_Components[Order], Calculations!A345, MO_Components[Act Cost])</f>
        <v>0</v>
      </c>
      <c r="K345" s="11">
        <f t="shared" si="20"/>
        <v>0</v>
      </c>
      <c r="L345" t="str">
        <f t="shared" si="21"/>
        <v/>
      </c>
      <c r="M345" t="str">
        <f t="shared" si="22"/>
        <v/>
      </c>
      <c r="N345" t="str">
        <f t="shared" si="23"/>
        <v/>
      </c>
    </row>
    <row r="346" spans="2:14" x14ac:dyDescent="0.25">
      <c r="B346" s="5" t="str">
        <f>_xlfn.IFNA(VLOOKUP(A346, MOs_Ready_to_close[[Order]:[Tot Est Machine Hrs]], 2, FALSE), "")</f>
        <v/>
      </c>
      <c r="C346" s="5" t="str">
        <f>_xlfn.IFNA(VLOOKUP(A346, MOs_Ready_to_close[[Order]:[Tot Est Machine Hrs]], 4, FALSE), "")</f>
        <v/>
      </c>
      <c r="D346" s="6" t="str">
        <f>_xlfn.IFNA(VLOOKUP(A346, MOs_Ready_to_close[[Order]:[Tot Est Machine Hrs]], 8, FALSE), "")</f>
        <v/>
      </c>
      <c r="E346" s="7" t="str">
        <f>_xlfn.IFNA(VLOOKUP(A346, MOs_Ready_to_close[[Order]:[Tot Est Machine Hrs]], 9, FALSE), "")</f>
        <v/>
      </c>
      <c r="I346" s="11">
        <f>SUMIF(MO_Components[Order], Calculations!A346, MO_Components[Std Cost])</f>
        <v>0</v>
      </c>
      <c r="J346" s="11">
        <f>SUMIF(MO_Components[Order], Calculations!A346, MO_Components[Act Cost])</f>
        <v>0</v>
      </c>
      <c r="K346" s="11">
        <f t="shared" si="20"/>
        <v>0</v>
      </c>
      <c r="L346" t="str">
        <f t="shared" si="21"/>
        <v/>
      </c>
      <c r="M346" t="str">
        <f t="shared" si="22"/>
        <v/>
      </c>
      <c r="N346" t="str">
        <f t="shared" si="23"/>
        <v/>
      </c>
    </row>
    <row r="347" spans="2:14" x14ac:dyDescent="0.25">
      <c r="B347" s="5" t="str">
        <f>_xlfn.IFNA(VLOOKUP(A347, MOs_Ready_to_close[[Order]:[Tot Est Machine Hrs]], 2, FALSE), "")</f>
        <v/>
      </c>
      <c r="C347" s="5" t="str">
        <f>_xlfn.IFNA(VLOOKUP(A347, MOs_Ready_to_close[[Order]:[Tot Est Machine Hrs]], 4, FALSE), "")</f>
        <v/>
      </c>
      <c r="D347" s="6" t="str">
        <f>_xlfn.IFNA(VLOOKUP(A347, MOs_Ready_to_close[[Order]:[Tot Est Machine Hrs]], 8, FALSE), "")</f>
        <v/>
      </c>
      <c r="E347" s="7" t="str">
        <f>_xlfn.IFNA(VLOOKUP(A347, MOs_Ready_to_close[[Order]:[Tot Est Machine Hrs]], 9, FALSE), "")</f>
        <v/>
      </c>
      <c r="I347" s="11">
        <f>SUMIF(MO_Components[Order], Calculations!A347, MO_Components[Std Cost])</f>
        <v>0</v>
      </c>
      <c r="J347" s="11">
        <f>SUMIF(MO_Components[Order], Calculations!A347, MO_Components[Act Cost])</f>
        <v>0</v>
      </c>
      <c r="K347" s="11">
        <f t="shared" si="20"/>
        <v>0</v>
      </c>
      <c r="L347" t="str">
        <f t="shared" si="21"/>
        <v/>
      </c>
      <c r="M347" t="str">
        <f t="shared" si="22"/>
        <v/>
      </c>
      <c r="N347" t="str">
        <f t="shared" si="23"/>
        <v/>
      </c>
    </row>
    <row r="348" spans="2:14" x14ac:dyDescent="0.25">
      <c r="B348" s="5" t="str">
        <f>_xlfn.IFNA(VLOOKUP(A348, MOs_Ready_to_close[[Order]:[Tot Est Machine Hrs]], 2, FALSE), "")</f>
        <v/>
      </c>
      <c r="C348" s="5" t="str">
        <f>_xlfn.IFNA(VLOOKUP(A348, MOs_Ready_to_close[[Order]:[Tot Est Machine Hrs]], 4, FALSE), "")</f>
        <v/>
      </c>
      <c r="D348" s="6" t="str">
        <f>_xlfn.IFNA(VLOOKUP(A348, MOs_Ready_to_close[[Order]:[Tot Est Machine Hrs]], 8, FALSE), "")</f>
        <v/>
      </c>
      <c r="E348" s="7" t="str">
        <f>_xlfn.IFNA(VLOOKUP(A348, MOs_Ready_to_close[[Order]:[Tot Est Machine Hrs]], 9, FALSE), "")</f>
        <v/>
      </c>
      <c r="I348" s="11">
        <f>SUMIF(MO_Components[Order], Calculations!A348, MO_Components[Std Cost])</f>
        <v>0</v>
      </c>
      <c r="J348" s="11">
        <f>SUMIF(MO_Components[Order], Calculations!A348, MO_Components[Act Cost])</f>
        <v>0</v>
      </c>
      <c r="K348" s="11">
        <f t="shared" si="20"/>
        <v>0</v>
      </c>
      <c r="L348" t="str">
        <f t="shared" si="21"/>
        <v/>
      </c>
      <c r="M348" t="str">
        <f t="shared" si="22"/>
        <v/>
      </c>
      <c r="N348" t="str">
        <f t="shared" si="23"/>
        <v/>
      </c>
    </row>
    <row r="349" spans="2:14" x14ac:dyDescent="0.25">
      <c r="B349" s="5" t="str">
        <f>_xlfn.IFNA(VLOOKUP(A349, MOs_Ready_to_close[[Order]:[Tot Est Machine Hrs]], 2, FALSE), "")</f>
        <v/>
      </c>
      <c r="C349" s="5" t="str">
        <f>_xlfn.IFNA(VLOOKUP(A349, MOs_Ready_to_close[[Order]:[Tot Est Machine Hrs]], 4, FALSE), "")</f>
        <v/>
      </c>
      <c r="D349" s="6" t="str">
        <f>_xlfn.IFNA(VLOOKUP(A349, MOs_Ready_to_close[[Order]:[Tot Est Machine Hrs]], 8, FALSE), "")</f>
        <v/>
      </c>
      <c r="E349" s="7" t="str">
        <f>_xlfn.IFNA(VLOOKUP(A349, MOs_Ready_to_close[[Order]:[Tot Est Machine Hrs]], 9, FALSE), "")</f>
        <v/>
      </c>
      <c r="I349" s="11">
        <f>SUMIF(MO_Components[Order], Calculations!A349, MO_Components[Std Cost])</f>
        <v>0</v>
      </c>
      <c r="J349" s="11">
        <f>SUMIF(MO_Components[Order], Calculations!A349, MO_Components[Act Cost])</f>
        <v>0</v>
      </c>
      <c r="K349" s="11">
        <f t="shared" si="20"/>
        <v>0</v>
      </c>
      <c r="L349" t="str">
        <f t="shared" si="21"/>
        <v/>
      </c>
      <c r="M349" t="str">
        <f t="shared" si="22"/>
        <v/>
      </c>
      <c r="N349" t="str">
        <f t="shared" si="23"/>
        <v/>
      </c>
    </row>
    <row r="350" spans="2:14" x14ac:dyDescent="0.25">
      <c r="B350" s="5" t="str">
        <f>_xlfn.IFNA(VLOOKUP(A350, MOs_Ready_to_close[[Order]:[Tot Est Machine Hrs]], 2, FALSE), "")</f>
        <v/>
      </c>
      <c r="C350" s="5" t="str">
        <f>_xlfn.IFNA(VLOOKUP(A350, MOs_Ready_to_close[[Order]:[Tot Est Machine Hrs]], 4, FALSE), "")</f>
        <v/>
      </c>
      <c r="D350" s="6" t="str">
        <f>_xlfn.IFNA(VLOOKUP(A350, MOs_Ready_to_close[[Order]:[Tot Est Machine Hrs]], 8, FALSE), "")</f>
        <v/>
      </c>
      <c r="E350" s="7" t="str">
        <f>_xlfn.IFNA(VLOOKUP(A350, MOs_Ready_to_close[[Order]:[Tot Est Machine Hrs]], 9, FALSE), "")</f>
        <v/>
      </c>
      <c r="I350" s="11">
        <f>SUMIF(MO_Components[Order], Calculations!A350, MO_Components[Std Cost])</f>
        <v>0</v>
      </c>
      <c r="J350" s="11">
        <f>SUMIF(MO_Components[Order], Calculations!A350, MO_Components[Act Cost])</f>
        <v>0</v>
      </c>
      <c r="K350" s="11">
        <f t="shared" si="20"/>
        <v>0</v>
      </c>
      <c r="L350" t="str">
        <f t="shared" si="21"/>
        <v/>
      </c>
      <c r="M350" t="str">
        <f t="shared" si="22"/>
        <v/>
      </c>
      <c r="N350" t="str">
        <f t="shared" si="23"/>
        <v/>
      </c>
    </row>
    <row r="351" spans="2:14" x14ac:dyDescent="0.25">
      <c r="B351" s="5" t="str">
        <f>_xlfn.IFNA(VLOOKUP(A351, MOs_Ready_to_close[[Order]:[Tot Est Machine Hrs]], 2, FALSE), "")</f>
        <v/>
      </c>
      <c r="C351" s="5" t="str">
        <f>_xlfn.IFNA(VLOOKUP(A351, MOs_Ready_to_close[[Order]:[Tot Est Machine Hrs]], 4, FALSE), "")</f>
        <v/>
      </c>
      <c r="D351" s="6" t="str">
        <f>_xlfn.IFNA(VLOOKUP(A351, MOs_Ready_to_close[[Order]:[Tot Est Machine Hrs]], 8, FALSE), "")</f>
        <v/>
      </c>
      <c r="E351" s="7" t="str">
        <f>_xlfn.IFNA(VLOOKUP(A351, MOs_Ready_to_close[[Order]:[Tot Est Machine Hrs]], 9, FALSE), "")</f>
        <v/>
      </c>
      <c r="I351" s="11">
        <f>SUMIF(MO_Components[Order], Calculations!A351, MO_Components[Std Cost])</f>
        <v>0</v>
      </c>
      <c r="J351" s="11">
        <f>SUMIF(MO_Components[Order], Calculations!A351, MO_Components[Act Cost])</f>
        <v>0</v>
      </c>
      <c r="K351" s="11">
        <f t="shared" si="20"/>
        <v>0</v>
      </c>
      <c r="L351" t="str">
        <f t="shared" si="21"/>
        <v/>
      </c>
      <c r="M351" t="str">
        <f t="shared" si="22"/>
        <v/>
      </c>
      <c r="N351" t="str">
        <f t="shared" si="23"/>
        <v/>
      </c>
    </row>
    <row r="352" spans="2:14" x14ac:dyDescent="0.25">
      <c r="B352" s="5" t="str">
        <f>_xlfn.IFNA(VLOOKUP(A352, MOs_Ready_to_close[[Order]:[Tot Est Machine Hrs]], 2, FALSE), "")</f>
        <v/>
      </c>
      <c r="C352" s="5" t="str">
        <f>_xlfn.IFNA(VLOOKUP(A352, MOs_Ready_to_close[[Order]:[Tot Est Machine Hrs]], 4, FALSE), "")</f>
        <v/>
      </c>
      <c r="D352" s="6" t="str">
        <f>_xlfn.IFNA(VLOOKUP(A352, MOs_Ready_to_close[[Order]:[Tot Est Machine Hrs]], 8, FALSE), "")</f>
        <v/>
      </c>
      <c r="E352" s="7" t="str">
        <f>_xlfn.IFNA(VLOOKUP(A352, MOs_Ready_to_close[[Order]:[Tot Est Machine Hrs]], 9, FALSE), "")</f>
        <v/>
      </c>
      <c r="I352" s="11">
        <f>SUMIF(MO_Components[Order], Calculations!A352, MO_Components[Std Cost])</f>
        <v>0</v>
      </c>
      <c r="J352" s="11">
        <f>SUMIF(MO_Components[Order], Calculations!A352, MO_Components[Act Cost])</f>
        <v>0</v>
      </c>
      <c r="K352" s="11">
        <f t="shared" si="20"/>
        <v>0</v>
      </c>
      <c r="L352" t="str">
        <f t="shared" si="21"/>
        <v/>
      </c>
      <c r="M352" t="str">
        <f t="shared" si="22"/>
        <v/>
      </c>
      <c r="N352" t="str">
        <f t="shared" si="23"/>
        <v/>
      </c>
    </row>
    <row r="353" spans="2:14" x14ac:dyDescent="0.25">
      <c r="B353" s="5" t="str">
        <f>_xlfn.IFNA(VLOOKUP(A353, MOs_Ready_to_close[[Order]:[Tot Est Machine Hrs]], 2, FALSE), "")</f>
        <v/>
      </c>
      <c r="C353" s="5" t="str">
        <f>_xlfn.IFNA(VLOOKUP(A353, MOs_Ready_to_close[[Order]:[Tot Est Machine Hrs]], 4, FALSE), "")</f>
        <v/>
      </c>
      <c r="D353" s="6" t="str">
        <f>_xlfn.IFNA(VLOOKUP(A353, MOs_Ready_to_close[[Order]:[Tot Est Machine Hrs]], 8, FALSE), "")</f>
        <v/>
      </c>
      <c r="E353" s="7" t="str">
        <f>_xlfn.IFNA(VLOOKUP(A353, MOs_Ready_to_close[[Order]:[Tot Est Machine Hrs]], 9, FALSE), "")</f>
        <v/>
      </c>
      <c r="I353" s="11">
        <f>SUMIF(MO_Components[Order], Calculations!A353, MO_Components[Std Cost])</f>
        <v>0</v>
      </c>
      <c r="J353" s="11">
        <f>SUMIF(MO_Components[Order], Calculations!A353, MO_Components[Act Cost])</f>
        <v>0</v>
      </c>
      <c r="K353" s="11">
        <f t="shared" si="20"/>
        <v>0</v>
      </c>
      <c r="L353" t="str">
        <f t="shared" si="21"/>
        <v/>
      </c>
      <c r="M353" t="str">
        <f t="shared" si="22"/>
        <v/>
      </c>
      <c r="N353" t="str">
        <f t="shared" si="23"/>
        <v/>
      </c>
    </row>
    <row r="354" spans="2:14" x14ac:dyDescent="0.25">
      <c r="B354" s="5" t="str">
        <f>_xlfn.IFNA(VLOOKUP(A354, MOs_Ready_to_close[[Order]:[Tot Est Machine Hrs]], 2, FALSE), "")</f>
        <v/>
      </c>
      <c r="C354" s="5" t="str">
        <f>_xlfn.IFNA(VLOOKUP(A354, MOs_Ready_to_close[[Order]:[Tot Est Machine Hrs]], 4, FALSE), "")</f>
        <v/>
      </c>
      <c r="D354" s="6" t="str">
        <f>_xlfn.IFNA(VLOOKUP(A354, MOs_Ready_to_close[[Order]:[Tot Est Machine Hrs]], 8, FALSE), "")</f>
        <v/>
      </c>
      <c r="E354" s="7" t="str">
        <f>_xlfn.IFNA(VLOOKUP(A354, MOs_Ready_to_close[[Order]:[Tot Est Machine Hrs]], 9, FALSE), "")</f>
        <v/>
      </c>
      <c r="I354" s="11">
        <f>SUMIF(MO_Components[Order], Calculations!A354, MO_Components[Std Cost])</f>
        <v>0</v>
      </c>
      <c r="J354" s="11">
        <f>SUMIF(MO_Components[Order], Calculations!A354, MO_Components[Act Cost])</f>
        <v>0</v>
      </c>
      <c r="K354" s="11">
        <f t="shared" si="20"/>
        <v>0</v>
      </c>
      <c r="L354" t="str">
        <f t="shared" si="21"/>
        <v/>
      </c>
      <c r="M354" t="str">
        <f t="shared" si="22"/>
        <v/>
      </c>
      <c r="N354" t="str">
        <f t="shared" si="23"/>
        <v/>
      </c>
    </row>
    <row r="355" spans="2:14" x14ac:dyDescent="0.25">
      <c r="B355" s="5" t="str">
        <f>_xlfn.IFNA(VLOOKUP(A355, MOs_Ready_to_close[[Order]:[Tot Est Machine Hrs]], 2, FALSE), "")</f>
        <v/>
      </c>
      <c r="C355" s="5" t="str">
        <f>_xlfn.IFNA(VLOOKUP(A355, MOs_Ready_to_close[[Order]:[Tot Est Machine Hrs]], 4, FALSE), "")</f>
        <v/>
      </c>
      <c r="D355" s="6" t="str">
        <f>_xlfn.IFNA(VLOOKUP(A355, MOs_Ready_to_close[[Order]:[Tot Est Machine Hrs]], 8, FALSE), "")</f>
        <v/>
      </c>
      <c r="E355" s="7" t="str">
        <f>_xlfn.IFNA(VLOOKUP(A355, MOs_Ready_to_close[[Order]:[Tot Est Machine Hrs]], 9, FALSE), "")</f>
        <v/>
      </c>
      <c r="I355" s="11">
        <f>SUMIF(MO_Components[Order], Calculations!A355, MO_Components[Std Cost])</f>
        <v>0</v>
      </c>
      <c r="J355" s="11">
        <f>SUMIF(MO_Components[Order], Calculations!A355, MO_Components[Act Cost])</f>
        <v>0</v>
      </c>
      <c r="K355" s="11">
        <f t="shared" si="20"/>
        <v>0</v>
      </c>
      <c r="L355" t="str">
        <f t="shared" si="21"/>
        <v/>
      </c>
      <c r="M355" t="str">
        <f t="shared" si="22"/>
        <v/>
      </c>
      <c r="N355" t="str">
        <f t="shared" si="23"/>
        <v/>
      </c>
    </row>
    <row r="356" spans="2:14" x14ac:dyDescent="0.25">
      <c r="B356" s="5" t="str">
        <f>_xlfn.IFNA(VLOOKUP(A356, MOs_Ready_to_close[[Order]:[Tot Est Machine Hrs]], 2, FALSE), "")</f>
        <v/>
      </c>
      <c r="C356" s="5" t="str">
        <f>_xlfn.IFNA(VLOOKUP(A356, MOs_Ready_to_close[[Order]:[Tot Est Machine Hrs]], 4, FALSE), "")</f>
        <v/>
      </c>
      <c r="D356" s="6" t="str">
        <f>_xlfn.IFNA(VLOOKUP(A356, MOs_Ready_to_close[[Order]:[Tot Est Machine Hrs]], 8, FALSE), "")</f>
        <v/>
      </c>
      <c r="E356" s="7" t="str">
        <f>_xlfn.IFNA(VLOOKUP(A356, MOs_Ready_to_close[[Order]:[Tot Est Machine Hrs]], 9, FALSE), "")</f>
        <v/>
      </c>
      <c r="I356" s="11">
        <f>SUMIF(MO_Components[Order], Calculations!A356, MO_Components[Std Cost])</f>
        <v>0</v>
      </c>
      <c r="J356" s="11">
        <f>SUMIF(MO_Components[Order], Calculations!A356, MO_Components[Act Cost])</f>
        <v>0</v>
      </c>
      <c r="K356" s="11">
        <f t="shared" si="20"/>
        <v>0</v>
      </c>
      <c r="L356" t="str">
        <f t="shared" si="21"/>
        <v/>
      </c>
      <c r="M356" t="str">
        <f t="shared" si="22"/>
        <v/>
      </c>
      <c r="N356" t="str">
        <f t="shared" si="23"/>
        <v/>
      </c>
    </row>
    <row r="357" spans="2:14" x14ac:dyDescent="0.25">
      <c r="B357" s="5" t="str">
        <f>_xlfn.IFNA(VLOOKUP(A357, MOs_Ready_to_close[[Order]:[Tot Est Machine Hrs]], 2, FALSE), "")</f>
        <v/>
      </c>
      <c r="C357" s="5" t="str">
        <f>_xlfn.IFNA(VLOOKUP(A357, MOs_Ready_to_close[[Order]:[Tot Est Machine Hrs]], 4, FALSE), "")</f>
        <v/>
      </c>
      <c r="D357" s="6" t="str">
        <f>_xlfn.IFNA(VLOOKUP(A357, MOs_Ready_to_close[[Order]:[Tot Est Machine Hrs]], 8, FALSE), "")</f>
        <v/>
      </c>
      <c r="E357" s="7" t="str">
        <f>_xlfn.IFNA(VLOOKUP(A357, MOs_Ready_to_close[[Order]:[Tot Est Machine Hrs]], 9, FALSE), "")</f>
        <v/>
      </c>
      <c r="I357" s="11">
        <f>SUMIF(MO_Components[Order], Calculations!A357, MO_Components[Std Cost])</f>
        <v>0</v>
      </c>
      <c r="J357" s="11">
        <f>SUMIF(MO_Components[Order], Calculations!A357, MO_Components[Act Cost])</f>
        <v>0</v>
      </c>
      <c r="K357" s="11">
        <f t="shared" si="20"/>
        <v>0</v>
      </c>
      <c r="L357" t="str">
        <f t="shared" si="21"/>
        <v/>
      </c>
      <c r="M357" t="str">
        <f t="shared" si="22"/>
        <v/>
      </c>
      <c r="N357" t="str">
        <f t="shared" si="23"/>
        <v/>
      </c>
    </row>
    <row r="358" spans="2:14" x14ac:dyDescent="0.25">
      <c r="B358" s="5" t="str">
        <f>_xlfn.IFNA(VLOOKUP(A358, MOs_Ready_to_close[[Order]:[Tot Est Machine Hrs]], 2, FALSE), "")</f>
        <v/>
      </c>
      <c r="C358" s="5" t="str">
        <f>_xlfn.IFNA(VLOOKUP(A358, MOs_Ready_to_close[[Order]:[Tot Est Machine Hrs]], 4, FALSE), "")</f>
        <v/>
      </c>
      <c r="D358" s="6" t="str">
        <f>_xlfn.IFNA(VLOOKUP(A358, MOs_Ready_to_close[[Order]:[Tot Est Machine Hrs]], 8, FALSE), "")</f>
        <v/>
      </c>
      <c r="E358" s="7" t="str">
        <f>_xlfn.IFNA(VLOOKUP(A358, MOs_Ready_to_close[[Order]:[Tot Est Machine Hrs]], 9, FALSE), "")</f>
        <v/>
      </c>
      <c r="I358" s="11">
        <f>SUMIF(MO_Components[Order], Calculations!A358, MO_Components[Std Cost])</f>
        <v>0</v>
      </c>
      <c r="J358" s="11">
        <f>SUMIF(MO_Components[Order], Calculations!A358, MO_Components[Act Cost])</f>
        <v>0</v>
      </c>
      <c r="K358" s="11">
        <f t="shared" si="20"/>
        <v>0</v>
      </c>
      <c r="L358" t="str">
        <f t="shared" si="21"/>
        <v/>
      </c>
      <c r="M358" t="str">
        <f t="shared" si="22"/>
        <v/>
      </c>
      <c r="N358" t="str">
        <f t="shared" si="23"/>
        <v/>
      </c>
    </row>
    <row r="359" spans="2:14" x14ac:dyDescent="0.25">
      <c r="B359" s="5" t="str">
        <f>_xlfn.IFNA(VLOOKUP(A359, MOs_Ready_to_close[[Order]:[Tot Est Machine Hrs]], 2, FALSE), "")</f>
        <v/>
      </c>
      <c r="C359" s="5" t="str">
        <f>_xlfn.IFNA(VLOOKUP(A359, MOs_Ready_to_close[[Order]:[Tot Est Machine Hrs]], 4, FALSE), "")</f>
        <v/>
      </c>
      <c r="D359" s="6" t="str">
        <f>_xlfn.IFNA(VLOOKUP(A359, MOs_Ready_to_close[[Order]:[Tot Est Machine Hrs]], 8, FALSE), "")</f>
        <v/>
      </c>
      <c r="E359" s="7" t="str">
        <f>_xlfn.IFNA(VLOOKUP(A359, MOs_Ready_to_close[[Order]:[Tot Est Machine Hrs]], 9, FALSE), "")</f>
        <v/>
      </c>
      <c r="I359" s="11">
        <f>SUMIF(MO_Components[Order], Calculations!A359, MO_Components[Std Cost])</f>
        <v>0</v>
      </c>
      <c r="J359" s="11">
        <f>SUMIF(MO_Components[Order], Calculations!A359, MO_Components[Act Cost])</f>
        <v>0</v>
      </c>
      <c r="K359" s="11">
        <f t="shared" si="20"/>
        <v>0</v>
      </c>
      <c r="L359" t="str">
        <f t="shared" si="21"/>
        <v/>
      </c>
      <c r="M359" t="str">
        <f t="shared" si="22"/>
        <v/>
      </c>
      <c r="N359" t="str">
        <f t="shared" si="23"/>
        <v/>
      </c>
    </row>
    <row r="360" spans="2:14" x14ac:dyDescent="0.25">
      <c r="B360" s="5" t="str">
        <f>_xlfn.IFNA(VLOOKUP(A360, MOs_Ready_to_close[[Order]:[Tot Est Machine Hrs]], 2, FALSE), "")</f>
        <v/>
      </c>
      <c r="C360" s="5" t="str">
        <f>_xlfn.IFNA(VLOOKUP(A360, MOs_Ready_to_close[[Order]:[Tot Est Machine Hrs]], 4, FALSE), "")</f>
        <v/>
      </c>
      <c r="D360" s="6" t="str">
        <f>_xlfn.IFNA(VLOOKUP(A360, MOs_Ready_to_close[[Order]:[Tot Est Machine Hrs]], 8, FALSE), "")</f>
        <v/>
      </c>
      <c r="E360" s="7" t="str">
        <f>_xlfn.IFNA(VLOOKUP(A360, MOs_Ready_to_close[[Order]:[Tot Est Machine Hrs]], 9, FALSE), "")</f>
        <v/>
      </c>
      <c r="I360" s="11">
        <f>SUMIF(MO_Components[Order], Calculations!A360, MO_Components[Std Cost])</f>
        <v>0</v>
      </c>
      <c r="J360" s="11">
        <f>SUMIF(MO_Components[Order], Calculations!A360, MO_Components[Act Cost])</f>
        <v>0</v>
      </c>
      <c r="K360" s="11">
        <f t="shared" si="20"/>
        <v>0</v>
      </c>
      <c r="L360" t="str">
        <f t="shared" si="21"/>
        <v/>
      </c>
      <c r="M360" t="str">
        <f t="shared" si="22"/>
        <v/>
      </c>
      <c r="N360" t="str">
        <f t="shared" si="23"/>
        <v/>
      </c>
    </row>
    <row r="361" spans="2:14" x14ac:dyDescent="0.25">
      <c r="B361" s="5" t="str">
        <f>_xlfn.IFNA(VLOOKUP(A361, MOs_Ready_to_close[[Order]:[Tot Est Machine Hrs]], 2, FALSE), "")</f>
        <v/>
      </c>
      <c r="C361" s="5" t="str">
        <f>_xlfn.IFNA(VLOOKUP(A361, MOs_Ready_to_close[[Order]:[Tot Est Machine Hrs]], 4, FALSE), "")</f>
        <v/>
      </c>
      <c r="D361" s="6" t="str">
        <f>_xlfn.IFNA(VLOOKUP(A361, MOs_Ready_to_close[[Order]:[Tot Est Machine Hrs]], 8, FALSE), "")</f>
        <v/>
      </c>
      <c r="E361" s="7" t="str">
        <f>_xlfn.IFNA(VLOOKUP(A361, MOs_Ready_to_close[[Order]:[Tot Est Machine Hrs]], 9, FALSE), "")</f>
        <v/>
      </c>
      <c r="I361" s="11">
        <f>SUMIF(MO_Components[Order], Calculations!A361, MO_Components[Std Cost])</f>
        <v>0</v>
      </c>
      <c r="J361" s="11">
        <f>SUMIF(MO_Components[Order], Calculations!A361, MO_Components[Act Cost])</f>
        <v>0</v>
      </c>
      <c r="K361" s="11">
        <f t="shared" si="20"/>
        <v>0</v>
      </c>
      <c r="L361" t="str">
        <f t="shared" si="21"/>
        <v/>
      </c>
      <c r="M361" t="str">
        <f t="shared" si="22"/>
        <v/>
      </c>
      <c r="N361" t="str">
        <f t="shared" si="23"/>
        <v/>
      </c>
    </row>
    <row r="362" spans="2:14" x14ac:dyDescent="0.25">
      <c r="B362" s="5" t="str">
        <f>_xlfn.IFNA(VLOOKUP(A362, MOs_Ready_to_close[[Order]:[Tot Est Machine Hrs]], 2, FALSE), "")</f>
        <v/>
      </c>
      <c r="C362" s="5" t="str">
        <f>_xlfn.IFNA(VLOOKUP(A362, MOs_Ready_to_close[[Order]:[Tot Est Machine Hrs]], 4, FALSE), "")</f>
        <v/>
      </c>
      <c r="D362" s="6" t="str">
        <f>_xlfn.IFNA(VLOOKUP(A362, MOs_Ready_to_close[[Order]:[Tot Est Machine Hrs]], 8, FALSE), "")</f>
        <v/>
      </c>
      <c r="E362" s="7" t="str">
        <f>_xlfn.IFNA(VLOOKUP(A362, MOs_Ready_to_close[[Order]:[Tot Est Machine Hrs]], 9, FALSE), "")</f>
        <v/>
      </c>
      <c r="I362" s="11">
        <f>SUMIF(MO_Components[Order], Calculations!A362, MO_Components[Std Cost])</f>
        <v>0</v>
      </c>
      <c r="J362" s="11">
        <f>SUMIF(MO_Components[Order], Calculations!A362, MO_Components[Act Cost])</f>
        <v>0</v>
      </c>
      <c r="K362" s="11">
        <f t="shared" si="20"/>
        <v>0</v>
      </c>
      <c r="L362" t="str">
        <f t="shared" si="21"/>
        <v/>
      </c>
      <c r="M362" t="str">
        <f t="shared" si="22"/>
        <v/>
      </c>
      <c r="N362" t="str">
        <f t="shared" si="23"/>
        <v/>
      </c>
    </row>
    <row r="363" spans="2:14" x14ac:dyDescent="0.25">
      <c r="B363" s="5" t="str">
        <f>_xlfn.IFNA(VLOOKUP(A363, MOs_Ready_to_close[[Order]:[Tot Est Machine Hrs]], 2, FALSE), "")</f>
        <v/>
      </c>
      <c r="C363" s="5" t="str">
        <f>_xlfn.IFNA(VLOOKUP(A363, MOs_Ready_to_close[[Order]:[Tot Est Machine Hrs]], 4, FALSE), "")</f>
        <v/>
      </c>
      <c r="D363" s="6" t="str">
        <f>_xlfn.IFNA(VLOOKUP(A363, MOs_Ready_to_close[[Order]:[Tot Est Machine Hrs]], 8, FALSE), "")</f>
        <v/>
      </c>
      <c r="E363" s="7" t="str">
        <f>_xlfn.IFNA(VLOOKUP(A363, MOs_Ready_to_close[[Order]:[Tot Est Machine Hrs]], 9, FALSE), "")</f>
        <v/>
      </c>
      <c r="I363" s="11">
        <f>SUMIF(MO_Components[Order], Calculations!A363, MO_Components[Std Cost])</f>
        <v>0</v>
      </c>
      <c r="J363" s="11">
        <f>SUMIF(MO_Components[Order], Calculations!A363, MO_Components[Act Cost])</f>
        <v>0</v>
      </c>
      <c r="K363" s="11">
        <f t="shared" si="20"/>
        <v>0</v>
      </c>
      <c r="L363" t="str">
        <f t="shared" si="21"/>
        <v/>
      </c>
      <c r="M363" t="str">
        <f t="shared" si="22"/>
        <v/>
      </c>
      <c r="N363" t="str">
        <f t="shared" si="23"/>
        <v/>
      </c>
    </row>
    <row r="364" spans="2:14" x14ac:dyDescent="0.25">
      <c r="B364" s="5" t="str">
        <f>_xlfn.IFNA(VLOOKUP(A364, MOs_Ready_to_close[[Order]:[Tot Est Machine Hrs]], 2, FALSE), "")</f>
        <v/>
      </c>
      <c r="C364" s="5" t="str">
        <f>_xlfn.IFNA(VLOOKUP(A364, MOs_Ready_to_close[[Order]:[Tot Est Machine Hrs]], 4, FALSE), "")</f>
        <v/>
      </c>
      <c r="D364" s="6" t="str">
        <f>_xlfn.IFNA(VLOOKUP(A364, MOs_Ready_to_close[[Order]:[Tot Est Machine Hrs]], 8, FALSE), "")</f>
        <v/>
      </c>
      <c r="E364" s="7" t="str">
        <f>_xlfn.IFNA(VLOOKUP(A364, MOs_Ready_to_close[[Order]:[Tot Est Machine Hrs]], 9, FALSE), "")</f>
        <v/>
      </c>
      <c r="I364" s="11">
        <f>SUMIF(MO_Components[Order], Calculations!A364, MO_Components[Std Cost])</f>
        <v>0</v>
      </c>
      <c r="J364" s="11">
        <f>SUMIF(MO_Components[Order], Calculations!A364, MO_Components[Act Cost])</f>
        <v>0</v>
      </c>
      <c r="K364" s="11">
        <f t="shared" si="20"/>
        <v>0</v>
      </c>
      <c r="L364" t="str">
        <f t="shared" si="21"/>
        <v/>
      </c>
      <c r="M364" t="str">
        <f t="shared" si="22"/>
        <v/>
      </c>
      <c r="N364" t="str">
        <f t="shared" si="23"/>
        <v/>
      </c>
    </row>
    <row r="365" spans="2:14" x14ac:dyDescent="0.25">
      <c r="B365" s="5" t="str">
        <f>_xlfn.IFNA(VLOOKUP(A365, MOs_Ready_to_close[[Order]:[Tot Est Machine Hrs]], 2, FALSE), "")</f>
        <v/>
      </c>
      <c r="C365" s="5" t="str">
        <f>_xlfn.IFNA(VLOOKUP(A365, MOs_Ready_to_close[[Order]:[Tot Est Machine Hrs]], 4, FALSE), "")</f>
        <v/>
      </c>
      <c r="D365" s="6" t="str">
        <f>_xlfn.IFNA(VLOOKUP(A365, MOs_Ready_to_close[[Order]:[Tot Est Machine Hrs]], 8, FALSE), "")</f>
        <v/>
      </c>
      <c r="E365" s="7" t="str">
        <f>_xlfn.IFNA(VLOOKUP(A365, MOs_Ready_to_close[[Order]:[Tot Est Machine Hrs]], 9, FALSE), "")</f>
        <v/>
      </c>
      <c r="I365" s="11">
        <f>SUMIF(MO_Components[Order], Calculations!A365, MO_Components[Std Cost])</f>
        <v>0</v>
      </c>
      <c r="J365" s="11">
        <f>SUMIF(MO_Components[Order], Calculations!A365, MO_Components[Act Cost])</f>
        <v>0</v>
      </c>
      <c r="K365" s="11">
        <f t="shared" si="20"/>
        <v>0</v>
      </c>
      <c r="L365" t="str">
        <f t="shared" si="21"/>
        <v/>
      </c>
      <c r="M365" t="str">
        <f t="shared" si="22"/>
        <v/>
      </c>
      <c r="N365" t="str">
        <f t="shared" si="23"/>
        <v/>
      </c>
    </row>
    <row r="366" spans="2:14" x14ac:dyDescent="0.25">
      <c r="B366" s="5" t="str">
        <f>_xlfn.IFNA(VLOOKUP(A366, MOs_Ready_to_close[[Order]:[Tot Est Machine Hrs]], 2, FALSE), "")</f>
        <v/>
      </c>
      <c r="C366" s="5" t="str">
        <f>_xlfn.IFNA(VLOOKUP(A366, MOs_Ready_to_close[[Order]:[Tot Est Machine Hrs]], 4, FALSE), "")</f>
        <v/>
      </c>
      <c r="D366" s="6" t="str">
        <f>_xlfn.IFNA(VLOOKUP(A366, MOs_Ready_to_close[[Order]:[Tot Est Machine Hrs]], 8, FALSE), "")</f>
        <v/>
      </c>
      <c r="E366" s="7" t="str">
        <f>_xlfn.IFNA(VLOOKUP(A366, MOs_Ready_to_close[[Order]:[Tot Est Machine Hrs]], 9, FALSE), "")</f>
        <v/>
      </c>
      <c r="I366" s="11">
        <f>SUMIF(MO_Components[Order], Calculations!A366, MO_Components[Std Cost])</f>
        <v>0</v>
      </c>
      <c r="J366" s="11">
        <f>SUMIF(MO_Components[Order], Calculations!A366, MO_Components[Act Cost])</f>
        <v>0</v>
      </c>
      <c r="K366" s="11">
        <f t="shared" si="20"/>
        <v>0</v>
      </c>
      <c r="L366" t="str">
        <f t="shared" si="21"/>
        <v/>
      </c>
      <c r="M366" t="str">
        <f t="shared" si="22"/>
        <v/>
      </c>
      <c r="N366" t="str">
        <f t="shared" si="23"/>
        <v/>
      </c>
    </row>
    <row r="367" spans="2:14" x14ac:dyDescent="0.25">
      <c r="B367" s="5" t="str">
        <f>_xlfn.IFNA(VLOOKUP(A367, MOs_Ready_to_close[[Order]:[Tot Est Machine Hrs]], 2, FALSE), "")</f>
        <v/>
      </c>
      <c r="C367" s="5" t="str">
        <f>_xlfn.IFNA(VLOOKUP(A367, MOs_Ready_to_close[[Order]:[Tot Est Machine Hrs]], 4, FALSE), "")</f>
        <v/>
      </c>
      <c r="D367" s="6" t="str">
        <f>_xlfn.IFNA(VLOOKUP(A367, MOs_Ready_to_close[[Order]:[Tot Est Machine Hrs]], 8, FALSE), "")</f>
        <v/>
      </c>
      <c r="E367" s="7" t="str">
        <f>_xlfn.IFNA(VLOOKUP(A367, MOs_Ready_to_close[[Order]:[Tot Est Machine Hrs]], 9, FALSE), "")</f>
        <v/>
      </c>
      <c r="I367" s="11">
        <f>SUMIF(MO_Components[Order], Calculations!A367, MO_Components[Std Cost])</f>
        <v>0</v>
      </c>
      <c r="J367" s="11">
        <f>SUMIF(MO_Components[Order], Calculations!A367, MO_Components[Act Cost])</f>
        <v>0</v>
      </c>
      <c r="K367" s="11">
        <f t="shared" si="20"/>
        <v>0</v>
      </c>
      <c r="L367" t="str">
        <f t="shared" si="21"/>
        <v/>
      </c>
      <c r="M367" t="str">
        <f t="shared" si="22"/>
        <v/>
      </c>
      <c r="N367" t="str">
        <f t="shared" si="23"/>
        <v/>
      </c>
    </row>
    <row r="368" spans="2:14" x14ac:dyDescent="0.25">
      <c r="B368" s="5" t="str">
        <f>_xlfn.IFNA(VLOOKUP(A368, MOs_Ready_to_close[[Order]:[Tot Est Machine Hrs]], 2, FALSE), "")</f>
        <v/>
      </c>
      <c r="C368" s="5" t="str">
        <f>_xlfn.IFNA(VLOOKUP(A368, MOs_Ready_to_close[[Order]:[Tot Est Machine Hrs]], 4, FALSE), "")</f>
        <v/>
      </c>
      <c r="D368" s="6" t="str">
        <f>_xlfn.IFNA(VLOOKUP(A368, MOs_Ready_to_close[[Order]:[Tot Est Machine Hrs]], 8, FALSE), "")</f>
        <v/>
      </c>
      <c r="E368" s="7" t="str">
        <f>_xlfn.IFNA(VLOOKUP(A368, MOs_Ready_to_close[[Order]:[Tot Est Machine Hrs]], 9, FALSE), "")</f>
        <v/>
      </c>
      <c r="I368" s="11">
        <f>SUMIF(MO_Components[Order], Calculations!A368, MO_Components[Std Cost])</f>
        <v>0</v>
      </c>
      <c r="J368" s="11">
        <f>SUMIF(MO_Components[Order], Calculations!A368, MO_Components[Act Cost])</f>
        <v>0</v>
      </c>
      <c r="K368" s="11">
        <f t="shared" si="20"/>
        <v>0</v>
      </c>
      <c r="L368" t="str">
        <f t="shared" si="21"/>
        <v/>
      </c>
      <c r="M368" t="str">
        <f t="shared" si="22"/>
        <v/>
      </c>
      <c r="N368" t="str">
        <f t="shared" si="23"/>
        <v/>
      </c>
    </row>
    <row r="369" spans="2:14" x14ac:dyDescent="0.25">
      <c r="B369" s="5" t="str">
        <f>_xlfn.IFNA(VLOOKUP(A369, MOs_Ready_to_close[[Order]:[Tot Est Machine Hrs]], 2, FALSE), "")</f>
        <v/>
      </c>
      <c r="C369" s="5" t="str">
        <f>_xlfn.IFNA(VLOOKUP(A369, MOs_Ready_to_close[[Order]:[Tot Est Machine Hrs]], 4, FALSE), "")</f>
        <v/>
      </c>
      <c r="D369" s="6" t="str">
        <f>_xlfn.IFNA(VLOOKUP(A369, MOs_Ready_to_close[[Order]:[Tot Est Machine Hrs]], 8, FALSE), "")</f>
        <v/>
      </c>
      <c r="E369" s="7" t="str">
        <f>_xlfn.IFNA(VLOOKUP(A369, MOs_Ready_to_close[[Order]:[Tot Est Machine Hrs]], 9, FALSE), "")</f>
        <v/>
      </c>
      <c r="I369" s="11">
        <f>SUMIF(MO_Components[Order], Calculations!A369, MO_Components[Std Cost])</f>
        <v>0</v>
      </c>
      <c r="J369" s="11">
        <f>SUMIF(MO_Components[Order], Calculations!A369, MO_Components[Act Cost])</f>
        <v>0</v>
      </c>
      <c r="K369" s="11">
        <f t="shared" si="20"/>
        <v>0</v>
      </c>
      <c r="L369" t="str">
        <f t="shared" si="21"/>
        <v/>
      </c>
      <c r="M369" t="str">
        <f t="shared" si="22"/>
        <v/>
      </c>
      <c r="N369" t="str">
        <f t="shared" si="23"/>
        <v/>
      </c>
    </row>
    <row r="370" spans="2:14" x14ac:dyDescent="0.25">
      <c r="B370" s="5" t="str">
        <f>_xlfn.IFNA(VLOOKUP(A370, MOs_Ready_to_close[[Order]:[Tot Est Machine Hrs]], 2, FALSE), "")</f>
        <v/>
      </c>
      <c r="C370" s="5" t="str">
        <f>_xlfn.IFNA(VLOOKUP(A370, MOs_Ready_to_close[[Order]:[Tot Est Machine Hrs]], 4, FALSE), "")</f>
        <v/>
      </c>
      <c r="D370" s="6" t="str">
        <f>_xlfn.IFNA(VLOOKUP(A370, MOs_Ready_to_close[[Order]:[Tot Est Machine Hrs]], 8, FALSE), "")</f>
        <v/>
      </c>
      <c r="E370" s="7" t="str">
        <f>_xlfn.IFNA(VLOOKUP(A370, MOs_Ready_to_close[[Order]:[Tot Est Machine Hrs]], 9, FALSE), "")</f>
        <v/>
      </c>
      <c r="I370" s="11">
        <f>SUMIF(MO_Components[Order], Calculations!A370, MO_Components[Std Cost])</f>
        <v>0</v>
      </c>
      <c r="J370" s="11">
        <f>SUMIF(MO_Components[Order], Calculations!A370, MO_Components[Act Cost])</f>
        <v>0</v>
      </c>
      <c r="K370" s="11">
        <f t="shared" si="20"/>
        <v>0</v>
      </c>
      <c r="L370" t="str">
        <f t="shared" si="21"/>
        <v/>
      </c>
      <c r="M370" t="str">
        <f t="shared" si="22"/>
        <v/>
      </c>
      <c r="N370" t="str">
        <f t="shared" si="23"/>
        <v/>
      </c>
    </row>
    <row r="371" spans="2:14" x14ac:dyDescent="0.25">
      <c r="B371" s="5" t="str">
        <f>_xlfn.IFNA(VLOOKUP(A371, MOs_Ready_to_close[[Order]:[Tot Est Machine Hrs]], 2, FALSE), "")</f>
        <v/>
      </c>
      <c r="C371" s="5" t="str">
        <f>_xlfn.IFNA(VLOOKUP(A371, MOs_Ready_to_close[[Order]:[Tot Est Machine Hrs]], 4, FALSE), "")</f>
        <v/>
      </c>
      <c r="D371" s="6" t="str">
        <f>_xlfn.IFNA(VLOOKUP(A371, MOs_Ready_to_close[[Order]:[Tot Est Machine Hrs]], 8, FALSE), "")</f>
        <v/>
      </c>
      <c r="E371" s="7" t="str">
        <f>_xlfn.IFNA(VLOOKUP(A371, MOs_Ready_to_close[[Order]:[Tot Est Machine Hrs]], 9, FALSE), "")</f>
        <v/>
      </c>
      <c r="I371" s="11">
        <f>SUMIF(MO_Components[Order], Calculations!A371, MO_Components[Std Cost])</f>
        <v>0</v>
      </c>
      <c r="J371" s="11">
        <f>SUMIF(MO_Components[Order], Calculations!A371, MO_Components[Act Cost])</f>
        <v>0</v>
      </c>
      <c r="K371" s="11">
        <f t="shared" si="20"/>
        <v>0</v>
      </c>
      <c r="L371" t="str">
        <f t="shared" si="21"/>
        <v/>
      </c>
      <c r="M371" t="str">
        <f t="shared" si="22"/>
        <v/>
      </c>
      <c r="N371" t="str">
        <f t="shared" si="23"/>
        <v/>
      </c>
    </row>
    <row r="372" spans="2:14" x14ac:dyDescent="0.25">
      <c r="B372" s="5" t="str">
        <f>_xlfn.IFNA(VLOOKUP(A372, MOs_Ready_to_close[[Order]:[Tot Est Machine Hrs]], 2, FALSE), "")</f>
        <v/>
      </c>
      <c r="C372" s="5" t="str">
        <f>_xlfn.IFNA(VLOOKUP(A372, MOs_Ready_to_close[[Order]:[Tot Est Machine Hrs]], 4, FALSE), "")</f>
        <v/>
      </c>
      <c r="D372" s="6" t="str">
        <f>_xlfn.IFNA(VLOOKUP(A372, MOs_Ready_to_close[[Order]:[Tot Est Machine Hrs]], 8, FALSE), "")</f>
        <v/>
      </c>
      <c r="E372" s="7" t="str">
        <f>_xlfn.IFNA(VLOOKUP(A372, MOs_Ready_to_close[[Order]:[Tot Est Machine Hrs]], 9, FALSE), "")</f>
        <v/>
      </c>
      <c r="I372" s="11">
        <f>SUMIF(MO_Components[Order], Calculations!A372, MO_Components[Std Cost])</f>
        <v>0</v>
      </c>
      <c r="J372" s="11">
        <f>SUMIF(MO_Components[Order], Calculations!A372, MO_Components[Act Cost])</f>
        <v>0</v>
      </c>
      <c r="K372" s="11">
        <f t="shared" si="20"/>
        <v>0</v>
      </c>
      <c r="L372" t="str">
        <f t="shared" si="21"/>
        <v/>
      </c>
      <c r="M372" t="str">
        <f t="shared" si="22"/>
        <v/>
      </c>
      <c r="N372" t="str">
        <f t="shared" si="23"/>
        <v/>
      </c>
    </row>
    <row r="373" spans="2:14" x14ac:dyDescent="0.25">
      <c r="B373" s="5" t="str">
        <f>_xlfn.IFNA(VLOOKUP(A373, MOs_Ready_to_close[[Order]:[Tot Est Machine Hrs]], 2, FALSE), "")</f>
        <v/>
      </c>
      <c r="C373" s="5" t="str">
        <f>_xlfn.IFNA(VLOOKUP(A373, MOs_Ready_to_close[[Order]:[Tot Est Machine Hrs]], 4, FALSE), "")</f>
        <v/>
      </c>
      <c r="D373" s="6" t="str">
        <f>_xlfn.IFNA(VLOOKUP(A373, MOs_Ready_to_close[[Order]:[Tot Est Machine Hrs]], 8, FALSE), "")</f>
        <v/>
      </c>
      <c r="E373" s="7" t="str">
        <f>_xlfn.IFNA(VLOOKUP(A373, MOs_Ready_to_close[[Order]:[Tot Est Machine Hrs]], 9, FALSE), "")</f>
        <v/>
      </c>
      <c r="I373" s="11">
        <f>SUMIF(MO_Components[Order], Calculations!A373, MO_Components[Std Cost])</f>
        <v>0</v>
      </c>
      <c r="J373" s="11">
        <f>SUMIF(MO_Components[Order], Calculations!A373, MO_Components[Act Cost])</f>
        <v>0</v>
      </c>
      <c r="K373" s="11">
        <f t="shared" si="20"/>
        <v>0</v>
      </c>
      <c r="L373" t="str">
        <f t="shared" si="21"/>
        <v/>
      </c>
      <c r="M373" t="str">
        <f t="shared" si="22"/>
        <v/>
      </c>
      <c r="N373" t="str">
        <f t="shared" si="23"/>
        <v/>
      </c>
    </row>
    <row r="374" spans="2:14" x14ac:dyDescent="0.25">
      <c r="B374" s="5" t="str">
        <f>_xlfn.IFNA(VLOOKUP(A374, MOs_Ready_to_close[[Order]:[Tot Est Machine Hrs]], 2, FALSE), "")</f>
        <v/>
      </c>
      <c r="C374" s="5" t="str">
        <f>_xlfn.IFNA(VLOOKUP(A374, MOs_Ready_to_close[[Order]:[Tot Est Machine Hrs]], 4, FALSE), "")</f>
        <v/>
      </c>
      <c r="D374" s="6" t="str">
        <f>_xlfn.IFNA(VLOOKUP(A374, MOs_Ready_to_close[[Order]:[Tot Est Machine Hrs]], 8, FALSE), "")</f>
        <v/>
      </c>
      <c r="E374" s="7" t="str">
        <f>_xlfn.IFNA(VLOOKUP(A374, MOs_Ready_to_close[[Order]:[Tot Est Machine Hrs]], 9, FALSE), "")</f>
        <v/>
      </c>
      <c r="I374" s="11">
        <f>SUMIF(MO_Components[Order], Calculations!A374, MO_Components[Std Cost])</f>
        <v>0</v>
      </c>
      <c r="J374" s="11">
        <f>SUMIF(MO_Components[Order], Calculations!A374, MO_Components[Act Cost])</f>
        <v>0</v>
      </c>
      <c r="K374" s="11">
        <f t="shared" si="20"/>
        <v>0</v>
      </c>
      <c r="L374" t="str">
        <f t="shared" si="21"/>
        <v/>
      </c>
      <c r="M374" t="str">
        <f t="shared" si="22"/>
        <v/>
      </c>
      <c r="N374" t="str">
        <f t="shared" si="23"/>
        <v/>
      </c>
    </row>
    <row r="375" spans="2:14" x14ac:dyDescent="0.25">
      <c r="B375" s="5" t="str">
        <f>_xlfn.IFNA(VLOOKUP(A375, MOs_Ready_to_close[[Order]:[Tot Est Machine Hrs]], 2, FALSE), "")</f>
        <v/>
      </c>
      <c r="C375" s="5" t="str">
        <f>_xlfn.IFNA(VLOOKUP(A375, MOs_Ready_to_close[[Order]:[Tot Est Machine Hrs]], 4, FALSE), "")</f>
        <v/>
      </c>
      <c r="D375" s="6" t="str">
        <f>_xlfn.IFNA(VLOOKUP(A375, MOs_Ready_to_close[[Order]:[Tot Est Machine Hrs]], 8, FALSE), "")</f>
        <v/>
      </c>
      <c r="E375" s="7" t="str">
        <f>_xlfn.IFNA(VLOOKUP(A375, MOs_Ready_to_close[[Order]:[Tot Est Machine Hrs]], 9, FALSE), "")</f>
        <v/>
      </c>
      <c r="I375" s="11">
        <f>SUMIF(MO_Components[Order], Calculations!A375, MO_Components[Std Cost])</f>
        <v>0</v>
      </c>
      <c r="J375" s="11">
        <f>SUMIF(MO_Components[Order], Calculations!A375, MO_Components[Act Cost])</f>
        <v>0</v>
      </c>
      <c r="K375" s="11">
        <f t="shared" si="20"/>
        <v>0</v>
      </c>
      <c r="L375" t="str">
        <f t="shared" si="21"/>
        <v/>
      </c>
      <c r="M375" t="str">
        <f t="shared" si="22"/>
        <v/>
      </c>
      <c r="N375" t="str">
        <f t="shared" si="23"/>
        <v/>
      </c>
    </row>
    <row r="376" spans="2:14" x14ac:dyDescent="0.25">
      <c r="B376" s="5" t="str">
        <f>_xlfn.IFNA(VLOOKUP(A376, MOs_Ready_to_close[[Order]:[Tot Est Machine Hrs]], 2, FALSE), "")</f>
        <v/>
      </c>
      <c r="C376" s="5" t="str">
        <f>_xlfn.IFNA(VLOOKUP(A376, MOs_Ready_to_close[[Order]:[Tot Est Machine Hrs]], 4, FALSE), "")</f>
        <v/>
      </c>
      <c r="D376" s="6" t="str">
        <f>_xlfn.IFNA(VLOOKUP(A376, MOs_Ready_to_close[[Order]:[Tot Est Machine Hrs]], 8, FALSE), "")</f>
        <v/>
      </c>
      <c r="E376" s="7" t="str">
        <f>_xlfn.IFNA(VLOOKUP(A376, MOs_Ready_to_close[[Order]:[Tot Est Machine Hrs]], 9, FALSE), "")</f>
        <v/>
      </c>
      <c r="I376" s="11">
        <f>SUMIF(MO_Components[Order], Calculations!A376, MO_Components[Std Cost])</f>
        <v>0</v>
      </c>
      <c r="J376" s="11">
        <f>SUMIF(MO_Components[Order], Calculations!A376, MO_Components[Act Cost])</f>
        <v>0</v>
      </c>
      <c r="K376" s="11">
        <f t="shared" si="20"/>
        <v>0</v>
      </c>
      <c r="L376" t="str">
        <f t="shared" si="21"/>
        <v/>
      </c>
      <c r="M376" t="str">
        <f t="shared" si="22"/>
        <v/>
      </c>
      <c r="N376" t="str">
        <f t="shared" si="23"/>
        <v/>
      </c>
    </row>
    <row r="377" spans="2:14" x14ac:dyDescent="0.25">
      <c r="B377" s="5" t="str">
        <f>_xlfn.IFNA(VLOOKUP(A377, MOs_Ready_to_close[[Order]:[Tot Est Machine Hrs]], 2, FALSE), "")</f>
        <v/>
      </c>
      <c r="C377" s="5" t="str">
        <f>_xlfn.IFNA(VLOOKUP(A377, MOs_Ready_to_close[[Order]:[Tot Est Machine Hrs]], 4, FALSE), "")</f>
        <v/>
      </c>
      <c r="D377" s="6" t="str">
        <f>_xlfn.IFNA(VLOOKUP(A377, MOs_Ready_to_close[[Order]:[Tot Est Machine Hrs]], 8, FALSE), "")</f>
        <v/>
      </c>
      <c r="E377" s="7" t="str">
        <f>_xlfn.IFNA(VLOOKUP(A377, MOs_Ready_to_close[[Order]:[Tot Est Machine Hrs]], 9, FALSE), "")</f>
        <v/>
      </c>
      <c r="I377" s="11">
        <f>SUMIF(MO_Components[Order], Calculations!A377, MO_Components[Std Cost])</f>
        <v>0</v>
      </c>
      <c r="J377" s="11">
        <f>SUMIF(MO_Components[Order], Calculations!A377, MO_Components[Act Cost])</f>
        <v>0</v>
      </c>
      <c r="K377" s="11">
        <f t="shared" si="20"/>
        <v>0</v>
      </c>
      <c r="L377" t="str">
        <f t="shared" si="21"/>
        <v/>
      </c>
      <c r="M377" t="str">
        <f t="shared" si="22"/>
        <v/>
      </c>
      <c r="N377" t="str">
        <f t="shared" si="23"/>
        <v/>
      </c>
    </row>
    <row r="378" spans="2:14" x14ac:dyDescent="0.25">
      <c r="B378" s="5" t="str">
        <f>_xlfn.IFNA(VLOOKUP(A378, MOs_Ready_to_close[[Order]:[Tot Est Machine Hrs]], 2, FALSE), "")</f>
        <v/>
      </c>
      <c r="C378" s="5" t="str">
        <f>_xlfn.IFNA(VLOOKUP(A378, MOs_Ready_to_close[[Order]:[Tot Est Machine Hrs]], 4, FALSE), "")</f>
        <v/>
      </c>
      <c r="D378" s="6" t="str">
        <f>_xlfn.IFNA(VLOOKUP(A378, MOs_Ready_to_close[[Order]:[Tot Est Machine Hrs]], 8, FALSE), "")</f>
        <v/>
      </c>
      <c r="E378" s="7" t="str">
        <f>_xlfn.IFNA(VLOOKUP(A378, MOs_Ready_to_close[[Order]:[Tot Est Machine Hrs]], 9, FALSE), "")</f>
        <v/>
      </c>
      <c r="I378" s="11">
        <f>SUMIF(MO_Components[Order], Calculations!A378, MO_Components[Std Cost])</f>
        <v>0</v>
      </c>
      <c r="J378" s="11">
        <f>SUMIF(MO_Components[Order], Calculations!A378, MO_Components[Act Cost])</f>
        <v>0</v>
      </c>
      <c r="K378" s="11">
        <f t="shared" si="20"/>
        <v>0</v>
      </c>
      <c r="L378" t="str">
        <f t="shared" si="21"/>
        <v/>
      </c>
      <c r="M378" t="str">
        <f t="shared" si="22"/>
        <v/>
      </c>
      <c r="N378" t="str">
        <f t="shared" si="23"/>
        <v/>
      </c>
    </row>
    <row r="379" spans="2:14" x14ac:dyDescent="0.25">
      <c r="B379" s="5" t="str">
        <f>_xlfn.IFNA(VLOOKUP(A379, MOs_Ready_to_close[[Order]:[Tot Est Machine Hrs]], 2, FALSE), "")</f>
        <v/>
      </c>
      <c r="C379" s="5" t="str">
        <f>_xlfn.IFNA(VLOOKUP(A379, MOs_Ready_to_close[[Order]:[Tot Est Machine Hrs]], 4, FALSE), "")</f>
        <v/>
      </c>
      <c r="D379" s="6" t="str">
        <f>_xlfn.IFNA(VLOOKUP(A379, MOs_Ready_to_close[[Order]:[Tot Est Machine Hrs]], 8, FALSE), "")</f>
        <v/>
      </c>
      <c r="E379" s="7" t="str">
        <f>_xlfn.IFNA(VLOOKUP(A379, MOs_Ready_to_close[[Order]:[Tot Est Machine Hrs]], 9, FALSE), "")</f>
        <v/>
      </c>
      <c r="I379" s="11">
        <f>SUMIF(MO_Components[Order], Calculations!A379, MO_Components[Std Cost])</f>
        <v>0</v>
      </c>
      <c r="J379" s="11">
        <f>SUMIF(MO_Components[Order], Calculations!A379, MO_Components[Act Cost])</f>
        <v>0</v>
      </c>
      <c r="K379" s="11">
        <f t="shared" si="20"/>
        <v>0</v>
      </c>
      <c r="L379" t="str">
        <f t="shared" si="21"/>
        <v/>
      </c>
      <c r="M379" t="str">
        <f t="shared" si="22"/>
        <v/>
      </c>
      <c r="N379" t="str">
        <f t="shared" si="23"/>
        <v/>
      </c>
    </row>
    <row r="380" spans="2:14" x14ac:dyDescent="0.25">
      <c r="B380" s="5" t="str">
        <f>_xlfn.IFNA(VLOOKUP(A380, MOs_Ready_to_close[[Order]:[Tot Est Machine Hrs]], 2, FALSE), "")</f>
        <v/>
      </c>
      <c r="C380" s="5" t="str">
        <f>_xlfn.IFNA(VLOOKUP(A380, MOs_Ready_to_close[[Order]:[Tot Est Machine Hrs]], 4, FALSE), "")</f>
        <v/>
      </c>
      <c r="D380" s="6" t="str">
        <f>_xlfn.IFNA(VLOOKUP(A380, MOs_Ready_to_close[[Order]:[Tot Est Machine Hrs]], 8, FALSE), "")</f>
        <v/>
      </c>
      <c r="E380" s="7" t="str">
        <f>_xlfn.IFNA(VLOOKUP(A380, MOs_Ready_to_close[[Order]:[Tot Est Machine Hrs]], 9, FALSE), "")</f>
        <v/>
      </c>
      <c r="I380" s="11">
        <f>SUMIF(MO_Components[Order], Calculations!A380, MO_Components[Std Cost])</f>
        <v>0</v>
      </c>
      <c r="J380" s="11">
        <f>SUMIF(MO_Components[Order], Calculations!A380, MO_Components[Act Cost])</f>
        <v>0</v>
      </c>
      <c r="K380" s="11">
        <f t="shared" si="20"/>
        <v>0</v>
      </c>
      <c r="L380" t="str">
        <f t="shared" si="21"/>
        <v/>
      </c>
      <c r="M380" t="str">
        <f t="shared" si="22"/>
        <v/>
      </c>
      <c r="N380" t="str">
        <f t="shared" si="23"/>
        <v/>
      </c>
    </row>
    <row r="381" spans="2:14" x14ac:dyDescent="0.25">
      <c r="B381" s="5" t="str">
        <f>_xlfn.IFNA(VLOOKUP(A381, MOs_Ready_to_close[[Order]:[Tot Est Machine Hrs]], 2, FALSE), "")</f>
        <v/>
      </c>
      <c r="C381" s="5" t="str">
        <f>_xlfn.IFNA(VLOOKUP(A381, MOs_Ready_to_close[[Order]:[Tot Est Machine Hrs]], 4, FALSE), "")</f>
        <v/>
      </c>
      <c r="D381" s="6" t="str">
        <f>_xlfn.IFNA(VLOOKUP(A381, MOs_Ready_to_close[[Order]:[Tot Est Machine Hrs]], 8, FALSE), "")</f>
        <v/>
      </c>
      <c r="E381" s="7" t="str">
        <f>_xlfn.IFNA(VLOOKUP(A381, MOs_Ready_to_close[[Order]:[Tot Est Machine Hrs]], 9, FALSE), "")</f>
        <v/>
      </c>
      <c r="I381" s="11">
        <f>SUMIF(MO_Components[Order], Calculations!A381, MO_Components[Std Cost])</f>
        <v>0</v>
      </c>
      <c r="J381" s="11">
        <f>SUMIF(MO_Components[Order], Calculations!A381, MO_Components[Act Cost])</f>
        <v>0</v>
      </c>
      <c r="K381" s="11">
        <f t="shared" si="20"/>
        <v>0</v>
      </c>
      <c r="L381" t="str">
        <f t="shared" si="21"/>
        <v/>
      </c>
      <c r="M381" t="str">
        <f t="shared" si="22"/>
        <v/>
      </c>
      <c r="N381" t="str">
        <f t="shared" si="23"/>
        <v/>
      </c>
    </row>
    <row r="382" spans="2:14" x14ac:dyDescent="0.25">
      <c r="B382" s="5" t="str">
        <f>_xlfn.IFNA(VLOOKUP(A382, MOs_Ready_to_close[[Order]:[Tot Est Machine Hrs]], 2, FALSE), "")</f>
        <v/>
      </c>
      <c r="C382" s="5" t="str">
        <f>_xlfn.IFNA(VLOOKUP(A382, MOs_Ready_to_close[[Order]:[Tot Est Machine Hrs]], 4, FALSE), "")</f>
        <v/>
      </c>
      <c r="D382" s="6" t="str">
        <f>_xlfn.IFNA(VLOOKUP(A382, MOs_Ready_to_close[[Order]:[Tot Est Machine Hrs]], 8, FALSE), "")</f>
        <v/>
      </c>
      <c r="E382" s="7" t="str">
        <f>_xlfn.IFNA(VLOOKUP(A382, MOs_Ready_to_close[[Order]:[Tot Est Machine Hrs]], 9, FALSE), "")</f>
        <v/>
      </c>
      <c r="I382" s="11">
        <f>SUMIF(MO_Components[Order], Calculations!A382, MO_Components[Std Cost])</f>
        <v>0</v>
      </c>
      <c r="J382" s="11">
        <f>SUMIF(MO_Components[Order], Calculations!A382, MO_Components[Act Cost])</f>
        <v>0</v>
      </c>
      <c r="K382" s="11">
        <f t="shared" si="20"/>
        <v>0</v>
      </c>
      <c r="L382" t="str">
        <f t="shared" si="21"/>
        <v/>
      </c>
      <c r="M382" t="str">
        <f t="shared" si="22"/>
        <v/>
      </c>
      <c r="N382" t="str">
        <f t="shared" si="23"/>
        <v/>
      </c>
    </row>
    <row r="383" spans="2:14" x14ac:dyDescent="0.25">
      <c r="B383" s="5" t="str">
        <f>_xlfn.IFNA(VLOOKUP(A383, MOs_Ready_to_close[[Order]:[Tot Est Machine Hrs]], 2, FALSE), "")</f>
        <v/>
      </c>
      <c r="C383" s="5" t="str">
        <f>_xlfn.IFNA(VLOOKUP(A383, MOs_Ready_to_close[[Order]:[Tot Est Machine Hrs]], 4, FALSE), "")</f>
        <v/>
      </c>
      <c r="D383" s="6" t="str">
        <f>_xlfn.IFNA(VLOOKUP(A383, MOs_Ready_to_close[[Order]:[Tot Est Machine Hrs]], 8, FALSE), "")</f>
        <v/>
      </c>
      <c r="E383" s="7" t="str">
        <f>_xlfn.IFNA(VLOOKUP(A383, MOs_Ready_to_close[[Order]:[Tot Est Machine Hrs]], 9, FALSE), "")</f>
        <v/>
      </c>
      <c r="I383" s="11">
        <f>SUMIF(MO_Components[Order], Calculations!A383, MO_Components[Std Cost])</f>
        <v>0</v>
      </c>
      <c r="J383" s="11">
        <f>SUMIF(MO_Components[Order], Calculations!A383, MO_Components[Act Cost])</f>
        <v>0</v>
      </c>
      <c r="K383" s="11">
        <f t="shared" si="20"/>
        <v>0</v>
      </c>
      <c r="L383" t="str">
        <f t="shared" si="21"/>
        <v/>
      </c>
      <c r="M383" t="str">
        <f t="shared" si="22"/>
        <v/>
      </c>
      <c r="N383" t="str">
        <f t="shared" si="23"/>
        <v/>
      </c>
    </row>
    <row r="384" spans="2:14" x14ac:dyDescent="0.25">
      <c r="B384" s="5" t="str">
        <f>_xlfn.IFNA(VLOOKUP(A384, MOs_Ready_to_close[[Order]:[Tot Est Machine Hrs]], 2, FALSE), "")</f>
        <v/>
      </c>
      <c r="C384" s="5" t="str">
        <f>_xlfn.IFNA(VLOOKUP(A384, MOs_Ready_to_close[[Order]:[Tot Est Machine Hrs]], 4, FALSE), "")</f>
        <v/>
      </c>
      <c r="D384" s="6" t="str">
        <f>_xlfn.IFNA(VLOOKUP(A384, MOs_Ready_to_close[[Order]:[Tot Est Machine Hrs]], 8, FALSE), "")</f>
        <v/>
      </c>
      <c r="E384" s="7" t="str">
        <f>_xlfn.IFNA(VLOOKUP(A384, MOs_Ready_to_close[[Order]:[Tot Est Machine Hrs]], 9, FALSE), "")</f>
        <v/>
      </c>
      <c r="I384" s="11">
        <f>SUMIF(MO_Components[Order], Calculations!A384, MO_Components[Std Cost])</f>
        <v>0</v>
      </c>
      <c r="J384" s="11">
        <f>SUMIF(MO_Components[Order], Calculations!A384, MO_Components[Act Cost])</f>
        <v>0</v>
      </c>
      <c r="K384" s="11">
        <f t="shared" si="20"/>
        <v>0</v>
      </c>
      <c r="L384" t="str">
        <f t="shared" si="21"/>
        <v/>
      </c>
      <c r="M384" t="str">
        <f t="shared" si="22"/>
        <v/>
      </c>
      <c r="N384" t="str">
        <f t="shared" si="23"/>
        <v/>
      </c>
    </row>
    <row r="385" spans="2:14" x14ac:dyDescent="0.25">
      <c r="B385" s="5" t="str">
        <f>_xlfn.IFNA(VLOOKUP(A385, MOs_Ready_to_close[[Order]:[Tot Est Machine Hrs]], 2, FALSE), "")</f>
        <v/>
      </c>
      <c r="C385" s="5" t="str">
        <f>_xlfn.IFNA(VLOOKUP(A385, MOs_Ready_to_close[[Order]:[Tot Est Machine Hrs]], 4, FALSE), "")</f>
        <v/>
      </c>
      <c r="D385" s="6" t="str">
        <f>_xlfn.IFNA(VLOOKUP(A385, MOs_Ready_to_close[[Order]:[Tot Est Machine Hrs]], 8, FALSE), "")</f>
        <v/>
      </c>
      <c r="E385" s="7" t="str">
        <f>_xlfn.IFNA(VLOOKUP(A385, MOs_Ready_to_close[[Order]:[Tot Est Machine Hrs]], 9, FALSE), "")</f>
        <v/>
      </c>
      <c r="I385" s="11">
        <f>SUMIF(MO_Components[Order], Calculations!A385, MO_Components[Std Cost])</f>
        <v>0</v>
      </c>
      <c r="J385" s="11">
        <f>SUMIF(MO_Components[Order], Calculations!A385, MO_Components[Act Cost])</f>
        <v>0</v>
      </c>
      <c r="K385" s="11">
        <f t="shared" si="20"/>
        <v>0</v>
      </c>
      <c r="L385" t="str">
        <f t="shared" si="21"/>
        <v/>
      </c>
      <c r="M385" t="str">
        <f t="shared" si="22"/>
        <v/>
      </c>
      <c r="N385" t="str">
        <f t="shared" si="23"/>
        <v/>
      </c>
    </row>
    <row r="386" spans="2:14" x14ac:dyDescent="0.25">
      <c r="B386" s="5" t="str">
        <f>_xlfn.IFNA(VLOOKUP(A386, MOs_Ready_to_close[[Order]:[Tot Est Machine Hrs]], 2, FALSE), "")</f>
        <v/>
      </c>
      <c r="C386" s="5" t="str">
        <f>_xlfn.IFNA(VLOOKUP(A386, MOs_Ready_to_close[[Order]:[Tot Est Machine Hrs]], 4, FALSE), "")</f>
        <v/>
      </c>
      <c r="D386" s="6" t="str">
        <f>_xlfn.IFNA(VLOOKUP(A386, MOs_Ready_to_close[[Order]:[Tot Est Machine Hrs]], 8, FALSE), "")</f>
        <v/>
      </c>
      <c r="E386" s="7" t="str">
        <f>_xlfn.IFNA(VLOOKUP(A386, MOs_Ready_to_close[[Order]:[Tot Est Machine Hrs]], 9, FALSE), "")</f>
        <v/>
      </c>
      <c r="I386" s="11">
        <f>SUMIF(MO_Components[Order], Calculations!A386, MO_Components[Std Cost])</f>
        <v>0</v>
      </c>
      <c r="J386" s="11">
        <f>SUMIF(MO_Components[Order], Calculations!A386, MO_Components[Act Cost])</f>
        <v>0</v>
      </c>
      <c r="K386" s="11">
        <f t="shared" si="20"/>
        <v>0</v>
      </c>
      <c r="L386" t="str">
        <f t="shared" si="21"/>
        <v/>
      </c>
      <c r="M386" t="str">
        <f t="shared" si="22"/>
        <v/>
      </c>
      <c r="N386" t="str">
        <f t="shared" si="23"/>
        <v/>
      </c>
    </row>
    <row r="387" spans="2:14" x14ac:dyDescent="0.25">
      <c r="B387" s="5" t="str">
        <f>_xlfn.IFNA(VLOOKUP(A387, MOs_Ready_to_close[[Order]:[Tot Est Machine Hrs]], 2, FALSE), "")</f>
        <v/>
      </c>
      <c r="C387" s="5" t="str">
        <f>_xlfn.IFNA(VLOOKUP(A387, MOs_Ready_to_close[[Order]:[Tot Est Machine Hrs]], 4, FALSE), "")</f>
        <v/>
      </c>
      <c r="D387" s="6" t="str">
        <f>_xlfn.IFNA(VLOOKUP(A387, MOs_Ready_to_close[[Order]:[Tot Est Machine Hrs]], 8, FALSE), "")</f>
        <v/>
      </c>
      <c r="E387" s="7" t="str">
        <f>_xlfn.IFNA(VLOOKUP(A387, MOs_Ready_to_close[[Order]:[Tot Est Machine Hrs]], 9, FALSE), "")</f>
        <v/>
      </c>
      <c r="I387" s="11">
        <f>SUMIF(MO_Components[Order], Calculations!A387, MO_Components[Std Cost])</f>
        <v>0</v>
      </c>
      <c r="J387" s="11">
        <f>SUMIF(MO_Components[Order], Calculations!A387, MO_Components[Act Cost])</f>
        <v>0</v>
      </c>
      <c r="K387" s="11">
        <f t="shared" ref="K387:K450" si="24">J387-I387</f>
        <v>0</v>
      </c>
      <c r="L387" t="str">
        <f t="shared" ref="L387:L450" si="25">IF(E387&lt;&gt;"", IF(E387&gt;0, "Positive", "Negative"), "")</f>
        <v/>
      </c>
      <c r="M387" t="str">
        <f t="shared" ref="M387:M450" si="26">IF(H387&lt;&gt;0, IF(H387&gt;0, "Positive", "Negative"), "")</f>
        <v/>
      </c>
      <c r="N387" t="str">
        <f t="shared" ref="N387:N450" si="27">IF(K387&lt;&gt;0, IF(K387&gt;0, "Positive", "Negative"), "")</f>
        <v/>
      </c>
    </row>
    <row r="388" spans="2:14" x14ac:dyDescent="0.25">
      <c r="B388" s="5" t="str">
        <f>_xlfn.IFNA(VLOOKUP(A388, MOs_Ready_to_close[[Order]:[Tot Est Machine Hrs]], 2, FALSE), "")</f>
        <v/>
      </c>
      <c r="C388" s="5" t="str">
        <f>_xlfn.IFNA(VLOOKUP(A388, MOs_Ready_to_close[[Order]:[Tot Est Machine Hrs]], 4, FALSE), "")</f>
        <v/>
      </c>
      <c r="D388" s="6" t="str">
        <f>_xlfn.IFNA(VLOOKUP(A388, MOs_Ready_to_close[[Order]:[Tot Est Machine Hrs]], 8, FALSE), "")</f>
        <v/>
      </c>
      <c r="E388" s="7" t="str">
        <f>_xlfn.IFNA(VLOOKUP(A388, MOs_Ready_to_close[[Order]:[Tot Est Machine Hrs]], 9, FALSE), "")</f>
        <v/>
      </c>
      <c r="I388" s="11">
        <f>SUMIF(MO_Components[Order], Calculations!A388, MO_Components[Std Cost])</f>
        <v>0</v>
      </c>
      <c r="J388" s="11">
        <f>SUMIF(MO_Components[Order], Calculations!A388, MO_Components[Act Cost])</f>
        <v>0</v>
      </c>
      <c r="K388" s="11">
        <f t="shared" si="24"/>
        <v>0</v>
      </c>
      <c r="L388" t="str">
        <f t="shared" si="25"/>
        <v/>
      </c>
      <c r="M388" t="str">
        <f t="shared" si="26"/>
        <v/>
      </c>
      <c r="N388" t="str">
        <f t="shared" si="27"/>
        <v/>
      </c>
    </row>
    <row r="389" spans="2:14" x14ac:dyDescent="0.25">
      <c r="B389" s="5" t="str">
        <f>_xlfn.IFNA(VLOOKUP(A389, MOs_Ready_to_close[[Order]:[Tot Est Machine Hrs]], 2, FALSE), "")</f>
        <v/>
      </c>
      <c r="C389" s="5" t="str">
        <f>_xlfn.IFNA(VLOOKUP(A389, MOs_Ready_to_close[[Order]:[Tot Est Machine Hrs]], 4, FALSE), "")</f>
        <v/>
      </c>
      <c r="D389" s="6" t="str">
        <f>_xlfn.IFNA(VLOOKUP(A389, MOs_Ready_to_close[[Order]:[Tot Est Machine Hrs]], 8, FALSE), "")</f>
        <v/>
      </c>
      <c r="E389" s="7" t="str">
        <f>_xlfn.IFNA(VLOOKUP(A389, MOs_Ready_to_close[[Order]:[Tot Est Machine Hrs]], 9, FALSE), "")</f>
        <v/>
      </c>
      <c r="I389" s="11">
        <f>SUMIF(MO_Components[Order], Calculations!A389, MO_Components[Std Cost])</f>
        <v>0</v>
      </c>
      <c r="J389" s="11">
        <f>SUMIF(MO_Components[Order], Calculations!A389, MO_Components[Act Cost])</f>
        <v>0</v>
      </c>
      <c r="K389" s="11">
        <f t="shared" si="24"/>
        <v>0</v>
      </c>
      <c r="L389" t="str">
        <f t="shared" si="25"/>
        <v/>
      </c>
      <c r="M389" t="str">
        <f t="shared" si="26"/>
        <v/>
      </c>
      <c r="N389" t="str">
        <f t="shared" si="27"/>
        <v/>
      </c>
    </row>
    <row r="390" spans="2:14" x14ac:dyDescent="0.25">
      <c r="B390" s="5" t="str">
        <f>_xlfn.IFNA(VLOOKUP(A390, MOs_Ready_to_close[[Order]:[Tot Est Machine Hrs]], 2, FALSE), "")</f>
        <v/>
      </c>
      <c r="C390" s="5" t="str">
        <f>_xlfn.IFNA(VLOOKUP(A390, MOs_Ready_to_close[[Order]:[Tot Est Machine Hrs]], 4, FALSE), "")</f>
        <v/>
      </c>
      <c r="D390" s="6" t="str">
        <f>_xlfn.IFNA(VLOOKUP(A390, MOs_Ready_to_close[[Order]:[Tot Est Machine Hrs]], 8, FALSE), "")</f>
        <v/>
      </c>
      <c r="E390" s="7" t="str">
        <f>_xlfn.IFNA(VLOOKUP(A390, MOs_Ready_to_close[[Order]:[Tot Est Machine Hrs]], 9, FALSE), "")</f>
        <v/>
      </c>
      <c r="I390" s="11">
        <f>SUMIF(MO_Components[Order], Calculations!A390, MO_Components[Std Cost])</f>
        <v>0</v>
      </c>
      <c r="J390" s="11">
        <f>SUMIF(MO_Components[Order], Calculations!A390, MO_Components[Act Cost])</f>
        <v>0</v>
      </c>
      <c r="K390" s="11">
        <f t="shared" si="24"/>
        <v>0</v>
      </c>
      <c r="L390" t="str">
        <f t="shared" si="25"/>
        <v/>
      </c>
      <c r="M390" t="str">
        <f t="shared" si="26"/>
        <v/>
      </c>
      <c r="N390" t="str">
        <f t="shared" si="27"/>
        <v/>
      </c>
    </row>
    <row r="391" spans="2:14" x14ac:dyDescent="0.25">
      <c r="B391" s="5" t="str">
        <f>_xlfn.IFNA(VLOOKUP(A391, MOs_Ready_to_close[[Order]:[Tot Est Machine Hrs]], 2, FALSE), "")</f>
        <v/>
      </c>
      <c r="C391" s="5" t="str">
        <f>_xlfn.IFNA(VLOOKUP(A391, MOs_Ready_to_close[[Order]:[Tot Est Machine Hrs]], 4, FALSE), "")</f>
        <v/>
      </c>
      <c r="D391" s="6" t="str">
        <f>_xlfn.IFNA(VLOOKUP(A391, MOs_Ready_to_close[[Order]:[Tot Est Machine Hrs]], 8, FALSE), "")</f>
        <v/>
      </c>
      <c r="E391" s="7" t="str">
        <f>_xlfn.IFNA(VLOOKUP(A391, MOs_Ready_to_close[[Order]:[Tot Est Machine Hrs]], 9, FALSE), "")</f>
        <v/>
      </c>
      <c r="I391" s="11">
        <f>SUMIF(MO_Components[Order], Calculations!A391, MO_Components[Std Cost])</f>
        <v>0</v>
      </c>
      <c r="J391" s="11">
        <f>SUMIF(MO_Components[Order], Calculations!A391, MO_Components[Act Cost])</f>
        <v>0</v>
      </c>
      <c r="K391" s="11">
        <f t="shared" si="24"/>
        <v>0</v>
      </c>
      <c r="L391" t="str">
        <f t="shared" si="25"/>
        <v/>
      </c>
      <c r="M391" t="str">
        <f t="shared" si="26"/>
        <v/>
      </c>
      <c r="N391" t="str">
        <f t="shared" si="27"/>
        <v/>
      </c>
    </row>
    <row r="392" spans="2:14" x14ac:dyDescent="0.25">
      <c r="B392" s="5" t="str">
        <f>_xlfn.IFNA(VLOOKUP(A392, MOs_Ready_to_close[[Order]:[Tot Est Machine Hrs]], 2, FALSE), "")</f>
        <v/>
      </c>
      <c r="C392" s="5" t="str">
        <f>_xlfn.IFNA(VLOOKUP(A392, MOs_Ready_to_close[[Order]:[Tot Est Machine Hrs]], 4, FALSE), "")</f>
        <v/>
      </c>
      <c r="D392" s="6" t="str">
        <f>_xlfn.IFNA(VLOOKUP(A392, MOs_Ready_to_close[[Order]:[Tot Est Machine Hrs]], 8, FALSE), "")</f>
        <v/>
      </c>
      <c r="E392" s="7" t="str">
        <f>_xlfn.IFNA(VLOOKUP(A392, MOs_Ready_to_close[[Order]:[Tot Est Machine Hrs]], 9, FALSE), "")</f>
        <v/>
      </c>
      <c r="I392" s="11">
        <f>SUMIF(MO_Components[Order], Calculations!A392, MO_Components[Std Cost])</f>
        <v>0</v>
      </c>
      <c r="J392" s="11">
        <f>SUMIF(MO_Components[Order], Calculations!A392, MO_Components[Act Cost])</f>
        <v>0</v>
      </c>
      <c r="K392" s="11">
        <f t="shared" si="24"/>
        <v>0</v>
      </c>
      <c r="L392" t="str">
        <f t="shared" si="25"/>
        <v/>
      </c>
      <c r="M392" t="str">
        <f t="shared" si="26"/>
        <v/>
      </c>
      <c r="N392" t="str">
        <f t="shared" si="27"/>
        <v/>
      </c>
    </row>
    <row r="393" spans="2:14" x14ac:dyDescent="0.25">
      <c r="B393" s="5" t="str">
        <f>_xlfn.IFNA(VLOOKUP(A393, MOs_Ready_to_close[[Order]:[Tot Est Machine Hrs]], 2, FALSE), "")</f>
        <v/>
      </c>
      <c r="C393" s="5" t="str">
        <f>_xlfn.IFNA(VLOOKUP(A393, MOs_Ready_to_close[[Order]:[Tot Est Machine Hrs]], 4, FALSE), "")</f>
        <v/>
      </c>
      <c r="D393" s="6" t="str">
        <f>_xlfn.IFNA(VLOOKUP(A393, MOs_Ready_to_close[[Order]:[Tot Est Machine Hrs]], 8, FALSE), "")</f>
        <v/>
      </c>
      <c r="E393" s="7" t="str">
        <f>_xlfn.IFNA(VLOOKUP(A393, MOs_Ready_to_close[[Order]:[Tot Est Machine Hrs]], 9, FALSE), "")</f>
        <v/>
      </c>
      <c r="I393" s="11">
        <f>SUMIF(MO_Components[Order], Calculations!A393, MO_Components[Std Cost])</f>
        <v>0</v>
      </c>
      <c r="J393" s="11">
        <f>SUMIF(MO_Components[Order], Calculations!A393, MO_Components[Act Cost])</f>
        <v>0</v>
      </c>
      <c r="K393" s="11">
        <f t="shared" si="24"/>
        <v>0</v>
      </c>
      <c r="L393" t="str">
        <f t="shared" si="25"/>
        <v/>
      </c>
      <c r="M393" t="str">
        <f t="shared" si="26"/>
        <v/>
      </c>
      <c r="N393" t="str">
        <f t="shared" si="27"/>
        <v/>
      </c>
    </row>
    <row r="394" spans="2:14" x14ac:dyDescent="0.25">
      <c r="B394" s="5" t="str">
        <f>_xlfn.IFNA(VLOOKUP(A394, MOs_Ready_to_close[[Order]:[Tot Est Machine Hrs]], 2, FALSE), "")</f>
        <v/>
      </c>
      <c r="C394" s="5" t="str">
        <f>_xlfn.IFNA(VLOOKUP(A394, MOs_Ready_to_close[[Order]:[Tot Est Machine Hrs]], 4, FALSE), "")</f>
        <v/>
      </c>
      <c r="D394" s="6" t="str">
        <f>_xlfn.IFNA(VLOOKUP(A394, MOs_Ready_to_close[[Order]:[Tot Est Machine Hrs]], 8, FALSE), "")</f>
        <v/>
      </c>
      <c r="E394" s="7" t="str">
        <f>_xlfn.IFNA(VLOOKUP(A394, MOs_Ready_to_close[[Order]:[Tot Est Machine Hrs]], 9, FALSE), "")</f>
        <v/>
      </c>
      <c r="I394" s="11">
        <f>SUMIF(MO_Components[Order], Calculations!A394, MO_Components[Std Cost])</f>
        <v>0</v>
      </c>
      <c r="J394" s="11">
        <f>SUMIF(MO_Components[Order], Calculations!A394, MO_Components[Act Cost])</f>
        <v>0</v>
      </c>
      <c r="K394" s="11">
        <f t="shared" si="24"/>
        <v>0</v>
      </c>
      <c r="L394" t="str">
        <f t="shared" si="25"/>
        <v/>
      </c>
      <c r="M394" t="str">
        <f t="shared" si="26"/>
        <v/>
      </c>
      <c r="N394" t="str">
        <f t="shared" si="27"/>
        <v/>
      </c>
    </row>
    <row r="395" spans="2:14" x14ac:dyDescent="0.25">
      <c r="B395" s="5" t="str">
        <f>_xlfn.IFNA(VLOOKUP(A395, MOs_Ready_to_close[[Order]:[Tot Est Machine Hrs]], 2, FALSE), "")</f>
        <v/>
      </c>
      <c r="C395" s="5" t="str">
        <f>_xlfn.IFNA(VLOOKUP(A395, MOs_Ready_to_close[[Order]:[Tot Est Machine Hrs]], 4, FALSE), "")</f>
        <v/>
      </c>
      <c r="D395" s="6" t="str">
        <f>_xlfn.IFNA(VLOOKUP(A395, MOs_Ready_to_close[[Order]:[Tot Est Machine Hrs]], 8, FALSE), "")</f>
        <v/>
      </c>
      <c r="E395" s="7" t="str">
        <f>_xlfn.IFNA(VLOOKUP(A395, MOs_Ready_to_close[[Order]:[Tot Est Machine Hrs]], 9, FALSE), "")</f>
        <v/>
      </c>
      <c r="I395" s="11">
        <f>SUMIF(MO_Components[Order], Calculations!A395, MO_Components[Std Cost])</f>
        <v>0</v>
      </c>
      <c r="J395" s="11">
        <f>SUMIF(MO_Components[Order], Calculations!A395, MO_Components[Act Cost])</f>
        <v>0</v>
      </c>
      <c r="K395" s="11">
        <f t="shared" si="24"/>
        <v>0</v>
      </c>
      <c r="L395" t="str">
        <f t="shared" si="25"/>
        <v/>
      </c>
      <c r="M395" t="str">
        <f t="shared" si="26"/>
        <v/>
      </c>
      <c r="N395" t="str">
        <f t="shared" si="27"/>
        <v/>
      </c>
    </row>
    <row r="396" spans="2:14" x14ac:dyDescent="0.25">
      <c r="B396" s="5" t="str">
        <f>_xlfn.IFNA(VLOOKUP(A396, MOs_Ready_to_close[[Order]:[Tot Est Machine Hrs]], 2, FALSE), "")</f>
        <v/>
      </c>
      <c r="C396" s="5" t="str">
        <f>_xlfn.IFNA(VLOOKUP(A396, MOs_Ready_to_close[[Order]:[Tot Est Machine Hrs]], 4, FALSE), "")</f>
        <v/>
      </c>
      <c r="D396" s="6" t="str">
        <f>_xlfn.IFNA(VLOOKUP(A396, MOs_Ready_to_close[[Order]:[Tot Est Machine Hrs]], 8, FALSE), "")</f>
        <v/>
      </c>
      <c r="E396" s="7" t="str">
        <f>_xlfn.IFNA(VLOOKUP(A396, MOs_Ready_to_close[[Order]:[Tot Est Machine Hrs]], 9, FALSE), "")</f>
        <v/>
      </c>
      <c r="I396" s="11">
        <f>SUMIF(MO_Components[Order], Calculations!A396, MO_Components[Std Cost])</f>
        <v>0</v>
      </c>
      <c r="J396" s="11">
        <f>SUMIF(MO_Components[Order], Calculations!A396, MO_Components[Act Cost])</f>
        <v>0</v>
      </c>
      <c r="K396" s="11">
        <f t="shared" si="24"/>
        <v>0</v>
      </c>
      <c r="L396" t="str">
        <f t="shared" si="25"/>
        <v/>
      </c>
      <c r="M396" t="str">
        <f t="shared" si="26"/>
        <v/>
      </c>
      <c r="N396" t="str">
        <f t="shared" si="27"/>
        <v/>
      </c>
    </row>
    <row r="397" spans="2:14" x14ac:dyDescent="0.25">
      <c r="B397" s="5" t="str">
        <f>_xlfn.IFNA(VLOOKUP(A397, MOs_Ready_to_close[[Order]:[Tot Est Machine Hrs]], 2, FALSE), "")</f>
        <v/>
      </c>
      <c r="C397" s="5" t="str">
        <f>_xlfn.IFNA(VLOOKUP(A397, MOs_Ready_to_close[[Order]:[Tot Est Machine Hrs]], 4, FALSE), "")</f>
        <v/>
      </c>
      <c r="D397" s="6" t="str">
        <f>_xlfn.IFNA(VLOOKUP(A397, MOs_Ready_to_close[[Order]:[Tot Est Machine Hrs]], 8, FALSE), "")</f>
        <v/>
      </c>
      <c r="E397" s="7" t="str">
        <f>_xlfn.IFNA(VLOOKUP(A397, MOs_Ready_to_close[[Order]:[Tot Est Machine Hrs]], 9, FALSE), "")</f>
        <v/>
      </c>
      <c r="I397" s="11">
        <f>SUMIF(MO_Components[Order], Calculations!A397, MO_Components[Std Cost])</f>
        <v>0</v>
      </c>
      <c r="J397" s="11">
        <f>SUMIF(MO_Components[Order], Calculations!A397, MO_Components[Act Cost])</f>
        <v>0</v>
      </c>
      <c r="K397" s="11">
        <f t="shared" si="24"/>
        <v>0</v>
      </c>
      <c r="L397" t="str">
        <f t="shared" si="25"/>
        <v/>
      </c>
      <c r="M397" t="str">
        <f t="shared" si="26"/>
        <v/>
      </c>
      <c r="N397" t="str">
        <f t="shared" si="27"/>
        <v/>
      </c>
    </row>
    <row r="398" spans="2:14" x14ac:dyDescent="0.25">
      <c r="B398" s="5" t="str">
        <f>_xlfn.IFNA(VLOOKUP(A398, MOs_Ready_to_close[[Order]:[Tot Est Machine Hrs]], 2, FALSE), "")</f>
        <v/>
      </c>
      <c r="C398" s="5" t="str">
        <f>_xlfn.IFNA(VLOOKUP(A398, MOs_Ready_to_close[[Order]:[Tot Est Machine Hrs]], 4, FALSE), "")</f>
        <v/>
      </c>
      <c r="D398" s="6" t="str">
        <f>_xlfn.IFNA(VLOOKUP(A398, MOs_Ready_to_close[[Order]:[Tot Est Machine Hrs]], 8, FALSE), "")</f>
        <v/>
      </c>
      <c r="E398" s="7" t="str">
        <f>_xlfn.IFNA(VLOOKUP(A398, MOs_Ready_to_close[[Order]:[Tot Est Machine Hrs]], 9, FALSE), "")</f>
        <v/>
      </c>
      <c r="I398" s="11">
        <f>SUMIF(MO_Components[Order], Calculations!A398, MO_Components[Std Cost])</f>
        <v>0</v>
      </c>
      <c r="J398" s="11">
        <f>SUMIF(MO_Components[Order], Calculations!A398, MO_Components[Act Cost])</f>
        <v>0</v>
      </c>
      <c r="K398" s="11">
        <f t="shared" si="24"/>
        <v>0</v>
      </c>
      <c r="L398" t="str">
        <f t="shared" si="25"/>
        <v/>
      </c>
      <c r="M398" t="str">
        <f t="shared" si="26"/>
        <v/>
      </c>
      <c r="N398" t="str">
        <f t="shared" si="27"/>
        <v/>
      </c>
    </row>
    <row r="399" spans="2:14" x14ac:dyDescent="0.25">
      <c r="B399" s="5" t="str">
        <f>_xlfn.IFNA(VLOOKUP(A399, MOs_Ready_to_close[[Order]:[Tot Est Machine Hrs]], 2, FALSE), "")</f>
        <v/>
      </c>
      <c r="C399" s="5" t="str">
        <f>_xlfn.IFNA(VLOOKUP(A399, MOs_Ready_to_close[[Order]:[Tot Est Machine Hrs]], 4, FALSE), "")</f>
        <v/>
      </c>
      <c r="D399" s="6" t="str">
        <f>_xlfn.IFNA(VLOOKUP(A399, MOs_Ready_to_close[[Order]:[Tot Est Machine Hrs]], 8, FALSE), "")</f>
        <v/>
      </c>
      <c r="E399" s="7" t="str">
        <f>_xlfn.IFNA(VLOOKUP(A399, MOs_Ready_to_close[[Order]:[Tot Est Machine Hrs]], 9, FALSE), "")</f>
        <v/>
      </c>
      <c r="I399" s="11">
        <f>SUMIF(MO_Components[Order], Calculations!A399, MO_Components[Std Cost])</f>
        <v>0</v>
      </c>
      <c r="J399" s="11">
        <f>SUMIF(MO_Components[Order], Calculations!A399, MO_Components[Act Cost])</f>
        <v>0</v>
      </c>
      <c r="K399" s="11">
        <f t="shared" si="24"/>
        <v>0</v>
      </c>
      <c r="L399" t="str">
        <f t="shared" si="25"/>
        <v/>
      </c>
      <c r="M399" t="str">
        <f t="shared" si="26"/>
        <v/>
      </c>
      <c r="N399" t="str">
        <f t="shared" si="27"/>
        <v/>
      </c>
    </row>
    <row r="400" spans="2:14" x14ac:dyDescent="0.25">
      <c r="B400" s="5" t="str">
        <f>_xlfn.IFNA(VLOOKUP(A400, MOs_Ready_to_close[[Order]:[Tot Est Machine Hrs]], 2, FALSE), "")</f>
        <v/>
      </c>
      <c r="C400" s="5" t="str">
        <f>_xlfn.IFNA(VLOOKUP(A400, MOs_Ready_to_close[[Order]:[Tot Est Machine Hrs]], 4, FALSE), "")</f>
        <v/>
      </c>
      <c r="D400" s="6" t="str">
        <f>_xlfn.IFNA(VLOOKUP(A400, MOs_Ready_to_close[[Order]:[Tot Est Machine Hrs]], 8, FALSE), "")</f>
        <v/>
      </c>
      <c r="E400" s="7" t="str">
        <f>_xlfn.IFNA(VLOOKUP(A400, MOs_Ready_to_close[[Order]:[Tot Est Machine Hrs]], 9, FALSE), "")</f>
        <v/>
      </c>
      <c r="I400" s="11">
        <f>SUMIF(MO_Components[Order], Calculations!A400, MO_Components[Std Cost])</f>
        <v>0</v>
      </c>
      <c r="J400" s="11">
        <f>SUMIF(MO_Components[Order], Calculations!A400, MO_Components[Act Cost])</f>
        <v>0</v>
      </c>
      <c r="K400" s="11">
        <f t="shared" si="24"/>
        <v>0</v>
      </c>
      <c r="L400" t="str">
        <f t="shared" si="25"/>
        <v/>
      </c>
      <c r="M400" t="str">
        <f t="shared" si="26"/>
        <v/>
      </c>
      <c r="N400" t="str">
        <f t="shared" si="27"/>
        <v/>
      </c>
    </row>
    <row r="401" spans="2:14" x14ac:dyDescent="0.25">
      <c r="B401" s="5" t="str">
        <f>_xlfn.IFNA(VLOOKUP(A401, MOs_Ready_to_close[[Order]:[Tot Est Machine Hrs]], 2, FALSE), "")</f>
        <v/>
      </c>
      <c r="C401" s="5" t="str">
        <f>_xlfn.IFNA(VLOOKUP(A401, MOs_Ready_to_close[[Order]:[Tot Est Machine Hrs]], 4, FALSE), "")</f>
        <v/>
      </c>
      <c r="D401" s="6" t="str">
        <f>_xlfn.IFNA(VLOOKUP(A401, MOs_Ready_to_close[[Order]:[Tot Est Machine Hrs]], 8, FALSE), "")</f>
        <v/>
      </c>
      <c r="E401" s="7" t="str">
        <f>_xlfn.IFNA(VLOOKUP(A401, MOs_Ready_to_close[[Order]:[Tot Est Machine Hrs]], 9, FALSE), "")</f>
        <v/>
      </c>
      <c r="I401" s="11">
        <f>SUMIF(MO_Components[Order], Calculations!A401, MO_Components[Std Cost])</f>
        <v>0</v>
      </c>
      <c r="J401" s="11">
        <f>SUMIF(MO_Components[Order], Calculations!A401, MO_Components[Act Cost])</f>
        <v>0</v>
      </c>
      <c r="K401" s="11">
        <f t="shared" si="24"/>
        <v>0</v>
      </c>
      <c r="L401" t="str">
        <f t="shared" si="25"/>
        <v/>
      </c>
      <c r="M401" t="str">
        <f t="shared" si="26"/>
        <v/>
      </c>
      <c r="N401" t="str">
        <f t="shared" si="27"/>
        <v/>
      </c>
    </row>
    <row r="402" spans="2:14" x14ac:dyDescent="0.25">
      <c r="B402" s="5" t="str">
        <f>_xlfn.IFNA(VLOOKUP(A402, MOs_Ready_to_close[[Order]:[Tot Est Machine Hrs]], 2, FALSE), "")</f>
        <v/>
      </c>
      <c r="C402" s="5" t="str">
        <f>_xlfn.IFNA(VLOOKUP(A402, MOs_Ready_to_close[[Order]:[Tot Est Machine Hrs]], 4, FALSE), "")</f>
        <v/>
      </c>
      <c r="D402" s="6" t="str">
        <f>_xlfn.IFNA(VLOOKUP(A402, MOs_Ready_to_close[[Order]:[Tot Est Machine Hrs]], 8, FALSE), "")</f>
        <v/>
      </c>
      <c r="E402" s="7" t="str">
        <f>_xlfn.IFNA(VLOOKUP(A402, MOs_Ready_to_close[[Order]:[Tot Est Machine Hrs]], 9, FALSE), "")</f>
        <v/>
      </c>
      <c r="I402" s="11">
        <f>SUMIF(MO_Components[Order], Calculations!A402, MO_Components[Std Cost])</f>
        <v>0</v>
      </c>
      <c r="J402" s="11">
        <f>SUMIF(MO_Components[Order], Calculations!A402, MO_Components[Act Cost])</f>
        <v>0</v>
      </c>
      <c r="K402" s="11">
        <f t="shared" si="24"/>
        <v>0</v>
      </c>
      <c r="L402" t="str">
        <f t="shared" si="25"/>
        <v/>
      </c>
      <c r="M402" t="str">
        <f t="shared" si="26"/>
        <v/>
      </c>
      <c r="N402" t="str">
        <f t="shared" si="27"/>
        <v/>
      </c>
    </row>
    <row r="403" spans="2:14" x14ac:dyDescent="0.25">
      <c r="B403" s="5" t="str">
        <f>_xlfn.IFNA(VLOOKUP(A403, MOs_Ready_to_close[[Order]:[Tot Est Machine Hrs]], 2, FALSE), "")</f>
        <v/>
      </c>
      <c r="C403" s="5" t="str">
        <f>_xlfn.IFNA(VLOOKUP(A403, MOs_Ready_to_close[[Order]:[Tot Est Machine Hrs]], 4, FALSE), "")</f>
        <v/>
      </c>
      <c r="D403" s="6" t="str">
        <f>_xlfn.IFNA(VLOOKUP(A403, MOs_Ready_to_close[[Order]:[Tot Est Machine Hrs]], 8, FALSE), "")</f>
        <v/>
      </c>
      <c r="E403" s="7" t="str">
        <f>_xlfn.IFNA(VLOOKUP(A403, MOs_Ready_to_close[[Order]:[Tot Est Machine Hrs]], 9, FALSE), "")</f>
        <v/>
      </c>
      <c r="I403" s="11">
        <f>SUMIF(MO_Components[Order], Calculations!A403, MO_Components[Std Cost])</f>
        <v>0</v>
      </c>
      <c r="J403" s="11">
        <f>SUMIF(MO_Components[Order], Calculations!A403, MO_Components[Act Cost])</f>
        <v>0</v>
      </c>
      <c r="K403" s="11">
        <f t="shared" si="24"/>
        <v>0</v>
      </c>
      <c r="L403" t="str">
        <f t="shared" si="25"/>
        <v/>
      </c>
      <c r="M403" t="str">
        <f t="shared" si="26"/>
        <v/>
      </c>
      <c r="N403" t="str">
        <f t="shared" si="27"/>
        <v/>
      </c>
    </row>
    <row r="404" spans="2:14" x14ac:dyDescent="0.25">
      <c r="B404" s="5" t="str">
        <f>_xlfn.IFNA(VLOOKUP(A404, MOs_Ready_to_close[[Order]:[Tot Est Machine Hrs]], 2, FALSE), "")</f>
        <v/>
      </c>
      <c r="C404" s="5" t="str">
        <f>_xlfn.IFNA(VLOOKUP(A404, MOs_Ready_to_close[[Order]:[Tot Est Machine Hrs]], 4, FALSE), "")</f>
        <v/>
      </c>
      <c r="D404" s="6" t="str">
        <f>_xlfn.IFNA(VLOOKUP(A404, MOs_Ready_to_close[[Order]:[Tot Est Machine Hrs]], 8, FALSE), "")</f>
        <v/>
      </c>
      <c r="E404" s="7" t="str">
        <f>_xlfn.IFNA(VLOOKUP(A404, MOs_Ready_to_close[[Order]:[Tot Est Machine Hrs]], 9, FALSE), "")</f>
        <v/>
      </c>
      <c r="I404" s="11">
        <f>SUMIF(MO_Components[Order], Calculations!A404, MO_Components[Std Cost])</f>
        <v>0</v>
      </c>
      <c r="J404" s="11">
        <f>SUMIF(MO_Components[Order], Calculations!A404, MO_Components[Act Cost])</f>
        <v>0</v>
      </c>
      <c r="K404" s="11">
        <f t="shared" si="24"/>
        <v>0</v>
      </c>
      <c r="L404" t="str">
        <f t="shared" si="25"/>
        <v/>
      </c>
      <c r="M404" t="str">
        <f t="shared" si="26"/>
        <v/>
      </c>
      <c r="N404" t="str">
        <f t="shared" si="27"/>
        <v/>
      </c>
    </row>
    <row r="405" spans="2:14" x14ac:dyDescent="0.25">
      <c r="B405" s="5" t="str">
        <f>_xlfn.IFNA(VLOOKUP(A405, MOs_Ready_to_close[[Order]:[Tot Est Machine Hrs]], 2, FALSE), "")</f>
        <v/>
      </c>
      <c r="C405" s="5" t="str">
        <f>_xlfn.IFNA(VLOOKUP(A405, MOs_Ready_to_close[[Order]:[Tot Est Machine Hrs]], 4, FALSE), "")</f>
        <v/>
      </c>
      <c r="D405" s="6" t="str">
        <f>_xlfn.IFNA(VLOOKUP(A405, MOs_Ready_to_close[[Order]:[Tot Est Machine Hrs]], 8, FALSE), "")</f>
        <v/>
      </c>
      <c r="E405" s="7" t="str">
        <f>_xlfn.IFNA(VLOOKUP(A405, MOs_Ready_to_close[[Order]:[Tot Est Machine Hrs]], 9, FALSE), "")</f>
        <v/>
      </c>
      <c r="I405" s="11">
        <f>SUMIF(MO_Components[Order], Calculations!A405, MO_Components[Std Cost])</f>
        <v>0</v>
      </c>
      <c r="J405" s="11">
        <f>SUMIF(MO_Components[Order], Calculations!A405, MO_Components[Act Cost])</f>
        <v>0</v>
      </c>
      <c r="K405" s="11">
        <f t="shared" si="24"/>
        <v>0</v>
      </c>
      <c r="L405" t="str">
        <f t="shared" si="25"/>
        <v/>
      </c>
      <c r="M405" t="str">
        <f t="shared" si="26"/>
        <v/>
      </c>
      <c r="N405" t="str">
        <f t="shared" si="27"/>
        <v/>
      </c>
    </row>
    <row r="406" spans="2:14" x14ac:dyDescent="0.25">
      <c r="B406" s="5" t="str">
        <f>_xlfn.IFNA(VLOOKUP(A406, MOs_Ready_to_close[[Order]:[Tot Est Machine Hrs]], 2, FALSE), "")</f>
        <v/>
      </c>
      <c r="C406" s="5" t="str">
        <f>_xlfn.IFNA(VLOOKUP(A406, MOs_Ready_to_close[[Order]:[Tot Est Machine Hrs]], 4, FALSE), "")</f>
        <v/>
      </c>
      <c r="D406" s="6" t="str">
        <f>_xlfn.IFNA(VLOOKUP(A406, MOs_Ready_to_close[[Order]:[Tot Est Machine Hrs]], 8, FALSE), "")</f>
        <v/>
      </c>
      <c r="E406" s="7" t="str">
        <f>_xlfn.IFNA(VLOOKUP(A406, MOs_Ready_to_close[[Order]:[Tot Est Machine Hrs]], 9, FALSE), "")</f>
        <v/>
      </c>
      <c r="I406" s="11">
        <f>SUMIF(MO_Components[Order], Calculations!A406, MO_Components[Std Cost])</f>
        <v>0</v>
      </c>
      <c r="J406" s="11">
        <f>SUMIF(MO_Components[Order], Calculations!A406, MO_Components[Act Cost])</f>
        <v>0</v>
      </c>
      <c r="K406" s="11">
        <f t="shared" si="24"/>
        <v>0</v>
      </c>
      <c r="L406" t="str">
        <f t="shared" si="25"/>
        <v/>
      </c>
      <c r="M406" t="str">
        <f t="shared" si="26"/>
        <v/>
      </c>
      <c r="N406" t="str">
        <f t="shared" si="27"/>
        <v/>
      </c>
    </row>
    <row r="407" spans="2:14" x14ac:dyDescent="0.25">
      <c r="B407" s="5" t="str">
        <f>_xlfn.IFNA(VLOOKUP(A407, MOs_Ready_to_close[[Order]:[Tot Est Machine Hrs]], 2, FALSE), "")</f>
        <v/>
      </c>
      <c r="C407" s="5" t="str">
        <f>_xlfn.IFNA(VLOOKUP(A407, MOs_Ready_to_close[[Order]:[Tot Est Machine Hrs]], 4, FALSE), "")</f>
        <v/>
      </c>
      <c r="D407" s="6" t="str">
        <f>_xlfn.IFNA(VLOOKUP(A407, MOs_Ready_to_close[[Order]:[Tot Est Machine Hrs]], 8, FALSE), "")</f>
        <v/>
      </c>
      <c r="E407" s="7" t="str">
        <f>_xlfn.IFNA(VLOOKUP(A407, MOs_Ready_to_close[[Order]:[Tot Est Machine Hrs]], 9, FALSE), "")</f>
        <v/>
      </c>
      <c r="I407" s="11">
        <f>SUMIF(MO_Components[Order], Calculations!A407, MO_Components[Std Cost])</f>
        <v>0</v>
      </c>
      <c r="J407" s="11">
        <f>SUMIF(MO_Components[Order], Calculations!A407, MO_Components[Act Cost])</f>
        <v>0</v>
      </c>
      <c r="K407" s="11">
        <f t="shared" si="24"/>
        <v>0</v>
      </c>
      <c r="L407" t="str">
        <f t="shared" si="25"/>
        <v/>
      </c>
      <c r="M407" t="str">
        <f t="shared" si="26"/>
        <v/>
      </c>
      <c r="N407" t="str">
        <f t="shared" si="27"/>
        <v/>
      </c>
    </row>
    <row r="408" spans="2:14" x14ac:dyDescent="0.25">
      <c r="B408" s="5" t="str">
        <f>_xlfn.IFNA(VLOOKUP(A408, MOs_Ready_to_close[[Order]:[Tot Est Machine Hrs]], 2, FALSE), "")</f>
        <v/>
      </c>
      <c r="C408" s="5" t="str">
        <f>_xlfn.IFNA(VLOOKUP(A408, MOs_Ready_to_close[[Order]:[Tot Est Machine Hrs]], 4, FALSE), "")</f>
        <v/>
      </c>
      <c r="D408" s="6" t="str">
        <f>_xlfn.IFNA(VLOOKUP(A408, MOs_Ready_to_close[[Order]:[Tot Est Machine Hrs]], 8, FALSE), "")</f>
        <v/>
      </c>
      <c r="E408" s="7" t="str">
        <f>_xlfn.IFNA(VLOOKUP(A408, MOs_Ready_to_close[[Order]:[Tot Est Machine Hrs]], 9, FALSE), "")</f>
        <v/>
      </c>
      <c r="I408" s="11">
        <f>SUMIF(MO_Components[Order], Calculations!A408, MO_Components[Std Cost])</f>
        <v>0</v>
      </c>
      <c r="J408" s="11">
        <f>SUMIF(MO_Components[Order], Calculations!A408, MO_Components[Act Cost])</f>
        <v>0</v>
      </c>
      <c r="K408" s="11">
        <f t="shared" si="24"/>
        <v>0</v>
      </c>
      <c r="L408" t="str">
        <f t="shared" si="25"/>
        <v/>
      </c>
      <c r="M408" t="str">
        <f t="shared" si="26"/>
        <v/>
      </c>
      <c r="N408" t="str">
        <f t="shared" si="27"/>
        <v/>
      </c>
    </row>
    <row r="409" spans="2:14" x14ac:dyDescent="0.25">
      <c r="B409" s="5" t="str">
        <f>_xlfn.IFNA(VLOOKUP(A409, MOs_Ready_to_close[[Order]:[Tot Est Machine Hrs]], 2, FALSE), "")</f>
        <v/>
      </c>
      <c r="C409" s="5" t="str">
        <f>_xlfn.IFNA(VLOOKUP(A409, MOs_Ready_to_close[[Order]:[Tot Est Machine Hrs]], 4, FALSE), "")</f>
        <v/>
      </c>
      <c r="D409" s="6" t="str">
        <f>_xlfn.IFNA(VLOOKUP(A409, MOs_Ready_to_close[[Order]:[Tot Est Machine Hrs]], 8, FALSE), "")</f>
        <v/>
      </c>
      <c r="E409" s="7" t="str">
        <f>_xlfn.IFNA(VLOOKUP(A409, MOs_Ready_to_close[[Order]:[Tot Est Machine Hrs]], 9, FALSE), "")</f>
        <v/>
      </c>
      <c r="I409" s="11">
        <f>SUMIF(MO_Components[Order], Calculations!A409, MO_Components[Std Cost])</f>
        <v>0</v>
      </c>
      <c r="J409" s="11">
        <f>SUMIF(MO_Components[Order], Calculations!A409, MO_Components[Act Cost])</f>
        <v>0</v>
      </c>
      <c r="K409" s="11">
        <f t="shared" si="24"/>
        <v>0</v>
      </c>
      <c r="L409" t="str">
        <f t="shared" si="25"/>
        <v/>
      </c>
      <c r="M409" t="str">
        <f t="shared" si="26"/>
        <v/>
      </c>
      <c r="N409" t="str">
        <f t="shared" si="27"/>
        <v/>
      </c>
    </row>
    <row r="410" spans="2:14" x14ac:dyDescent="0.25">
      <c r="B410" s="5" t="str">
        <f>_xlfn.IFNA(VLOOKUP(A410, MOs_Ready_to_close[[Order]:[Tot Est Machine Hrs]], 2, FALSE), "")</f>
        <v/>
      </c>
      <c r="C410" s="5" t="str">
        <f>_xlfn.IFNA(VLOOKUP(A410, MOs_Ready_to_close[[Order]:[Tot Est Machine Hrs]], 4, FALSE), "")</f>
        <v/>
      </c>
      <c r="D410" s="6" t="str">
        <f>_xlfn.IFNA(VLOOKUP(A410, MOs_Ready_to_close[[Order]:[Tot Est Machine Hrs]], 8, FALSE), "")</f>
        <v/>
      </c>
      <c r="E410" s="7" t="str">
        <f>_xlfn.IFNA(VLOOKUP(A410, MOs_Ready_to_close[[Order]:[Tot Est Machine Hrs]], 9, FALSE), "")</f>
        <v/>
      </c>
      <c r="I410" s="11">
        <f>SUMIF(MO_Components[Order], Calculations!A410, MO_Components[Std Cost])</f>
        <v>0</v>
      </c>
      <c r="J410" s="11">
        <f>SUMIF(MO_Components[Order], Calculations!A410, MO_Components[Act Cost])</f>
        <v>0</v>
      </c>
      <c r="K410" s="11">
        <f t="shared" si="24"/>
        <v>0</v>
      </c>
      <c r="L410" t="str">
        <f t="shared" si="25"/>
        <v/>
      </c>
      <c r="M410" t="str">
        <f t="shared" si="26"/>
        <v/>
      </c>
      <c r="N410" t="str">
        <f t="shared" si="27"/>
        <v/>
      </c>
    </row>
    <row r="411" spans="2:14" x14ac:dyDescent="0.25">
      <c r="B411" s="5" t="str">
        <f>_xlfn.IFNA(VLOOKUP(A411, MOs_Ready_to_close[[Order]:[Tot Est Machine Hrs]], 2, FALSE), "")</f>
        <v/>
      </c>
      <c r="C411" s="5" t="str">
        <f>_xlfn.IFNA(VLOOKUP(A411, MOs_Ready_to_close[[Order]:[Tot Est Machine Hrs]], 4, FALSE), "")</f>
        <v/>
      </c>
      <c r="D411" s="6" t="str">
        <f>_xlfn.IFNA(VLOOKUP(A411, MOs_Ready_to_close[[Order]:[Tot Est Machine Hrs]], 8, FALSE), "")</f>
        <v/>
      </c>
      <c r="E411" s="7" t="str">
        <f>_xlfn.IFNA(VLOOKUP(A411, MOs_Ready_to_close[[Order]:[Tot Est Machine Hrs]], 9, FALSE), "")</f>
        <v/>
      </c>
      <c r="I411" s="11">
        <f>SUMIF(MO_Components[Order], Calculations!A411, MO_Components[Std Cost])</f>
        <v>0</v>
      </c>
      <c r="J411" s="11">
        <f>SUMIF(MO_Components[Order], Calculations!A411, MO_Components[Act Cost])</f>
        <v>0</v>
      </c>
      <c r="K411" s="11">
        <f t="shared" si="24"/>
        <v>0</v>
      </c>
      <c r="L411" t="str">
        <f t="shared" si="25"/>
        <v/>
      </c>
      <c r="M411" t="str">
        <f t="shared" si="26"/>
        <v/>
      </c>
      <c r="N411" t="str">
        <f t="shared" si="27"/>
        <v/>
      </c>
    </row>
    <row r="412" spans="2:14" x14ac:dyDescent="0.25">
      <c r="B412" s="5" t="str">
        <f>_xlfn.IFNA(VLOOKUP(A412, MOs_Ready_to_close[[Order]:[Tot Est Machine Hrs]], 2, FALSE), "")</f>
        <v/>
      </c>
      <c r="C412" s="5" t="str">
        <f>_xlfn.IFNA(VLOOKUP(A412, MOs_Ready_to_close[[Order]:[Tot Est Machine Hrs]], 4, FALSE), "")</f>
        <v/>
      </c>
      <c r="D412" s="6" t="str">
        <f>_xlfn.IFNA(VLOOKUP(A412, MOs_Ready_to_close[[Order]:[Tot Est Machine Hrs]], 8, FALSE), "")</f>
        <v/>
      </c>
      <c r="E412" s="7" t="str">
        <f>_xlfn.IFNA(VLOOKUP(A412, MOs_Ready_to_close[[Order]:[Tot Est Machine Hrs]], 9, FALSE), "")</f>
        <v/>
      </c>
      <c r="I412" s="11">
        <f>SUMIF(MO_Components[Order], Calculations!A412, MO_Components[Std Cost])</f>
        <v>0</v>
      </c>
      <c r="J412" s="11">
        <f>SUMIF(MO_Components[Order], Calculations!A412, MO_Components[Act Cost])</f>
        <v>0</v>
      </c>
      <c r="K412" s="11">
        <f t="shared" si="24"/>
        <v>0</v>
      </c>
      <c r="L412" t="str">
        <f t="shared" si="25"/>
        <v/>
      </c>
      <c r="M412" t="str">
        <f t="shared" si="26"/>
        <v/>
      </c>
      <c r="N412" t="str">
        <f t="shared" si="27"/>
        <v/>
      </c>
    </row>
    <row r="413" spans="2:14" x14ac:dyDescent="0.25">
      <c r="B413" s="5" t="str">
        <f>_xlfn.IFNA(VLOOKUP(A413, MOs_Ready_to_close[[Order]:[Tot Est Machine Hrs]], 2, FALSE), "")</f>
        <v/>
      </c>
      <c r="C413" s="5" t="str">
        <f>_xlfn.IFNA(VLOOKUP(A413, MOs_Ready_to_close[[Order]:[Tot Est Machine Hrs]], 4, FALSE), "")</f>
        <v/>
      </c>
      <c r="D413" s="6" t="str">
        <f>_xlfn.IFNA(VLOOKUP(A413, MOs_Ready_to_close[[Order]:[Tot Est Machine Hrs]], 8, FALSE), "")</f>
        <v/>
      </c>
      <c r="E413" s="7" t="str">
        <f>_xlfn.IFNA(VLOOKUP(A413, MOs_Ready_to_close[[Order]:[Tot Est Machine Hrs]], 9, FALSE), "")</f>
        <v/>
      </c>
      <c r="I413" s="11">
        <f>SUMIF(MO_Components[Order], Calculations!A413, MO_Components[Std Cost])</f>
        <v>0</v>
      </c>
      <c r="J413" s="11">
        <f>SUMIF(MO_Components[Order], Calculations!A413, MO_Components[Act Cost])</f>
        <v>0</v>
      </c>
      <c r="K413" s="11">
        <f t="shared" si="24"/>
        <v>0</v>
      </c>
      <c r="L413" t="str">
        <f t="shared" si="25"/>
        <v/>
      </c>
      <c r="M413" t="str">
        <f t="shared" si="26"/>
        <v/>
      </c>
      <c r="N413" t="str">
        <f t="shared" si="27"/>
        <v/>
      </c>
    </row>
    <row r="414" spans="2:14" x14ac:dyDescent="0.25">
      <c r="B414" s="5" t="str">
        <f>_xlfn.IFNA(VLOOKUP(A414, MOs_Ready_to_close[[Order]:[Tot Est Machine Hrs]], 2, FALSE), "")</f>
        <v/>
      </c>
      <c r="C414" s="5" t="str">
        <f>_xlfn.IFNA(VLOOKUP(A414, MOs_Ready_to_close[[Order]:[Tot Est Machine Hrs]], 4, FALSE), "")</f>
        <v/>
      </c>
      <c r="D414" s="6" t="str">
        <f>_xlfn.IFNA(VLOOKUP(A414, MOs_Ready_to_close[[Order]:[Tot Est Machine Hrs]], 8, FALSE), "")</f>
        <v/>
      </c>
      <c r="E414" s="7" t="str">
        <f>_xlfn.IFNA(VLOOKUP(A414, MOs_Ready_to_close[[Order]:[Tot Est Machine Hrs]], 9, FALSE), "")</f>
        <v/>
      </c>
      <c r="I414" s="11">
        <f>SUMIF(MO_Components[Order], Calculations!A414, MO_Components[Std Cost])</f>
        <v>0</v>
      </c>
      <c r="J414" s="11">
        <f>SUMIF(MO_Components[Order], Calculations!A414, MO_Components[Act Cost])</f>
        <v>0</v>
      </c>
      <c r="K414" s="11">
        <f t="shared" si="24"/>
        <v>0</v>
      </c>
      <c r="L414" t="str">
        <f t="shared" si="25"/>
        <v/>
      </c>
      <c r="M414" t="str">
        <f t="shared" si="26"/>
        <v/>
      </c>
      <c r="N414" t="str">
        <f t="shared" si="27"/>
        <v/>
      </c>
    </row>
    <row r="415" spans="2:14" x14ac:dyDescent="0.25">
      <c r="B415" s="5" t="str">
        <f>_xlfn.IFNA(VLOOKUP(A415, MOs_Ready_to_close[[Order]:[Tot Est Machine Hrs]], 2, FALSE), "")</f>
        <v/>
      </c>
      <c r="C415" s="5" t="str">
        <f>_xlfn.IFNA(VLOOKUP(A415, MOs_Ready_to_close[[Order]:[Tot Est Machine Hrs]], 4, FALSE), "")</f>
        <v/>
      </c>
      <c r="D415" s="6" t="str">
        <f>_xlfn.IFNA(VLOOKUP(A415, MOs_Ready_to_close[[Order]:[Tot Est Machine Hrs]], 8, FALSE), "")</f>
        <v/>
      </c>
      <c r="E415" s="7" t="str">
        <f>_xlfn.IFNA(VLOOKUP(A415, MOs_Ready_to_close[[Order]:[Tot Est Machine Hrs]], 9, FALSE), "")</f>
        <v/>
      </c>
      <c r="I415" s="11">
        <f>SUMIF(MO_Components[Order], Calculations!A415, MO_Components[Std Cost])</f>
        <v>0</v>
      </c>
      <c r="J415" s="11">
        <f>SUMIF(MO_Components[Order], Calculations!A415, MO_Components[Act Cost])</f>
        <v>0</v>
      </c>
      <c r="K415" s="11">
        <f t="shared" si="24"/>
        <v>0</v>
      </c>
      <c r="L415" t="str">
        <f t="shared" si="25"/>
        <v/>
      </c>
      <c r="M415" t="str">
        <f t="shared" si="26"/>
        <v/>
      </c>
      <c r="N415" t="str">
        <f t="shared" si="27"/>
        <v/>
      </c>
    </row>
    <row r="416" spans="2:14" x14ac:dyDescent="0.25">
      <c r="B416" s="5" t="str">
        <f>_xlfn.IFNA(VLOOKUP(A416, MOs_Ready_to_close[[Order]:[Tot Est Machine Hrs]], 2, FALSE), "")</f>
        <v/>
      </c>
      <c r="C416" s="5" t="str">
        <f>_xlfn.IFNA(VLOOKUP(A416, MOs_Ready_to_close[[Order]:[Tot Est Machine Hrs]], 4, FALSE), "")</f>
        <v/>
      </c>
      <c r="D416" s="6" t="str">
        <f>_xlfn.IFNA(VLOOKUP(A416, MOs_Ready_to_close[[Order]:[Tot Est Machine Hrs]], 8, FALSE), "")</f>
        <v/>
      </c>
      <c r="E416" s="7" t="str">
        <f>_xlfn.IFNA(VLOOKUP(A416, MOs_Ready_to_close[[Order]:[Tot Est Machine Hrs]], 9, FALSE), "")</f>
        <v/>
      </c>
      <c r="I416" s="11">
        <f>SUMIF(MO_Components[Order], Calculations!A416, MO_Components[Std Cost])</f>
        <v>0</v>
      </c>
      <c r="J416" s="11">
        <f>SUMIF(MO_Components[Order], Calculations!A416, MO_Components[Act Cost])</f>
        <v>0</v>
      </c>
      <c r="K416" s="11">
        <f t="shared" si="24"/>
        <v>0</v>
      </c>
      <c r="L416" t="str">
        <f t="shared" si="25"/>
        <v/>
      </c>
      <c r="M416" t="str">
        <f t="shared" si="26"/>
        <v/>
      </c>
      <c r="N416" t="str">
        <f t="shared" si="27"/>
        <v/>
      </c>
    </row>
    <row r="417" spans="2:14" x14ac:dyDescent="0.25">
      <c r="B417" s="5" t="str">
        <f>_xlfn.IFNA(VLOOKUP(A417, MOs_Ready_to_close[[Order]:[Tot Est Machine Hrs]], 2, FALSE), "")</f>
        <v/>
      </c>
      <c r="C417" s="5" t="str">
        <f>_xlfn.IFNA(VLOOKUP(A417, MOs_Ready_to_close[[Order]:[Tot Est Machine Hrs]], 4, FALSE), "")</f>
        <v/>
      </c>
      <c r="D417" s="6" t="str">
        <f>_xlfn.IFNA(VLOOKUP(A417, MOs_Ready_to_close[[Order]:[Tot Est Machine Hrs]], 8, FALSE), "")</f>
        <v/>
      </c>
      <c r="E417" s="7" t="str">
        <f>_xlfn.IFNA(VLOOKUP(A417, MOs_Ready_to_close[[Order]:[Tot Est Machine Hrs]], 9, FALSE), "")</f>
        <v/>
      </c>
      <c r="I417" s="11">
        <f>SUMIF(MO_Components[Order], Calculations!A417, MO_Components[Std Cost])</f>
        <v>0</v>
      </c>
      <c r="J417" s="11">
        <f>SUMIF(MO_Components[Order], Calculations!A417, MO_Components[Act Cost])</f>
        <v>0</v>
      </c>
      <c r="K417" s="11">
        <f t="shared" si="24"/>
        <v>0</v>
      </c>
      <c r="L417" t="str">
        <f t="shared" si="25"/>
        <v/>
      </c>
      <c r="M417" t="str">
        <f t="shared" si="26"/>
        <v/>
      </c>
      <c r="N417" t="str">
        <f t="shared" si="27"/>
        <v/>
      </c>
    </row>
    <row r="418" spans="2:14" x14ac:dyDescent="0.25">
      <c r="B418" s="5" t="str">
        <f>_xlfn.IFNA(VLOOKUP(A418, MOs_Ready_to_close[[Order]:[Tot Est Machine Hrs]], 2, FALSE), "")</f>
        <v/>
      </c>
      <c r="C418" s="5" t="str">
        <f>_xlfn.IFNA(VLOOKUP(A418, MOs_Ready_to_close[[Order]:[Tot Est Machine Hrs]], 4, FALSE), "")</f>
        <v/>
      </c>
      <c r="D418" s="6" t="str">
        <f>_xlfn.IFNA(VLOOKUP(A418, MOs_Ready_to_close[[Order]:[Tot Est Machine Hrs]], 8, FALSE), "")</f>
        <v/>
      </c>
      <c r="E418" s="7" t="str">
        <f>_xlfn.IFNA(VLOOKUP(A418, MOs_Ready_to_close[[Order]:[Tot Est Machine Hrs]], 9, FALSE), "")</f>
        <v/>
      </c>
      <c r="I418" s="11">
        <f>SUMIF(MO_Components[Order], Calculations!A418, MO_Components[Std Cost])</f>
        <v>0</v>
      </c>
      <c r="J418" s="11">
        <f>SUMIF(MO_Components[Order], Calculations!A418, MO_Components[Act Cost])</f>
        <v>0</v>
      </c>
      <c r="K418" s="11">
        <f t="shared" si="24"/>
        <v>0</v>
      </c>
      <c r="L418" t="str">
        <f t="shared" si="25"/>
        <v/>
      </c>
      <c r="M418" t="str">
        <f t="shared" si="26"/>
        <v/>
      </c>
      <c r="N418" t="str">
        <f t="shared" si="27"/>
        <v/>
      </c>
    </row>
    <row r="419" spans="2:14" x14ac:dyDescent="0.25">
      <c r="B419" s="5" t="str">
        <f>_xlfn.IFNA(VLOOKUP(A419, MOs_Ready_to_close[[Order]:[Tot Est Machine Hrs]], 2, FALSE), "")</f>
        <v/>
      </c>
      <c r="C419" s="5" t="str">
        <f>_xlfn.IFNA(VLOOKUP(A419, MOs_Ready_to_close[[Order]:[Tot Est Machine Hrs]], 4, FALSE), "")</f>
        <v/>
      </c>
      <c r="D419" s="6" t="str">
        <f>_xlfn.IFNA(VLOOKUP(A419, MOs_Ready_to_close[[Order]:[Tot Est Machine Hrs]], 8, FALSE), "")</f>
        <v/>
      </c>
      <c r="E419" s="7" t="str">
        <f>_xlfn.IFNA(VLOOKUP(A419, MOs_Ready_to_close[[Order]:[Tot Est Machine Hrs]], 9, FALSE), "")</f>
        <v/>
      </c>
      <c r="I419" s="11">
        <f>SUMIF(MO_Components[Order], Calculations!A419, MO_Components[Std Cost])</f>
        <v>0</v>
      </c>
      <c r="J419" s="11">
        <f>SUMIF(MO_Components[Order], Calculations!A419, MO_Components[Act Cost])</f>
        <v>0</v>
      </c>
      <c r="K419" s="11">
        <f t="shared" si="24"/>
        <v>0</v>
      </c>
      <c r="L419" t="str">
        <f t="shared" si="25"/>
        <v/>
      </c>
      <c r="M419" t="str">
        <f t="shared" si="26"/>
        <v/>
      </c>
      <c r="N419" t="str">
        <f t="shared" si="27"/>
        <v/>
      </c>
    </row>
    <row r="420" spans="2:14" x14ac:dyDescent="0.25">
      <c r="B420" s="5" t="str">
        <f>_xlfn.IFNA(VLOOKUP(A420, MOs_Ready_to_close[[Order]:[Tot Est Machine Hrs]], 2, FALSE), "")</f>
        <v/>
      </c>
      <c r="C420" s="5" t="str">
        <f>_xlfn.IFNA(VLOOKUP(A420, MOs_Ready_to_close[[Order]:[Tot Est Machine Hrs]], 4, FALSE), "")</f>
        <v/>
      </c>
      <c r="D420" s="6" t="str">
        <f>_xlfn.IFNA(VLOOKUP(A420, MOs_Ready_to_close[[Order]:[Tot Est Machine Hrs]], 8, FALSE), "")</f>
        <v/>
      </c>
      <c r="E420" s="7" t="str">
        <f>_xlfn.IFNA(VLOOKUP(A420, MOs_Ready_to_close[[Order]:[Tot Est Machine Hrs]], 9, FALSE), "")</f>
        <v/>
      </c>
      <c r="I420" s="11">
        <f>SUMIF(MO_Components[Order], Calculations!A420, MO_Components[Std Cost])</f>
        <v>0</v>
      </c>
      <c r="J420" s="11">
        <f>SUMIF(MO_Components[Order], Calculations!A420, MO_Components[Act Cost])</f>
        <v>0</v>
      </c>
      <c r="K420" s="11">
        <f t="shared" si="24"/>
        <v>0</v>
      </c>
      <c r="L420" t="str">
        <f t="shared" si="25"/>
        <v/>
      </c>
      <c r="M420" t="str">
        <f t="shared" si="26"/>
        <v/>
      </c>
      <c r="N420" t="str">
        <f t="shared" si="27"/>
        <v/>
      </c>
    </row>
    <row r="421" spans="2:14" x14ac:dyDescent="0.25">
      <c r="B421" s="5" t="str">
        <f>_xlfn.IFNA(VLOOKUP(A421, MOs_Ready_to_close[[Order]:[Tot Est Machine Hrs]], 2, FALSE), "")</f>
        <v/>
      </c>
      <c r="C421" s="5" t="str">
        <f>_xlfn.IFNA(VLOOKUP(A421, MOs_Ready_to_close[[Order]:[Tot Est Machine Hrs]], 4, FALSE), "")</f>
        <v/>
      </c>
      <c r="D421" s="6" t="str">
        <f>_xlfn.IFNA(VLOOKUP(A421, MOs_Ready_to_close[[Order]:[Tot Est Machine Hrs]], 8, FALSE), "")</f>
        <v/>
      </c>
      <c r="E421" s="7" t="str">
        <f>_xlfn.IFNA(VLOOKUP(A421, MOs_Ready_to_close[[Order]:[Tot Est Machine Hrs]], 9, FALSE), "")</f>
        <v/>
      </c>
      <c r="I421" s="11">
        <f>SUMIF(MO_Components[Order], Calculations!A421, MO_Components[Std Cost])</f>
        <v>0</v>
      </c>
      <c r="J421" s="11">
        <f>SUMIF(MO_Components[Order], Calculations!A421, MO_Components[Act Cost])</f>
        <v>0</v>
      </c>
      <c r="K421" s="11">
        <f t="shared" si="24"/>
        <v>0</v>
      </c>
      <c r="L421" t="str">
        <f t="shared" si="25"/>
        <v/>
      </c>
      <c r="M421" t="str">
        <f t="shared" si="26"/>
        <v/>
      </c>
      <c r="N421" t="str">
        <f t="shared" si="27"/>
        <v/>
      </c>
    </row>
    <row r="422" spans="2:14" x14ac:dyDescent="0.25">
      <c r="B422" s="5" t="str">
        <f>_xlfn.IFNA(VLOOKUP(A422, MOs_Ready_to_close[[Order]:[Tot Est Machine Hrs]], 2, FALSE), "")</f>
        <v/>
      </c>
      <c r="C422" s="5" t="str">
        <f>_xlfn.IFNA(VLOOKUP(A422, MOs_Ready_to_close[[Order]:[Tot Est Machine Hrs]], 4, FALSE), "")</f>
        <v/>
      </c>
      <c r="D422" s="6" t="str">
        <f>_xlfn.IFNA(VLOOKUP(A422, MOs_Ready_to_close[[Order]:[Tot Est Machine Hrs]], 8, FALSE), "")</f>
        <v/>
      </c>
      <c r="E422" s="7" t="str">
        <f>_xlfn.IFNA(VLOOKUP(A422, MOs_Ready_to_close[[Order]:[Tot Est Machine Hrs]], 9, FALSE), "")</f>
        <v/>
      </c>
      <c r="I422" s="11">
        <f>SUMIF(MO_Components[Order], Calculations!A422, MO_Components[Std Cost])</f>
        <v>0</v>
      </c>
      <c r="J422" s="11">
        <f>SUMIF(MO_Components[Order], Calculations!A422, MO_Components[Act Cost])</f>
        <v>0</v>
      </c>
      <c r="K422" s="11">
        <f t="shared" si="24"/>
        <v>0</v>
      </c>
      <c r="L422" t="str">
        <f t="shared" si="25"/>
        <v/>
      </c>
      <c r="M422" t="str">
        <f t="shared" si="26"/>
        <v/>
      </c>
      <c r="N422" t="str">
        <f t="shared" si="27"/>
        <v/>
      </c>
    </row>
    <row r="423" spans="2:14" x14ac:dyDescent="0.25">
      <c r="B423" s="5" t="str">
        <f>_xlfn.IFNA(VLOOKUP(A423, MOs_Ready_to_close[[Order]:[Tot Est Machine Hrs]], 2, FALSE), "")</f>
        <v/>
      </c>
      <c r="C423" s="5" t="str">
        <f>_xlfn.IFNA(VLOOKUP(A423, MOs_Ready_to_close[[Order]:[Tot Est Machine Hrs]], 4, FALSE), "")</f>
        <v/>
      </c>
      <c r="D423" s="6" t="str">
        <f>_xlfn.IFNA(VLOOKUP(A423, MOs_Ready_to_close[[Order]:[Tot Est Machine Hrs]], 8, FALSE), "")</f>
        <v/>
      </c>
      <c r="E423" s="7" t="str">
        <f>_xlfn.IFNA(VLOOKUP(A423, MOs_Ready_to_close[[Order]:[Tot Est Machine Hrs]], 9, FALSE), "")</f>
        <v/>
      </c>
      <c r="I423" s="11">
        <f>SUMIF(MO_Components[Order], Calculations!A423, MO_Components[Std Cost])</f>
        <v>0</v>
      </c>
      <c r="J423" s="11">
        <f>SUMIF(MO_Components[Order], Calculations!A423, MO_Components[Act Cost])</f>
        <v>0</v>
      </c>
      <c r="K423" s="11">
        <f t="shared" si="24"/>
        <v>0</v>
      </c>
      <c r="L423" t="str">
        <f t="shared" si="25"/>
        <v/>
      </c>
      <c r="M423" t="str">
        <f t="shared" si="26"/>
        <v/>
      </c>
      <c r="N423" t="str">
        <f t="shared" si="27"/>
        <v/>
      </c>
    </row>
    <row r="424" spans="2:14" x14ac:dyDescent="0.25">
      <c r="B424" s="5" t="str">
        <f>_xlfn.IFNA(VLOOKUP(A424, MOs_Ready_to_close[[Order]:[Tot Est Machine Hrs]], 2, FALSE), "")</f>
        <v/>
      </c>
      <c r="C424" s="5" t="str">
        <f>_xlfn.IFNA(VLOOKUP(A424, MOs_Ready_to_close[[Order]:[Tot Est Machine Hrs]], 4, FALSE), "")</f>
        <v/>
      </c>
      <c r="D424" s="6" t="str">
        <f>_xlfn.IFNA(VLOOKUP(A424, MOs_Ready_to_close[[Order]:[Tot Est Machine Hrs]], 8, FALSE), "")</f>
        <v/>
      </c>
      <c r="E424" s="7" t="str">
        <f>_xlfn.IFNA(VLOOKUP(A424, MOs_Ready_to_close[[Order]:[Tot Est Machine Hrs]], 9, FALSE), "")</f>
        <v/>
      </c>
      <c r="I424" s="11">
        <f>SUMIF(MO_Components[Order], Calculations!A424, MO_Components[Std Cost])</f>
        <v>0</v>
      </c>
      <c r="J424" s="11">
        <f>SUMIF(MO_Components[Order], Calculations!A424, MO_Components[Act Cost])</f>
        <v>0</v>
      </c>
      <c r="K424" s="11">
        <f t="shared" si="24"/>
        <v>0</v>
      </c>
      <c r="L424" t="str">
        <f t="shared" si="25"/>
        <v/>
      </c>
      <c r="M424" t="str">
        <f t="shared" si="26"/>
        <v/>
      </c>
      <c r="N424" t="str">
        <f t="shared" si="27"/>
        <v/>
      </c>
    </row>
    <row r="425" spans="2:14" x14ac:dyDescent="0.25">
      <c r="B425" s="5" t="str">
        <f>_xlfn.IFNA(VLOOKUP(A425, MOs_Ready_to_close[[Order]:[Tot Est Machine Hrs]], 2, FALSE), "")</f>
        <v/>
      </c>
      <c r="C425" s="5" t="str">
        <f>_xlfn.IFNA(VLOOKUP(A425, MOs_Ready_to_close[[Order]:[Tot Est Machine Hrs]], 4, FALSE), "")</f>
        <v/>
      </c>
      <c r="D425" s="6" t="str">
        <f>_xlfn.IFNA(VLOOKUP(A425, MOs_Ready_to_close[[Order]:[Tot Est Machine Hrs]], 8, FALSE), "")</f>
        <v/>
      </c>
      <c r="E425" s="7" t="str">
        <f>_xlfn.IFNA(VLOOKUP(A425, MOs_Ready_to_close[[Order]:[Tot Est Machine Hrs]], 9, FALSE), "")</f>
        <v/>
      </c>
      <c r="I425" s="11">
        <f>SUMIF(MO_Components[Order], Calculations!A425, MO_Components[Std Cost])</f>
        <v>0</v>
      </c>
      <c r="J425" s="11">
        <f>SUMIF(MO_Components[Order], Calculations!A425, MO_Components[Act Cost])</f>
        <v>0</v>
      </c>
      <c r="K425" s="11">
        <f t="shared" si="24"/>
        <v>0</v>
      </c>
      <c r="L425" t="str">
        <f t="shared" si="25"/>
        <v/>
      </c>
      <c r="M425" t="str">
        <f t="shared" si="26"/>
        <v/>
      </c>
      <c r="N425" t="str">
        <f t="shared" si="27"/>
        <v/>
      </c>
    </row>
    <row r="426" spans="2:14" x14ac:dyDescent="0.25">
      <c r="B426" s="5" t="str">
        <f>_xlfn.IFNA(VLOOKUP(A426, MOs_Ready_to_close[[Order]:[Tot Est Machine Hrs]], 2, FALSE), "")</f>
        <v/>
      </c>
      <c r="C426" s="5" t="str">
        <f>_xlfn.IFNA(VLOOKUP(A426, MOs_Ready_to_close[[Order]:[Tot Est Machine Hrs]], 4, FALSE), "")</f>
        <v/>
      </c>
      <c r="D426" s="6" t="str">
        <f>_xlfn.IFNA(VLOOKUP(A426, MOs_Ready_to_close[[Order]:[Tot Est Machine Hrs]], 8, FALSE), "")</f>
        <v/>
      </c>
      <c r="E426" s="7" t="str">
        <f>_xlfn.IFNA(VLOOKUP(A426, MOs_Ready_to_close[[Order]:[Tot Est Machine Hrs]], 9, FALSE), "")</f>
        <v/>
      </c>
      <c r="I426" s="11">
        <f>SUMIF(MO_Components[Order], Calculations!A426, MO_Components[Std Cost])</f>
        <v>0</v>
      </c>
      <c r="J426" s="11">
        <f>SUMIF(MO_Components[Order], Calculations!A426, MO_Components[Act Cost])</f>
        <v>0</v>
      </c>
      <c r="K426" s="11">
        <f t="shared" si="24"/>
        <v>0</v>
      </c>
      <c r="L426" t="str">
        <f t="shared" si="25"/>
        <v/>
      </c>
      <c r="M426" t="str">
        <f t="shared" si="26"/>
        <v/>
      </c>
      <c r="N426" t="str">
        <f t="shared" si="27"/>
        <v/>
      </c>
    </row>
    <row r="427" spans="2:14" x14ac:dyDescent="0.25">
      <c r="B427" s="5" t="str">
        <f>_xlfn.IFNA(VLOOKUP(A427, MOs_Ready_to_close[[Order]:[Tot Est Machine Hrs]], 2, FALSE), "")</f>
        <v/>
      </c>
      <c r="C427" s="5" t="str">
        <f>_xlfn.IFNA(VLOOKUP(A427, MOs_Ready_to_close[[Order]:[Tot Est Machine Hrs]], 4, FALSE), "")</f>
        <v/>
      </c>
      <c r="D427" s="6" t="str">
        <f>_xlfn.IFNA(VLOOKUP(A427, MOs_Ready_to_close[[Order]:[Tot Est Machine Hrs]], 8, FALSE), "")</f>
        <v/>
      </c>
      <c r="E427" s="7" t="str">
        <f>_xlfn.IFNA(VLOOKUP(A427, MOs_Ready_to_close[[Order]:[Tot Est Machine Hrs]], 9, FALSE), "")</f>
        <v/>
      </c>
      <c r="I427" s="11">
        <f>SUMIF(MO_Components[Order], Calculations!A427, MO_Components[Std Cost])</f>
        <v>0</v>
      </c>
      <c r="J427" s="11">
        <f>SUMIF(MO_Components[Order], Calculations!A427, MO_Components[Act Cost])</f>
        <v>0</v>
      </c>
      <c r="K427" s="11">
        <f t="shared" si="24"/>
        <v>0</v>
      </c>
      <c r="L427" t="str">
        <f t="shared" si="25"/>
        <v/>
      </c>
      <c r="M427" t="str">
        <f t="shared" si="26"/>
        <v/>
      </c>
      <c r="N427" t="str">
        <f t="shared" si="27"/>
        <v/>
      </c>
    </row>
    <row r="428" spans="2:14" x14ac:dyDescent="0.25">
      <c r="B428" s="5" t="str">
        <f>_xlfn.IFNA(VLOOKUP(A428, MOs_Ready_to_close[[Order]:[Tot Est Machine Hrs]], 2, FALSE), "")</f>
        <v/>
      </c>
      <c r="C428" s="5" t="str">
        <f>_xlfn.IFNA(VLOOKUP(A428, MOs_Ready_to_close[[Order]:[Tot Est Machine Hrs]], 4, FALSE), "")</f>
        <v/>
      </c>
      <c r="D428" s="6" t="str">
        <f>_xlfn.IFNA(VLOOKUP(A428, MOs_Ready_to_close[[Order]:[Tot Est Machine Hrs]], 8, FALSE), "")</f>
        <v/>
      </c>
      <c r="E428" s="7" t="str">
        <f>_xlfn.IFNA(VLOOKUP(A428, MOs_Ready_to_close[[Order]:[Tot Est Machine Hrs]], 9, FALSE), "")</f>
        <v/>
      </c>
      <c r="I428" s="11">
        <f>SUMIF(MO_Components[Order], Calculations!A428, MO_Components[Std Cost])</f>
        <v>0</v>
      </c>
      <c r="J428" s="11">
        <f>SUMIF(MO_Components[Order], Calculations!A428, MO_Components[Act Cost])</f>
        <v>0</v>
      </c>
      <c r="K428" s="11">
        <f t="shared" si="24"/>
        <v>0</v>
      </c>
      <c r="L428" t="str">
        <f t="shared" si="25"/>
        <v/>
      </c>
      <c r="M428" t="str">
        <f t="shared" si="26"/>
        <v/>
      </c>
      <c r="N428" t="str">
        <f t="shared" si="27"/>
        <v/>
      </c>
    </row>
    <row r="429" spans="2:14" x14ac:dyDescent="0.25">
      <c r="B429" s="5" t="str">
        <f>_xlfn.IFNA(VLOOKUP(A429, MOs_Ready_to_close[[Order]:[Tot Est Machine Hrs]], 2, FALSE), "")</f>
        <v/>
      </c>
      <c r="C429" s="5" t="str">
        <f>_xlfn.IFNA(VLOOKUP(A429, MOs_Ready_to_close[[Order]:[Tot Est Machine Hrs]], 4, FALSE), "")</f>
        <v/>
      </c>
      <c r="D429" s="6" t="str">
        <f>_xlfn.IFNA(VLOOKUP(A429, MOs_Ready_to_close[[Order]:[Tot Est Machine Hrs]], 8, FALSE), "")</f>
        <v/>
      </c>
      <c r="E429" s="7" t="str">
        <f>_xlfn.IFNA(VLOOKUP(A429, MOs_Ready_to_close[[Order]:[Tot Est Machine Hrs]], 9, FALSE), "")</f>
        <v/>
      </c>
      <c r="I429" s="11">
        <f>SUMIF(MO_Components[Order], Calculations!A429, MO_Components[Std Cost])</f>
        <v>0</v>
      </c>
      <c r="J429" s="11">
        <f>SUMIF(MO_Components[Order], Calculations!A429, MO_Components[Act Cost])</f>
        <v>0</v>
      </c>
      <c r="K429" s="11">
        <f t="shared" si="24"/>
        <v>0</v>
      </c>
      <c r="L429" t="str">
        <f t="shared" si="25"/>
        <v/>
      </c>
      <c r="M429" t="str">
        <f t="shared" si="26"/>
        <v/>
      </c>
      <c r="N429" t="str">
        <f t="shared" si="27"/>
        <v/>
      </c>
    </row>
    <row r="430" spans="2:14" x14ac:dyDescent="0.25">
      <c r="B430" s="5" t="str">
        <f>_xlfn.IFNA(VLOOKUP(A430, MOs_Ready_to_close[[Order]:[Tot Est Machine Hrs]], 2, FALSE), "")</f>
        <v/>
      </c>
      <c r="C430" s="5" t="str">
        <f>_xlfn.IFNA(VLOOKUP(A430, MOs_Ready_to_close[[Order]:[Tot Est Machine Hrs]], 4, FALSE), "")</f>
        <v/>
      </c>
      <c r="D430" s="6" t="str">
        <f>_xlfn.IFNA(VLOOKUP(A430, MOs_Ready_to_close[[Order]:[Tot Est Machine Hrs]], 8, FALSE), "")</f>
        <v/>
      </c>
      <c r="E430" s="7" t="str">
        <f>_xlfn.IFNA(VLOOKUP(A430, MOs_Ready_to_close[[Order]:[Tot Est Machine Hrs]], 9, FALSE), "")</f>
        <v/>
      </c>
      <c r="I430" s="11">
        <f>SUMIF(MO_Components[Order], Calculations!A430, MO_Components[Std Cost])</f>
        <v>0</v>
      </c>
      <c r="J430" s="11">
        <f>SUMIF(MO_Components[Order], Calculations!A430, MO_Components[Act Cost])</f>
        <v>0</v>
      </c>
      <c r="K430" s="11">
        <f t="shared" si="24"/>
        <v>0</v>
      </c>
      <c r="L430" t="str">
        <f t="shared" si="25"/>
        <v/>
      </c>
      <c r="M430" t="str">
        <f t="shared" si="26"/>
        <v/>
      </c>
      <c r="N430" t="str">
        <f t="shared" si="27"/>
        <v/>
      </c>
    </row>
    <row r="431" spans="2:14" x14ac:dyDescent="0.25">
      <c r="B431" s="5" t="str">
        <f>_xlfn.IFNA(VLOOKUP(A431, MOs_Ready_to_close[[Order]:[Tot Est Machine Hrs]], 2, FALSE), "")</f>
        <v/>
      </c>
      <c r="C431" s="5" t="str">
        <f>_xlfn.IFNA(VLOOKUP(A431, MOs_Ready_to_close[[Order]:[Tot Est Machine Hrs]], 4, FALSE), "")</f>
        <v/>
      </c>
      <c r="D431" s="6" t="str">
        <f>_xlfn.IFNA(VLOOKUP(A431, MOs_Ready_to_close[[Order]:[Tot Est Machine Hrs]], 8, FALSE), "")</f>
        <v/>
      </c>
      <c r="E431" s="7" t="str">
        <f>_xlfn.IFNA(VLOOKUP(A431, MOs_Ready_to_close[[Order]:[Tot Est Machine Hrs]], 9, FALSE), "")</f>
        <v/>
      </c>
      <c r="I431" s="11">
        <f>SUMIF(MO_Components[Order], Calculations!A431, MO_Components[Std Cost])</f>
        <v>0</v>
      </c>
      <c r="J431" s="11">
        <f>SUMIF(MO_Components[Order], Calculations!A431, MO_Components[Act Cost])</f>
        <v>0</v>
      </c>
      <c r="K431" s="11">
        <f t="shared" si="24"/>
        <v>0</v>
      </c>
      <c r="L431" t="str">
        <f t="shared" si="25"/>
        <v/>
      </c>
      <c r="M431" t="str">
        <f t="shared" si="26"/>
        <v/>
      </c>
      <c r="N431" t="str">
        <f t="shared" si="27"/>
        <v/>
      </c>
    </row>
    <row r="432" spans="2:14" x14ac:dyDescent="0.25">
      <c r="B432" s="5" t="str">
        <f>_xlfn.IFNA(VLOOKUP(A432, MOs_Ready_to_close[[Order]:[Tot Est Machine Hrs]], 2, FALSE), "")</f>
        <v/>
      </c>
      <c r="C432" s="5" t="str">
        <f>_xlfn.IFNA(VLOOKUP(A432, MOs_Ready_to_close[[Order]:[Tot Est Machine Hrs]], 4, FALSE), "")</f>
        <v/>
      </c>
      <c r="D432" s="6" t="str">
        <f>_xlfn.IFNA(VLOOKUP(A432, MOs_Ready_to_close[[Order]:[Tot Est Machine Hrs]], 8, FALSE), "")</f>
        <v/>
      </c>
      <c r="E432" s="7" t="str">
        <f>_xlfn.IFNA(VLOOKUP(A432, MOs_Ready_to_close[[Order]:[Tot Est Machine Hrs]], 9, FALSE), "")</f>
        <v/>
      </c>
      <c r="I432" s="11">
        <f>SUMIF(MO_Components[Order], Calculations!A432, MO_Components[Std Cost])</f>
        <v>0</v>
      </c>
      <c r="J432" s="11">
        <f>SUMIF(MO_Components[Order], Calculations!A432, MO_Components[Act Cost])</f>
        <v>0</v>
      </c>
      <c r="K432" s="11">
        <f t="shared" si="24"/>
        <v>0</v>
      </c>
      <c r="L432" t="str">
        <f t="shared" si="25"/>
        <v/>
      </c>
      <c r="M432" t="str">
        <f t="shared" si="26"/>
        <v/>
      </c>
      <c r="N432" t="str">
        <f t="shared" si="27"/>
        <v/>
      </c>
    </row>
    <row r="433" spans="2:14" x14ac:dyDescent="0.25">
      <c r="B433" s="5" t="str">
        <f>_xlfn.IFNA(VLOOKUP(A433, MOs_Ready_to_close[[Order]:[Tot Est Machine Hrs]], 2, FALSE), "")</f>
        <v/>
      </c>
      <c r="C433" s="5" t="str">
        <f>_xlfn.IFNA(VLOOKUP(A433, MOs_Ready_to_close[[Order]:[Tot Est Machine Hrs]], 4, FALSE), "")</f>
        <v/>
      </c>
      <c r="D433" s="6" t="str">
        <f>_xlfn.IFNA(VLOOKUP(A433, MOs_Ready_to_close[[Order]:[Tot Est Machine Hrs]], 8, FALSE), "")</f>
        <v/>
      </c>
      <c r="E433" s="7" t="str">
        <f>_xlfn.IFNA(VLOOKUP(A433, MOs_Ready_to_close[[Order]:[Tot Est Machine Hrs]], 9, FALSE), "")</f>
        <v/>
      </c>
      <c r="I433" s="11">
        <f>SUMIF(MO_Components[Order], Calculations!A433, MO_Components[Std Cost])</f>
        <v>0</v>
      </c>
      <c r="J433" s="11">
        <f>SUMIF(MO_Components[Order], Calculations!A433, MO_Components[Act Cost])</f>
        <v>0</v>
      </c>
      <c r="K433" s="11">
        <f t="shared" si="24"/>
        <v>0</v>
      </c>
      <c r="L433" t="str">
        <f t="shared" si="25"/>
        <v/>
      </c>
      <c r="M433" t="str">
        <f t="shared" si="26"/>
        <v/>
      </c>
      <c r="N433" t="str">
        <f t="shared" si="27"/>
        <v/>
      </c>
    </row>
    <row r="434" spans="2:14" x14ac:dyDescent="0.25">
      <c r="B434" s="5" t="str">
        <f>_xlfn.IFNA(VLOOKUP(A434, MOs_Ready_to_close[[Order]:[Tot Est Machine Hrs]], 2, FALSE), "")</f>
        <v/>
      </c>
      <c r="C434" s="5" t="str">
        <f>_xlfn.IFNA(VLOOKUP(A434, MOs_Ready_to_close[[Order]:[Tot Est Machine Hrs]], 4, FALSE), "")</f>
        <v/>
      </c>
      <c r="D434" s="6" t="str">
        <f>_xlfn.IFNA(VLOOKUP(A434, MOs_Ready_to_close[[Order]:[Tot Est Machine Hrs]], 8, FALSE), "")</f>
        <v/>
      </c>
      <c r="E434" s="7" t="str">
        <f>_xlfn.IFNA(VLOOKUP(A434, MOs_Ready_to_close[[Order]:[Tot Est Machine Hrs]], 9, FALSE), "")</f>
        <v/>
      </c>
      <c r="I434" s="11">
        <f>SUMIF(MO_Components[Order], Calculations!A434, MO_Components[Std Cost])</f>
        <v>0</v>
      </c>
      <c r="J434" s="11">
        <f>SUMIF(MO_Components[Order], Calculations!A434, MO_Components[Act Cost])</f>
        <v>0</v>
      </c>
      <c r="K434" s="11">
        <f t="shared" si="24"/>
        <v>0</v>
      </c>
      <c r="L434" t="str">
        <f t="shared" si="25"/>
        <v/>
      </c>
      <c r="M434" t="str">
        <f t="shared" si="26"/>
        <v/>
      </c>
      <c r="N434" t="str">
        <f t="shared" si="27"/>
        <v/>
      </c>
    </row>
    <row r="435" spans="2:14" x14ac:dyDescent="0.25">
      <c r="B435" s="5" t="str">
        <f>_xlfn.IFNA(VLOOKUP(A435, MOs_Ready_to_close[[Order]:[Tot Est Machine Hrs]], 2, FALSE), "")</f>
        <v/>
      </c>
      <c r="C435" s="5" t="str">
        <f>_xlfn.IFNA(VLOOKUP(A435, MOs_Ready_to_close[[Order]:[Tot Est Machine Hrs]], 4, FALSE), "")</f>
        <v/>
      </c>
      <c r="D435" s="6" t="str">
        <f>_xlfn.IFNA(VLOOKUP(A435, MOs_Ready_to_close[[Order]:[Tot Est Machine Hrs]], 8, FALSE), "")</f>
        <v/>
      </c>
      <c r="E435" s="7" t="str">
        <f>_xlfn.IFNA(VLOOKUP(A435, MOs_Ready_to_close[[Order]:[Tot Est Machine Hrs]], 9, FALSE), "")</f>
        <v/>
      </c>
      <c r="I435" s="11">
        <f>SUMIF(MO_Components[Order], Calculations!A435, MO_Components[Std Cost])</f>
        <v>0</v>
      </c>
      <c r="J435" s="11">
        <f>SUMIF(MO_Components[Order], Calculations!A435, MO_Components[Act Cost])</f>
        <v>0</v>
      </c>
      <c r="K435" s="11">
        <f t="shared" si="24"/>
        <v>0</v>
      </c>
      <c r="L435" t="str">
        <f t="shared" si="25"/>
        <v/>
      </c>
      <c r="M435" t="str">
        <f t="shared" si="26"/>
        <v/>
      </c>
      <c r="N435" t="str">
        <f t="shared" si="27"/>
        <v/>
      </c>
    </row>
    <row r="436" spans="2:14" x14ac:dyDescent="0.25">
      <c r="B436" s="5" t="str">
        <f>_xlfn.IFNA(VLOOKUP(A436, MOs_Ready_to_close[[Order]:[Tot Est Machine Hrs]], 2, FALSE), "")</f>
        <v/>
      </c>
      <c r="C436" s="5" t="str">
        <f>_xlfn.IFNA(VLOOKUP(A436, MOs_Ready_to_close[[Order]:[Tot Est Machine Hrs]], 4, FALSE), "")</f>
        <v/>
      </c>
      <c r="D436" s="6" t="str">
        <f>_xlfn.IFNA(VLOOKUP(A436, MOs_Ready_to_close[[Order]:[Tot Est Machine Hrs]], 8, FALSE), "")</f>
        <v/>
      </c>
      <c r="E436" s="7" t="str">
        <f>_xlfn.IFNA(VLOOKUP(A436, MOs_Ready_to_close[[Order]:[Tot Est Machine Hrs]], 9, FALSE), "")</f>
        <v/>
      </c>
      <c r="I436" s="11">
        <f>SUMIF(MO_Components[Order], Calculations!A436, MO_Components[Std Cost])</f>
        <v>0</v>
      </c>
      <c r="J436" s="11">
        <f>SUMIF(MO_Components[Order], Calculations!A436, MO_Components[Act Cost])</f>
        <v>0</v>
      </c>
      <c r="K436" s="11">
        <f t="shared" si="24"/>
        <v>0</v>
      </c>
      <c r="L436" t="str">
        <f t="shared" si="25"/>
        <v/>
      </c>
      <c r="M436" t="str">
        <f t="shared" si="26"/>
        <v/>
      </c>
      <c r="N436" t="str">
        <f t="shared" si="27"/>
        <v/>
      </c>
    </row>
    <row r="437" spans="2:14" x14ac:dyDescent="0.25">
      <c r="B437" s="5" t="str">
        <f>_xlfn.IFNA(VLOOKUP(A437, MOs_Ready_to_close[[Order]:[Tot Est Machine Hrs]], 2, FALSE), "")</f>
        <v/>
      </c>
      <c r="C437" s="5" t="str">
        <f>_xlfn.IFNA(VLOOKUP(A437, MOs_Ready_to_close[[Order]:[Tot Est Machine Hrs]], 4, FALSE), "")</f>
        <v/>
      </c>
      <c r="D437" s="6" t="str">
        <f>_xlfn.IFNA(VLOOKUP(A437, MOs_Ready_to_close[[Order]:[Tot Est Machine Hrs]], 8, FALSE), "")</f>
        <v/>
      </c>
      <c r="E437" s="7" t="str">
        <f>_xlfn.IFNA(VLOOKUP(A437, MOs_Ready_to_close[[Order]:[Tot Est Machine Hrs]], 9, FALSE), "")</f>
        <v/>
      </c>
      <c r="I437" s="11">
        <f>SUMIF(MO_Components[Order], Calculations!A437, MO_Components[Std Cost])</f>
        <v>0</v>
      </c>
      <c r="J437" s="11">
        <f>SUMIF(MO_Components[Order], Calculations!A437, MO_Components[Act Cost])</f>
        <v>0</v>
      </c>
      <c r="K437" s="11">
        <f t="shared" si="24"/>
        <v>0</v>
      </c>
      <c r="L437" t="str">
        <f t="shared" si="25"/>
        <v/>
      </c>
      <c r="M437" t="str">
        <f t="shared" si="26"/>
        <v/>
      </c>
      <c r="N437" t="str">
        <f t="shared" si="27"/>
        <v/>
      </c>
    </row>
    <row r="438" spans="2:14" x14ac:dyDescent="0.25">
      <c r="B438" s="5" t="str">
        <f>_xlfn.IFNA(VLOOKUP(A438, MOs_Ready_to_close[[Order]:[Tot Est Machine Hrs]], 2, FALSE), "")</f>
        <v/>
      </c>
      <c r="C438" s="5" t="str">
        <f>_xlfn.IFNA(VLOOKUP(A438, MOs_Ready_to_close[[Order]:[Tot Est Machine Hrs]], 4, FALSE), "")</f>
        <v/>
      </c>
      <c r="D438" s="6" t="str">
        <f>_xlfn.IFNA(VLOOKUP(A438, MOs_Ready_to_close[[Order]:[Tot Est Machine Hrs]], 8, FALSE), "")</f>
        <v/>
      </c>
      <c r="E438" s="7" t="str">
        <f>_xlfn.IFNA(VLOOKUP(A438, MOs_Ready_to_close[[Order]:[Tot Est Machine Hrs]], 9, FALSE), "")</f>
        <v/>
      </c>
      <c r="I438" s="11">
        <f>SUMIF(MO_Components[Order], Calculations!A438, MO_Components[Std Cost])</f>
        <v>0</v>
      </c>
      <c r="J438" s="11">
        <f>SUMIF(MO_Components[Order], Calculations!A438, MO_Components[Act Cost])</f>
        <v>0</v>
      </c>
      <c r="K438" s="11">
        <f t="shared" si="24"/>
        <v>0</v>
      </c>
      <c r="L438" t="str">
        <f t="shared" si="25"/>
        <v/>
      </c>
      <c r="M438" t="str">
        <f t="shared" si="26"/>
        <v/>
      </c>
      <c r="N438" t="str">
        <f t="shared" si="27"/>
        <v/>
      </c>
    </row>
    <row r="439" spans="2:14" x14ac:dyDescent="0.25">
      <c r="B439" s="5" t="str">
        <f>_xlfn.IFNA(VLOOKUP(A439, MOs_Ready_to_close[[Order]:[Tot Est Machine Hrs]], 2, FALSE), "")</f>
        <v/>
      </c>
      <c r="C439" s="5" t="str">
        <f>_xlfn.IFNA(VLOOKUP(A439, MOs_Ready_to_close[[Order]:[Tot Est Machine Hrs]], 4, FALSE), "")</f>
        <v/>
      </c>
      <c r="D439" s="6" t="str">
        <f>_xlfn.IFNA(VLOOKUP(A439, MOs_Ready_to_close[[Order]:[Tot Est Machine Hrs]], 8, FALSE), "")</f>
        <v/>
      </c>
      <c r="E439" s="7" t="str">
        <f>_xlfn.IFNA(VLOOKUP(A439, MOs_Ready_to_close[[Order]:[Tot Est Machine Hrs]], 9, FALSE), "")</f>
        <v/>
      </c>
      <c r="I439" s="11">
        <f>SUMIF(MO_Components[Order], Calculations!A439, MO_Components[Std Cost])</f>
        <v>0</v>
      </c>
      <c r="J439" s="11">
        <f>SUMIF(MO_Components[Order], Calculations!A439, MO_Components[Act Cost])</f>
        <v>0</v>
      </c>
      <c r="K439" s="11">
        <f t="shared" si="24"/>
        <v>0</v>
      </c>
      <c r="L439" t="str">
        <f t="shared" si="25"/>
        <v/>
      </c>
      <c r="M439" t="str">
        <f t="shared" si="26"/>
        <v/>
      </c>
      <c r="N439" t="str">
        <f t="shared" si="27"/>
        <v/>
      </c>
    </row>
    <row r="440" spans="2:14" x14ac:dyDescent="0.25">
      <c r="B440" s="5" t="str">
        <f>_xlfn.IFNA(VLOOKUP(A440, MOs_Ready_to_close[[Order]:[Tot Est Machine Hrs]], 2, FALSE), "")</f>
        <v/>
      </c>
      <c r="C440" s="5" t="str">
        <f>_xlfn.IFNA(VLOOKUP(A440, MOs_Ready_to_close[[Order]:[Tot Est Machine Hrs]], 4, FALSE), "")</f>
        <v/>
      </c>
      <c r="D440" s="6" t="str">
        <f>_xlfn.IFNA(VLOOKUP(A440, MOs_Ready_to_close[[Order]:[Tot Est Machine Hrs]], 8, FALSE), "")</f>
        <v/>
      </c>
      <c r="E440" s="7" t="str">
        <f>_xlfn.IFNA(VLOOKUP(A440, MOs_Ready_to_close[[Order]:[Tot Est Machine Hrs]], 9, FALSE), "")</f>
        <v/>
      </c>
      <c r="I440" s="11">
        <f>SUMIF(MO_Components[Order], Calculations!A440, MO_Components[Std Cost])</f>
        <v>0</v>
      </c>
      <c r="J440" s="11">
        <f>SUMIF(MO_Components[Order], Calculations!A440, MO_Components[Act Cost])</f>
        <v>0</v>
      </c>
      <c r="K440" s="11">
        <f t="shared" si="24"/>
        <v>0</v>
      </c>
      <c r="L440" t="str">
        <f t="shared" si="25"/>
        <v/>
      </c>
      <c r="M440" t="str">
        <f t="shared" si="26"/>
        <v/>
      </c>
      <c r="N440" t="str">
        <f t="shared" si="27"/>
        <v/>
      </c>
    </row>
    <row r="441" spans="2:14" x14ac:dyDescent="0.25">
      <c r="B441" s="5" t="str">
        <f>_xlfn.IFNA(VLOOKUP(A441, MOs_Ready_to_close[[Order]:[Tot Est Machine Hrs]], 2, FALSE), "")</f>
        <v/>
      </c>
      <c r="C441" s="5" t="str">
        <f>_xlfn.IFNA(VLOOKUP(A441, MOs_Ready_to_close[[Order]:[Tot Est Machine Hrs]], 4, FALSE), "")</f>
        <v/>
      </c>
      <c r="D441" s="6" t="str">
        <f>_xlfn.IFNA(VLOOKUP(A441, MOs_Ready_to_close[[Order]:[Tot Est Machine Hrs]], 8, FALSE), "")</f>
        <v/>
      </c>
      <c r="E441" s="7" t="str">
        <f>_xlfn.IFNA(VLOOKUP(A441, MOs_Ready_to_close[[Order]:[Tot Est Machine Hrs]], 9, FALSE), "")</f>
        <v/>
      </c>
      <c r="I441" s="11">
        <f>SUMIF(MO_Components[Order], Calculations!A441, MO_Components[Std Cost])</f>
        <v>0</v>
      </c>
      <c r="J441" s="11">
        <f>SUMIF(MO_Components[Order], Calculations!A441, MO_Components[Act Cost])</f>
        <v>0</v>
      </c>
      <c r="K441" s="11">
        <f t="shared" si="24"/>
        <v>0</v>
      </c>
      <c r="L441" t="str">
        <f t="shared" si="25"/>
        <v/>
      </c>
      <c r="M441" t="str">
        <f t="shared" si="26"/>
        <v/>
      </c>
      <c r="N441" t="str">
        <f t="shared" si="27"/>
        <v/>
      </c>
    </row>
    <row r="442" spans="2:14" x14ac:dyDescent="0.25">
      <c r="B442" s="5" t="str">
        <f>_xlfn.IFNA(VLOOKUP(A442, MOs_Ready_to_close[[Order]:[Tot Est Machine Hrs]], 2, FALSE), "")</f>
        <v/>
      </c>
      <c r="C442" s="5" t="str">
        <f>_xlfn.IFNA(VLOOKUP(A442, MOs_Ready_to_close[[Order]:[Tot Est Machine Hrs]], 4, FALSE), "")</f>
        <v/>
      </c>
      <c r="D442" s="6" t="str">
        <f>_xlfn.IFNA(VLOOKUP(A442, MOs_Ready_to_close[[Order]:[Tot Est Machine Hrs]], 8, FALSE), "")</f>
        <v/>
      </c>
      <c r="E442" s="7" t="str">
        <f>_xlfn.IFNA(VLOOKUP(A442, MOs_Ready_to_close[[Order]:[Tot Est Machine Hrs]], 9, FALSE), "")</f>
        <v/>
      </c>
      <c r="I442" s="11">
        <f>SUMIF(MO_Components[Order], Calculations!A442, MO_Components[Std Cost])</f>
        <v>0</v>
      </c>
      <c r="J442" s="11">
        <f>SUMIF(MO_Components[Order], Calculations!A442, MO_Components[Act Cost])</f>
        <v>0</v>
      </c>
      <c r="K442" s="11">
        <f t="shared" si="24"/>
        <v>0</v>
      </c>
      <c r="L442" t="str">
        <f t="shared" si="25"/>
        <v/>
      </c>
      <c r="M442" t="str">
        <f t="shared" si="26"/>
        <v/>
      </c>
      <c r="N442" t="str">
        <f t="shared" si="27"/>
        <v/>
      </c>
    </row>
    <row r="443" spans="2:14" x14ac:dyDescent="0.25">
      <c r="B443" s="5" t="str">
        <f>_xlfn.IFNA(VLOOKUP(A443, MOs_Ready_to_close[[Order]:[Tot Est Machine Hrs]], 2, FALSE), "")</f>
        <v/>
      </c>
      <c r="C443" s="5" t="str">
        <f>_xlfn.IFNA(VLOOKUP(A443, MOs_Ready_to_close[[Order]:[Tot Est Machine Hrs]], 4, FALSE), "")</f>
        <v/>
      </c>
      <c r="D443" s="6" t="str">
        <f>_xlfn.IFNA(VLOOKUP(A443, MOs_Ready_to_close[[Order]:[Tot Est Machine Hrs]], 8, FALSE), "")</f>
        <v/>
      </c>
      <c r="E443" s="7" t="str">
        <f>_xlfn.IFNA(VLOOKUP(A443, MOs_Ready_to_close[[Order]:[Tot Est Machine Hrs]], 9, FALSE), "")</f>
        <v/>
      </c>
      <c r="I443" s="11">
        <f>SUMIF(MO_Components[Order], Calculations!A443, MO_Components[Std Cost])</f>
        <v>0</v>
      </c>
      <c r="J443" s="11">
        <f>SUMIF(MO_Components[Order], Calculations!A443, MO_Components[Act Cost])</f>
        <v>0</v>
      </c>
      <c r="K443" s="11">
        <f t="shared" si="24"/>
        <v>0</v>
      </c>
      <c r="L443" t="str">
        <f t="shared" si="25"/>
        <v/>
      </c>
      <c r="M443" t="str">
        <f t="shared" si="26"/>
        <v/>
      </c>
      <c r="N443" t="str">
        <f t="shared" si="27"/>
        <v/>
      </c>
    </row>
    <row r="444" spans="2:14" x14ac:dyDescent="0.25">
      <c r="B444" s="5" t="str">
        <f>_xlfn.IFNA(VLOOKUP(A444, MOs_Ready_to_close[[Order]:[Tot Est Machine Hrs]], 2, FALSE), "")</f>
        <v/>
      </c>
      <c r="C444" s="5" t="str">
        <f>_xlfn.IFNA(VLOOKUP(A444, MOs_Ready_to_close[[Order]:[Tot Est Machine Hrs]], 4, FALSE), "")</f>
        <v/>
      </c>
      <c r="D444" s="6" t="str">
        <f>_xlfn.IFNA(VLOOKUP(A444, MOs_Ready_to_close[[Order]:[Tot Est Machine Hrs]], 8, FALSE), "")</f>
        <v/>
      </c>
      <c r="E444" s="7" t="str">
        <f>_xlfn.IFNA(VLOOKUP(A444, MOs_Ready_to_close[[Order]:[Tot Est Machine Hrs]], 9, FALSE), "")</f>
        <v/>
      </c>
      <c r="I444" s="11">
        <f>SUMIF(MO_Components[Order], Calculations!A444, MO_Components[Std Cost])</f>
        <v>0</v>
      </c>
      <c r="J444" s="11">
        <f>SUMIF(MO_Components[Order], Calculations!A444, MO_Components[Act Cost])</f>
        <v>0</v>
      </c>
      <c r="K444" s="11">
        <f t="shared" si="24"/>
        <v>0</v>
      </c>
      <c r="L444" t="str">
        <f t="shared" si="25"/>
        <v/>
      </c>
      <c r="M444" t="str">
        <f t="shared" si="26"/>
        <v/>
      </c>
      <c r="N444" t="str">
        <f t="shared" si="27"/>
        <v/>
      </c>
    </row>
    <row r="445" spans="2:14" x14ac:dyDescent="0.25">
      <c r="B445" s="5" t="str">
        <f>_xlfn.IFNA(VLOOKUP(A445, MOs_Ready_to_close[[Order]:[Tot Est Machine Hrs]], 2, FALSE), "")</f>
        <v/>
      </c>
      <c r="C445" s="5" t="str">
        <f>_xlfn.IFNA(VLOOKUP(A445, MOs_Ready_to_close[[Order]:[Tot Est Machine Hrs]], 4, FALSE), "")</f>
        <v/>
      </c>
      <c r="D445" s="6" t="str">
        <f>_xlfn.IFNA(VLOOKUP(A445, MOs_Ready_to_close[[Order]:[Tot Est Machine Hrs]], 8, FALSE), "")</f>
        <v/>
      </c>
      <c r="E445" s="7" t="str">
        <f>_xlfn.IFNA(VLOOKUP(A445, MOs_Ready_to_close[[Order]:[Tot Est Machine Hrs]], 9, FALSE), "")</f>
        <v/>
      </c>
      <c r="I445" s="11">
        <f>SUMIF(MO_Components[Order], Calculations!A445, MO_Components[Std Cost])</f>
        <v>0</v>
      </c>
      <c r="J445" s="11">
        <f>SUMIF(MO_Components[Order], Calculations!A445, MO_Components[Act Cost])</f>
        <v>0</v>
      </c>
      <c r="K445" s="11">
        <f t="shared" si="24"/>
        <v>0</v>
      </c>
      <c r="L445" t="str">
        <f t="shared" si="25"/>
        <v/>
      </c>
      <c r="M445" t="str">
        <f t="shared" si="26"/>
        <v/>
      </c>
      <c r="N445" t="str">
        <f t="shared" si="27"/>
        <v/>
      </c>
    </row>
    <row r="446" spans="2:14" x14ac:dyDescent="0.25">
      <c r="B446" s="5" t="str">
        <f>_xlfn.IFNA(VLOOKUP(A446, MOs_Ready_to_close[[Order]:[Tot Est Machine Hrs]], 2, FALSE), "")</f>
        <v/>
      </c>
      <c r="C446" s="5" t="str">
        <f>_xlfn.IFNA(VLOOKUP(A446, MOs_Ready_to_close[[Order]:[Tot Est Machine Hrs]], 4, FALSE), "")</f>
        <v/>
      </c>
      <c r="D446" s="6" t="str">
        <f>_xlfn.IFNA(VLOOKUP(A446, MOs_Ready_to_close[[Order]:[Tot Est Machine Hrs]], 8, FALSE), "")</f>
        <v/>
      </c>
      <c r="E446" s="7" t="str">
        <f>_xlfn.IFNA(VLOOKUP(A446, MOs_Ready_to_close[[Order]:[Tot Est Machine Hrs]], 9, FALSE), "")</f>
        <v/>
      </c>
      <c r="I446" s="11">
        <f>SUMIF(MO_Components[Order], Calculations!A446, MO_Components[Std Cost])</f>
        <v>0</v>
      </c>
      <c r="J446" s="11">
        <f>SUMIF(MO_Components[Order], Calculations!A446, MO_Components[Act Cost])</f>
        <v>0</v>
      </c>
      <c r="K446" s="11">
        <f t="shared" si="24"/>
        <v>0</v>
      </c>
      <c r="L446" t="str">
        <f t="shared" si="25"/>
        <v/>
      </c>
      <c r="M446" t="str">
        <f t="shared" si="26"/>
        <v/>
      </c>
      <c r="N446" t="str">
        <f t="shared" si="27"/>
        <v/>
      </c>
    </row>
    <row r="447" spans="2:14" x14ac:dyDescent="0.25">
      <c r="B447" s="5" t="str">
        <f>_xlfn.IFNA(VLOOKUP(A447, MOs_Ready_to_close[[Order]:[Tot Est Machine Hrs]], 2, FALSE), "")</f>
        <v/>
      </c>
      <c r="C447" s="5" t="str">
        <f>_xlfn.IFNA(VLOOKUP(A447, MOs_Ready_to_close[[Order]:[Tot Est Machine Hrs]], 4, FALSE), "")</f>
        <v/>
      </c>
      <c r="D447" s="6" t="str">
        <f>_xlfn.IFNA(VLOOKUP(A447, MOs_Ready_to_close[[Order]:[Tot Est Machine Hrs]], 8, FALSE), "")</f>
        <v/>
      </c>
      <c r="E447" s="7" t="str">
        <f>_xlfn.IFNA(VLOOKUP(A447, MOs_Ready_to_close[[Order]:[Tot Est Machine Hrs]], 9, FALSE), "")</f>
        <v/>
      </c>
      <c r="I447" s="11">
        <f>SUMIF(MO_Components[Order], Calculations!A447, MO_Components[Std Cost])</f>
        <v>0</v>
      </c>
      <c r="J447" s="11">
        <f>SUMIF(MO_Components[Order], Calculations!A447, MO_Components[Act Cost])</f>
        <v>0</v>
      </c>
      <c r="K447" s="11">
        <f t="shared" si="24"/>
        <v>0</v>
      </c>
      <c r="L447" t="str">
        <f t="shared" si="25"/>
        <v/>
      </c>
      <c r="M447" t="str">
        <f t="shared" si="26"/>
        <v/>
      </c>
      <c r="N447" t="str">
        <f t="shared" si="27"/>
        <v/>
      </c>
    </row>
    <row r="448" spans="2:14" x14ac:dyDescent="0.25">
      <c r="B448" s="5" t="str">
        <f>_xlfn.IFNA(VLOOKUP(A448, MOs_Ready_to_close[[Order]:[Tot Est Machine Hrs]], 2, FALSE), "")</f>
        <v/>
      </c>
      <c r="C448" s="5" t="str">
        <f>_xlfn.IFNA(VLOOKUP(A448, MOs_Ready_to_close[[Order]:[Tot Est Machine Hrs]], 4, FALSE), "")</f>
        <v/>
      </c>
      <c r="D448" s="6" t="str">
        <f>_xlfn.IFNA(VLOOKUP(A448, MOs_Ready_to_close[[Order]:[Tot Est Machine Hrs]], 8, FALSE), "")</f>
        <v/>
      </c>
      <c r="E448" s="7" t="str">
        <f>_xlfn.IFNA(VLOOKUP(A448, MOs_Ready_to_close[[Order]:[Tot Est Machine Hrs]], 9, FALSE), "")</f>
        <v/>
      </c>
      <c r="I448" s="11">
        <f>SUMIF(MO_Components[Order], Calculations!A448, MO_Components[Std Cost])</f>
        <v>0</v>
      </c>
      <c r="J448" s="11">
        <f>SUMIF(MO_Components[Order], Calculations!A448, MO_Components[Act Cost])</f>
        <v>0</v>
      </c>
      <c r="K448" s="11">
        <f t="shared" si="24"/>
        <v>0</v>
      </c>
      <c r="L448" t="str">
        <f t="shared" si="25"/>
        <v/>
      </c>
      <c r="M448" t="str">
        <f t="shared" si="26"/>
        <v/>
      </c>
      <c r="N448" t="str">
        <f t="shared" si="27"/>
        <v/>
      </c>
    </row>
    <row r="449" spans="2:14" x14ac:dyDescent="0.25">
      <c r="B449" s="5" t="str">
        <f>_xlfn.IFNA(VLOOKUP(A449, MOs_Ready_to_close[[Order]:[Tot Est Machine Hrs]], 2, FALSE), "")</f>
        <v/>
      </c>
      <c r="C449" s="5" t="str">
        <f>_xlfn.IFNA(VLOOKUP(A449, MOs_Ready_to_close[[Order]:[Tot Est Machine Hrs]], 4, FALSE), "")</f>
        <v/>
      </c>
      <c r="D449" s="6" t="str">
        <f>_xlfn.IFNA(VLOOKUP(A449, MOs_Ready_to_close[[Order]:[Tot Est Machine Hrs]], 8, FALSE), "")</f>
        <v/>
      </c>
      <c r="E449" s="7" t="str">
        <f>_xlfn.IFNA(VLOOKUP(A449, MOs_Ready_to_close[[Order]:[Tot Est Machine Hrs]], 9, FALSE), "")</f>
        <v/>
      </c>
      <c r="I449" s="11">
        <f>SUMIF(MO_Components[Order], Calculations!A449, MO_Components[Std Cost])</f>
        <v>0</v>
      </c>
      <c r="J449" s="11">
        <f>SUMIF(MO_Components[Order], Calculations!A449, MO_Components[Act Cost])</f>
        <v>0</v>
      </c>
      <c r="K449" s="11">
        <f t="shared" si="24"/>
        <v>0</v>
      </c>
      <c r="L449" t="str">
        <f t="shared" si="25"/>
        <v/>
      </c>
      <c r="M449" t="str">
        <f t="shared" si="26"/>
        <v/>
      </c>
      <c r="N449" t="str">
        <f t="shared" si="27"/>
        <v/>
      </c>
    </row>
    <row r="450" spans="2:14" x14ac:dyDescent="0.25">
      <c r="B450" s="5" t="str">
        <f>_xlfn.IFNA(VLOOKUP(A450, MOs_Ready_to_close[[Order]:[Tot Est Machine Hrs]], 2, FALSE), "")</f>
        <v/>
      </c>
      <c r="C450" s="5" t="str">
        <f>_xlfn.IFNA(VLOOKUP(A450, MOs_Ready_to_close[[Order]:[Tot Est Machine Hrs]], 4, FALSE), "")</f>
        <v/>
      </c>
      <c r="D450" s="6" t="str">
        <f>_xlfn.IFNA(VLOOKUP(A450, MOs_Ready_to_close[[Order]:[Tot Est Machine Hrs]], 8, FALSE), "")</f>
        <v/>
      </c>
      <c r="E450" s="7" t="str">
        <f>_xlfn.IFNA(VLOOKUP(A450, MOs_Ready_to_close[[Order]:[Tot Est Machine Hrs]], 9, FALSE), "")</f>
        <v/>
      </c>
      <c r="I450" s="11">
        <f>SUMIF(MO_Components[Order], Calculations!A450, MO_Components[Std Cost])</f>
        <v>0</v>
      </c>
      <c r="J450" s="11">
        <f>SUMIF(MO_Components[Order], Calculations!A450, MO_Components[Act Cost])</f>
        <v>0</v>
      </c>
      <c r="K450" s="11">
        <f t="shared" si="24"/>
        <v>0</v>
      </c>
      <c r="L450" t="str">
        <f t="shared" si="25"/>
        <v/>
      </c>
      <c r="M450" t="str">
        <f t="shared" si="26"/>
        <v/>
      </c>
      <c r="N450" t="str">
        <f t="shared" si="27"/>
        <v/>
      </c>
    </row>
    <row r="451" spans="2:14" x14ac:dyDescent="0.25">
      <c r="B451" s="5" t="str">
        <f>_xlfn.IFNA(VLOOKUP(A451, MOs_Ready_to_close[[Order]:[Tot Est Machine Hrs]], 2, FALSE), "")</f>
        <v/>
      </c>
      <c r="C451" s="5" t="str">
        <f>_xlfn.IFNA(VLOOKUP(A451, MOs_Ready_to_close[[Order]:[Tot Est Machine Hrs]], 4, FALSE), "")</f>
        <v/>
      </c>
      <c r="D451" s="6" t="str">
        <f>_xlfn.IFNA(VLOOKUP(A451, MOs_Ready_to_close[[Order]:[Tot Est Machine Hrs]], 8, FALSE), "")</f>
        <v/>
      </c>
      <c r="E451" s="7" t="str">
        <f>_xlfn.IFNA(VLOOKUP(A451, MOs_Ready_to_close[[Order]:[Tot Est Machine Hrs]], 9, FALSE), "")</f>
        <v/>
      </c>
      <c r="I451" s="11">
        <f>SUMIF(MO_Components[Order], Calculations!A451, MO_Components[Std Cost])</f>
        <v>0</v>
      </c>
      <c r="J451" s="11">
        <f>SUMIF(MO_Components[Order], Calculations!A451, MO_Components[Act Cost])</f>
        <v>0</v>
      </c>
      <c r="K451" s="11">
        <f t="shared" ref="K451:K500" si="28">J451-I451</f>
        <v>0</v>
      </c>
      <c r="L451" t="str">
        <f t="shared" ref="L451:L500" si="29">IF(E451&lt;&gt;"", IF(E451&gt;0, "Positive", "Negative"), "")</f>
        <v/>
      </c>
      <c r="M451" t="str">
        <f t="shared" ref="M451:M500" si="30">IF(H451&lt;&gt;0, IF(H451&gt;0, "Positive", "Negative"), "")</f>
        <v/>
      </c>
      <c r="N451" t="str">
        <f t="shared" ref="N451:N500" si="31">IF(K451&lt;&gt;0, IF(K451&gt;0, "Positive", "Negative"), "")</f>
        <v/>
      </c>
    </row>
    <row r="452" spans="2:14" x14ac:dyDescent="0.25">
      <c r="B452" s="5" t="str">
        <f>_xlfn.IFNA(VLOOKUP(A452, MOs_Ready_to_close[[Order]:[Tot Est Machine Hrs]], 2, FALSE), "")</f>
        <v/>
      </c>
      <c r="C452" s="5" t="str">
        <f>_xlfn.IFNA(VLOOKUP(A452, MOs_Ready_to_close[[Order]:[Tot Est Machine Hrs]], 4, FALSE), "")</f>
        <v/>
      </c>
      <c r="D452" s="6" t="str">
        <f>_xlfn.IFNA(VLOOKUP(A452, MOs_Ready_to_close[[Order]:[Tot Est Machine Hrs]], 8, FALSE), "")</f>
        <v/>
      </c>
      <c r="E452" s="7" t="str">
        <f>_xlfn.IFNA(VLOOKUP(A452, MOs_Ready_to_close[[Order]:[Tot Est Machine Hrs]], 9, FALSE), "")</f>
        <v/>
      </c>
      <c r="I452" s="11">
        <f>SUMIF(MO_Components[Order], Calculations!A452, MO_Components[Std Cost])</f>
        <v>0</v>
      </c>
      <c r="J452" s="11">
        <f>SUMIF(MO_Components[Order], Calculations!A452, MO_Components[Act Cost])</f>
        <v>0</v>
      </c>
      <c r="K452" s="11">
        <f t="shared" si="28"/>
        <v>0</v>
      </c>
      <c r="L452" t="str">
        <f t="shared" si="29"/>
        <v/>
      </c>
      <c r="M452" t="str">
        <f t="shared" si="30"/>
        <v/>
      </c>
      <c r="N452" t="str">
        <f t="shared" si="31"/>
        <v/>
      </c>
    </row>
    <row r="453" spans="2:14" x14ac:dyDescent="0.25">
      <c r="B453" s="5" t="str">
        <f>_xlfn.IFNA(VLOOKUP(A453, MOs_Ready_to_close[[Order]:[Tot Est Machine Hrs]], 2, FALSE), "")</f>
        <v/>
      </c>
      <c r="C453" s="5" t="str">
        <f>_xlfn.IFNA(VLOOKUP(A453, MOs_Ready_to_close[[Order]:[Tot Est Machine Hrs]], 4, FALSE), "")</f>
        <v/>
      </c>
      <c r="D453" s="6" t="str">
        <f>_xlfn.IFNA(VLOOKUP(A453, MOs_Ready_to_close[[Order]:[Tot Est Machine Hrs]], 8, FALSE), "")</f>
        <v/>
      </c>
      <c r="E453" s="7" t="str">
        <f>_xlfn.IFNA(VLOOKUP(A453, MOs_Ready_to_close[[Order]:[Tot Est Machine Hrs]], 9, FALSE), "")</f>
        <v/>
      </c>
      <c r="I453" s="11">
        <f>SUMIF(MO_Components[Order], Calculations!A453, MO_Components[Std Cost])</f>
        <v>0</v>
      </c>
      <c r="J453" s="11">
        <f>SUMIF(MO_Components[Order], Calculations!A453, MO_Components[Act Cost])</f>
        <v>0</v>
      </c>
      <c r="K453" s="11">
        <f t="shared" si="28"/>
        <v>0</v>
      </c>
      <c r="L453" t="str">
        <f t="shared" si="29"/>
        <v/>
      </c>
      <c r="M453" t="str">
        <f t="shared" si="30"/>
        <v/>
      </c>
      <c r="N453" t="str">
        <f t="shared" si="31"/>
        <v/>
      </c>
    </row>
    <row r="454" spans="2:14" x14ac:dyDescent="0.25">
      <c r="B454" s="5" t="str">
        <f>_xlfn.IFNA(VLOOKUP(A454, MOs_Ready_to_close[[Order]:[Tot Est Machine Hrs]], 2, FALSE), "")</f>
        <v/>
      </c>
      <c r="C454" s="5" t="str">
        <f>_xlfn.IFNA(VLOOKUP(A454, MOs_Ready_to_close[[Order]:[Tot Est Machine Hrs]], 4, FALSE), "")</f>
        <v/>
      </c>
      <c r="D454" s="6" t="str">
        <f>_xlfn.IFNA(VLOOKUP(A454, MOs_Ready_to_close[[Order]:[Tot Est Machine Hrs]], 8, FALSE), "")</f>
        <v/>
      </c>
      <c r="E454" s="7" t="str">
        <f>_xlfn.IFNA(VLOOKUP(A454, MOs_Ready_to_close[[Order]:[Tot Est Machine Hrs]], 9, FALSE), "")</f>
        <v/>
      </c>
      <c r="I454" s="11">
        <f>SUMIF(MO_Components[Order], Calculations!A454, MO_Components[Std Cost])</f>
        <v>0</v>
      </c>
      <c r="J454" s="11">
        <f>SUMIF(MO_Components[Order], Calculations!A454, MO_Components[Act Cost])</f>
        <v>0</v>
      </c>
      <c r="K454" s="11">
        <f t="shared" si="28"/>
        <v>0</v>
      </c>
      <c r="L454" t="str">
        <f t="shared" si="29"/>
        <v/>
      </c>
      <c r="M454" t="str">
        <f t="shared" si="30"/>
        <v/>
      </c>
      <c r="N454" t="str">
        <f t="shared" si="31"/>
        <v/>
      </c>
    </row>
    <row r="455" spans="2:14" x14ac:dyDescent="0.25">
      <c r="B455" s="5" t="str">
        <f>_xlfn.IFNA(VLOOKUP(A455, MOs_Ready_to_close[[Order]:[Tot Est Machine Hrs]], 2, FALSE), "")</f>
        <v/>
      </c>
      <c r="C455" s="5" t="str">
        <f>_xlfn.IFNA(VLOOKUP(A455, MOs_Ready_to_close[[Order]:[Tot Est Machine Hrs]], 4, FALSE), "")</f>
        <v/>
      </c>
      <c r="D455" s="6" t="str">
        <f>_xlfn.IFNA(VLOOKUP(A455, MOs_Ready_to_close[[Order]:[Tot Est Machine Hrs]], 8, FALSE), "")</f>
        <v/>
      </c>
      <c r="E455" s="7" t="str">
        <f>_xlfn.IFNA(VLOOKUP(A455, MOs_Ready_to_close[[Order]:[Tot Est Machine Hrs]], 9, FALSE), "")</f>
        <v/>
      </c>
      <c r="I455" s="11">
        <f>SUMIF(MO_Components[Order], Calculations!A455, MO_Components[Std Cost])</f>
        <v>0</v>
      </c>
      <c r="J455" s="11">
        <f>SUMIF(MO_Components[Order], Calculations!A455, MO_Components[Act Cost])</f>
        <v>0</v>
      </c>
      <c r="K455" s="11">
        <f t="shared" si="28"/>
        <v>0</v>
      </c>
      <c r="L455" t="str">
        <f t="shared" si="29"/>
        <v/>
      </c>
      <c r="M455" t="str">
        <f t="shared" si="30"/>
        <v/>
      </c>
      <c r="N455" t="str">
        <f t="shared" si="31"/>
        <v/>
      </c>
    </row>
    <row r="456" spans="2:14" x14ac:dyDescent="0.25">
      <c r="B456" s="5" t="str">
        <f>_xlfn.IFNA(VLOOKUP(A456, MOs_Ready_to_close[[Order]:[Tot Est Machine Hrs]], 2, FALSE), "")</f>
        <v/>
      </c>
      <c r="C456" s="5" t="str">
        <f>_xlfn.IFNA(VLOOKUP(A456, MOs_Ready_to_close[[Order]:[Tot Est Machine Hrs]], 4, FALSE), "")</f>
        <v/>
      </c>
      <c r="D456" s="6" t="str">
        <f>_xlfn.IFNA(VLOOKUP(A456, MOs_Ready_to_close[[Order]:[Tot Est Machine Hrs]], 8, FALSE), "")</f>
        <v/>
      </c>
      <c r="E456" s="7" t="str">
        <f>_xlfn.IFNA(VLOOKUP(A456, MOs_Ready_to_close[[Order]:[Tot Est Machine Hrs]], 9, FALSE), "")</f>
        <v/>
      </c>
      <c r="I456" s="11">
        <f>SUMIF(MO_Components[Order], Calculations!A456, MO_Components[Std Cost])</f>
        <v>0</v>
      </c>
      <c r="J456" s="11">
        <f>SUMIF(MO_Components[Order], Calculations!A456, MO_Components[Act Cost])</f>
        <v>0</v>
      </c>
      <c r="K456" s="11">
        <f t="shared" si="28"/>
        <v>0</v>
      </c>
      <c r="L456" t="str">
        <f t="shared" si="29"/>
        <v/>
      </c>
      <c r="M456" t="str">
        <f t="shared" si="30"/>
        <v/>
      </c>
      <c r="N456" t="str">
        <f t="shared" si="31"/>
        <v/>
      </c>
    </row>
    <row r="457" spans="2:14" x14ac:dyDescent="0.25">
      <c r="B457" s="5" t="str">
        <f>_xlfn.IFNA(VLOOKUP(A457, MOs_Ready_to_close[[Order]:[Tot Est Machine Hrs]], 2, FALSE), "")</f>
        <v/>
      </c>
      <c r="C457" s="5" t="str">
        <f>_xlfn.IFNA(VLOOKUP(A457, MOs_Ready_to_close[[Order]:[Tot Est Machine Hrs]], 4, FALSE), "")</f>
        <v/>
      </c>
      <c r="D457" s="6" t="str">
        <f>_xlfn.IFNA(VLOOKUP(A457, MOs_Ready_to_close[[Order]:[Tot Est Machine Hrs]], 8, FALSE), "")</f>
        <v/>
      </c>
      <c r="E457" s="7" t="str">
        <f>_xlfn.IFNA(VLOOKUP(A457, MOs_Ready_to_close[[Order]:[Tot Est Machine Hrs]], 9, FALSE), "")</f>
        <v/>
      </c>
      <c r="I457" s="11">
        <f>SUMIF(MO_Components[Order], Calculations!A457, MO_Components[Std Cost])</f>
        <v>0</v>
      </c>
      <c r="J457" s="11">
        <f>SUMIF(MO_Components[Order], Calculations!A457, MO_Components[Act Cost])</f>
        <v>0</v>
      </c>
      <c r="K457" s="11">
        <f t="shared" si="28"/>
        <v>0</v>
      </c>
      <c r="L457" t="str">
        <f t="shared" si="29"/>
        <v/>
      </c>
      <c r="M457" t="str">
        <f t="shared" si="30"/>
        <v/>
      </c>
      <c r="N457" t="str">
        <f t="shared" si="31"/>
        <v/>
      </c>
    </row>
    <row r="458" spans="2:14" x14ac:dyDescent="0.25">
      <c r="B458" s="5" t="str">
        <f>_xlfn.IFNA(VLOOKUP(A458, MOs_Ready_to_close[[Order]:[Tot Est Machine Hrs]], 2, FALSE), "")</f>
        <v/>
      </c>
      <c r="C458" s="5" t="str">
        <f>_xlfn.IFNA(VLOOKUP(A458, MOs_Ready_to_close[[Order]:[Tot Est Machine Hrs]], 4, FALSE), "")</f>
        <v/>
      </c>
      <c r="D458" s="6" t="str">
        <f>_xlfn.IFNA(VLOOKUP(A458, MOs_Ready_to_close[[Order]:[Tot Est Machine Hrs]], 8, FALSE), "")</f>
        <v/>
      </c>
      <c r="E458" s="7" t="str">
        <f>_xlfn.IFNA(VLOOKUP(A458, MOs_Ready_to_close[[Order]:[Tot Est Machine Hrs]], 9, FALSE), "")</f>
        <v/>
      </c>
      <c r="I458" s="11">
        <f>SUMIF(MO_Components[Order], Calculations!A458, MO_Components[Std Cost])</f>
        <v>0</v>
      </c>
      <c r="J458" s="11">
        <f>SUMIF(MO_Components[Order], Calculations!A458, MO_Components[Act Cost])</f>
        <v>0</v>
      </c>
      <c r="K458" s="11">
        <f t="shared" si="28"/>
        <v>0</v>
      </c>
      <c r="L458" t="str">
        <f t="shared" si="29"/>
        <v/>
      </c>
      <c r="M458" t="str">
        <f t="shared" si="30"/>
        <v/>
      </c>
      <c r="N458" t="str">
        <f t="shared" si="31"/>
        <v/>
      </c>
    </row>
    <row r="459" spans="2:14" x14ac:dyDescent="0.25">
      <c r="B459" s="5" t="str">
        <f>_xlfn.IFNA(VLOOKUP(A459, MOs_Ready_to_close[[Order]:[Tot Est Machine Hrs]], 2, FALSE), "")</f>
        <v/>
      </c>
      <c r="C459" s="5" t="str">
        <f>_xlfn.IFNA(VLOOKUP(A459, MOs_Ready_to_close[[Order]:[Tot Est Machine Hrs]], 4, FALSE), "")</f>
        <v/>
      </c>
      <c r="D459" s="6" t="str">
        <f>_xlfn.IFNA(VLOOKUP(A459, MOs_Ready_to_close[[Order]:[Tot Est Machine Hrs]], 8, FALSE), "")</f>
        <v/>
      </c>
      <c r="E459" s="7" t="str">
        <f>_xlfn.IFNA(VLOOKUP(A459, MOs_Ready_to_close[[Order]:[Tot Est Machine Hrs]], 9, FALSE), "")</f>
        <v/>
      </c>
      <c r="I459" s="11">
        <f>SUMIF(MO_Components[Order], Calculations!A459, MO_Components[Std Cost])</f>
        <v>0</v>
      </c>
      <c r="J459" s="11">
        <f>SUMIF(MO_Components[Order], Calculations!A459, MO_Components[Act Cost])</f>
        <v>0</v>
      </c>
      <c r="K459" s="11">
        <f t="shared" si="28"/>
        <v>0</v>
      </c>
      <c r="L459" t="str">
        <f t="shared" si="29"/>
        <v/>
      </c>
      <c r="M459" t="str">
        <f t="shared" si="30"/>
        <v/>
      </c>
      <c r="N459" t="str">
        <f t="shared" si="31"/>
        <v/>
      </c>
    </row>
    <row r="460" spans="2:14" x14ac:dyDescent="0.25">
      <c r="B460" s="5" t="str">
        <f>_xlfn.IFNA(VLOOKUP(A460, MOs_Ready_to_close[[Order]:[Tot Est Machine Hrs]], 2, FALSE), "")</f>
        <v/>
      </c>
      <c r="C460" s="5" t="str">
        <f>_xlfn.IFNA(VLOOKUP(A460, MOs_Ready_to_close[[Order]:[Tot Est Machine Hrs]], 4, FALSE), "")</f>
        <v/>
      </c>
      <c r="D460" s="6" t="str">
        <f>_xlfn.IFNA(VLOOKUP(A460, MOs_Ready_to_close[[Order]:[Tot Est Machine Hrs]], 8, FALSE), "")</f>
        <v/>
      </c>
      <c r="E460" s="7" t="str">
        <f>_xlfn.IFNA(VLOOKUP(A460, MOs_Ready_to_close[[Order]:[Tot Est Machine Hrs]], 9, FALSE), "")</f>
        <v/>
      </c>
      <c r="I460" s="11">
        <f>SUMIF(MO_Components[Order], Calculations!A460, MO_Components[Std Cost])</f>
        <v>0</v>
      </c>
      <c r="J460" s="11">
        <f>SUMIF(MO_Components[Order], Calculations!A460, MO_Components[Act Cost])</f>
        <v>0</v>
      </c>
      <c r="K460" s="11">
        <f t="shared" si="28"/>
        <v>0</v>
      </c>
      <c r="L460" t="str">
        <f t="shared" si="29"/>
        <v/>
      </c>
      <c r="M460" t="str">
        <f t="shared" si="30"/>
        <v/>
      </c>
      <c r="N460" t="str">
        <f t="shared" si="31"/>
        <v/>
      </c>
    </row>
    <row r="461" spans="2:14" x14ac:dyDescent="0.25">
      <c r="B461" s="5" t="str">
        <f>_xlfn.IFNA(VLOOKUP(A461, MOs_Ready_to_close[[Order]:[Tot Est Machine Hrs]], 2, FALSE), "")</f>
        <v/>
      </c>
      <c r="C461" s="5" t="str">
        <f>_xlfn.IFNA(VLOOKUP(A461, MOs_Ready_to_close[[Order]:[Tot Est Machine Hrs]], 4, FALSE), "")</f>
        <v/>
      </c>
      <c r="D461" s="6" t="str">
        <f>_xlfn.IFNA(VLOOKUP(A461, MOs_Ready_to_close[[Order]:[Tot Est Machine Hrs]], 8, FALSE), "")</f>
        <v/>
      </c>
      <c r="E461" s="7" t="str">
        <f>_xlfn.IFNA(VLOOKUP(A461, MOs_Ready_to_close[[Order]:[Tot Est Machine Hrs]], 9, FALSE), "")</f>
        <v/>
      </c>
      <c r="I461" s="11">
        <f>SUMIF(MO_Components[Order], Calculations!A461, MO_Components[Std Cost])</f>
        <v>0</v>
      </c>
      <c r="J461" s="11">
        <f>SUMIF(MO_Components[Order], Calculations!A461, MO_Components[Act Cost])</f>
        <v>0</v>
      </c>
      <c r="K461" s="11">
        <f t="shared" si="28"/>
        <v>0</v>
      </c>
      <c r="L461" t="str">
        <f t="shared" si="29"/>
        <v/>
      </c>
      <c r="M461" t="str">
        <f t="shared" si="30"/>
        <v/>
      </c>
      <c r="N461" t="str">
        <f t="shared" si="31"/>
        <v/>
      </c>
    </row>
    <row r="462" spans="2:14" x14ac:dyDescent="0.25">
      <c r="B462" s="5" t="str">
        <f>_xlfn.IFNA(VLOOKUP(A462, MOs_Ready_to_close[[Order]:[Tot Est Machine Hrs]], 2, FALSE), "")</f>
        <v/>
      </c>
      <c r="C462" s="5" t="str">
        <f>_xlfn.IFNA(VLOOKUP(A462, MOs_Ready_to_close[[Order]:[Tot Est Machine Hrs]], 4, FALSE), "")</f>
        <v/>
      </c>
      <c r="D462" s="6" t="str">
        <f>_xlfn.IFNA(VLOOKUP(A462, MOs_Ready_to_close[[Order]:[Tot Est Machine Hrs]], 8, FALSE), "")</f>
        <v/>
      </c>
      <c r="E462" s="7" t="str">
        <f>_xlfn.IFNA(VLOOKUP(A462, MOs_Ready_to_close[[Order]:[Tot Est Machine Hrs]], 9, FALSE), "")</f>
        <v/>
      </c>
      <c r="I462" s="11">
        <f>SUMIF(MO_Components[Order], Calculations!A462, MO_Components[Std Cost])</f>
        <v>0</v>
      </c>
      <c r="J462" s="11">
        <f>SUMIF(MO_Components[Order], Calculations!A462, MO_Components[Act Cost])</f>
        <v>0</v>
      </c>
      <c r="K462" s="11">
        <f t="shared" si="28"/>
        <v>0</v>
      </c>
      <c r="L462" t="str">
        <f t="shared" si="29"/>
        <v/>
      </c>
      <c r="M462" t="str">
        <f t="shared" si="30"/>
        <v/>
      </c>
      <c r="N462" t="str">
        <f t="shared" si="31"/>
        <v/>
      </c>
    </row>
    <row r="463" spans="2:14" x14ac:dyDescent="0.25">
      <c r="B463" s="5" t="str">
        <f>_xlfn.IFNA(VLOOKUP(A463, MOs_Ready_to_close[[Order]:[Tot Est Machine Hrs]], 2, FALSE), "")</f>
        <v/>
      </c>
      <c r="C463" s="5" t="str">
        <f>_xlfn.IFNA(VLOOKUP(A463, MOs_Ready_to_close[[Order]:[Tot Est Machine Hrs]], 4, FALSE), "")</f>
        <v/>
      </c>
      <c r="D463" s="6" t="str">
        <f>_xlfn.IFNA(VLOOKUP(A463, MOs_Ready_to_close[[Order]:[Tot Est Machine Hrs]], 8, FALSE), "")</f>
        <v/>
      </c>
      <c r="E463" s="7" t="str">
        <f>_xlfn.IFNA(VLOOKUP(A463, MOs_Ready_to_close[[Order]:[Tot Est Machine Hrs]], 9, FALSE), "")</f>
        <v/>
      </c>
      <c r="I463" s="11">
        <f>SUMIF(MO_Components[Order], Calculations!A463, MO_Components[Std Cost])</f>
        <v>0</v>
      </c>
      <c r="J463" s="11">
        <f>SUMIF(MO_Components[Order], Calculations!A463, MO_Components[Act Cost])</f>
        <v>0</v>
      </c>
      <c r="K463" s="11">
        <f t="shared" si="28"/>
        <v>0</v>
      </c>
      <c r="L463" t="str">
        <f t="shared" si="29"/>
        <v/>
      </c>
      <c r="M463" t="str">
        <f t="shared" si="30"/>
        <v/>
      </c>
      <c r="N463" t="str">
        <f t="shared" si="31"/>
        <v/>
      </c>
    </row>
    <row r="464" spans="2:14" x14ac:dyDescent="0.25">
      <c r="B464" s="5" t="str">
        <f>_xlfn.IFNA(VLOOKUP(A464, MOs_Ready_to_close[[Order]:[Tot Est Machine Hrs]], 2, FALSE), "")</f>
        <v/>
      </c>
      <c r="C464" s="5" t="str">
        <f>_xlfn.IFNA(VLOOKUP(A464, MOs_Ready_to_close[[Order]:[Tot Est Machine Hrs]], 4, FALSE), "")</f>
        <v/>
      </c>
      <c r="D464" s="6" t="str">
        <f>_xlfn.IFNA(VLOOKUP(A464, MOs_Ready_to_close[[Order]:[Tot Est Machine Hrs]], 8, FALSE), "")</f>
        <v/>
      </c>
      <c r="E464" s="7" t="str">
        <f>_xlfn.IFNA(VLOOKUP(A464, MOs_Ready_to_close[[Order]:[Tot Est Machine Hrs]], 9, FALSE), "")</f>
        <v/>
      </c>
      <c r="I464" s="11">
        <f>SUMIF(MO_Components[Order], Calculations!A464, MO_Components[Std Cost])</f>
        <v>0</v>
      </c>
      <c r="J464" s="11">
        <f>SUMIF(MO_Components[Order], Calculations!A464, MO_Components[Act Cost])</f>
        <v>0</v>
      </c>
      <c r="K464" s="11">
        <f t="shared" si="28"/>
        <v>0</v>
      </c>
      <c r="L464" t="str">
        <f t="shared" si="29"/>
        <v/>
      </c>
      <c r="M464" t="str">
        <f t="shared" si="30"/>
        <v/>
      </c>
      <c r="N464" t="str">
        <f t="shared" si="31"/>
        <v/>
      </c>
    </row>
    <row r="465" spans="2:14" x14ac:dyDescent="0.25">
      <c r="B465" s="5" t="str">
        <f>_xlfn.IFNA(VLOOKUP(A465, MOs_Ready_to_close[[Order]:[Tot Est Machine Hrs]], 2, FALSE), "")</f>
        <v/>
      </c>
      <c r="C465" s="5" t="str">
        <f>_xlfn.IFNA(VLOOKUP(A465, MOs_Ready_to_close[[Order]:[Tot Est Machine Hrs]], 4, FALSE), "")</f>
        <v/>
      </c>
      <c r="D465" s="6" t="str">
        <f>_xlfn.IFNA(VLOOKUP(A465, MOs_Ready_to_close[[Order]:[Tot Est Machine Hrs]], 8, FALSE), "")</f>
        <v/>
      </c>
      <c r="E465" s="7" t="str">
        <f>_xlfn.IFNA(VLOOKUP(A465, MOs_Ready_to_close[[Order]:[Tot Est Machine Hrs]], 9, FALSE), "")</f>
        <v/>
      </c>
      <c r="I465" s="11">
        <f>SUMIF(MO_Components[Order], Calculations!A465, MO_Components[Std Cost])</f>
        <v>0</v>
      </c>
      <c r="J465" s="11">
        <f>SUMIF(MO_Components[Order], Calculations!A465, MO_Components[Act Cost])</f>
        <v>0</v>
      </c>
      <c r="K465" s="11">
        <f t="shared" si="28"/>
        <v>0</v>
      </c>
      <c r="L465" t="str">
        <f t="shared" si="29"/>
        <v/>
      </c>
      <c r="M465" t="str">
        <f t="shared" si="30"/>
        <v/>
      </c>
      <c r="N465" t="str">
        <f t="shared" si="31"/>
        <v/>
      </c>
    </row>
    <row r="466" spans="2:14" x14ac:dyDescent="0.25">
      <c r="B466" s="5" t="str">
        <f>_xlfn.IFNA(VLOOKUP(A466, MOs_Ready_to_close[[Order]:[Tot Est Machine Hrs]], 2, FALSE), "")</f>
        <v/>
      </c>
      <c r="C466" s="5" t="str">
        <f>_xlfn.IFNA(VLOOKUP(A466, MOs_Ready_to_close[[Order]:[Tot Est Machine Hrs]], 4, FALSE), "")</f>
        <v/>
      </c>
      <c r="D466" s="6" t="str">
        <f>_xlfn.IFNA(VLOOKUP(A466, MOs_Ready_to_close[[Order]:[Tot Est Machine Hrs]], 8, FALSE), "")</f>
        <v/>
      </c>
      <c r="E466" s="7" t="str">
        <f>_xlfn.IFNA(VLOOKUP(A466, MOs_Ready_to_close[[Order]:[Tot Est Machine Hrs]], 9, FALSE), "")</f>
        <v/>
      </c>
      <c r="I466" s="11">
        <f>SUMIF(MO_Components[Order], Calculations!A466, MO_Components[Std Cost])</f>
        <v>0</v>
      </c>
      <c r="J466" s="11">
        <f>SUMIF(MO_Components[Order], Calculations!A466, MO_Components[Act Cost])</f>
        <v>0</v>
      </c>
      <c r="K466" s="11">
        <f t="shared" si="28"/>
        <v>0</v>
      </c>
      <c r="L466" t="str">
        <f t="shared" si="29"/>
        <v/>
      </c>
      <c r="M466" t="str">
        <f t="shared" si="30"/>
        <v/>
      </c>
      <c r="N466" t="str">
        <f t="shared" si="31"/>
        <v/>
      </c>
    </row>
    <row r="467" spans="2:14" x14ac:dyDescent="0.25">
      <c r="B467" s="5" t="str">
        <f>_xlfn.IFNA(VLOOKUP(A467, MOs_Ready_to_close[[Order]:[Tot Est Machine Hrs]], 2, FALSE), "")</f>
        <v/>
      </c>
      <c r="C467" s="5" t="str">
        <f>_xlfn.IFNA(VLOOKUP(A467, MOs_Ready_to_close[[Order]:[Tot Est Machine Hrs]], 4, FALSE), "")</f>
        <v/>
      </c>
      <c r="D467" s="6" t="str">
        <f>_xlfn.IFNA(VLOOKUP(A467, MOs_Ready_to_close[[Order]:[Tot Est Machine Hrs]], 8, FALSE), "")</f>
        <v/>
      </c>
      <c r="E467" s="7" t="str">
        <f>_xlfn.IFNA(VLOOKUP(A467, MOs_Ready_to_close[[Order]:[Tot Est Machine Hrs]], 9, FALSE), "")</f>
        <v/>
      </c>
      <c r="I467" s="11">
        <f>SUMIF(MO_Components[Order], Calculations!A467, MO_Components[Std Cost])</f>
        <v>0</v>
      </c>
      <c r="J467" s="11">
        <f>SUMIF(MO_Components[Order], Calculations!A467, MO_Components[Act Cost])</f>
        <v>0</v>
      </c>
      <c r="K467" s="11">
        <f t="shared" si="28"/>
        <v>0</v>
      </c>
      <c r="L467" t="str">
        <f t="shared" si="29"/>
        <v/>
      </c>
      <c r="M467" t="str">
        <f t="shared" si="30"/>
        <v/>
      </c>
      <c r="N467" t="str">
        <f t="shared" si="31"/>
        <v/>
      </c>
    </row>
    <row r="468" spans="2:14" x14ac:dyDescent="0.25">
      <c r="B468" s="5" t="str">
        <f>_xlfn.IFNA(VLOOKUP(A468, MOs_Ready_to_close[[Order]:[Tot Est Machine Hrs]], 2, FALSE), "")</f>
        <v/>
      </c>
      <c r="C468" s="5" t="str">
        <f>_xlfn.IFNA(VLOOKUP(A468, MOs_Ready_to_close[[Order]:[Tot Est Machine Hrs]], 4, FALSE), "")</f>
        <v/>
      </c>
      <c r="D468" s="6" t="str">
        <f>_xlfn.IFNA(VLOOKUP(A468, MOs_Ready_to_close[[Order]:[Tot Est Machine Hrs]], 8, FALSE), "")</f>
        <v/>
      </c>
      <c r="E468" s="7" t="str">
        <f>_xlfn.IFNA(VLOOKUP(A468, MOs_Ready_to_close[[Order]:[Tot Est Machine Hrs]], 9, FALSE), "")</f>
        <v/>
      </c>
      <c r="I468" s="11">
        <f>SUMIF(MO_Components[Order], Calculations!A468, MO_Components[Std Cost])</f>
        <v>0</v>
      </c>
      <c r="J468" s="11">
        <f>SUMIF(MO_Components[Order], Calculations!A468, MO_Components[Act Cost])</f>
        <v>0</v>
      </c>
      <c r="K468" s="11">
        <f t="shared" si="28"/>
        <v>0</v>
      </c>
      <c r="L468" t="str">
        <f t="shared" si="29"/>
        <v/>
      </c>
      <c r="M468" t="str">
        <f t="shared" si="30"/>
        <v/>
      </c>
      <c r="N468" t="str">
        <f t="shared" si="31"/>
        <v/>
      </c>
    </row>
    <row r="469" spans="2:14" x14ac:dyDescent="0.25">
      <c r="B469" s="5" t="str">
        <f>_xlfn.IFNA(VLOOKUP(A469, MOs_Ready_to_close[[Order]:[Tot Est Machine Hrs]], 2, FALSE), "")</f>
        <v/>
      </c>
      <c r="C469" s="5" t="str">
        <f>_xlfn.IFNA(VLOOKUP(A469, MOs_Ready_to_close[[Order]:[Tot Est Machine Hrs]], 4, FALSE), "")</f>
        <v/>
      </c>
      <c r="D469" s="6" t="str">
        <f>_xlfn.IFNA(VLOOKUP(A469, MOs_Ready_to_close[[Order]:[Tot Est Machine Hrs]], 8, FALSE), "")</f>
        <v/>
      </c>
      <c r="E469" s="7" t="str">
        <f>_xlfn.IFNA(VLOOKUP(A469, MOs_Ready_to_close[[Order]:[Tot Est Machine Hrs]], 9, FALSE), "")</f>
        <v/>
      </c>
      <c r="I469" s="11">
        <f>SUMIF(MO_Components[Order], Calculations!A469, MO_Components[Std Cost])</f>
        <v>0</v>
      </c>
      <c r="J469" s="11">
        <f>SUMIF(MO_Components[Order], Calculations!A469, MO_Components[Act Cost])</f>
        <v>0</v>
      </c>
      <c r="K469" s="11">
        <f t="shared" si="28"/>
        <v>0</v>
      </c>
      <c r="L469" t="str">
        <f t="shared" si="29"/>
        <v/>
      </c>
      <c r="M469" t="str">
        <f t="shared" si="30"/>
        <v/>
      </c>
      <c r="N469" t="str">
        <f t="shared" si="31"/>
        <v/>
      </c>
    </row>
    <row r="470" spans="2:14" x14ac:dyDescent="0.25">
      <c r="B470" s="5" t="str">
        <f>_xlfn.IFNA(VLOOKUP(A470, MOs_Ready_to_close[[Order]:[Tot Est Machine Hrs]], 2, FALSE), "")</f>
        <v/>
      </c>
      <c r="C470" s="5" t="str">
        <f>_xlfn.IFNA(VLOOKUP(A470, MOs_Ready_to_close[[Order]:[Tot Est Machine Hrs]], 4, FALSE), "")</f>
        <v/>
      </c>
      <c r="D470" s="6" t="str">
        <f>_xlfn.IFNA(VLOOKUP(A470, MOs_Ready_to_close[[Order]:[Tot Est Machine Hrs]], 8, FALSE), "")</f>
        <v/>
      </c>
      <c r="E470" s="7" t="str">
        <f>_xlfn.IFNA(VLOOKUP(A470, MOs_Ready_to_close[[Order]:[Tot Est Machine Hrs]], 9, FALSE), "")</f>
        <v/>
      </c>
      <c r="I470" s="11">
        <f>SUMIF(MO_Components[Order], Calculations!A470, MO_Components[Std Cost])</f>
        <v>0</v>
      </c>
      <c r="J470" s="11">
        <f>SUMIF(MO_Components[Order], Calculations!A470, MO_Components[Act Cost])</f>
        <v>0</v>
      </c>
      <c r="K470" s="11">
        <f t="shared" si="28"/>
        <v>0</v>
      </c>
      <c r="L470" t="str">
        <f t="shared" si="29"/>
        <v/>
      </c>
      <c r="M470" t="str">
        <f t="shared" si="30"/>
        <v/>
      </c>
      <c r="N470" t="str">
        <f t="shared" si="31"/>
        <v/>
      </c>
    </row>
    <row r="471" spans="2:14" x14ac:dyDescent="0.25">
      <c r="B471" s="5" t="str">
        <f>_xlfn.IFNA(VLOOKUP(A471, MOs_Ready_to_close[[Order]:[Tot Est Machine Hrs]], 2, FALSE), "")</f>
        <v/>
      </c>
      <c r="C471" s="5" t="str">
        <f>_xlfn.IFNA(VLOOKUP(A471, MOs_Ready_to_close[[Order]:[Tot Est Machine Hrs]], 4, FALSE), "")</f>
        <v/>
      </c>
      <c r="D471" s="6" t="str">
        <f>_xlfn.IFNA(VLOOKUP(A471, MOs_Ready_to_close[[Order]:[Tot Est Machine Hrs]], 8, FALSE), "")</f>
        <v/>
      </c>
      <c r="E471" s="7" t="str">
        <f>_xlfn.IFNA(VLOOKUP(A471, MOs_Ready_to_close[[Order]:[Tot Est Machine Hrs]], 9, FALSE), "")</f>
        <v/>
      </c>
      <c r="I471" s="11">
        <f>SUMIF(MO_Components[Order], Calculations!A471, MO_Components[Std Cost])</f>
        <v>0</v>
      </c>
      <c r="J471" s="11">
        <f>SUMIF(MO_Components[Order], Calculations!A471, MO_Components[Act Cost])</f>
        <v>0</v>
      </c>
      <c r="K471" s="11">
        <f t="shared" si="28"/>
        <v>0</v>
      </c>
      <c r="L471" t="str">
        <f t="shared" si="29"/>
        <v/>
      </c>
      <c r="M471" t="str">
        <f t="shared" si="30"/>
        <v/>
      </c>
      <c r="N471" t="str">
        <f t="shared" si="31"/>
        <v/>
      </c>
    </row>
    <row r="472" spans="2:14" x14ac:dyDescent="0.25">
      <c r="B472" s="5" t="str">
        <f>_xlfn.IFNA(VLOOKUP(A472, MOs_Ready_to_close[[Order]:[Tot Est Machine Hrs]], 2, FALSE), "")</f>
        <v/>
      </c>
      <c r="C472" s="5" t="str">
        <f>_xlfn.IFNA(VLOOKUP(A472, MOs_Ready_to_close[[Order]:[Tot Est Machine Hrs]], 4, FALSE), "")</f>
        <v/>
      </c>
      <c r="D472" s="6" t="str">
        <f>_xlfn.IFNA(VLOOKUP(A472, MOs_Ready_to_close[[Order]:[Tot Est Machine Hrs]], 8, FALSE), "")</f>
        <v/>
      </c>
      <c r="E472" s="7" t="str">
        <f>_xlfn.IFNA(VLOOKUP(A472, MOs_Ready_to_close[[Order]:[Tot Est Machine Hrs]], 9, FALSE), "")</f>
        <v/>
      </c>
      <c r="I472" s="11">
        <f>SUMIF(MO_Components[Order], Calculations!A472, MO_Components[Std Cost])</f>
        <v>0</v>
      </c>
      <c r="J472" s="11">
        <f>SUMIF(MO_Components[Order], Calculations!A472, MO_Components[Act Cost])</f>
        <v>0</v>
      </c>
      <c r="K472" s="11">
        <f t="shared" si="28"/>
        <v>0</v>
      </c>
      <c r="L472" t="str">
        <f t="shared" si="29"/>
        <v/>
      </c>
      <c r="M472" t="str">
        <f t="shared" si="30"/>
        <v/>
      </c>
      <c r="N472" t="str">
        <f t="shared" si="31"/>
        <v/>
      </c>
    </row>
    <row r="473" spans="2:14" x14ac:dyDescent="0.25">
      <c r="B473" s="5" t="str">
        <f>_xlfn.IFNA(VLOOKUP(A473, MOs_Ready_to_close[[Order]:[Tot Est Machine Hrs]], 2, FALSE), "")</f>
        <v/>
      </c>
      <c r="C473" s="5" t="str">
        <f>_xlfn.IFNA(VLOOKUP(A473, MOs_Ready_to_close[[Order]:[Tot Est Machine Hrs]], 4, FALSE), "")</f>
        <v/>
      </c>
      <c r="D473" s="6" t="str">
        <f>_xlfn.IFNA(VLOOKUP(A473, MOs_Ready_to_close[[Order]:[Tot Est Machine Hrs]], 8, FALSE), "")</f>
        <v/>
      </c>
      <c r="E473" s="7" t="str">
        <f>_xlfn.IFNA(VLOOKUP(A473, MOs_Ready_to_close[[Order]:[Tot Est Machine Hrs]], 9, FALSE), "")</f>
        <v/>
      </c>
      <c r="I473" s="11">
        <f>SUMIF(MO_Components[Order], Calculations!A473, MO_Components[Std Cost])</f>
        <v>0</v>
      </c>
      <c r="J473" s="11">
        <f>SUMIF(MO_Components[Order], Calculations!A473, MO_Components[Act Cost])</f>
        <v>0</v>
      </c>
      <c r="K473" s="11">
        <f t="shared" si="28"/>
        <v>0</v>
      </c>
      <c r="L473" t="str">
        <f t="shared" si="29"/>
        <v/>
      </c>
      <c r="M473" t="str">
        <f t="shared" si="30"/>
        <v/>
      </c>
      <c r="N473" t="str">
        <f t="shared" si="31"/>
        <v/>
      </c>
    </row>
    <row r="474" spans="2:14" x14ac:dyDescent="0.25">
      <c r="B474" s="5" t="str">
        <f>_xlfn.IFNA(VLOOKUP(A474, MOs_Ready_to_close[[Order]:[Tot Est Machine Hrs]], 2, FALSE), "")</f>
        <v/>
      </c>
      <c r="C474" s="5" t="str">
        <f>_xlfn.IFNA(VLOOKUP(A474, MOs_Ready_to_close[[Order]:[Tot Est Machine Hrs]], 4, FALSE), "")</f>
        <v/>
      </c>
      <c r="D474" s="6" t="str">
        <f>_xlfn.IFNA(VLOOKUP(A474, MOs_Ready_to_close[[Order]:[Tot Est Machine Hrs]], 8, FALSE), "")</f>
        <v/>
      </c>
      <c r="E474" s="7" t="str">
        <f>_xlfn.IFNA(VLOOKUP(A474, MOs_Ready_to_close[[Order]:[Tot Est Machine Hrs]], 9, FALSE), "")</f>
        <v/>
      </c>
      <c r="I474" s="11">
        <f>SUMIF(MO_Components[Order], Calculations!A474, MO_Components[Std Cost])</f>
        <v>0</v>
      </c>
      <c r="J474" s="11">
        <f>SUMIF(MO_Components[Order], Calculations!A474, MO_Components[Act Cost])</f>
        <v>0</v>
      </c>
      <c r="K474" s="11">
        <f t="shared" si="28"/>
        <v>0</v>
      </c>
      <c r="L474" t="str">
        <f t="shared" si="29"/>
        <v/>
      </c>
      <c r="M474" t="str">
        <f t="shared" si="30"/>
        <v/>
      </c>
      <c r="N474" t="str">
        <f t="shared" si="31"/>
        <v/>
      </c>
    </row>
    <row r="475" spans="2:14" x14ac:dyDescent="0.25">
      <c r="B475" s="5" t="str">
        <f>_xlfn.IFNA(VLOOKUP(A475, MOs_Ready_to_close[[Order]:[Tot Est Machine Hrs]], 2, FALSE), "")</f>
        <v/>
      </c>
      <c r="C475" s="5" t="str">
        <f>_xlfn.IFNA(VLOOKUP(A475, MOs_Ready_to_close[[Order]:[Tot Est Machine Hrs]], 4, FALSE), "")</f>
        <v/>
      </c>
      <c r="D475" s="6" t="str">
        <f>_xlfn.IFNA(VLOOKUP(A475, MOs_Ready_to_close[[Order]:[Tot Est Machine Hrs]], 8, FALSE), "")</f>
        <v/>
      </c>
      <c r="E475" s="7" t="str">
        <f>_xlfn.IFNA(VLOOKUP(A475, MOs_Ready_to_close[[Order]:[Tot Est Machine Hrs]], 9, FALSE), "")</f>
        <v/>
      </c>
      <c r="I475" s="11">
        <f>SUMIF(MO_Components[Order], Calculations!A475, MO_Components[Std Cost])</f>
        <v>0</v>
      </c>
      <c r="J475" s="11">
        <f>SUMIF(MO_Components[Order], Calculations!A475, MO_Components[Act Cost])</f>
        <v>0</v>
      </c>
      <c r="K475" s="11">
        <f t="shared" si="28"/>
        <v>0</v>
      </c>
      <c r="L475" t="str">
        <f t="shared" si="29"/>
        <v/>
      </c>
      <c r="M475" t="str">
        <f t="shared" si="30"/>
        <v/>
      </c>
      <c r="N475" t="str">
        <f t="shared" si="31"/>
        <v/>
      </c>
    </row>
    <row r="476" spans="2:14" x14ac:dyDescent="0.25">
      <c r="B476" s="5" t="str">
        <f>_xlfn.IFNA(VLOOKUP(A476, MOs_Ready_to_close[[Order]:[Tot Est Machine Hrs]], 2, FALSE), "")</f>
        <v/>
      </c>
      <c r="C476" s="5" t="str">
        <f>_xlfn.IFNA(VLOOKUP(A476, MOs_Ready_to_close[[Order]:[Tot Est Machine Hrs]], 4, FALSE), "")</f>
        <v/>
      </c>
      <c r="D476" s="6" t="str">
        <f>_xlfn.IFNA(VLOOKUP(A476, MOs_Ready_to_close[[Order]:[Tot Est Machine Hrs]], 8, FALSE), "")</f>
        <v/>
      </c>
      <c r="E476" s="7" t="str">
        <f>_xlfn.IFNA(VLOOKUP(A476, MOs_Ready_to_close[[Order]:[Tot Est Machine Hrs]], 9, FALSE), "")</f>
        <v/>
      </c>
      <c r="I476" s="11">
        <f>SUMIF(MO_Components[Order], Calculations!A476, MO_Components[Std Cost])</f>
        <v>0</v>
      </c>
      <c r="J476" s="11">
        <f>SUMIF(MO_Components[Order], Calculations!A476, MO_Components[Act Cost])</f>
        <v>0</v>
      </c>
      <c r="K476" s="11">
        <f t="shared" si="28"/>
        <v>0</v>
      </c>
      <c r="L476" t="str">
        <f t="shared" si="29"/>
        <v/>
      </c>
      <c r="M476" t="str">
        <f t="shared" si="30"/>
        <v/>
      </c>
      <c r="N476" t="str">
        <f t="shared" si="31"/>
        <v/>
      </c>
    </row>
    <row r="477" spans="2:14" x14ac:dyDescent="0.25">
      <c r="B477" s="5" t="str">
        <f>_xlfn.IFNA(VLOOKUP(A477, MOs_Ready_to_close[[Order]:[Tot Est Machine Hrs]], 2, FALSE), "")</f>
        <v/>
      </c>
      <c r="C477" s="5" t="str">
        <f>_xlfn.IFNA(VLOOKUP(A477, MOs_Ready_to_close[[Order]:[Tot Est Machine Hrs]], 4, FALSE), "")</f>
        <v/>
      </c>
      <c r="D477" s="6" t="str">
        <f>_xlfn.IFNA(VLOOKUP(A477, MOs_Ready_to_close[[Order]:[Tot Est Machine Hrs]], 8, FALSE), "")</f>
        <v/>
      </c>
      <c r="E477" s="7" t="str">
        <f>_xlfn.IFNA(VLOOKUP(A477, MOs_Ready_to_close[[Order]:[Tot Est Machine Hrs]], 9, FALSE), "")</f>
        <v/>
      </c>
      <c r="I477" s="11">
        <f>SUMIF(MO_Components[Order], Calculations!A477, MO_Components[Std Cost])</f>
        <v>0</v>
      </c>
      <c r="J477" s="11">
        <f>SUMIF(MO_Components[Order], Calculations!A477, MO_Components[Act Cost])</f>
        <v>0</v>
      </c>
      <c r="K477" s="11">
        <f t="shared" si="28"/>
        <v>0</v>
      </c>
      <c r="L477" t="str">
        <f t="shared" si="29"/>
        <v/>
      </c>
      <c r="M477" t="str">
        <f t="shared" si="30"/>
        <v/>
      </c>
      <c r="N477" t="str">
        <f t="shared" si="31"/>
        <v/>
      </c>
    </row>
    <row r="478" spans="2:14" x14ac:dyDescent="0.25">
      <c r="B478" s="5" t="str">
        <f>_xlfn.IFNA(VLOOKUP(A478, MOs_Ready_to_close[[Order]:[Tot Est Machine Hrs]], 2, FALSE), "")</f>
        <v/>
      </c>
      <c r="C478" s="5" t="str">
        <f>_xlfn.IFNA(VLOOKUP(A478, MOs_Ready_to_close[[Order]:[Tot Est Machine Hrs]], 4, FALSE), "")</f>
        <v/>
      </c>
      <c r="D478" s="6" t="str">
        <f>_xlfn.IFNA(VLOOKUP(A478, MOs_Ready_to_close[[Order]:[Tot Est Machine Hrs]], 8, FALSE), "")</f>
        <v/>
      </c>
      <c r="E478" s="7" t="str">
        <f>_xlfn.IFNA(VLOOKUP(A478, MOs_Ready_to_close[[Order]:[Tot Est Machine Hrs]], 9, FALSE), "")</f>
        <v/>
      </c>
      <c r="I478" s="11">
        <f>SUMIF(MO_Components[Order], Calculations!A478, MO_Components[Std Cost])</f>
        <v>0</v>
      </c>
      <c r="J478" s="11">
        <f>SUMIF(MO_Components[Order], Calculations!A478, MO_Components[Act Cost])</f>
        <v>0</v>
      </c>
      <c r="K478" s="11">
        <f t="shared" si="28"/>
        <v>0</v>
      </c>
      <c r="L478" t="str">
        <f t="shared" si="29"/>
        <v/>
      </c>
      <c r="M478" t="str">
        <f t="shared" si="30"/>
        <v/>
      </c>
      <c r="N478" t="str">
        <f t="shared" si="31"/>
        <v/>
      </c>
    </row>
    <row r="479" spans="2:14" x14ac:dyDescent="0.25">
      <c r="B479" s="5" t="str">
        <f>_xlfn.IFNA(VLOOKUP(A479, MOs_Ready_to_close[[Order]:[Tot Est Machine Hrs]], 2, FALSE), "")</f>
        <v/>
      </c>
      <c r="C479" s="5" t="str">
        <f>_xlfn.IFNA(VLOOKUP(A479, MOs_Ready_to_close[[Order]:[Tot Est Machine Hrs]], 4, FALSE), "")</f>
        <v/>
      </c>
      <c r="D479" s="6" t="str">
        <f>_xlfn.IFNA(VLOOKUP(A479, MOs_Ready_to_close[[Order]:[Tot Est Machine Hrs]], 8, FALSE), "")</f>
        <v/>
      </c>
      <c r="E479" s="7" t="str">
        <f>_xlfn.IFNA(VLOOKUP(A479, MOs_Ready_to_close[[Order]:[Tot Est Machine Hrs]], 9, FALSE), "")</f>
        <v/>
      </c>
      <c r="I479" s="11">
        <f>SUMIF(MO_Components[Order], Calculations!A479, MO_Components[Std Cost])</f>
        <v>0</v>
      </c>
      <c r="J479" s="11">
        <f>SUMIF(MO_Components[Order], Calculations!A479, MO_Components[Act Cost])</f>
        <v>0</v>
      </c>
      <c r="K479" s="11">
        <f t="shared" si="28"/>
        <v>0</v>
      </c>
      <c r="L479" t="str">
        <f t="shared" si="29"/>
        <v/>
      </c>
      <c r="M479" t="str">
        <f t="shared" si="30"/>
        <v/>
      </c>
      <c r="N479" t="str">
        <f t="shared" si="31"/>
        <v/>
      </c>
    </row>
    <row r="480" spans="2:14" x14ac:dyDescent="0.25">
      <c r="B480" s="5" t="str">
        <f>_xlfn.IFNA(VLOOKUP(A480, MOs_Ready_to_close[[Order]:[Tot Est Machine Hrs]], 2, FALSE), "")</f>
        <v/>
      </c>
      <c r="C480" s="5" t="str">
        <f>_xlfn.IFNA(VLOOKUP(A480, MOs_Ready_to_close[[Order]:[Tot Est Machine Hrs]], 4, FALSE), "")</f>
        <v/>
      </c>
      <c r="D480" s="6" t="str">
        <f>_xlfn.IFNA(VLOOKUP(A480, MOs_Ready_to_close[[Order]:[Tot Est Machine Hrs]], 8, FALSE), "")</f>
        <v/>
      </c>
      <c r="E480" s="7" t="str">
        <f>_xlfn.IFNA(VLOOKUP(A480, MOs_Ready_to_close[[Order]:[Tot Est Machine Hrs]], 9, FALSE), "")</f>
        <v/>
      </c>
      <c r="I480" s="11">
        <f>SUMIF(MO_Components[Order], Calculations!A480, MO_Components[Std Cost])</f>
        <v>0</v>
      </c>
      <c r="J480" s="11">
        <f>SUMIF(MO_Components[Order], Calculations!A480, MO_Components[Act Cost])</f>
        <v>0</v>
      </c>
      <c r="K480" s="11">
        <f t="shared" si="28"/>
        <v>0</v>
      </c>
      <c r="L480" t="str">
        <f t="shared" si="29"/>
        <v/>
      </c>
      <c r="M480" t="str">
        <f t="shared" si="30"/>
        <v/>
      </c>
      <c r="N480" t="str">
        <f t="shared" si="31"/>
        <v/>
      </c>
    </row>
    <row r="481" spans="2:14" x14ac:dyDescent="0.25">
      <c r="B481" s="5" t="str">
        <f>_xlfn.IFNA(VLOOKUP(A481, MOs_Ready_to_close[[Order]:[Tot Est Machine Hrs]], 2, FALSE), "")</f>
        <v/>
      </c>
      <c r="C481" s="5" t="str">
        <f>_xlfn.IFNA(VLOOKUP(A481, MOs_Ready_to_close[[Order]:[Tot Est Machine Hrs]], 4, FALSE), "")</f>
        <v/>
      </c>
      <c r="D481" s="6" t="str">
        <f>_xlfn.IFNA(VLOOKUP(A481, MOs_Ready_to_close[[Order]:[Tot Est Machine Hrs]], 8, FALSE), "")</f>
        <v/>
      </c>
      <c r="E481" s="7" t="str">
        <f>_xlfn.IFNA(VLOOKUP(A481, MOs_Ready_to_close[[Order]:[Tot Est Machine Hrs]], 9, FALSE), "")</f>
        <v/>
      </c>
      <c r="I481" s="11">
        <f>SUMIF(MO_Components[Order], Calculations!A481, MO_Components[Std Cost])</f>
        <v>0</v>
      </c>
      <c r="J481" s="11">
        <f>SUMIF(MO_Components[Order], Calculations!A481, MO_Components[Act Cost])</f>
        <v>0</v>
      </c>
      <c r="K481" s="11">
        <f t="shared" si="28"/>
        <v>0</v>
      </c>
      <c r="L481" t="str">
        <f t="shared" si="29"/>
        <v/>
      </c>
      <c r="M481" t="str">
        <f t="shared" si="30"/>
        <v/>
      </c>
      <c r="N481" t="str">
        <f t="shared" si="31"/>
        <v/>
      </c>
    </row>
    <row r="482" spans="2:14" x14ac:dyDescent="0.25">
      <c r="B482" s="5" t="str">
        <f>_xlfn.IFNA(VLOOKUP(A482, MOs_Ready_to_close[[Order]:[Tot Est Machine Hrs]], 2, FALSE), "")</f>
        <v/>
      </c>
      <c r="C482" s="5" t="str">
        <f>_xlfn.IFNA(VLOOKUP(A482, MOs_Ready_to_close[[Order]:[Tot Est Machine Hrs]], 4, FALSE), "")</f>
        <v/>
      </c>
      <c r="D482" s="6" t="str">
        <f>_xlfn.IFNA(VLOOKUP(A482, MOs_Ready_to_close[[Order]:[Tot Est Machine Hrs]], 8, FALSE), "")</f>
        <v/>
      </c>
      <c r="E482" s="7" t="str">
        <f>_xlfn.IFNA(VLOOKUP(A482, MOs_Ready_to_close[[Order]:[Tot Est Machine Hrs]], 9, FALSE), "")</f>
        <v/>
      </c>
      <c r="I482" s="11">
        <f>SUMIF(MO_Components[Order], Calculations!A482, MO_Components[Std Cost])</f>
        <v>0</v>
      </c>
      <c r="J482" s="11">
        <f>SUMIF(MO_Components[Order], Calculations!A482, MO_Components[Act Cost])</f>
        <v>0</v>
      </c>
      <c r="K482" s="11">
        <f t="shared" si="28"/>
        <v>0</v>
      </c>
      <c r="L482" t="str">
        <f t="shared" si="29"/>
        <v/>
      </c>
      <c r="M482" t="str">
        <f t="shared" si="30"/>
        <v/>
      </c>
      <c r="N482" t="str">
        <f t="shared" si="31"/>
        <v/>
      </c>
    </row>
    <row r="483" spans="2:14" x14ac:dyDescent="0.25">
      <c r="B483" s="5" t="str">
        <f>_xlfn.IFNA(VLOOKUP(A483, MOs_Ready_to_close[[Order]:[Tot Est Machine Hrs]], 2, FALSE), "")</f>
        <v/>
      </c>
      <c r="C483" s="5" t="str">
        <f>_xlfn.IFNA(VLOOKUP(A483, MOs_Ready_to_close[[Order]:[Tot Est Machine Hrs]], 4, FALSE), "")</f>
        <v/>
      </c>
      <c r="D483" s="6" t="str">
        <f>_xlfn.IFNA(VLOOKUP(A483, MOs_Ready_to_close[[Order]:[Tot Est Machine Hrs]], 8, FALSE), "")</f>
        <v/>
      </c>
      <c r="E483" s="7" t="str">
        <f>_xlfn.IFNA(VLOOKUP(A483, MOs_Ready_to_close[[Order]:[Tot Est Machine Hrs]], 9, FALSE), "")</f>
        <v/>
      </c>
      <c r="I483" s="11">
        <f>SUMIF(MO_Components[Order], Calculations!A483, MO_Components[Std Cost])</f>
        <v>0</v>
      </c>
      <c r="J483" s="11">
        <f>SUMIF(MO_Components[Order], Calculations!A483, MO_Components[Act Cost])</f>
        <v>0</v>
      </c>
      <c r="K483" s="11">
        <f t="shared" si="28"/>
        <v>0</v>
      </c>
      <c r="L483" t="str">
        <f t="shared" si="29"/>
        <v/>
      </c>
      <c r="M483" t="str">
        <f t="shared" si="30"/>
        <v/>
      </c>
      <c r="N483" t="str">
        <f t="shared" si="31"/>
        <v/>
      </c>
    </row>
    <row r="484" spans="2:14" x14ac:dyDescent="0.25">
      <c r="B484" s="5" t="str">
        <f>_xlfn.IFNA(VLOOKUP(A484, MOs_Ready_to_close[[Order]:[Tot Est Machine Hrs]], 2, FALSE), "")</f>
        <v/>
      </c>
      <c r="C484" s="5" t="str">
        <f>_xlfn.IFNA(VLOOKUP(A484, MOs_Ready_to_close[[Order]:[Tot Est Machine Hrs]], 4, FALSE), "")</f>
        <v/>
      </c>
      <c r="D484" s="6" t="str">
        <f>_xlfn.IFNA(VLOOKUP(A484, MOs_Ready_to_close[[Order]:[Tot Est Machine Hrs]], 8, FALSE), "")</f>
        <v/>
      </c>
      <c r="E484" s="7" t="str">
        <f>_xlfn.IFNA(VLOOKUP(A484, MOs_Ready_to_close[[Order]:[Tot Est Machine Hrs]], 9, FALSE), "")</f>
        <v/>
      </c>
      <c r="I484" s="11">
        <f>SUMIF(MO_Components[Order], Calculations!A484, MO_Components[Std Cost])</f>
        <v>0</v>
      </c>
      <c r="J484" s="11">
        <f>SUMIF(MO_Components[Order], Calculations!A484, MO_Components[Act Cost])</f>
        <v>0</v>
      </c>
      <c r="K484" s="11">
        <f t="shared" si="28"/>
        <v>0</v>
      </c>
      <c r="L484" t="str">
        <f t="shared" si="29"/>
        <v/>
      </c>
      <c r="M484" t="str">
        <f t="shared" si="30"/>
        <v/>
      </c>
      <c r="N484" t="str">
        <f t="shared" si="31"/>
        <v/>
      </c>
    </row>
    <row r="485" spans="2:14" x14ac:dyDescent="0.25">
      <c r="B485" s="5" t="str">
        <f>_xlfn.IFNA(VLOOKUP(A485, MOs_Ready_to_close[[Order]:[Tot Est Machine Hrs]], 2, FALSE), "")</f>
        <v/>
      </c>
      <c r="C485" s="5" t="str">
        <f>_xlfn.IFNA(VLOOKUP(A485, MOs_Ready_to_close[[Order]:[Tot Est Machine Hrs]], 4, FALSE), "")</f>
        <v/>
      </c>
      <c r="D485" s="6" t="str">
        <f>_xlfn.IFNA(VLOOKUP(A485, MOs_Ready_to_close[[Order]:[Tot Est Machine Hrs]], 8, FALSE), "")</f>
        <v/>
      </c>
      <c r="E485" s="7" t="str">
        <f>_xlfn.IFNA(VLOOKUP(A485, MOs_Ready_to_close[[Order]:[Tot Est Machine Hrs]], 9, FALSE), "")</f>
        <v/>
      </c>
      <c r="I485" s="11">
        <f>SUMIF(MO_Components[Order], Calculations!A485, MO_Components[Std Cost])</f>
        <v>0</v>
      </c>
      <c r="J485" s="11">
        <f>SUMIF(MO_Components[Order], Calculations!A485, MO_Components[Act Cost])</f>
        <v>0</v>
      </c>
      <c r="K485" s="11">
        <f t="shared" si="28"/>
        <v>0</v>
      </c>
      <c r="L485" t="str">
        <f t="shared" si="29"/>
        <v/>
      </c>
      <c r="M485" t="str">
        <f t="shared" si="30"/>
        <v/>
      </c>
      <c r="N485" t="str">
        <f t="shared" si="31"/>
        <v/>
      </c>
    </row>
    <row r="486" spans="2:14" x14ac:dyDescent="0.25">
      <c r="B486" s="5" t="str">
        <f>_xlfn.IFNA(VLOOKUP(A486, MOs_Ready_to_close[[Order]:[Tot Est Machine Hrs]], 2, FALSE), "")</f>
        <v/>
      </c>
      <c r="C486" s="5" t="str">
        <f>_xlfn.IFNA(VLOOKUP(A486, MOs_Ready_to_close[[Order]:[Tot Est Machine Hrs]], 4, FALSE), "")</f>
        <v/>
      </c>
      <c r="D486" s="6" t="str">
        <f>_xlfn.IFNA(VLOOKUP(A486, MOs_Ready_to_close[[Order]:[Tot Est Machine Hrs]], 8, FALSE), "")</f>
        <v/>
      </c>
      <c r="E486" s="7" t="str">
        <f>_xlfn.IFNA(VLOOKUP(A486, MOs_Ready_to_close[[Order]:[Tot Est Machine Hrs]], 9, FALSE), "")</f>
        <v/>
      </c>
      <c r="I486" s="11">
        <f>SUMIF(MO_Components[Order], Calculations!A486, MO_Components[Std Cost])</f>
        <v>0</v>
      </c>
      <c r="J486" s="11">
        <f>SUMIF(MO_Components[Order], Calculations!A486, MO_Components[Act Cost])</f>
        <v>0</v>
      </c>
      <c r="K486" s="11">
        <f t="shared" si="28"/>
        <v>0</v>
      </c>
      <c r="L486" t="str">
        <f t="shared" si="29"/>
        <v/>
      </c>
      <c r="M486" t="str">
        <f t="shared" si="30"/>
        <v/>
      </c>
      <c r="N486" t="str">
        <f t="shared" si="31"/>
        <v/>
      </c>
    </row>
    <row r="487" spans="2:14" x14ac:dyDescent="0.25">
      <c r="B487" s="5" t="str">
        <f>_xlfn.IFNA(VLOOKUP(A487, MOs_Ready_to_close[[Order]:[Tot Est Machine Hrs]], 2, FALSE), "")</f>
        <v/>
      </c>
      <c r="C487" s="5" t="str">
        <f>_xlfn.IFNA(VLOOKUP(A487, MOs_Ready_to_close[[Order]:[Tot Est Machine Hrs]], 4, FALSE), "")</f>
        <v/>
      </c>
      <c r="D487" s="6" t="str">
        <f>_xlfn.IFNA(VLOOKUP(A487, MOs_Ready_to_close[[Order]:[Tot Est Machine Hrs]], 8, FALSE), "")</f>
        <v/>
      </c>
      <c r="E487" s="7" t="str">
        <f>_xlfn.IFNA(VLOOKUP(A487, MOs_Ready_to_close[[Order]:[Tot Est Machine Hrs]], 9, FALSE), "")</f>
        <v/>
      </c>
      <c r="I487" s="11">
        <f>SUMIF(MO_Components[Order], Calculations!A487, MO_Components[Std Cost])</f>
        <v>0</v>
      </c>
      <c r="J487" s="11">
        <f>SUMIF(MO_Components[Order], Calculations!A487, MO_Components[Act Cost])</f>
        <v>0</v>
      </c>
      <c r="K487" s="11">
        <f t="shared" si="28"/>
        <v>0</v>
      </c>
      <c r="L487" t="str">
        <f t="shared" si="29"/>
        <v/>
      </c>
      <c r="M487" t="str">
        <f t="shared" si="30"/>
        <v/>
      </c>
      <c r="N487" t="str">
        <f t="shared" si="31"/>
        <v/>
      </c>
    </row>
    <row r="488" spans="2:14" x14ac:dyDescent="0.25">
      <c r="B488" s="5" t="str">
        <f>_xlfn.IFNA(VLOOKUP(A488, MOs_Ready_to_close[[Order]:[Tot Est Machine Hrs]], 2, FALSE), "")</f>
        <v/>
      </c>
      <c r="C488" s="5" t="str">
        <f>_xlfn.IFNA(VLOOKUP(A488, MOs_Ready_to_close[[Order]:[Tot Est Machine Hrs]], 4, FALSE), "")</f>
        <v/>
      </c>
      <c r="D488" s="6" t="str">
        <f>_xlfn.IFNA(VLOOKUP(A488, MOs_Ready_to_close[[Order]:[Tot Est Machine Hrs]], 8, FALSE), "")</f>
        <v/>
      </c>
      <c r="E488" s="7" t="str">
        <f>_xlfn.IFNA(VLOOKUP(A488, MOs_Ready_to_close[[Order]:[Tot Est Machine Hrs]], 9, FALSE), "")</f>
        <v/>
      </c>
      <c r="I488" s="11">
        <f>SUMIF(MO_Components[Order], Calculations!A488, MO_Components[Std Cost])</f>
        <v>0</v>
      </c>
      <c r="J488" s="11">
        <f>SUMIF(MO_Components[Order], Calculations!A488, MO_Components[Act Cost])</f>
        <v>0</v>
      </c>
      <c r="K488" s="11">
        <f t="shared" si="28"/>
        <v>0</v>
      </c>
      <c r="L488" t="str">
        <f t="shared" si="29"/>
        <v/>
      </c>
      <c r="M488" t="str">
        <f t="shared" si="30"/>
        <v/>
      </c>
      <c r="N488" t="str">
        <f t="shared" si="31"/>
        <v/>
      </c>
    </row>
    <row r="489" spans="2:14" x14ac:dyDescent="0.25">
      <c r="B489" s="5" t="str">
        <f>_xlfn.IFNA(VLOOKUP(A489, MOs_Ready_to_close[[Order]:[Tot Est Machine Hrs]], 2, FALSE), "")</f>
        <v/>
      </c>
      <c r="C489" s="5" t="str">
        <f>_xlfn.IFNA(VLOOKUP(A489, MOs_Ready_to_close[[Order]:[Tot Est Machine Hrs]], 4, FALSE), "")</f>
        <v/>
      </c>
      <c r="D489" s="6" t="str">
        <f>_xlfn.IFNA(VLOOKUP(A489, MOs_Ready_to_close[[Order]:[Tot Est Machine Hrs]], 8, FALSE), "")</f>
        <v/>
      </c>
      <c r="E489" s="7" t="str">
        <f>_xlfn.IFNA(VLOOKUP(A489, MOs_Ready_to_close[[Order]:[Tot Est Machine Hrs]], 9, FALSE), "")</f>
        <v/>
      </c>
      <c r="I489" s="11">
        <f>SUMIF(MO_Components[Order], Calculations!A489, MO_Components[Std Cost])</f>
        <v>0</v>
      </c>
      <c r="J489" s="11">
        <f>SUMIF(MO_Components[Order], Calculations!A489, MO_Components[Act Cost])</f>
        <v>0</v>
      </c>
      <c r="K489" s="11">
        <f t="shared" si="28"/>
        <v>0</v>
      </c>
      <c r="L489" t="str">
        <f t="shared" si="29"/>
        <v/>
      </c>
      <c r="M489" t="str">
        <f t="shared" si="30"/>
        <v/>
      </c>
      <c r="N489" t="str">
        <f t="shared" si="31"/>
        <v/>
      </c>
    </row>
    <row r="490" spans="2:14" x14ac:dyDescent="0.25">
      <c r="B490" s="5" t="str">
        <f>_xlfn.IFNA(VLOOKUP(A490, MOs_Ready_to_close[[Order]:[Tot Est Machine Hrs]], 2, FALSE), "")</f>
        <v/>
      </c>
      <c r="C490" s="5" t="str">
        <f>_xlfn.IFNA(VLOOKUP(A490, MOs_Ready_to_close[[Order]:[Tot Est Machine Hrs]], 4, FALSE), "")</f>
        <v/>
      </c>
      <c r="D490" s="6" t="str">
        <f>_xlfn.IFNA(VLOOKUP(A490, MOs_Ready_to_close[[Order]:[Tot Est Machine Hrs]], 8, FALSE), "")</f>
        <v/>
      </c>
      <c r="E490" s="7" t="str">
        <f>_xlfn.IFNA(VLOOKUP(A490, MOs_Ready_to_close[[Order]:[Tot Est Machine Hrs]], 9, FALSE), "")</f>
        <v/>
      </c>
      <c r="I490" s="11">
        <f>SUMIF(MO_Components[Order], Calculations!A490, MO_Components[Std Cost])</f>
        <v>0</v>
      </c>
      <c r="J490" s="11">
        <f>SUMIF(MO_Components[Order], Calculations!A490, MO_Components[Act Cost])</f>
        <v>0</v>
      </c>
      <c r="K490" s="11">
        <f t="shared" si="28"/>
        <v>0</v>
      </c>
      <c r="L490" t="str">
        <f t="shared" si="29"/>
        <v/>
      </c>
      <c r="M490" t="str">
        <f t="shared" si="30"/>
        <v/>
      </c>
      <c r="N490" t="str">
        <f t="shared" si="31"/>
        <v/>
      </c>
    </row>
    <row r="491" spans="2:14" x14ac:dyDescent="0.25">
      <c r="B491" s="5" t="str">
        <f>_xlfn.IFNA(VLOOKUP(A491, MOs_Ready_to_close[[Order]:[Tot Est Machine Hrs]], 2, FALSE), "")</f>
        <v/>
      </c>
      <c r="C491" s="5" t="str">
        <f>_xlfn.IFNA(VLOOKUP(A491, MOs_Ready_to_close[[Order]:[Tot Est Machine Hrs]], 4, FALSE), "")</f>
        <v/>
      </c>
      <c r="D491" s="6" t="str">
        <f>_xlfn.IFNA(VLOOKUP(A491, MOs_Ready_to_close[[Order]:[Tot Est Machine Hrs]], 8, FALSE), "")</f>
        <v/>
      </c>
      <c r="E491" s="7" t="str">
        <f>_xlfn.IFNA(VLOOKUP(A491, MOs_Ready_to_close[[Order]:[Tot Est Machine Hrs]], 9, FALSE), "")</f>
        <v/>
      </c>
      <c r="I491" s="11">
        <f>SUMIF(MO_Components[Order], Calculations!A491, MO_Components[Std Cost])</f>
        <v>0</v>
      </c>
      <c r="J491" s="11">
        <f>SUMIF(MO_Components[Order], Calculations!A491, MO_Components[Act Cost])</f>
        <v>0</v>
      </c>
      <c r="K491" s="11">
        <f t="shared" si="28"/>
        <v>0</v>
      </c>
      <c r="L491" t="str">
        <f t="shared" si="29"/>
        <v/>
      </c>
      <c r="M491" t="str">
        <f t="shared" si="30"/>
        <v/>
      </c>
      <c r="N491" t="str">
        <f t="shared" si="31"/>
        <v/>
      </c>
    </row>
    <row r="492" spans="2:14" x14ac:dyDescent="0.25">
      <c r="B492" s="5" t="str">
        <f>_xlfn.IFNA(VLOOKUP(A492, MOs_Ready_to_close[[Order]:[Tot Est Machine Hrs]], 2, FALSE), "")</f>
        <v/>
      </c>
      <c r="C492" s="5" t="str">
        <f>_xlfn.IFNA(VLOOKUP(A492, MOs_Ready_to_close[[Order]:[Tot Est Machine Hrs]], 4, FALSE), "")</f>
        <v/>
      </c>
      <c r="D492" s="6" t="str">
        <f>_xlfn.IFNA(VLOOKUP(A492, MOs_Ready_to_close[[Order]:[Tot Est Machine Hrs]], 8, FALSE), "")</f>
        <v/>
      </c>
      <c r="E492" s="7" t="str">
        <f>_xlfn.IFNA(VLOOKUP(A492, MOs_Ready_to_close[[Order]:[Tot Est Machine Hrs]], 9, FALSE), "")</f>
        <v/>
      </c>
      <c r="I492" s="11">
        <f>SUMIF(MO_Components[Order], Calculations!A492, MO_Components[Std Cost])</f>
        <v>0</v>
      </c>
      <c r="J492" s="11">
        <f>SUMIF(MO_Components[Order], Calculations!A492, MO_Components[Act Cost])</f>
        <v>0</v>
      </c>
      <c r="K492" s="11">
        <f t="shared" si="28"/>
        <v>0</v>
      </c>
      <c r="L492" t="str">
        <f t="shared" si="29"/>
        <v/>
      </c>
      <c r="M492" t="str">
        <f t="shared" si="30"/>
        <v/>
      </c>
      <c r="N492" t="str">
        <f t="shared" si="31"/>
        <v/>
      </c>
    </row>
    <row r="493" spans="2:14" x14ac:dyDescent="0.25">
      <c r="B493" s="5" t="str">
        <f>_xlfn.IFNA(VLOOKUP(A493, MOs_Ready_to_close[[Order]:[Tot Est Machine Hrs]], 2, FALSE), "")</f>
        <v/>
      </c>
      <c r="C493" s="5" t="str">
        <f>_xlfn.IFNA(VLOOKUP(A493, MOs_Ready_to_close[[Order]:[Tot Est Machine Hrs]], 4, FALSE), "")</f>
        <v/>
      </c>
      <c r="D493" s="6" t="str">
        <f>_xlfn.IFNA(VLOOKUP(A493, MOs_Ready_to_close[[Order]:[Tot Est Machine Hrs]], 8, FALSE), "")</f>
        <v/>
      </c>
      <c r="E493" s="7" t="str">
        <f>_xlfn.IFNA(VLOOKUP(A493, MOs_Ready_to_close[[Order]:[Tot Est Machine Hrs]], 9, FALSE), "")</f>
        <v/>
      </c>
      <c r="I493" s="11">
        <f>SUMIF(MO_Components[Order], Calculations!A493, MO_Components[Std Cost])</f>
        <v>0</v>
      </c>
      <c r="J493" s="11">
        <f>SUMIF(MO_Components[Order], Calculations!A493, MO_Components[Act Cost])</f>
        <v>0</v>
      </c>
      <c r="K493" s="11">
        <f t="shared" si="28"/>
        <v>0</v>
      </c>
      <c r="L493" t="str">
        <f t="shared" si="29"/>
        <v/>
      </c>
      <c r="M493" t="str">
        <f t="shared" si="30"/>
        <v/>
      </c>
      <c r="N493" t="str">
        <f t="shared" si="31"/>
        <v/>
      </c>
    </row>
    <row r="494" spans="2:14" x14ac:dyDescent="0.25">
      <c r="B494" s="5" t="str">
        <f>_xlfn.IFNA(VLOOKUP(A494, MOs_Ready_to_close[[Order]:[Tot Est Machine Hrs]], 2, FALSE), "")</f>
        <v/>
      </c>
      <c r="C494" s="5" t="str">
        <f>_xlfn.IFNA(VLOOKUP(A494, MOs_Ready_to_close[[Order]:[Tot Est Machine Hrs]], 4, FALSE), "")</f>
        <v/>
      </c>
      <c r="D494" s="6" t="str">
        <f>_xlfn.IFNA(VLOOKUP(A494, MOs_Ready_to_close[[Order]:[Tot Est Machine Hrs]], 8, FALSE), "")</f>
        <v/>
      </c>
      <c r="E494" s="7" t="str">
        <f>_xlfn.IFNA(VLOOKUP(A494, MOs_Ready_to_close[[Order]:[Tot Est Machine Hrs]], 9, FALSE), "")</f>
        <v/>
      </c>
      <c r="I494" s="11">
        <f>SUMIF(MO_Components[Order], Calculations!A494, MO_Components[Std Cost])</f>
        <v>0</v>
      </c>
      <c r="J494" s="11">
        <f>SUMIF(MO_Components[Order], Calculations!A494, MO_Components[Act Cost])</f>
        <v>0</v>
      </c>
      <c r="K494" s="11">
        <f t="shared" si="28"/>
        <v>0</v>
      </c>
      <c r="L494" t="str">
        <f t="shared" si="29"/>
        <v/>
      </c>
      <c r="M494" t="str">
        <f t="shared" si="30"/>
        <v/>
      </c>
      <c r="N494" t="str">
        <f t="shared" si="31"/>
        <v/>
      </c>
    </row>
    <row r="495" spans="2:14" x14ac:dyDescent="0.25">
      <c r="B495" s="5" t="str">
        <f>_xlfn.IFNA(VLOOKUP(A495, MOs_Ready_to_close[[Order]:[Tot Est Machine Hrs]], 2, FALSE), "")</f>
        <v/>
      </c>
      <c r="C495" s="5" t="str">
        <f>_xlfn.IFNA(VLOOKUP(A495, MOs_Ready_to_close[[Order]:[Tot Est Machine Hrs]], 4, FALSE), "")</f>
        <v/>
      </c>
      <c r="D495" s="6" t="str">
        <f>_xlfn.IFNA(VLOOKUP(A495, MOs_Ready_to_close[[Order]:[Tot Est Machine Hrs]], 8, FALSE), "")</f>
        <v/>
      </c>
      <c r="E495" s="7" t="str">
        <f>_xlfn.IFNA(VLOOKUP(A495, MOs_Ready_to_close[[Order]:[Tot Est Machine Hrs]], 9, FALSE), "")</f>
        <v/>
      </c>
      <c r="I495" s="11">
        <f>SUMIF(MO_Components[Order], Calculations!A495, MO_Components[Std Cost])</f>
        <v>0</v>
      </c>
      <c r="J495" s="11">
        <f>SUMIF(MO_Components[Order], Calculations!A495, MO_Components[Act Cost])</f>
        <v>0</v>
      </c>
      <c r="K495" s="11">
        <f t="shared" si="28"/>
        <v>0</v>
      </c>
      <c r="L495" t="str">
        <f t="shared" si="29"/>
        <v/>
      </c>
      <c r="M495" t="str">
        <f t="shared" si="30"/>
        <v/>
      </c>
      <c r="N495" t="str">
        <f t="shared" si="31"/>
        <v/>
      </c>
    </row>
    <row r="496" spans="2:14" x14ac:dyDescent="0.25">
      <c r="B496" s="5" t="str">
        <f>_xlfn.IFNA(VLOOKUP(A496, MOs_Ready_to_close[[Order]:[Tot Est Machine Hrs]], 2, FALSE), "")</f>
        <v/>
      </c>
      <c r="C496" s="5" t="str">
        <f>_xlfn.IFNA(VLOOKUP(A496, MOs_Ready_to_close[[Order]:[Tot Est Machine Hrs]], 4, FALSE), "")</f>
        <v/>
      </c>
      <c r="D496" s="6" t="str">
        <f>_xlfn.IFNA(VLOOKUP(A496, MOs_Ready_to_close[[Order]:[Tot Est Machine Hrs]], 8, FALSE), "")</f>
        <v/>
      </c>
      <c r="E496" s="7" t="str">
        <f>_xlfn.IFNA(VLOOKUP(A496, MOs_Ready_to_close[[Order]:[Tot Est Machine Hrs]], 9, FALSE), "")</f>
        <v/>
      </c>
      <c r="I496" s="11">
        <f>SUMIF(MO_Components[Order], Calculations!A496, MO_Components[Std Cost])</f>
        <v>0</v>
      </c>
      <c r="J496" s="11">
        <f>SUMIF(MO_Components[Order], Calculations!A496, MO_Components[Act Cost])</f>
        <v>0</v>
      </c>
      <c r="K496" s="11">
        <f t="shared" si="28"/>
        <v>0</v>
      </c>
      <c r="L496" t="str">
        <f t="shared" si="29"/>
        <v/>
      </c>
      <c r="M496" t="str">
        <f t="shared" si="30"/>
        <v/>
      </c>
      <c r="N496" t="str">
        <f t="shared" si="31"/>
        <v/>
      </c>
    </row>
    <row r="497" spans="2:14" x14ac:dyDescent="0.25">
      <c r="B497" s="5" t="str">
        <f>_xlfn.IFNA(VLOOKUP(A497, MOs_Ready_to_close[[Order]:[Tot Est Machine Hrs]], 2, FALSE), "")</f>
        <v/>
      </c>
      <c r="C497" s="5" t="str">
        <f>_xlfn.IFNA(VLOOKUP(A497, MOs_Ready_to_close[[Order]:[Tot Est Machine Hrs]], 4, FALSE), "")</f>
        <v/>
      </c>
      <c r="D497" s="6" t="str">
        <f>_xlfn.IFNA(VLOOKUP(A497, MOs_Ready_to_close[[Order]:[Tot Est Machine Hrs]], 8, FALSE), "")</f>
        <v/>
      </c>
      <c r="E497" s="7" t="str">
        <f>_xlfn.IFNA(VLOOKUP(A497, MOs_Ready_to_close[[Order]:[Tot Est Machine Hrs]], 9, FALSE), "")</f>
        <v/>
      </c>
      <c r="I497" s="11">
        <f>SUMIF(MO_Components[Order], Calculations!A497, MO_Components[Std Cost])</f>
        <v>0</v>
      </c>
      <c r="J497" s="11">
        <f>SUMIF(MO_Components[Order], Calculations!A497, MO_Components[Act Cost])</f>
        <v>0</v>
      </c>
      <c r="K497" s="11">
        <f t="shared" si="28"/>
        <v>0</v>
      </c>
      <c r="L497" t="str">
        <f t="shared" si="29"/>
        <v/>
      </c>
      <c r="M497" t="str">
        <f t="shared" si="30"/>
        <v/>
      </c>
      <c r="N497" t="str">
        <f t="shared" si="31"/>
        <v/>
      </c>
    </row>
    <row r="498" spans="2:14" x14ac:dyDescent="0.25">
      <c r="B498" s="5" t="str">
        <f>_xlfn.IFNA(VLOOKUP(A498, MOs_Ready_to_close[[Order]:[Tot Est Machine Hrs]], 2, FALSE), "")</f>
        <v/>
      </c>
      <c r="C498" s="5" t="str">
        <f>_xlfn.IFNA(VLOOKUP(A498, MOs_Ready_to_close[[Order]:[Tot Est Machine Hrs]], 4, FALSE), "")</f>
        <v/>
      </c>
      <c r="D498" s="6" t="str">
        <f>_xlfn.IFNA(VLOOKUP(A498, MOs_Ready_to_close[[Order]:[Tot Est Machine Hrs]], 8, FALSE), "")</f>
        <v/>
      </c>
      <c r="E498" s="7" t="str">
        <f>_xlfn.IFNA(VLOOKUP(A498, MOs_Ready_to_close[[Order]:[Tot Est Machine Hrs]], 9, FALSE), "")</f>
        <v/>
      </c>
      <c r="I498" s="11">
        <f>SUMIF(MO_Components[Order], Calculations!A498, MO_Components[Std Cost])</f>
        <v>0</v>
      </c>
      <c r="J498" s="11">
        <f>SUMIF(MO_Components[Order], Calculations!A498, MO_Components[Act Cost])</f>
        <v>0</v>
      </c>
      <c r="K498" s="11">
        <f t="shared" si="28"/>
        <v>0</v>
      </c>
      <c r="L498" t="str">
        <f t="shared" si="29"/>
        <v/>
      </c>
      <c r="M498" t="str">
        <f t="shared" si="30"/>
        <v/>
      </c>
      <c r="N498" t="str">
        <f t="shared" si="31"/>
        <v/>
      </c>
    </row>
    <row r="499" spans="2:14" x14ac:dyDescent="0.25">
      <c r="B499" s="5" t="str">
        <f>_xlfn.IFNA(VLOOKUP(A499, MOs_Ready_to_close[[Order]:[Tot Est Machine Hrs]], 2, FALSE), "")</f>
        <v/>
      </c>
      <c r="C499" s="5" t="str">
        <f>_xlfn.IFNA(VLOOKUP(A499, MOs_Ready_to_close[[Order]:[Tot Est Machine Hrs]], 4, FALSE), "")</f>
        <v/>
      </c>
      <c r="D499" s="6" t="str">
        <f>_xlfn.IFNA(VLOOKUP(A499, MOs_Ready_to_close[[Order]:[Tot Est Machine Hrs]], 8, FALSE), "")</f>
        <v/>
      </c>
      <c r="E499" s="7" t="str">
        <f>_xlfn.IFNA(VLOOKUP(A499, MOs_Ready_to_close[[Order]:[Tot Est Machine Hrs]], 9, FALSE), "")</f>
        <v/>
      </c>
      <c r="I499" s="11">
        <f>SUMIF(MO_Components[Order], Calculations!A499, MO_Components[Std Cost])</f>
        <v>0</v>
      </c>
      <c r="J499" s="11">
        <f>SUMIF(MO_Components[Order], Calculations!A499, MO_Components[Act Cost])</f>
        <v>0</v>
      </c>
      <c r="K499" s="11">
        <f t="shared" si="28"/>
        <v>0</v>
      </c>
      <c r="L499" t="str">
        <f t="shared" si="29"/>
        <v/>
      </c>
      <c r="M499" t="str">
        <f t="shared" si="30"/>
        <v/>
      </c>
      <c r="N499" t="str">
        <f t="shared" si="31"/>
        <v/>
      </c>
    </row>
    <row r="500" spans="2:14" x14ac:dyDescent="0.25">
      <c r="B500" s="5" t="str">
        <f>_xlfn.IFNA(VLOOKUP(A500, MOs_Ready_to_close[[Order]:[Tot Est Machine Hrs]], 2, FALSE), "")</f>
        <v/>
      </c>
      <c r="C500" s="5" t="str">
        <f>_xlfn.IFNA(VLOOKUP(A500, MOs_Ready_to_close[[Order]:[Tot Est Machine Hrs]], 4, FALSE), "")</f>
        <v/>
      </c>
      <c r="D500" s="6" t="str">
        <f>_xlfn.IFNA(VLOOKUP(A500, MOs_Ready_to_close[[Order]:[Tot Est Machine Hrs]], 8, FALSE), "")</f>
        <v/>
      </c>
      <c r="E500" s="7" t="str">
        <f>_xlfn.IFNA(VLOOKUP(A500, MOs_Ready_to_close[[Order]:[Tot Est Machine Hrs]], 9, FALSE), "")</f>
        <v/>
      </c>
      <c r="I500" s="11">
        <f>SUMIF(MO_Components[Order], Calculations!A500, MO_Components[Std Cost])</f>
        <v>0</v>
      </c>
      <c r="J500" s="11">
        <f>SUMIF(MO_Components[Order], Calculations!A500, MO_Components[Act Cost])</f>
        <v>0</v>
      </c>
      <c r="K500" s="11">
        <f t="shared" si="28"/>
        <v>0</v>
      </c>
      <c r="L500" t="str">
        <f t="shared" si="29"/>
        <v/>
      </c>
      <c r="M500" t="str">
        <f t="shared" si="30"/>
        <v/>
      </c>
      <c r="N500" t="str">
        <f t="shared" si="31"/>
        <v/>
      </c>
    </row>
    <row r="501" spans="2:14" x14ac:dyDescent="0.25">
      <c r="E501" s="7"/>
    </row>
    <row r="502" spans="2:14" x14ac:dyDescent="0.25">
      <c r="E502" s="7"/>
    </row>
    <row r="503" spans="2:14" x14ac:dyDescent="0.25">
      <c r="E503" s="7"/>
    </row>
    <row r="504" spans="2:14" x14ac:dyDescent="0.25">
      <c r="E504" s="7"/>
    </row>
    <row r="505" spans="2:14" x14ac:dyDescent="0.25">
      <c r="E505" s="7"/>
    </row>
    <row r="506" spans="2:14" x14ac:dyDescent="0.25">
      <c r="E506" s="7"/>
    </row>
    <row r="507" spans="2:14" x14ac:dyDescent="0.25">
      <c r="E507" s="7"/>
    </row>
    <row r="508" spans="2:14" x14ac:dyDescent="0.25">
      <c r="E508" s="7"/>
    </row>
    <row r="509" spans="2:14" x14ac:dyDescent="0.25">
      <c r="E509" s="7"/>
    </row>
    <row r="510" spans="2:14" x14ac:dyDescent="0.25">
      <c r="E510" s="7"/>
    </row>
    <row r="511" spans="2:14" x14ac:dyDescent="0.25">
      <c r="E511" s="7"/>
    </row>
    <row r="512" spans="2:14" x14ac:dyDescent="0.25">
      <c r="E512" s="7"/>
    </row>
    <row r="513" spans="5:5" x14ac:dyDescent="0.25">
      <c r="E513" s="7"/>
    </row>
    <row r="514" spans="5:5" x14ac:dyDescent="0.25">
      <c r="E514" s="7"/>
    </row>
    <row r="515" spans="5:5" x14ac:dyDescent="0.25">
      <c r="E515" s="7"/>
    </row>
    <row r="516" spans="5:5" x14ac:dyDescent="0.25">
      <c r="E516" s="7"/>
    </row>
    <row r="517" spans="5:5" x14ac:dyDescent="0.25">
      <c r="E517" s="7"/>
    </row>
    <row r="518" spans="5:5" x14ac:dyDescent="0.25">
      <c r="E518" s="7"/>
    </row>
    <row r="519" spans="5:5" x14ac:dyDescent="0.25">
      <c r="E519" s="7"/>
    </row>
    <row r="520" spans="5:5" x14ac:dyDescent="0.25">
      <c r="E520" s="7"/>
    </row>
    <row r="521" spans="5:5" x14ac:dyDescent="0.25">
      <c r="E521" s="7"/>
    </row>
    <row r="522" spans="5:5" x14ac:dyDescent="0.25">
      <c r="E522" s="7"/>
    </row>
    <row r="523" spans="5:5" x14ac:dyDescent="0.25">
      <c r="E523" s="7"/>
    </row>
    <row r="524" spans="5:5" x14ac:dyDescent="0.25">
      <c r="E524" s="7"/>
    </row>
    <row r="525" spans="5:5" x14ac:dyDescent="0.25">
      <c r="E525" s="7"/>
    </row>
    <row r="526" spans="5:5" x14ac:dyDescent="0.25">
      <c r="E526" s="7"/>
    </row>
    <row r="527" spans="5:5" x14ac:dyDescent="0.25">
      <c r="E527" s="7"/>
    </row>
    <row r="528" spans="5:5" x14ac:dyDescent="0.25">
      <c r="E528" s="7"/>
    </row>
    <row r="529" spans="5:5" x14ac:dyDescent="0.25">
      <c r="E529" s="7"/>
    </row>
    <row r="530" spans="5:5" x14ac:dyDescent="0.25">
      <c r="E530" s="7"/>
    </row>
    <row r="531" spans="5:5" x14ac:dyDescent="0.25">
      <c r="E531" s="7"/>
    </row>
    <row r="532" spans="5:5" x14ac:dyDescent="0.25">
      <c r="E532" s="7"/>
    </row>
    <row r="533" spans="5:5" x14ac:dyDescent="0.25">
      <c r="E533" s="7"/>
    </row>
    <row r="534" spans="5:5" x14ac:dyDescent="0.25">
      <c r="E534" s="7"/>
    </row>
    <row r="535" spans="5:5" x14ac:dyDescent="0.25">
      <c r="E535" s="7"/>
    </row>
    <row r="536" spans="5:5" x14ac:dyDescent="0.25">
      <c r="E536" s="7"/>
    </row>
    <row r="537" spans="5:5" x14ac:dyDescent="0.25">
      <c r="E537" s="7"/>
    </row>
    <row r="538" spans="5:5" x14ac:dyDescent="0.25">
      <c r="E538" s="7"/>
    </row>
    <row r="539" spans="5:5" x14ac:dyDescent="0.25">
      <c r="E539" s="7"/>
    </row>
    <row r="540" spans="5:5" x14ac:dyDescent="0.25">
      <c r="E540" s="7"/>
    </row>
    <row r="541" spans="5:5" x14ac:dyDescent="0.25">
      <c r="E541" s="7"/>
    </row>
    <row r="542" spans="5:5" x14ac:dyDescent="0.25">
      <c r="E542" s="7"/>
    </row>
    <row r="543" spans="5:5" x14ac:dyDescent="0.25">
      <c r="E543" s="7"/>
    </row>
    <row r="544" spans="5:5" x14ac:dyDescent="0.25">
      <c r="E544" s="7"/>
    </row>
    <row r="545" spans="5:5" x14ac:dyDescent="0.25">
      <c r="E545" s="7"/>
    </row>
    <row r="546" spans="5:5" x14ac:dyDescent="0.25">
      <c r="E546" s="7"/>
    </row>
    <row r="547" spans="5:5" x14ac:dyDescent="0.25">
      <c r="E547" s="7"/>
    </row>
    <row r="548" spans="5:5" x14ac:dyDescent="0.25">
      <c r="E548" s="7"/>
    </row>
    <row r="549" spans="5:5" x14ac:dyDescent="0.25">
      <c r="E549" s="7"/>
    </row>
    <row r="550" spans="5:5" x14ac:dyDescent="0.25">
      <c r="E550" s="7"/>
    </row>
    <row r="551" spans="5:5" x14ac:dyDescent="0.25">
      <c r="E551" s="7"/>
    </row>
    <row r="552" spans="5:5" x14ac:dyDescent="0.25">
      <c r="E552" s="7"/>
    </row>
    <row r="553" spans="5:5" x14ac:dyDescent="0.25">
      <c r="E553" s="7"/>
    </row>
    <row r="554" spans="5:5" x14ac:dyDescent="0.25">
      <c r="E554" s="7"/>
    </row>
    <row r="555" spans="5:5" x14ac:dyDescent="0.25">
      <c r="E555" s="7"/>
    </row>
    <row r="556" spans="5:5" x14ac:dyDescent="0.25">
      <c r="E556" s="7"/>
    </row>
    <row r="557" spans="5:5" x14ac:dyDescent="0.25">
      <c r="E557" s="7"/>
    </row>
    <row r="558" spans="5:5" x14ac:dyDescent="0.25">
      <c r="E558" s="7"/>
    </row>
    <row r="559" spans="5:5" x14ac:dyDescent="0.25">
      <c r="E559" s="7"/>
    </row>
    <row r="560" spans="5:5" x14ac:dyDescent="0.25">
      <c r="E560" s="7"/>
    </row>
    <row r="561" spans="5:5" x14ac:dyDescent="0.25">
      <c r="E561" s="7"/>
    </row>
    <row r="562" spans="5:5" x14ac:dyDescent="0.25">
      <c r="E562" s="7"/>
    </row>
    <row r="563" spans="5:5" x14ac:dyDescent="0.25">
      <c r="E563" s="7"/>
    </row>
    <row r="564" spans="5:5" x14ac:dyDescent="0.25">
      <c r="E564" s="7"/>
    </row>
    <row r="565" spans="5:5" x14ac:dyDescent="0.25">
      <c r="E565" s="7"/>
    </row>
    <row r="566" spans="5:5" x14ac:dyDescent="0.25">
      <c r="E566" s="7"/>
    </row>
    <row r="567" spans="5:5" x14ac:dyDescent="0.25">
      <c r="E567" s="7"/>
    </row>
    <row r="568" spans="5:5" x14ac:dyDescent="0.25">
      <c r="E568" s="7"/>
    </row>
    <row r="569" spans="5:5" x14ac:dyDescent="0.25">
      <c r="E569" s="7"/>
    </row>
    <row r="570" spans="5:5" x14ac:dyDescent="0.25">
      <c r="E570" s="7"/>
    </row>
    <row r="571" spans="5:5" x14ac:dyDescent="0.25">
      <c r="E571" s="7"/>
    </row>
    <row r="572" spans="5:5" x14ac:dyDescent="0.25">
      <c r="E572" s="7"/>
    </row>
    <row r="573" spans="5:5" x14ac:dyDescent="0.25">
      <c r="E573" s="7"/>
    </row>
    <row r="574" spans="5:5" x14ac:dyDescent="0.25">
      <c r="E574" s="7"/>
    </row>
    <row r="575" spans="5:5" x14ac:dyDescent="0.25">
      <c r="E575" s="7"/>
    </row>
    <row r="576" spans="5:5" x14ac:dyDescent="0.25">
      <c r="E576" s="7"/>
    </row>
    <row r="577" spans="5:5" x14ac:dyDescent="0.25">
      <c r="E577" s="7"/>
    </row>
    <row r="578" spans="5:5" x14ac:dyDescent="0.25">
      <c r="E578" s="7"/>
    </row>
    <row r="579" spans="5:5" x14ac:dyDescent="0.25">
      <c r="E579" s="7"/>
    </row>
    <row r="580" spans="5:5" x14ac:dyDescent="0.25">
      <c r="E580" s="7"/>
    </row>
    <row r="581" spans="5:5" x14ac:dyDescent="0.25">
      <c r="E581" s="7"/>
    </row>
    <row r="582" spans="5:5" x14ac:dyDescent="0.25">
      <c r="E582" s="7"/>
    </row>
    <row r="583" spans="5:5" x14ac:dyDescent="0.25">
      <c r="E583" s="7"/>
    </row>
    <row r="584" spans="5:5" x14ac:dyDescent="0.25">
      <c r="E584" s="7"/>
    </row>
    <row r="585" spans="5:5" x14ac:dyDescent="0.25">
      <c r="E585" s="7"/>
    </row>
    <row r="586" spans="5:5" x14ac:dyDescent="0.25">
      <c r="E586" s="7"/>
    </row>
    <row r="587" spans="5:5" x14ac:dyDescent="0.25">
      <c r="E587" s="7"/>
    </row>
    <row r="588" spans="5:5" x14ac:dyDescent="0.25">
      <c r="E588" s="7"/>
    </row>
    <row r="589" spans="5:5" x14ac:dyDescent="0.25">
      <c r="E589" s="7"/>
    </row>
    <row r="590" spans="5:5" x14ac:dyDescent="0.25">
      <c r="E590" s="7"/>
    </row>
    <row r="591" spans="5:5" x14ac:dyDescent="0.25">
      <c r="E591" s="7"/>
    </row>
    <row r="592" spans="5:5" x14ac:dyDescent="0.25">
      <c r="E592" s="7"/>
    </row>
    <row r="593" spans="5:5" x14ac:dyDescent="0.25">
      <c r="E593" s="7"/>
    </row>
    <row r="594" spans="5:5" x14ac:dyDescent="0.25">
      <c r="E594" s="7"/>
    </row>
    <row r="595" spans="5:5" x14ac:dyDescent="0.25">
      <c r="E595" s="7"/>
    </row>
    <row r="596" spans="5:5" x14ac:dyDescent="0.25">
      <c r="E596" s="7"/>
    </row>
    <row r="597" spans="5:5" x14ac:dyDescent="0.25">
      <c r="E597" s="7"/>
    </row>
    <row r="598" spans="5:5" x14ac:dyDescent="0.25">
      <c r="E598" s="7"/>
    </row>
    <row r="599" spans="5:5" x14ac:dyDescent="0.25">
      <c r="E599" s="7"/>
    </row>
    <row r="600" spans="5:5" x14ac:dyDescent="0.25">
      <c r="E600" s="7"/>
    </row>
    <row r="601" spans="5:5" x14ac:dyDescent="0.25">
      <c r="E601" s="7"/>
    </row>
    <row r="602" spans="5:5" x14ac:dyDescent="0.25">
      <c r="E602" s="7"/>
    </row>
    <row r="603" spans="5:5" x14ac:dyDescent="0.25">
      <c r="E603" s="7"/>
    </row>
    <row r="604" spans="5:5" x14ac:dyDescent="0.25">
      <c r="E604" s="7"/>
    </row>
    <row r="605" spans="5:5" x14ac:dyDescent="0.25">
      <c r="E605" s="7"/>
    </row>
    <row r="606" spans="5:5" x14ac:dyDescent="0.25">
      <c r="E606" s="7"/>
    </row>
    <row r="607" spans="5:5" x14ac:dyDescent="0.25">
      <c r="E607" s="7"/>
    </row>
    <row r="608" spans="5:5" x14ac:dyDescent="0.25">
      <c r="E608" s="7"/>
    </row>
    <row r="609" spans="5:5" x14ac:dyDescent="0.25">
      <c r="E609" s="7"/>
    </row>
    <row r="610" spans="5:5" x14ac:dyDescent="0.25">
      <c r="E610" s="7"/>
    </row>
    <row r="611" spans="5:5" x14ac:dyDescent="0.25">
      <c r="E611" s="7"/>
    </row>
    <row r="612" spans="5:5" x14ac:dyDescent="0.25">
      <c r="E612" s="7"/>
    </row>
    <row r="613" spans="5:5" x14ac:dyDescent="0.25">
      <c r="E613" s="7"/>
    </row>
    <row r="614" spans="5:5" x14ac:dyDescent="0.25">
      <c r="E614" s="7"/>
    </row>
    <row r="615" spans="5:5" x14ac:dyDescent="0.25">
      <c r="E615" s="7"/>
    </row>
    <row r="616" spans="5:5" x14ac:dyDescent="0.25">
      <c r="E616" s="7"/>
    </row>
    <row r="617" spans="5:5" x14ac:dyDescent="0.25">
      <c r="E617" s="7"/>
    </row>
    <row r="618" spans="5:5" x14ac:dyDescent="0.25">
      <c r="E618" s="7"/>
    </row>
    <row r="619" spans="5:5" x14ac:dyDescent="0.25">
      <c r="E619" s="7"/>
    </row>
    <row r="620" spans="5:5" x14ac:dyDescent="0.25">
      <c r="E620" s="7"/>
    </row>
    <row r="621" spans="5:5" x14ac:dyDescent="0.25">
      <c r="E621" s="7"/>
    </row>
    <row r="622" spans="5:5" x14ac:dyDescent="0.25">
      <c r="E622" s="7"/>
    </row>
    <row r="623" spans="5:5" x14ac:dyDescent="0.25">
      <c r="E623" s="7"/>
    </row>
    <row r="624" spans="5:5" x14ac:dyDescent="0.25">
      <c r="E624" s="7"/>
    </row>
    <row r="625" spans="5:5" x14ac:dyDescent="0.25">
      <c r="E625" s="7"/>
    </row>
    <row r="626" spans="5:5" x14ac:dyDescent="0.25">
      <c r="E626" s="7"/>
    </row>
    <row r="627" spans="5:5" x14ac:dyDescent="0.25">
      <c r="E627" s="7"/>
    </row>
    <row r="628" spans="5:5" x14ac:dyDescent="0.25">
      <c r="E628" s="7"/>
    </row>
    <row r="629" spans="5:5" x14ac:dyDescent="0.25">
      <c r="E629" s="7"/>
    </row>
    <row r="630" spans="5:5" x14ac:dyDescent="0.25">
      <c r="E630" s="7"/>
    </row>
    <row r="631" spans="5:5" x14ac:dyDescent="0.25">
      <c r="E631" s="7"/>
    </row>
    <row r="632" spans="5:5" x14ac:dyDescent="0.25">
      <c r="E632" s="7"/>
    </row>
    <row r="633" spans="5:5" x14ac:dyDescent="0.25">
      <c r="E633" s="7"/>
    </row>
    <row r="634" spans="5:5" x14ac:dyDescent="0.25">
      <c r="E634" s="7"/>
    </row>
    <row r="635" spans="5:5" x14ac:dyDescent="0.25">
      <c r="E635" s="7"/>
    </row>
    <row r="636" spans="5:5" x14ac:dyDescent="0.25">
      <c r="E636" s="7"/>
    </row>
    <row r="637" spans="5:5" x14ac:dyDescent="0.25">
      <c r="E637" s="7"/>
    </row>
    <row r="638" spans="5:5" x14ac:dyDescent="0.25">
      <c r="E638" s="7"/>
    </row>
    <row r="639" spans="5:5" x14ac:dyDescent="0.25">
      <c r="E639" s="7"/>
    </row>
    <row r="640" spans="5:5" x14ac:dyDescent="0.25">
      <c r="E640" s="7"/>
    </row>
    <row r="641" spans="5:5" x14ac:dyDescent="0.25">
      <c r="E641" s="7"/>
    </row>
    <row r="642" spans="5:5" x14ac:dyDescent="0.25">
      <c r="E642" s="7"/>
    </row>
    <row r="643" spans="5:5" x14ac:dyDescent="0.25">
      <c r="E643" s="7"/>
    </row>
    <row r="644" spans="5:5" x14ac:dyDescent="0.25">
      <c r="E644" s="7"/>
    </row>
    <row r="645" spans="5:5" x14ac:dyDescent="0.25">
      <c r="E645" s="7"/>
    </row>
    <row r="646" spans="5:5" x14ac:dyDescent="0.25">
      <c r="E646" s="7"/>
    </row>
    <row r="647" spans="5:5" x14ac:dyDescent="0.25">
      <c r="E647" s="7"/>
    </row>
    <row r="648" spans="5:5" x14ac:dyDescent="0.25">
      <c r="E648" s="7"/>
    </row>
    <row r="649" spans="5:5" x14ac:dyDescent="0.25">
      <c r="E649" s="7"/>
    </row>
    <row r="650" spans="5:5" x14ac:dyDescent="0.25">
      <c r="E650" s="7"/>
    </row>
    <row r="651" spans="5:5" x14ac:dyDescent="0.25">
      <c r="E651" s="7"/>
    </row>
    <row r="652" spans="5:5" x14ac:dyDescent="0.25">
      <c r="E652" s="7"/>
    </row>
    <row r="653" spans="5:5" x14ac:dyDescent="0.25">
      <c r="E653" s="7"/>
    </row>
    <row r="654" spans="5:5" x14ac:dyDescent="0.25">
      <c r="E654" s="7"/>
    </row>
    <row r="655" spans="5:5" x14ac:dyDescent="0.25">
      <c r="E655" s="7"/>
    </row>
    <row r="656" spans="5:5" x14ac:dyDescent="0.25">
      <c r="E656" s="7"/>
    </row>
    <row r="657" spans="5:5" x14ac:dyDescent="0.25">
      <c r="E657" s="7"/>
    </row>
    <row r="658" spans="5:5" x14ac:dyDescent="0.25">
      <c r="E658" s="7"/>
    </row>
    <row r="659" spans="5:5" x14ac:dyDescent="0.25">
      <c r="E659" s="7"/>
    </row>
    <row r="660" spans="5:5" x14ac:dyDescent="0.25">
      <c r="E660" s="7"/>
    </row>
    <row r="661" spans="5:5" x14ac:dyDescent="0.25">
      <c r="E661" s="7"/>
    </row>
    <row r="662" spans="5:5" x14ac:dyDescent="0.25">
      <c r="E662" s="7"/>
    </row>
    <row r="663" spans="5:5" x14ac:dyDescent="0.25">
      <c r="E663" s="7"/>
    </row>
    <row r="664" spans="5:5" x14ac:dyDescent="0.25">
      <c r="E664" s="7"/>
    </row>
    <row r="665" spans="5:5" x14ac:dyDescent="0.25">
      <c r="E665" s="7"/>
    </row>
    <row r="666" spans="5:5" x14ac:dyDescent="0.25">
      <c r="E666" s="7"/>
    </row>
    <row r="667" spans="5:5" x14ac:dyDescent="0.25">
      <c r="E667" s="7"/>
    </row>
    <row r="668" spans="5:5" x14ac:dyDescent="0.25">
      <c r="E668" s="7"/>
    </row>
    <row r="669" spans="5:5" x14ac:dyDescent="0.25">
      <c r="E669" s="7"/>
    </row>
    <row r="670" spans="5:5" x14ac:dyDescent="0.25">
      <c r="E670" s="7"/>
    </row>
    <row r="671" spans="5:5" x14ac:dyDescent="0.25">
      <c r="E671" s="7"/>
    </row>
    <row r="672" spans="5:5" x14ac:dyDescent="0.25">
      <c r="E672" s="7"/>
    </row>
    <row r="673" spans="5:5" x14ac:dyDescent="0.25">
      <c r="E673" s="7"/>
    </row>
    <row r="674" spans="5:5" x14ac:dyDescent="0.25">
      <c r="E674" s="7"/>
    </row>
    <row r="675" spans="5:5" x14ac:dyDescent="0.25">
      <c r="E675" s="7"/>
    </row>
    <row r="676" spans="5:5" x14ac:dyDescent="0.25">
      <c r="E676" s="7"/>
    </row>
    <row r="677" spans="5:5" x14ac:dyDescent="0.25">
      <c r="E677" s="7"/>
    </row>
    <row r="678" spans="5:5" x14ac:dyDescent="0.25">
      <c r="E678" s="7"/>
    </row>
    <row r="679" spans="5:5" x14ac:dyDescent="0.25">
      <c r="E679" s="7"/>
    </row>
    <row r="680" spans="5:5" x14ac:dyDescent="0.25">
      <c r="E680" s="7"/>
    </row>
    <row r="681" spans="5:5" x14ac:dyDescent="0.25">
      <c r="E681" s="7"/>
    </row>
    <row r="682" spans="5:5" x14ac:dyDescent="0.25">
      <c r="E682" s="7"/>
    </row>
    <row r="683" spans="5:5" x14ac:dyDescent="0.25">
      <c r="E683" s="7"/>
    </row>
    <row r="684" spans="5:5" x14ac:dyDescent="0.25">
      <c r="E684" s="7"/>
    </row>
    <row r="685" spans="5:5" x14ac:dyDescent="0.25">
      <c r="E685" s="7"/>
    </row>
    <row r="686" spans="5:5" x14ac:dyDescent="0.25">
      <c r="E686" s="7"/>
    </row>
    <row r="687" spans="5:5" x14ac:dyDescent="0.25">
      <c r="E687" s="7"/>
    </row>
    <row r="688" spans="5:5" x14ac:dyDescent="0.25">
      <c r="E688" s="7"/>
    </row>
    <row r="689" spans="5:5" x14ac:dyDescent="0.25">
      <c r="E689" s="7"/>
    </row>
    <row r="690" spans="5:5" x14ac:dyDescent="0.25">
      <c r="E690" s="7"/>
    </row>
    <row r="691" spans="5:5" x14ac:dyDescent="0.25">
      <c r="E691" s="7"/>
    </row>
    <row r="692" spans="5:5" x14ac:dyDescent="0.25">
      <c r="E692" s="7"/>
    </row>
    <row r="693" spans="5:5" x14ac:dyDescent="0.25">
      <c r="E693" s="7"/>
    </row>
    <row r="694" spans="5:5" x14ac:dyDescent="0.25">
      <c r="E694" s="7"/>
    </row>
    <row r="695" spans="5:5" x14ac:dyDescent="0.25">
      <c r="E695" s="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8F8CC1-2ACE-406C-B932-03D58B2506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Total Summary - 60 Day</vt:lpstr>
      <vt:lpstr>Matl Summary - 60 Day</vt:lpstr>
      <vt:lpstr>Labor Summary - 60 Day</vt:lpstr>
      <vt:lpstr>Total Pivot</vt:lpstr>
      <vt:lpstr>Matl Pivot</vt:lpstr>
      <vt:lpstr>Labor Pivot</vt:lpstr>
      <vt:lpstr>MOs Ready to close</vt:lpstr>
      <vt:lpstr>MO Operations</vt:lpstr>
      <vt:lpstr>MO Components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Merl Samson</dc:creator>
  <cp:lastModifiedBy>Katie Vella</cp:lastModifiedBy>
  <dcterms:created xsi:type="dcterms:W3CDTF">2025-04-24T16:25:37Z</dcterms:created>
  <dcterms:modified xsi:type="dcterms:W3CDTF">2025-08-27T14:32:34Z</dcterms:modified>
</cp:coreProperties>
</file>